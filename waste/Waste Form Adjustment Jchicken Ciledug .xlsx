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 PER 111225" sheetId="1" r:id="rId4"/>
    <sheet state="visible" name="Master data" sheetId="2" r:id="rId5"/>
    <sheet state="visible" name="DASHBOARD" sheetId="3" r:id="rId6"/>
    <sheet state="hidden" name="Sheet3" sheetId="4" r:id="rId7"/>
    <sheet state="hidden" name="ADJUSTMENT DESEMBER JC CILEDUG" sheetId="5" r:id="rId8"/>
    <sheet state="hidden" name="MARET 26" sheetId="6" r:id="rId9"/>
    <sheet state="hidden" name="JANUARI 26" sheetId="7" r:id="rId10"/>
    <sheet state="hidden" name="APRIL 26" sheetId="8" r:id="rId11"/>
    <sheet state="hidden" name="MEI 26" sheetId="9" r:id="rId12"/>
    <sheet state="hidden" name="JUNI 26" sheetId="10" r:id="rId13"/>
    <sheet state="visible" name="JULI 26" sheetId="11" r:id="rId14"/>
    <sheet state="visible" name="AGUSTUS 2026" sheetId="12" r:id="rId15"/>
    <sheet state="visible" name="SEPTEMBER 26" sheetId="13" r:id="rId16"/>
    <sheet state="hidden" name="Sheet10" sheetId="14" r:id="rId17"/>
  </sheets>
  <definedNames>
    <definedName hidden="1" localSheetId="1" name="_xlnm._FilterDatabase">'Master data'!$A$1:$AA$429</definedName>
    <definedName hidden="1" localSheetId="5" name="_xlnm._FilterDatabase">'MARET 26'!$B$1:$B$985</definedName>
    <definedName hidden="1" localSheetId="7" name="_xlnm._FilterDatabase">'APRIL 26'!$G$1:$G$988</definedName>
    <definedName hidden="1" localSheetId="8" name="_xlnm._FilterDatabase">'MEI 26'!$A$1:$Z$751</definedName>
    <definedName hidden="1" localSheetId="10" name="_xlnm._FilterDatabase">'JULI 26'!$A$6:$AC$1018</definedName>
    <definedName hidden="1" localSheetId="11" name="_xlnm._FilterDatabase">'AGUSTUS 2026'!$A$6:$AC$1014</definedName>
  </definedNames>
  <calcPr/>
  <pivotCaches>
    <pivotCache cacheId="0" r:id="rId18"/>
  </pivotCaches>
  <extLst>
    <ext uri="GoogleSheetsCustomDataVersion2">
      <go:sheetsCustomData xmlns:go="http://customooxmlschemas.google.com/" r:id="rId19" roundtripDataChecksum="F7N8antXD31OU3Tp73MrJsf1rt6AePr+ODhkP9a1qdw="/>
    </ext>
  </extLst>
</workbook>
</file>

<file path=xl/sharedStrings.xml><?xml version="1.0" encoding="utf-8"?>
<sst xmlns="http://schemas.openxmlformats.org/spreadsheetml/2006/main" count="15022" uniqueCount="1893">
  <si>
    <t>FORM ADJUSTMENT</t>
  </si>
  <si>
    <t>Nama Item</t>
  </si>
  <si>
    <t>NAMA PRODUK</t>
  </si>
  <si>
    <t>JENIS</t>
  </si>
  <si>
    <t>SATUAN CSA</t>
  </si>
  <si>
    <t>JUMLAH</t>
  </si>
  <si>
    <t>ALASAN WASTE</t>
  </si>
  <si>
    <t>USER</t>
  </si>
  <si>
    <t>Kode Item</t>
  </si>
  <si>
    <t>Unit</t>
  </si>
  <si>
    <t>TANGGAL</t>
  </si>
  <si>
    <t>KODE CSA</t>
  </si>
  <si>
    <t>PT. KREASI LIMA CAHAYA</t>
  </si>
  <si>
    <t>JCHICKEN CILEDUG</t>
  </si>
  <si>
    <t xml:space="preserve">BULAN, TAHUN: </t>
  </si>
  <si>
    <t>B001-002</t>
  </si>
  <si>
    <t>Harga pokok</t>
  </si>
  <si>
    <t>KELOMPOK</t>
  </si>
  <si>
    <t>SHOESTRING FRENCH FRIES</t>
  </si>
  <si>
    <t>bahan baku</t>
  </si>
  <si>
    <t>GR</t>
  </si>
  <si>
    <t>Anchor Mozzarella Cheese</t>
  </si>
  <si>
    <t>B001-003</t>
  </si>
  <si>
    <t>Ayam Original Parting 9</t>
  </si>
  <si>
    <t>B001-004</t>
  </si>
  <si>
    <t>PCS</t>
  </si>
  <si>
    <t>Ayam Utuh - Original</t>
  </si>
  <si>
    <t>B001-005</t>
  </si>
  <si>
    <t>Bawang Bombay</t>
  </si>
  <si>
    <t>B001-006</t>
  </si>
  <si>
    <t>Bawang Putih</t>
  </si>
  <si>
    <t>B001-007</t>
  </si>
  <si>
    <t>31,04</t>
  </si>
  <si>
    <t>Beras 25KG</t>
  </si>
  <si>
    <t>B001-008</t>
  </si>
  <si>
    <t>B001</t>
  </si>
  <si>
    <t>Biji Kopi</t>
  </si>
  <si>
    <t>B001-009</t>
  </si>
  <si>
    <t>Boba Pearl</t>
  </si>
  <si>
    <t>B001-010</t>
  </si>
  <si>
    <t>Bolognese Sauce 25089E</t>
  </si>
  <si>
    <t>B001-011</t>
  </si>
  <si>
    <t>Brown Sugar Sweet Chili Sauce</t>
  </si>
  <si>
    <t>B001-012</t>
  </si>
  <si>
    <t>Bubuk Es Krim Vanilla - FT1804</t>
  </si>
  <si>
    <t>B001-013</t>
  </si>
  <si>
    <t>Bumbu Bubuk Cabe (Lokal)</t>
  </si>
  <si>
    <t>B001-015</t>
  </si>
  <si>
    <t>Bumbu Putih</t>
  </si>
  <si>
    <t>B001-016</t>
  </si>
  <si>
    <t>Cabai Merah Keriting</t>
  </si>
  <si>
    <t>B001-017</t>
  </si>
  <si>
    <t>Cabai Rawit Hijau</t>
  </si>
  <si>
    <t>B001-018</t>
  </si>
  <si>
    <t>Cabai Rawit Merah</t>
  </si>
  <si>
    <t>B001-019</t>
  </si>
  <si>
    <t>SECTION</t>
  </si>
  <si>
    <t>KATEGORI</t>
  </si>
  <si>
    <t>Cheese Cream Seasoning Powder-FLB10285</t>
  </si>
  <si>
    <t>B001-020</t>
  </si>
  <si>
    <t>AUDIT</t>
  </si>
  <si>
    <t>Waste</t>
  </si>
  <si>
    <t>Cheese Spread</t>
  </si>
  <si>
    <t>01 Juni 2026</t>
  </si>
  <si>
    <t>B001-022</t>
  </si>
  <si>
    <t>Chicken Bacon</t>
  </si>
  <si>
    <t>B001-023</t>
  </si>
  <si>
    <t>Chicken Nugget</t>
  </si>
  <si>
    <t>B001-024</t>
  </si>
  <si>
    <t>Chicken Skin</t>
  </si>
  <si>
    <t>B001-026</t>
  </si>
  <si>
    <t>Chicken Steak</t>
  </si>
  <si>
    <t>B001-027</t>
  </si>
  <si>
    <t>151,57</t>
  </si>
  <si>
    <t>CIRENG BAHAN BAKU</t>
  </si>
  <si>
    <t>B001-031</t>
  </si>
  <si>
    <t>Coca-Cola</t>
  </si>
  <si>
    <t>B001-032</t>
  </si>
  <si>
    <t>ML</t>
  </si>
  <si>
    <t>Cone</t>
  </si>
  <si>
    <t>B001-033</t>
  </si>
  <si>
    <t>Tepung Maizena</t>
  </si>
  <si>
    <t>B001-034</t>
  </si>
  <si>
    <t>Cream Cheese</t>
  </si>
  <si>
    <t>B001-035</t>
  </si>
  <si>
    <t>B002</t>
  </si>
  <si>
    <t>Daun Mint</t>
  </si>
  <si>
    <t>B001-036</t>
  </si>
  <si>
    <t>B2 OVAL CUP LID 89MM</t>
  </si>
  <si>
    <t>B001-037</t>
  </si>
  <si>
    <t>5.587,56</t>
  </si>
  <si>
    <t>EGG TART BAHAN BAKU</t>
  </si>
  <si>
    <t>B001-038</t>
  </si>
  <si>
    <t>Fish Steak</t>
  </si>
  <si>
    <t>B001-039</t>
  </si>
  <si>
    <t>Garam</t>
  </si>
  <si>
    <t>B001-041</t>
  </si>
  <si>
    <t>B003</t>
  </si>
  <si>
    <t>hershey's chocolate sauce</t>
  </si>
  <si>
    <t>B001-042</t>
  </si>
  <si>
    <t>37.521,87</t>
  </si>
  <si>
    <t>Saus Honey Mustard</t>
  </si>
  <si>
    <t>B001-043</t>
  </si>
  <si>
    <t>Avoidable food waste</t>
  </si>
  <si>
    <t>Produksi berlebihan</t>
  </si>
  <si>
    <t>Hot &amp; Spicy Seasoning - FLB13231</t>
  </si>
  <si>
    <t>B001-045</t>
  </si>
  <si>
    <t>D001</t>
  </si>
  <si>
    <t>Ice Cream Peach Powder</t>
  </si>
  <si>
    <t>42,20</t>
  </si>
  <si>
    <t>B001-046</t>
  </si>
  <si>
    <t>Jeruk Nipis</t>
  </si>
  <si>
    <t>B001-047</t>
  </si>
  <si>
    <t>Kecap Nasional Manis Refill</t>
  </si>
  <si>
    <t>B001-048</t>
  </si>
  <si>
    <t>D002</t>
  </si>
  <si>
    <t>Keju Parut</t>
  </si>
  <si>
    <t>B001-049</t>
  </si>
  <si>
    <t>Bawang Putih Kupas</t>
  </si>
  <si>
    <t>45,19</t>
  </si>
  <si>
    <t>LEMON</t>
  </si>
  <si>
    <t>B001-050</t>
  </si>
  <si>
    <t>D003</t>
  </si>
  <si>
    <t>Micin/MSG</t>
  </si>
  <si>
    <t>B001-052</t>
  </si>
  <si>
    <t>17,45</t>
  </si>
  <si>
    <t>Kesalahan produksi</t>
  </si>
  <si>
    <t>Milk Tea Powder</t>
  </si>
  <si>
    <t>B001-053</t>
  </si>
  <si>
    <t>Minyak Makan</t>
  </si>
  <si>
    <t>B001-056</t>
  </si>
  <si>
    <t>I001</t>
  </si>
  <si>
    <t>Mixed Veggies</t>
  </si>
  <si>
    <t>B001-057</t>
  </si>
  <si>
    <t>216,41</t>
  </si>
  <si>
    <t>Mushroom Sauce 25104E</t>
  </si>
  <si>
    <t>B001-058</t>
  </si>
  <si>
    <t>Paprika Hijau</t>
  </si>
  <si>
    <t>B001-060</t>
  </si>
  <si>
    <t>Paprika Merah</t>
  </si>
  <si>
    <t>B001-061</t>
  </si>
  <si>
    <t>unavoidable food waste</t>
  </si>
  <si>
    <t>Keju Parmesan</t>
  </si>
  <si>
    <t>sampah makanan yang tidak dapat dihindari dan tidak dapat digunakan</t>
  </si>
  <si>
    <t>B001-062</t>
  </si>
  <si>
    <t>M001</t>
  </si>
  <si>
    <t>Pineapple Slice</t>
  </si>
  <si>
    <t>B001-063</t>
  </si>
  <si>
    <t>Pisang</t>
  </si>
  <si>
    <t>B001-064</t>
  </si>
  <si>
    <t>Pizza Crust</t>
  </si>
  <si>
    <t>B001-066</t>
  </si>
  <si>
    <t>P001</t>
  </si>
  <si>
    <t>Bubuk Royal Chocolate</t>
  </si>
  <si>
    <t>B001-067</t>
  </si>
  <si>
    <t>50,75</t>
  </si>
  <si>
    <t>Rosebrand Fructose</t>
  </si>
  <si>
    <t>B001-068</t>
  </si>
  <si>
    <t>Roti Tawar</t>
  </si>
  <si>
    <t>B001-069</t>
  </si>
  <si>
    <t>P002</t>
  </si>
  <si>
    <t>SLICE</t>
  </si>
  <si>
    <t>Saos Lada Hitam (20pack)</t>
  </si>
  <si>
    <t>50,39</t>
  </si>
  <si>
    <t>B001-070</t>
  </si>
  <si>
    <t>Selai Stroberi</t>
  </si>
  <si>
    <t>B001-071</t>
  </si>
  <si>
    <t>Sirup Buah Madu</t>
  </si>
  <si>
    <t>B001-072</t>
  </si>
  <si>
    <t>P003</t>
  </si>
  <si>
    <t>Bubuk Es Krim Vanilla - T1804</t>
  </si>
  <si>
    <t>58,48</t>
  </si>
  <si>
    <t>Sirup Bunga Sakura</t>
  </si>
  <si>
    <t>Preparation Waste</t>
  </si>
  <si>
    <t>B001-073</t>
  </si>
  <si>
    <t>P004</t>
  </si>
  <si>
    <t>Bubuk Kopi</t>
  </si>
  <si>
    <t>B001-014</t>
  </si>
  <si>
    <t>Sirup Gula Aren</t>
  </si>
  <si>
    <t>B001-074</t>
  </si>
  <si>
    <t>S001</t>
  </si>
  <si>
    <t>71,80</t>
  </si>
  <si>
    <t>Sirup Karamel</t>
  </si>
  <si>
    <t>B001-075</t>
  </si>
  <si>
    <t>Sirup Mawar</t>
  </si>
  <si>
    <t>B001-076</t>
  </si>
  <si>
    <t>Sosis Sapi</t>
  </si>
  <si>
    <t>B001-078</t>
  </si>
  <si>
    <t>S002</t>
  </si>
  <si>
    <t>Spaghetti</t>
  </si>
  <si>
    <t>B001-079</t>
  </si>
  <si>
    <t>16,42</t>
  </si>
  <si>
    <t>Steak Sapi</t>
  </si>
  <si>
    <t>B001-080</t>
  </si>
  <si>
    <t>S003</t>
  </si>
  <si>
    <t>Susu Kental</t>
  </si>
  <si>
    <t>B001-081</t>
  </si>
  <si>
    <t>FRESH MILK/SUSU MURNI</t>
  </si>
  <si>
    <t>B001-082</t>
  </si>
  <si>
    <t>SUSU UHT FRISIAN FLAG 115ML</t>
  </si>
  <si>
    <t>T001</t>
  </si>
  <si>
    <t>B001-083</t>
  </si>
  <si>
    <t>JASMINE TEA</t>
  </si>
  <si>
    <t>74,35</t>
  </si>
  <si>
    <t>Operational/Kitchen Waste</t>
  </si>
  <si>
    <t>B001-085</t>
  </si>
  <si>
    <t>Teh Merah Ceylon</t>
  </si>
  <si>
    <t>B001-086</t>
  </si>
  <si>
    <t>Telur</t>
  </si>
  <si>
    <t>B001-087</t>
  </si>
  <si>
    <t>T002</t>
  </si>
  <si>
    <t>Tepung Crispy Breading</t>
  </si>
  <si>
    <t>105,83</t>
  </si>
  <si>
    <t>B001-088</t>
  </si>
  <si>
    <t>TOMATO SAUCE 1KG</t>
  </si>
  <si>
    <t>B001-091</t>
  </si>
  <si>
    <t>Whipping Cream</t>
  </si>
  <si>
    <t>B001-093</t>
  </si>
  <si>
    <t>GULA HALUS</t>
  </si>
  <si>
    <t>72,82</t>
  </si>
  <si>
    <t>B001-095</t>
  </si>
  <si>
    <t>DAUN JERUK</t>
  </si>
  <si>
    <t>B001-098</t>
  </si>
  <si>
    <t>COLLINS CRUNCHY CREAM</t>
  </si>
  <si>
    <t>B001-101</t>
  </si>
  <si>
    <t>Cheese Mayo Sauce</t>
  </si>
  <si>
    <t>B001-021</t>
  </si>
  <si>
    <t>LADA BUBUK</t>
  </si>
  <si>
    <t>B001-102</t>
  </si>
  <si>
    <t>KUNYIT</t>
  </si>
  <si>
    <t>B001-103</t>
  </si>
  <si>
    <t>SAUS TIRAM</t>
  </si>
  <si>
    <t>B001-104</t>
  </si>
  <si>
    <t>67,26</t>
  </si>
  <si>
    <t>Plate waste</t>
  </si>
  <si>
    <t>MINYAK IKAN</t>
  </si>
  <si>
    <t>B001-105</t>
  </si>
  <si>
    <t>141,59</t>
  </si>
  <si>
    <t>MARGARINE</t>
  </si>
  <si>
    <t>B001-106</t>
  </si>
  <si>
    <t>KAYA PANDAN SPREAD</t>
  </si>
  <si>
    <t>B001-107</t>
  </si>
  <si>
    <t>SANTAN INSTAN SASA</t>
  </si>
  <si>
    <t>B001-108</t>
  </si>
  <si>
    <t>1.462,98</t>
  </si>
  <si>
    <t>ROYAL PALMIA BUTTER</t>
  </si>
  <si>
    <t>B001-109</t>
  </si>
  <si>
    <t>Chicken Popcorn</t>
  </si>
  <si>
    <t>B001-025</t>
  </si>
  <si>
    <t>62,44</t>
  </si>
  <si>
    <t>GREENFIELD FRESH MILK</t>
  </si>
  <si>
    <t>B001-110</t>
  </si>
  <si>
    <t>KAYA CARAMEL SALTED</t>
  </si>
  <si>
    <t>B001-111</t>
  </si>
  <si>
    <t>ORLEAN MEAT</t>
  </si>
  <si>
    <t>B001-112</t>
  </si>
  <si>
    <t>NORI</t>
  </si>
  <si>
    <t>B001-113</t>
  </si>
  <si>
    <t>MIEKO KATSUOBUSHI</t>
  </si>
  <si>
    <t>42,12</t>
  </si>
  <si>
    <t>B001-114</t>
  </si>
  <si>
    <t>SAUCE TERIYAKI OTAFUKU</t>
  </si>
  <si>
    <t>B001-115</t>
  </si>
  <si>
    <t>WRIGHT'S LIQUID SMOKE</t>
  </si>
  <si>
    <t>B001-116</t>
  </si>
  <si>
    <t>PAPERSLEVE ICE CREAM</t>
  </si>
  <si>
    <t>B001-117</t>
  </si>
  <si>
    <t>TEPUNG TERIGU</t>
  </si>
  <si>
    <t>B001-118</t>
  </si>
  <si>
    <t>BAWANG MERAH</t>
  </si>
  <si>
    <t>B001-119</t>
  </si>
  <si>
    <t>GULA PASIR</t>
  </si>
  <si>
    <t>B001-120</t>
  </si>
  <si>
    <t>MATCHA ICE CREAM POWDER</t>
  </si>
  <si>
    <t>B001-121</t>
  </si>
  <si>
    <t>BROWN SUGAR SIRUP</t>
  </si>
  <si>
    <t>B001-122</t>
  </si>
  <si>
    <t>Chili Sauce</t>
  </si>
  <si>
    <t>B2 89mm tutup gelas putih 500ML</t>
  </si>
  <si>
    <t>B001-028</t>
  </si>
  <si>
    <t>B002-001</t>
  </si>
  <si>
    <t>16,72</t>
  </si>
  <si>
    <t>B2 89mm tutup gelas transparan 400ML</t>
  </si>
  <si>
    <t>B002-002</t>
  </si>
  <si>
    <t>GELAS U CUP SUNDAE 250ML</t>
  </si>
  <si>
    <t>B002-006</t>
  </si>
  <si>
    <t>Sendok Sundae</t>
  </si>
  <si>
    <t>B002-017</t>
  </si>
  <si>
    <t>GELAS KERTAS (CUP HOT)</t>
  </si>
  <si>
    <t>B002-024</t>
  </si>
  <si>
    <t>Chili Sauce Flint</t>
  </si>
  <si>
    <t>B001-029</t>
  </si>
  <si>
    <t>KERTAS NASI</t>
  </si>
  <si>
    <t>B002-025</t>
  </si>
  <si>
    <t>BURGER BUN</t>
  </si>
  <si>
    <t>B001-123</t>
  </si>
  <si>
    <t>WIJEN HITAM</t>
  </si>
  <si>
    <t>B001-124</t>
  </si>
  <si>
    <t>SELADA / LETTUCE</t>
  </si>
  <si>
    <t>B001-125</t>
  </si>
  <si>
    <t>SAOS SALAD / MAYO</t>
  </si>
  <si>
    <t>Chili Sauce Sachet</t>
  </si>
  <si>
    <t>B001-126</t>
  </si>
  <si>
    <t>B001-030</t>
  </si>
  <si>
    <t>SHT</t>
  </si>
  <si>
    <t>300,29</t>
  </si>
  <si>
    <t>PATTIES</t>
  </si>
  <si>
    <t>B001-127</t>
  </si>
  <si>
    <t>SAOS SZECHUAN</t>
  </si>
  <si>
    <t>B001-128</t>
  </si>
  <si>
    <t>HONEY SAUCE</t>
  </si>
  <si>
    <t>B001-129</t>
  </si>
  <si>
    <t>GELAS BESAR</t>
  </si>
  <si>
    <t>B002-023</t>
  </si>
  <si>
    <t>BANANA CHEESE TOAST</t>
  </si>
  <si>
    <t>D001-001</t>
  </si>
  <si>
    <t>barang jadi</t>
  </si>
  <si>
    <t>588,30</t>
  </si>
  <si>
    <t>PORSI</t>
  </si>
  <si>
    <t>HONG KONG MELTED MILK TOAST</t>
  </si>
  <si>
    <t>D001-002</t>
  </si>
  <si>
    <t>ROASTED CHEESE TOAST</t>
  </si>
  <si>
    <t>D001-003</t>
  </si>
  <si>
    <t>CARAMEL EGG TART</t>
  </si>
  <si>
    <t>D001-004</t>
  </si>
  <si>
    <t>3PCS CARAMEL EGG TART</t>
  </si>
  <si>
    <t>D001-005</t>
  </si>
  <si>
    <t>PANDAN TOAST</t>
  </si>
  <si>
    <t>12,74</t>
  </si>
  <si>
    <t>D001-006</t>
  </si>
  <si>
    <t>CARAMEL TOAST</t>
  </si>
  <si>
    <t>D001-007</t>
  </si>
  <si>
    <t>CHOCOLATE TOAST BITE</t>
  </si>
  <si>
    <t>D001-008</t>
  </si>
  <si>
    <t>CHOCOLATE TOAST</t>
  </si>
  <si>
    <t>D001-009</t>
  </si>
  <si>
    <t>STRAWBERRY TOAST</t>
  </si>
  <si>
    <t>D001-010</t>
  </si>
  <si>
    <t>Cone Ice Cream Bahan Baku</t>
  </si>
  <si>
    <t>CARAMEL EGG TARTB2G1(OD)</t>
  </si>
  <si>
    <t>D001-011</t>
  </si>
  <si>
    <t>705,96</t>
  </si>
  <si>
    <t>AMERICANO ICE</t>
  </si>
  <si>
    <t>D002-001</t>
  </si>
  <si>
    <t>CARAMEL LATTE</t>
  </si>
  <si>
    <t>D002-003</t>
  </si>
  <si>
    <t>32,61</t>
  </si>
  <si>
    <t>CHEESE SEA SALT CARAMEL LATTE</t>
  </si>
  <si>
    <t>D002-004</t>
  </si>
  <si>
    <t>AMERICANO HOT</t>
  </si>
  <si>
    <t>D002-005</t>
  </si>
  <si>
    <t>CHEESE SEASALT BROWN SUGAR LATTE</t>
  </si>
  <si>
    <t>D002-006</t>
  </si>
  <si>
    <t>SALTED BROWN SUGAR MOCHA LATTE</t>
  </si>
  <si>
    <t>D002-007</t>
  </si>
  <si>
    <t>BROWN SUGAR CAPPUCINO</t>
  </si>
  <si>
    <t>D002-008</t>
  </si>
  <si>
    <t>117,77</t>
  </si>
  <si>
    <t>BROWN SUGAR CAPPUCINO (NO SUGAR)</t>
  </si>
  <si>
    <t>D002-009</t>
  </si>
  <si>
    <t>HONGKONG ICED LEMON TEA (BIG)</t>
  </si>
  <si>
    <t>D003-001</t>
  </si>
  <si>
    <t>UNSWEETENED TEA</t>
  </si>
  <si>
    <t>D003-003</t>
  </si>
  <si>
    <t>LEMON COKE</t>
  </si>
  <si>
    <t>D003-005</t>
  </si>
  <si>
    <t>83,72</t>
  </si>
  <si>
    <t>SAKURA BLOOM</t>
  </si>
  <si>
    <t>D003-006</t>
  </si>
  <si>
    <t>UNSWEETENED TEA HOT</t>
  </si>
  <si>
    <t>D003-007</t>
  </si>
  <si>
    <t>SWEET TEA HOT</t>
  </si>
  <si>
    <t>D003-008</t>
  </si>
  <si>
    <t>STRAWBERRY JASMINE ICED TEA</t>
  </si>
  <si>
    <t>D003-009</t>
  </si>
  <si>
    <t>Dome LID Sundae 12Oz</t>
  </si>
  <si>
    <t>334,11</t>
  </si>
  <si>
    <t>BOBA MILK TEA (ICE)</t>
  </si>
  <si>
    <t>D003-010</t>
  </si>
  <si>
    <t>Egg Tart</t>
  </si>
  <si>
    <t>BOBA MILK TEA (HOT)</t>
  </si>
  <si>
    <t>6.487,71</t>
  </si>
  <si>
    <t>D003-011</t>
  </si>
  <si>
    <t>CHOCO BOBA MILK TEA (ICE)</t>
  </si>
  <si>
    <t>D003-012</t>
  </si>
  <si>
    <t>CHOCO BOBA MILK TEA (HOT)</t>
  </si>
  <si>
    <t>D003-013</t>
  </si>
  <si>
    <t>JOY FAMILY 1</t>
  </si>
  <si>
    <t>F001-001</t>
  </si>
  <si>
    <t>JOY FAMILY 2</t>
  </si>
  <si>
    <t>F001-002</t>
  </si>
  <si>
    <t>JOY FAMILY 3</t>
  </si>
  <si>
    <t>F001-003</t>
  </si>
  <si>
    <t>CARAMEL SUNDAE</t>
  </si>
  <si>
    <t>I001-</t>
  </si>
  <si>
    <t>PEACH ICE CREAM</t>
  </si>
  <si>
    <t>I001-002</t>
  </si>
  <si>
    <t>14.038,72</t>
  </si>
  <si>
    <t>DUO FLAVORD ICE CREAM - PEACH</t>
  </si>
  <si>
    <t>I001-003</t>
  </si>
  <si>
    <t>STRAWBERRY SUNDAE</t>
  </si>
  <si>
    <t>I001-004</t>
  </si>
  <si>
    <t>TEH TOPPING ICE CREAM</t>
  </si>
  <si>
    <t>I001-006</t>
  </si>
  <si>
    <t>LATTE TOPPING ICE CREAM</t>
  </si>
  <si>
    <t>I001-007</t>
  </si>
  <si>
    <t>MATCHA ICE CREAM</t>
  </si>
  <si>
    <t>I001-008</t>
  </si>
  <si>
    <t>ES KRIM GRATIS FOR GOOGLE REVIEW</t>
  </si>
  <si>
    <t>I001-010</t>
  </si>
  <si>
    <t>ORIGINAL A</t>
  </si>
  <si>
    <t>J001-001</t>
  </si>
  <si>
    <t>ORIGINAL WING/DRUM STICK</t>
  </si>
  <si>
    <t>J001-002</t>
  </si>
  <si>
    <t>ORIGINAL B</t>
  </si>
  <si>
    <t>J001-003</t>
  </si>
  <si>
    <t>ORIGINAL BREAST/THIGH</t>
  </si>
  <si>
    <t>J001-004</t>
  </si>
  <si>
    <t>ORIGINAL C</t>
  </si>
  <si>
    <t>J001-005</t>
  </si>
  <si>
    <t>SWEET &amp; SPICY A</t>
  </si>
  <si>
    <t>J001-006</t>
  </si>
  <si>
    <t>SWEET &amp; SPICY WING/DRUM STICK</t>
  </si>
  <si>
    <t>J001-007</t>
  </si>
  <si>
    <t>SWEET &amp; SPICY B</t>
  </si>
  <si>
    <t>J001-008</t>
  </si>
  <si>
    <t>SWEET &amp; SPICY BREAST/THIGH</t>
  </si>
  <si>
    <t>J001-009</t>
  </si>
  <si>
    <t>SWEET &amp; SPICY C</t>
  </si>
  <si>
    <t>J001-010</t>
  </si>
  <si>
    <t>CHEESE POWDER A</t>
  </si>
  <si>
    <t>J001-011</t>
  </si>
  <si>
    <t>Floor cleaner</t>
  </si>
  <si>
    <t>CHEESE POWDER WING/DRUM STICK</t>
  </si>
  <si>
    <t>J001-012</t>
  </si>
  <si>
    <t>B001-040</t>
  </si>
  <si>
    <t>PAI</t>
  </si>
  <si>
    <t>CHEESE POWDER B</t>
  </si>
  <si>
    <t>42.869,05</t>
  </si>
  <si>
    <t>J001-013</t>
  </si>
  <si>
    <t>CHEESE POWDER BREAST/THIGH</t>
  </si>
  <si>
    <t>J001-014</t>
  </si>
  <si>
    <t>CHEESE POWDER C</t>
  </si>
  <si>
    <t>J001-015</t>
  </si>
  <si>
    <t>SAMBAL BALI A</t>
  </si>
  <si>
    <t>J001-016</t>
  </si>
  <si>
    <t>BALINESE SAMBAL WING/DRUM STICK</t>
  </si>
  <si>
    <t>J001-017</t>
  </si>
  <si>
    <t>SAMBAL BALI B</t>
  </si>
  <si>
    <t>J001-018</t>
  </si>
  <si>
    <t>BALINESE SAMBAL BREAST/THIGH</t>
  </si>
  <si>
    <t>J001-019</t>
  </si>
  <si>
    <t>SAMBAL BALI C</t>
  </si>
  <si>
    <t>J001-020</t>
  </si>
  <si>
    <t>SAMBAL BAWANG A</t>
  </si>
  <si>
    <t>J001-021</t>
  </si>
  <si>
    <t>SAMBAL BAWANG WING/DRUM STICK</t>
  </si>
  <si>
    <t>J001-022</t>
  </si>
  <si>
    <t>SAMBAL BAWANG B</t>
  </si>
  <si>
    <t>J001-023</t>
  </si>
  <si>
    <t>112,29</t>
  </si>
  <si>
    <t>SAMBAL BAWANG BREAST/THIGH</t>
  </si>
  <si>
    <t>J001-024</t>
  </si>
  <si>
    <t>SAMBAL BAWANG C</t>
  </si>
  <si>
    <t>J001-025</t>
  </si>
  <si>
    <t>KIDS MEAL 1</t>
  </si>
  <si>
    <t>K001-001</t>
  </si>
  <si>
    <t>KIDS MEAL 2</t>
  </si>
  <si>
    <t>K001-002</t>
  </si>
  <si>
    <t>KIDS MEAL 3</t>
  </si>
  <si>
    <t>K001-003</t>
  </si>
  <si>
    <t>MILAN-STYLE TOMATO MEAT SAUCE SPAGHETTI</t>
  </si>
  <si>
    <t>P001-001</t>
  </si>
  <si>
    <t>BALINESE-STYLE SPICY CHICKEN SPAGHETTI</t>
  </si>
  <si>
    <t>P001-002</t>
  </si>
  <si>
    <t>68,62</t>
  </si>
  <si>
    <t>BLACK PAPER BEEF SAUSAGE SPAGHETTI</t>
  </si>
  <si>
    <t>P001-003</t>
  </si>
  <si>
    <t>CREAMY CHICKEN RASHER SPAGHETTI</t>
  </si>
  <si>
    <t>P001-004</t>
  </si>
  <si>
    <t>GARLIC SPICY CHCIKEN SPAGHETTI</t>
  </si>
  <si>
    <t>P001-005</t>
  </si>
  <si>
    <t>BANANA CHEESE PIZZA</t>
  </si>
  <si>
    <t>Hot &amp; Spicy Sauce</t>
  </si>
  <si>
    <t>P002-001</t>
  </si>
  <si>
    <t>B001-044</t>
  </si>
  <si>
    <t>SPICY CHICKEN PIZZA</t>
  </si>
  <si>
    <t>P002-002</t>
  </si>
  <si>
    <t>PINEAPPLE CHICKEN RASHER PIZZA</t>
  </si>
  <si>
    <t>P002-003</t>
  </si>
  <si>
    <t>BEEF SAUSAGE PIZZA</t>
  </si>
  <si>
    <t>P002-004</t>
  </si>
  <si>
    <t>KATSUOBUSHI MELT PIZZA</t>
  </si>
  <si>
    <t>P002-005</t>
  </si>
  <si>
    <t>JOY 1</t>
  </si>
  <si>
    <t>R001-001</t>
  </si>
  <si>
    <t>JOY 2</t>
  </si>
  <si>
    <t>R001-002</t>
  </si>
  <si>
    <t>JOY 3</t>
  </si>
  <si>
    <t>R001-003</t>
  </si>
  <si>
    <t>WHITE RICE</t>
  </si>
  <si>
    <t>S001-001</t>
  </si>
  <si>
    <t>SCRAMBLED EGG</t>
  </si>
  <si>
    <t>S001-002</t>
  </si>
  <si>
    <t>BALINESE SAMBAL L</t>
  </si>
  <si>
    <t>S001-003</t>
  </si>
  <si>
    <t>KOREAN DUO FLAVOR CHICKEN POPCORN</t>
  </si>
  <si>
    <t>S001-004</t>
  </si>
  <si>
    <t>CHEESE POWDER</t>
  </si>
  <si>
    <t>25,49</t>
  </si>
  <si>
    <t>S001-005</t>
  </si>
  <si>
    <t>SPICY POWDER</t>
  </si>
  <si>
    <t>S001-006</t>
  </si>
  <si>
    <t>SAMBAL BAWANG L</t>
  </si>
  <si>
    <t>S001-007</t>
  </si>
  <si>
    <t>SWEET &amp; SPICY SAUCE</t>
  </si>
  <si>
    <t>S001-008</t>
  </si>
  <si>
    <t>BALINESE SAMBAL R</t>
  </si>
  <si>
    <t>S001-009</t>
  </si>
  <si>
    <t>52,09</t>
  </si>
  <si>
    <t>KOREAN DUO SAUCE</t>
  </si>
  <si>
    <t>S001-010</t>
  </si>
  <si>
    <t>SAMBAL BAWANG R</t>
  </si>
  <si>
    <t>S001-011</t>
  </si>
  <si>
    <t>CIRENG</t>
  </si>
  <si>
    <t>S002-001</t>
  </si>
  <si>
    <t>CRISPY CHICKEN SKIN</t>
  </si>
  <si>
    <t>S002-003</t>
  </si>
  <si>
    <t>CHICKEN NUGGETS</t>
  </si>
  <si>
    <t>S002-005</t>
  </si>
  <si>
    <t>FRENCH FRIES WITH CHEESE POWDER</t>
  </si>
  <si>
    <t>S002-006</t>
  </si>
  <si>
    <t>AMERICAN FRIES</t>
  </si>
  <si>
    <t>S002-007</t>
  </si>
  <si>
    <t>AMERICAN FRIES WITH CHEESE POWDER</t>
  </si>
  <si>
    <t>S002-008</t>
  </si>
  <si>
    <t>Lemon</t>
  </si>
  <si>
    <t>32,55</t>
  </si>
  <si>
    <t>SIZZLING FRIED CHICKEN STEAK</t>
  </si>
  <si>
    <t>S003-001</t>
  </si>
  <si>
    <t>SIZZLING ROASTED HALF CHICKEN</t>
  </si>
  <si>
    <t>S003-002</t>
  </si>
  <si>
    <t>SIZZLING FRIED FISH STEAK</t>
  </si>
  <si>
    <t>S003-003</t>
  </si>
  <si>
    <t>magnesol 135g (Bubuk Filter Minyak)</t>
  </si>
  <si>
    <t>B001-051</t>
  </si>
  <si>
    <t>SIZZLING BEEF STEAK</t>
  </si>
  <si>
    <t>S003-004</t>
  </si>
  <si>
    <t>194,04</t>
  </si>
  <si>
    <t>REGULAR ORIGINAL CRISPY WHOLE CHICKEN</t>
  </si>
  <si>
    <t>W001-001</t>
  </si>
  <si>
    <t>REGULAR KOREAN DUO FLAVORS CRISPY WHOLE CHICKEN</t>
  </si>
  <si>
    <t>W001-002</t>
  </si>
  <si>
    <t>REGULAR BALINESE SAMBAL CRISPY WHOLE CHICKEN</t>
  </si>
  <si>
    <t>W001-003</t>
  </si>
  <si>
    <t>REGULAR CHEESE POWDER CRISPY WHOLE CHICKEN</t>
  </si>
  <si>
    <t>W001-004</t>
  </si>
  <si>
    <t>REGULAR SWEET &amp; SPICY CRISPY WHOLE CHICKEN</t>
  </si>
  <si>
    <t>W001-005</t>
  </si>
  <si>
    <t>REGULAR WHOLE CHICKEN SAMBAL BAWANG</t>
  </si>
  <si>
    <t>W001-006</t>
  </si>
  <si>
    <t>CHICKEN POPCORN</t>
  </si>
  <si>
    <t>S002-004</t>
  </si>
  <si>
    <t>JAPPANESE CHICKEN BURGER</t>
  </si>
  <si>
    <t>B003-001</t>
  </si>
  <si>
    <t>JAPPANESE RASHER EGG BURGER</t>
  </si>
  <si>
    <t>B003-002</t>
  </si>
  <si>
    <t>I001-009</t>
  </si>
  <si>
    <t>EMPLOYEE PACKAGE</t>
  </si>
  <si>
    <t>J001-026</t>
  </si>
  <si>
    <t>Minyak Goreng</t>
  </si>
  <si>
    <t>B001-054</t>
  </si>
  <si>
    <t>5,38</t>
  </si>
  <si>
    <t>ORIGINAL D</t>
  </si>
  <si>
    <t>J001-027</t>
  </si>
  <si>
    <t>MINYAK IKAN - DISCONTINUED</t>
  </si>
  <si>
    <t>B001-055</t>
  </si>
  <si>
    <t>CRISPY TURBO CHICKEN - SMALL CUTS</t>
  </si>
  <si>
    <t>J001-028</t>
  </si>
  <si>
    <t>HONEY INFERO A</t>
  </si>
  <si>
    <t>21,51</t>
  </si>
  <si>
    <t>J001-029</t>
  </si>
  <si>
    <t>HONEY INFERO WING/DRUM STICK</t>
  </si>
  <si>
    <t>J001-030</t>
  </si>
  <si>
    <t>HONEY INFERO B</t>
  </si>
  <si>
    <t>J001-031</t>
  </si>
  <si>
    <t>27,09</t>
  </si>
  <si>
    <t>HONEY INFERO BREATH/THGIH</t>
  </si>
  <si>
    <t>J001-032</t>
  </si>
  <si>
    <t>HONEY INFERO C</t>
  </si>
  <si>
    <t>J001-033</t>
  </si>
  <si>
    <t>SZECHUAN SAUCE R</t>
  </si>
  <si>
    <t>S001-012</t>
  </si>
  <si>
    <t>SZECHUAN SAUCE L</t>
  </si>
  <si>
    <t>86,94</t>
  </si>
  <si>
    <t>S001-013</t>
  </si>
  <si>
    <t>HONEY INFERNO WHOLE CHICKEN</t>
  </si>
  <si>
    <t>W001-007</t>
  </si>
  <si>
    <t>Ovaltine Cruncy POP</t>
  </si>
  <si>
    <t>B001-059</t>
  </si>
  <si>
    <t>barang jadi &amp; bahan baku</t>
  </si>
  <si>
    <t>SWEET TEA</t>
  </si>
  <si>
    <t>D003-004</t>
  </si>
  <si>
    <t>108,68</t>
  </si>
  <si>
    <t>CONE ICE CREAM</t>
  </si>
  <si>
    <t>I001-001</t>
  </si>
  <si>
    <t>CHOCOLATE SUNDAE</t>
  </si>
  <si>
    <t>I001-005</t>
  </si>
  <si>
    <t>ORIGINAL TURBO CHICKEN</t>
  </si>
  <si>
    <t>129,55</t>
  </si>
  <si>
    <t>P004-001</t>
  </si>
  <si>
    <t>SWEET AND SPICY TURBO CHICKEN</t>
  </si>
  <si>
    <t>P004-004</t>
  </si>
  <si>
    <t>CHESSE TURBO CHICKEN</t>
  </si>
  <si>
    <t>P004-006</t>
  </si>
  <si>
    <t>Parmesan Cheese</t>
  </si>
  <si>
    <t>SAMBAL BALI TURBO CHICKEN</t>
  </si>
  <si>
    <t>330,15</t>
  </si>
  <si>
    <t>P004-008</t>
  </si>
  <si>
    <t>45,82</t>
  </si>
  <si>
    <t>WIP SAUS PIZZA</t>
  </si>
  <si>
    <t>P004-009</t>
  </si>
  <si>
    <t>14,01</t>
  </si>
  <si>
    <t>WIP SAUS STEAK</t>
  </si>
  <si>
    <t>P004-010</t>
  </si>
  <si>
    <t>WIP SAUS SUSU</t>
  </si>
  <si>
    <t>P004-011</t>
  </si>
  <si>
    <t>Piscok</t>
  </si>
  <si>
    <t>B001-065</t>
  </si>
  <si>
    <t>WIP SAUS GOLDEN</t>
  </si>
  <si>
    <t>P004-012</t>
  </si>
  <si>
    <t>2.285,78</t>
  </si>
  <si>
    <t>WIP NASI PUTIH</t>
  </si>
  <si>
    <t>P004-013</t>
  </si>
  <si>
    <t>WIP TELUR KOCOK</t>
  </si>
  <si>
    <t>P004-014</t>
  </si>
  <si>
    <t>WIP SAMBAL BALI</t>
  </si>
  <si>
    <t>Powder Royal Chocolate</t>
  </si>
  <si>
    <t>P004-015</t>
  </si>
  <si>
    <t>85,03</t>
  </si>
  <si>
    <t>WIP SELAI TOAST</t>
  </si>
  <si>
    <t>P004-016</t>
  </si>
  <si>
    <t>17,76</t>
  </si>
  <si>
    <t>WIP BLENDED MILKY</t>
  </si>
  <si>
    <t>P004-018</t>
  </si>
  <si>
    <t>WIP MILK TEA BASE</t>
  </si>
  <si>
    <t>P004-019</t>
  </si>
  <si>
    <t>SLC</t>
  </si>
  <si>
    <t>WIP MILK FOAM</t>
  </si>
  <si>
    <t>P004-020</t>
  </si>
  <si>
    <t>1.934,57</t>
  </si>
  <si>
    <t>WIP SPAGHETTI</t>
  </si>
  <si>
    <t>P004-021</t>
  </si>
  <si>
    <t>WIP RED TEA BASE</t>
  </si>
  <si>
    <t>P004-022</t>
  </si>
  <si>
    <t>CC</t>
  </si>
  <si>
    <t>47,14</t>
  </si>
  <si>
    <t>WIP GREEN TEA BASE</t>
  </si>
  <si>
    <t>P004-023</t>
  </si>
  <si>
    <t>64,71</t>
  </si>
  <si>
    <t>WIP UNSWEETENED TEA BATCH</t>
  </si>
  <si>
    <t>P004-024</t>
  </si>
  <si>
    <t>47,78</t>
  </si>
  <si>
    <t>WIP CAMPURAN OREN</t>
  </si>
  <si>
    <t>WIP LEMON TEA BATCH</t>
  </si>
  <si>
    <t>132,33</t>
  </si>
  <si>
    <t>P004-025</t>
  </si>
  <si>
    <t>WIP TOPING AYAM</t>
  </si>
  <si>
    <t>P004-026</t>
  </si>
  <si>
    <t>WIP PREP. EGG TART</t>
  </si>
  <si>
    <t>P004-027</t>
  </si>
  <si>
    <t>48,40</t>
  </si>
  <si>
    <t>WIP PREP. PANDAN SRIKAYA</t>
  </si>
  <si>
    <t>P004-028</t>
  </si>
  <si>
    <t>WIP SAOS TERIYAKI</t>
  </si>
  <si>
    <t>P004-029</t>
  </si>
  <si>
    <t>58,86</t>
  </si>
  <si>
    <t>WIP PREP. VANILLA ICE CREAM</t>
  </si>
  <si>
    <t>P004-031</t>
  </si>
  <si>
    <t>WIP PREP. PEACH ICE CREAM</t>
  </si>
  <si>
    <t>P004-032</t>
  </si>
  <si>
    <t>WIP BOBA</t>
  </si>
  <si>
    <t>57,54</t>
  </si>
  <si>
    <t>P004-033</t>
  </si>
  <si>
    <t>WIP TOPPING AYAM SAMBAL BAWANG</t>
  </si>
  <si>
    <t>P004-034</t>
  </si>
  <si>
    <t>Sirup Strawberry</t>
  </si>
  <si>
    <t>WIP SAMBAL BAWANG</t>
  </si>
  <si>
    <t>B001-077</t>
  </si>
  <si>
    <t>P004-035</t>
  </si>
  <si>
    <t>118,26</t>
  </si>
  <si>
    <t>WIP MATCHA ICE CREAM</t>
  </si>
  <si>
    <t>P004-036</t>
  </si>
  <si>
    <t>SAMBAL BAWANG TURBO CHICKEN</t>
  </si>
  <si>
    <t>P004-037</t>
  </si>
  <si>
    <t>FRENCH FRIES</t>
  </si>
  <si>
    <t>S002-002</t>
  </si>
  <si>
    <t>28,12</t>
  </si>
  <si>
    <t>WIP BURGER BUN</t>
  </si>
  <si>
    <t>P004-038</t>
  </si>
  <si>
    <t>WIP ROASTED BACOM</t>
  </si>
  <si>
    <t>P004-039</t>
  </si>
  <si>
    <t>WIP SZECHUAN SAUCE</t>
  </si>
  <si>
    <t>P004-040</t>
  </si>
  <si>
    <t>HONEY INFERNO TURBO CHICKEN</t>
  </si>
  <si>
    <t>P004-041</t>
  </si>
  <si>
    <t>Plastik HD ROL 25X35cm</t>
  </si>
  <si>
    <t>B002-013</t>
  </si>
  <si>
    <t>others</t>
  </si>
  <si>
    <t>ROL</t>
  </si>
  <si>
    <t>Kertas Penyaring Minyak P65cm x L42cm</t>
  </si>
  <si>
    <t>28,21</t>
  </si>
  <si>
    <t>B002-009</t>
  </si>
  <si>
    <t>LEMBAR</t>
  </si>
  <si>
    <t>magnesol 135g  (Bubuk Filter Minyak)</t>
  </si>
  <si>
    <t>Plastik Wrap</t>
  </si>
  <si>
    <t>B002-014</t>
  </si>
  <si>
    <t>Box Baked Rice</t>
  </si>
  <si>
    <t>B002-003</t>
  </si>
  <si>
    <t>21,61</t>
  </si>
  <si>
    <t>Gelas Plastik 500ML</t>
  </si>
  <si>
    <t>B002-005</t>
  </si>
  <si>
    <t>Sedotan Steril Satuan</t>
  </si>
  <si>
    <t>B002-016</t>
  </si>
  <si>
    <t>TAS PERALAKAN MAKAN (SET ISI 4)</t>
  </si>
  <si>
    <t>B002-020</t>
  </si>
  <si>
    <t>Thinwall 25ML</t>
  </si>
  <si>
    <t>B001-089</t>
  </si>
  <si>
    <t>Thinwall 60ML</t>
  </si>
  <si>
    <t>B001-090</t>
  </si>
  <si>
    <t>Box Pizza  Jchicken - Putih</t>
  </si>
  <si>
    <t>B002-004</t>
  </si>
  <si>
    <t>TAKEAWAY CUP 700ML 700</t>
  </si>
  <si>
    <t>B002-018</t>
  </si>
  <si>
    <t>TAKEAWAY LID CUP 700ML</t>
  </si>
  <si>
    <t>B002-019</t>
  </si>
  <si>
    <t>Sweet and Sour Spicy Sauce</t>
  </si>
  <si>
    <t>B001-084</t>
  </si>
  <si>
    <t>White Plastic Bag (Large)</t>
  </si>
  <si>
    <t>B002-021</t>
  </si>
  <si>
    <t>Teh melati</t>
  </si>
  <si>
    <t>chili sauce</t>
  </si>
  <si>
    <t>181,77</t>
  </si>
  <si>
    <t>tomato sauce sachet</t>
  </si>
  <si>
    <t>B001-092</t>
  </si>
  <si>
    <t>SACHET</t>
  </si>
  <si>
    <t>107,22</t>
  </si>
  <si>
    <t>chili sauce sachet</t>
  </si>
  <si>
    <t>Kantong Sampah Besar</t>
  </si>
  <si>
    <t>P003-007</t>
  </si>
  <si>
    <t>PCK</t>
  </si>
  <si>
    <t>1.688,31</t>
  </si>
  <si>
    <t>Sabun Cuci Piring</t>
  </si>
  <si>
    <t>P003-013</t>
  </si>
  <si>
    <t>PAIL</t>
  </si>
  <si>
    <t>18,89</t>
  </si>
  <si>
    <t>glass cleaner</t>
  </si>
  <si>
    <t>P003-004</t>
  </si>
  <si>
    <t>Sabun Cuci Tangan</t>
  </si>
  <si>
    <t>P003-014</t>
  </si>
  <si>
    <t>Air desinfektan</t>
  </si>
  <si>
    <t>P003-001</t>
  </si>
  <si>
    <t>166,37</t>
  </si>
  <si>
    <t>Hand Sanitizer</t>
  </si>
  <si>
    <t>P003-005</t>
  </si>
  <si>
    <t>Kertas Tahan Minyak (Kecil)</t>
  </si>
  <si>
    <t>B002-010</t>
  </si>
  <si>
    <t>Sedotan Steril Boba</t>
  </si>
  <si>
    <t>B002-015</t>
  </si>
  <si>
    <t>308,98</t>
  </si>
  <si>
    <t>Kertas Penutup Gelas</t>
  </si>
  <si>
    <t>B002-008</t>
  </si>
  <si>
    <t>GELAS TUMBLER 46CL BARISTA FR 646 (CILEDUG)</t>
  </si>
  <si>
    <t>AN-02051</t>
  </si>
  <si>
    <t>UNT</t>
  </si>
  <si>
    <t>GELAS KACA 480ML (CIREBON)</t>
  </si>
  <si>
    <t>AN-02044</t>
  </si>
  <si>
    <t>GELAS BELIMBING</t>
  </si>
  <si>
    <t>AT-06061</t>
  </si>
  <si>
    <t>19,96</t>
  </si>
  <si>
    <t>GELAS SODA</t>
  </si>
  <si>
    <t>AT-06063</t>
  </si>
  <si>
    <t>GELAS KACA 800ML</t>
  </si>
  <si>
    <t>AT-06069</t>
  </si>
  <si>
    <t>TOPI ULANG TAHUN</t>
  </si>
  <si>
    <t>P003-025</t>
  </si>
  <si>
    <t>324,32</t>
  </si>
  <si>
    <t>Plastik duo cup</t>
  </si>
  <si>
    <t>55,02</t>
  </si>
  <si>
    <t>Whole Wing Marinade - Original (cost)</t>
  </si>
  <si>
    <t>B001-094</t>
  </si>
  <si>
    <t>24,45</t>
  </si>
  <si>
    <t>MONTOUYA</t>
  </si>
  <si>
    <t>B001-096</t>
  </si>
  <si>
    <t>AIR FILTER</t>
  </si>
  <si>
    <t>B001-097</t>
  </si>
  <si>
    <t>-89,83</t>
  </si>
  <si>
    <t>AIR PANAS</t>
  </si>
  <si>
    <t>B001-099</t>
  </si>
  <si>
    <t>AIR</t>
  </si>
  <si>
    <t>B001-100</t>
  </si>
  <si>
    <t>77,04</t>
  </si>
  <si>
    <t>229,94</t>
  </si>
  <si>
    <t>29,56</t>
  </si>
  <si>
    <t>86,00</t>
  </si>
  <si>
    <t>WIP UNSWEERENED TEA BASE</t>
  </si>
  <si>
    <t>72,15</t>
  </si>
  <si>
    <t>27,94</t>
  </si>
  <si>
    <t>60,08</t>
  </si>
  <si>
    <t>58,20</t>
  </si>
  <si>
    <t>52,92</t>
  </si>
  <si>
    <t>66,59</t>
  </si>
  <si>
    <t>1.134,42</t>
  </si>
  <si>
    <t>411,77</t>
  </si>
  <si>
    <t>64,54</t>
  </si>
  <si>
    <t>1.047,57</t>
  </si>
  <si>
    <t>97,69</t>
  </si>
  <si>
    <t>Training</t>
  </si>
  <si>
    <t>Fadli</t>
  </si>
  <si>
    <t>17,92</t>
  </si>
  <si>
    <t>68,78</t>
  </si>
  <si>
    <t>JAPPANESE-STYLE BURGER BUNS</t>
  </si>
  <si>
    <t>2.418,08</t>
  </si>
  <si>
    <t>Japanese Curry</t>
  </si>
  <si>
    <t>103,74</t>
  </si>
  <si>
    <t>29,93</t>
  </si>
  <si>
    <t>BONELESS PAHA 70-80GR - MARINASI SPICY</t>
  </si>
  <si>
    <t>5.251,84</t>
  </si>
  <si>
    <t>67,91</t>
  </si>
  <si>
    <t>SASA CURRY BLOCK</t>
  </si>
  <si>
    <t>Kering</t>
  </si>
  <si>
    <t>B001-130</t>
  </si>
  <si>
    <t>Dendi</t>
  </si>
  <si>
    <t>165,80</t>
  </si>
  <si>
    <t>YIELD</t>
  </si>
  <si>
    <t>B001-131</t>
  </si>
  <si>
    <t>TELUR ASIN</t>
  </si>
  <si>
    <t>Discard</t>
  </si>
  <si>
    <t>B001-132</t>
  </si>
  <si>
    <t>3.448,85</t>
  </si>
  <si>
    <t>SAUS SALTED EGG</t>
  </si>
  <si>
    <t>B001-133</t>
  </si>
  <si>
    <t>50,60</t>
  </si>
  <si>
    <t>SUNQUICK</t>
  </si>
  <si>
    <t>B001-134</t>
  </si>
  <si>
    <t>129,66</t>
  </si>
  <si>
    <t>MARJAN</t>
  </si>
  <si>
    <t>B001-135</t>
  </si>
  <si>
    <t>Kurma</t>
  </si>
  <si>
    <t>B001-136</t>
  </si>
  <si>
    <t>68,30</t>
  </si>
  <si>
    <t>Mini egg tart</t>
  </si>
  <si>
    <t>B001-137</t>
  </si>
  <si>
    <t>1.267,83</t>
  </si>
  <si>
    <t>Filling mini egg tart</t>
  </si>
  <si>
    <t>B001-138</t>
  </si>
  <si>
    <t>86,31</t>
  </si>
  <si>
    <t>Iqbal</t>
  </si>
  <si>
    <t>SAUS ASAM MANIS KOREA 1000G</t>
  </si>
  <si>
    <t>B001-139</t>
  </si>
  <si>
    <t>38,90</t>
  </si>
  <si>
    <t>EGG TART 1000</t>
  </si>
  <si>
    <t>B001-140</t>
  </si>
  <si>
    <t>PRS</t>
  </si>
  <si>
    <t>10.078,96</t>
  </si>
  <si>
    <t>GULA CAIR KOEPU</t>
  </si>
  <si>
    <t>B001-141</t>
  </si>
  <si>
    <t>Daun Jeruk Bubuk</t>
  </si>
  <si>
    <t>B001-142</t>
  </si>
  <si>
    <t>171,40</t>
  </si>
  <si>
    <t>Bumbu Nasi Daun Jeruk Pasta</t>
  </si>
  <si>
    <t>B001-143</t>
  </si>
  <si>
    <t>73,04</t>
  </si>
  <si>
    <t>Tomato Paste - Del Monte</t>
  </si>
  <si>
    <t>B001-144</t>
  </si>
  <si>
    <t>115,53</t>
  </si>
  <si>
    <t>Tegar</t>
  </si>
  <si>
    <t>Tomato Pure - Ayam Brand</t>
  </si>
  <si>
    <t>B001-145</t>
  </si>
  <si>
    <t>70,94</t>
  </si>
  <si>
    <t>Lada hitam bubuk - La Fancy</t>
  </si>
  <si>
    <t>B001-146</t>
  </si>
  <si>
    <t>345,54</t>
  </si>
  <si>
    <t>Chicken Powder - Knorr</t>
  </si>
  <si>
    <t>B001-147</t>
  </si>
  <si>
    <t>119,30</t>
  </si>
  <si>
    <t>Italian herbs - Jays</t>
  </si>
  <si>
    <t>B001-148</t>
  </si>
  <si>
    <t>585,11</t>
  </si>
  <si>
    <t>Demiglace powder - Knorr</t>
  </si>
  <si>
    <t>B001-149</t>
  </si>
  <si>
    <t>201,30</t>
  </si>
  <si>
    <t>Jamur kancing</t>
  </si>
  <si>
    <t>B001-150</t>
  </si>
  <si>
    <t>Daun parsley</t>
  </si>
  <si>
    <t>B001-151</t>
  </si>
  <si>
    <t>Kecap inggris - Asia Harum Sedap</t>
  </si>
  <si>
    <t>B001-152</t>
  </si>
  <si>
    <t>76,56</t>
  </si>
  <si>
    <t>Keju cheddar kraft</t>
  </si>
  <si>
    <t>B001-153</t>
  </si>
  <si>
    <t>Crispy Dough Chicken Burger</t>
  </si>
  <si>
    <t>B001-155</t>
  </si>
  <si>
    <t>Es Krim</t>
  </si>
  <si>
    <t>B001-157</t>
  </si>
  <si>
    <t>324,34</t>
  </si>
  <si>
    <t>Selai Coklat</t>
  </si>
  <si>
    <t>B001-158</t>
  </si>
  <si>
    <t>280,55</t>
  </si>
  <si>
    <t>Bubuk Coklat</t>
  </si>
  <si>
    <t>B001-159</t>
  </si>
  <si>
    <t>1.632,64</t>
  </si>
  <si>
    <t>WIP Sauce Butter Soy</t>
  </si>
  <si>
    <t>B001-160</t>
  </si>
  <si>
    <t>2.061,73</t>
  </si>
  <si>
    <t>Saus Sambal</t>
  </si>
  <si>
    <t>B001-161</t>
  </si>
  <si>
    <t>984,10</t>
  </si>
  <si>
    <t>Tomat</t>
  </si>
  <si>
    <t>B001-162</t>
  </si>
  <si>
    <t>548,53</t>
  </si>
  <si>
    <t>Keju Sliced Anchor</t>
  </si>
  <si>
    <t>B001-163</t>
  </si>
  <si>
    <t>Beef Patty</t>
  </si>
  <si>
    <t>B001-164</t>
  </si>
  <si>
    <t>47,24</t>
  </si>
  <si>
    <t>Timun</t>
  </si>
  <si>
    <t>B001-165</t>
  </si>
  <si>
    <t>LBR</t>
  </si>
  <si>
    <t>8.757,90</t>
  </si>
  <si>
    <t>Daun pisang</t>
  </si>
  <si>
    <t>B001-166</t>
  </si>
  <si>
    <t>174,30</t>
  </si>
  <si>
    <t>Cabai keriting hijau</t>
  </si>
  <si>
    <t>B001-167</t>
  </si>
  <si>
    <t>Bumbu Aglio e Olio</t>
  </si>
  <si>
    <t>B001-169</t>
  </si>
  <si>
    <t>Classic Burger Sauce</t>
  </si>
  <si>
    <t>B001-170</t>
  </si>
  <si>
    <t>Lemongrass Tea Powder</t>
  </si>
  <si>
    <t>B001-171</t>
  </si>
  <si>
    <t>89,36</t>
  </si>
  <si>
    <t>37,19</t>
  </si>
  <si>
    <t>142,79</t>
  </si>
  <si>
    <t>Box Pizza Jchicken - Putih</t>
  </si>
  <si>
    <t>1.083,92</t>
  </si>
  <si>
    <t>Basi</t>
  </si>
  <si>
    <t>257,41</t>
  </si>
  <si>
    <t>Gelas Sundae 12Oz</t>
  </si>
  <si>
    <t>447,29</t>
  </si>
  <si>
    <t>Kardus Logo Jchicken</t>
  </si>
  <si>
    <t>B002-007</t>
  </si>
  <si>
    <t>1.252,83</t>
  </si>
  <si>
    <t>Rika</t>
  </si>
  <si>
    <t>1.050,06</t>
  </si>
  <si>
    <t>Mika Sauce Tray (Untuk Saos Tomat)</t>
  </si>
  <si>
    <t>B002-011</t>
  </si>
  <si>
    <t>309,66</t>
  </si>
  <si>
    <t>Plastic Bag (Large)</t>
  </si>
  <si>
    <t>B002-012</t>
  </si>
  <si>
    <t>1.178,18</t>
  </si>
  <si>
    <t>553,17</t>
  </si>
  <si>
    <t>934,17</t>
  </si>
  <si>
    <t>1.631,70</t>
  </si>
  <si>
    <t>Tas perlalatan makan</t>
  </si>
  <si>
    <t>GELAS HOT</t>
  </si>
  <si>
    <t>B002-022</t>
  </si>
  <si>
    <t>9.386,36</t>
  </si>
  <si>
    <t>12.592,82</t>
  </si>
  <si>
    <t>Rosidin</t>
  </si>
  <si>
    <t>21.547,66</t>
  </si>
  <si>
    <t>PAPER BOWL</t>
  </si>
  <si>
    <t>B002-026</t>
  </si>
  <si>
    <t>LID PAPER BOWL</t>
  </si>
  <si>
    <t>B002-027</t>
  </si>
  <si>
    <t>21.979,18</t>
  </si>
  <si>
    <t>CUP 500 ML - RAMADHAN</t>
  </si>
  <si>
    <t>B002-028</t>
  </si>
  <si>
    <t>Box baked rice - Ramadhan</t>
  </si>
  <si>
    <t>B002-029</t>
  </si>
  <si>
    <t>3.245,84</t>
  </si>
  <si>
    <t>HSR - PAPER CUP</t>
  </si>
  <si>
    <t>B002-030</t>
  </si>
  <si>
    <t>9.059,51</t>
  </si>
  <si>
    <t>HSR - PLASTIC BAG</t>
  </si>
  <si>
    <t>B002-031</t>
  </si>
  <si>
    <t>3.238,83</t>
  </si>
  <si>
    <t>HSR - PACKAGING BOX</t>
  </si>
  <si>
    <t>B002-032</t>
  </si>
  <si>
    <t>6.511,39</t>
  </si>
  <si>
    <t>HSR - GREASEPROOF PAPER</t>
  </si>
  <si>
    <t>B002-033</t>
  </si>
  <si>
    <t>19.531,70</t>
  </si>
  <si>
    <t>HSR - WHOLE CHICKEN BOX</t>
  </si>
  <si>
    <t>B002-034</t>
  </si>
  <si>
    <t>5.780,07</t>
  </si>
  <si>
    <t>HSR - BUCKET &amp; LID</t>
  </si>
  <si>
    <t>B002-035</t>
  </si>
  <si>
    <t>5.816,61</t>
  </si>
  <si>
    <t>JAPANESE CHICKEN BURGER</t>
  </si>
  <si>
    <t>JAPANESE RASHER EGG BURGER</t>
  </si>
  <si>
    <t>4.950,40</t>
  </si>
  <si>
    <t>PERSONAL HANDMADE JAPANESE BURGER</t>
  </si>
  <si>
    <t>B003-003</t>
  </si>
  <si>
    <t>B1G1 HANDMADE JAPANESE BURGER</t>
  </si>
  <si>
    <t>B003-004</t>
  </si>
  <si>
    <t>SPICY CHICKEN BURGER</t>
  </si>
  <si>
    <t>B003-005</t>
  </si>
  <si>
    <t>13.012,75</t>
  </si>
  <si>
    <t>BOGO Handmade Japanese Burger [Ai-Yam King]</t>
  </si>
  <si>
    <t>B003-006</t>
  </si>
  <si>
    <t>2.589,12</t>
  </si>
  <si>
    <t>(NEW) B1G1 Burger Handmade</t>
  </si>
  <si>
    <t>B003-007</t>
  </si>
  <si>
    <t>Just Made Beef Burger</t>
  </si>
  <si>
    <t>B003-008</t>
  </si>
  <si>
    <t>15.534,62</t>
  </si>
  <si>
    <t>Juicy Spicy Crispy Chicken Burger</t>
  </si>
  <si>
    <t>B003-009</t>
  </si>
  <si>
    <t>17.665,99</t>
  </si>
  <si>
    <t>Korean Yangnyeom Crispy Chicken Burger</t>
  </si>
  <si>
    <t>B003-010</t>
  </si>
  <si>
    <t>39.068,33</t>
  </si>
  <si>
    <t>Cheesy Egg Burger</t>
  </si>
  <si>
    <t>B003-011</t>
  </si>
  <si>
    <t>(B1G1) Juicy Spicy Crispy Chicken Burger</t>
  </si>
  <si>
    <t>B003-012</t>
  </si>
  <si>
    <t>3.900,88</t>
  </si>
  <si>
    <t>Korean Yangnyeom Chicken Burger Combo</t>
  </si>
  <si>
    <t>B003-013</t>
  </si>
  <si>
    <t>8.916,08</t>
  </si>
  <si>
    <t>9.203,41</t>
  </si>
  <si>
    <t>4.132,81</t>
  </si>
  <si>
    <t>5.947,22</t>
  </si>
  <si>
    <t>19.967,01</t>
  </si>
  <si>
    <t>CARAMEL EGG TARTB1G1(OD)</t>
  </si>
  <si>
    <t>2.154,04</t>
  </si>
  <si>
    <t>2PCS CARAMEL EGG TART</t>
  </si>
  <si>
    <t>D001-012</t>
  </si>
  <si>
    <t>1.701,84</t>
  </si>
  <si>
    <t>Caramel Egg Tart Mini</t>
  </si>
  <si>
    <t>D001-013</t>
  </si>
  <si>
    <t>308,34</t>
  </si>
  <si>
    <t>MINI EGG TART 4K</t>
  </si>
  <si>
    <t>D001-014</t>
  </si>
  <si>
    <t>929,94</t>
  </si>
  <si>
    <t>Mini Egg Tart Combo</t>
  </si>
  <si>
    <t>D001-015</t>
  </si>
  <si>
    <t>6.686,42</t>
  </si>
  <si>
    <t>Couple Afternoon Tea Egg Tart Set</t>
  </si>
  <si>
    <t>D001-016</t>
  </si>
  <si>
    <t>3.521,08</t>
  </si>
  <si>
    <t>6PCS CARAMEL EGG TART</t>
  </si>
  <si>
    <t>D001-017</t>
  </si>
  <si>
    <t>Roasted Chicken Korean Mustard Burger</t>
  </si>
  <si>
    <t>D001-018</t>
  </si>
  <si>
    <t>Dani</t>
  </si>
  <si>
    <t>5.254,75</t>
  </si>
  <si>
    <t>ICE CREAM LATTE</t>
  </si>
  <si>
    <t>D002-002</t>
  </si>
  <si>
    <t>Putra</t>
  </si>
  <si>
    <t>2.535,81</t>
  </si>
  <si>
    <t>2.013,23</t>
  </si>
  <si>
    <t>1.359,60</t>
  </si>
  <si>
    <t>Sobek</t>
  </si>
  <si>
    <t>CHEESE SEA SALT LATTE</t>
  </si>
  <si>
    <t>D002-010</t>
  </si>
  <si>
    <t>4.580,43</t>
  </si>
  <si>
    <t>SUNRICE ESPERSSO</t>
  </si>
  <si>
    <t>D002-012</t>
  </si>
  <si>
    <t>4.884,91</t>
  </si>
  <si>
    <t>AMERICANO ORANGE C</t>
  </si>
  <si>
    <t>D002-013</t>
  </si>
  <si>
    <t>Jatuh</t>
  </si>
  <si>
    <t>MINERAL WATER</t>
  </si>
  <si>
    <t>D003-002</t>
  </si>
  <si>
    <t>3.027,29</t>
  </si>
  <si>
    <t>Naufal</t>
  </si>
  <si>
    <t>3.669,87</t>
  </si>
  <si>
    <t>2.520,26</t>
  </si>
  <si>
    <t>3.164,16</t>
  </si>
  <si>
    <t>14.083,10</t>
  </si>
  <si>
    <t>Busuk</t>
  </si>
  <si>
    <t>12.513,20</t>
  </si>
  <si>
    <t>5.949,42</t>
  </si>
  <si>
    <t>HONG KONG ICED LEMON TEA</t>
  </si>
  <si>
    <t>D003-014</t>
  </si>
  <si>
    <t>5.719,83</t>
  </si>
  <si>
    <t>DUO FLAVORED ICE CREAM</t>
  </si>
  <si>
    <t>7.789,14</t>
  </si>
  <si>
    <t>27.309,31</t>
  </si>
  <si>
    <t>FRIES ICE CREAM</t>
  </si>
  <si>
    <t>I001-012</t>
  </si>
  <si>
    <t>13.756,03</t>
  </si>
  <si>
    <t>FRIES N' CREAM</t>
  </si>
  <si>
    <t>I001-013</t>
  </si>
  <si>
    <t>13.516,21</t>
  </si>
  <si>
    <t>FRIES AND ICE CREAM</t>
  </si>
  <si>
    <t>I001-014</t>
  </si>
  <si>
    <t>6.263,13</t>
  </si>
  <si>
    <t>ICE CREAM CONE</t>
  </si>
  <si>
    <t>I001-015</t>
  </si>
  <si>
    <t>7.655,66</t>
  </si>
  <si>
    <t>Fries N' Cream [Ai-Yam King]</t>
  </si>
  <si>
    <t>I001-016</t>
  </si>
  <si>
    <t>19.297,88</t>
  </si>
  <si>
    <t>9.9K Fries and Ice Cream</t>
  </si>
  <si>
    <t>I001-017</t>
  </si>
  <si>
    <t>15.226,59</t>
  </si>
  <si>
    <t>Ice Cream Cone 1000</t>
  </si>
  <si>
    <t>I001-018</t>
  </si>
  <si>
    <t>19.057,57</t>
  </si>
  <si>
    <t>Fries N Cream 1000</t>
  </si>
  <si>
    <t>I001-019</t>
  </si>
  <si>
    <t>18.128,19</t>
  </si>
  <si>
    <t>ORIGINAL SUNDAE B1G1</t>
  </si>
  <si>
    <t>I001-020</t>
  </si>
  <si>
    <t>26.713,23</t>
  </si>
  <si>
    <t>CONE ICE CREAM 1000 (WIP)</t>
  </si>
  <si>
    <t>I001-021</t>
  </si>
  <si>
    <t>26.050,14</t>
  </si>
  <si>
    <t>HSR - PIN BADGE</t>
  </si>
  <si>
    <t>M001-001</t>
  </si>
  <si>
    <t>143.522,71</t>
  </si>
  <si>
    <t>HSR - TUMBLER</t>
  </si>
  <si>
    <t>M001-002</t>
  </si>
  <si>
    <t>HSR - REEDEM CODE A</t>
  </si>
  <si>
    <t>M001-003</t>
  </si>
  <si>
    <t>HSR - REEDEM CODE B</t>
  </si>
  <si>
    <t>M001-004</t>
  </si>
  <si>
    <t>41.689,70</t>
  </si>
  <si>
    <t>HSR - STICKER</t>
  </si>
  <si>
    <t>M001-005</t>
  </si>
  <si>
    <t>HSR - PVC CHARACTER CARD</t>
  </si>
  <si>
    <t>M001-006</t>
  </si>
  <si>
    <t>HSR - LASER TICKET</t>
  </si>
  <si>
    <t>M001-007</t>
  </si>
  <si>
    <t>ORIGINAL SUNDAE B1G1 (OD)</t>
  </si>
  <si>
    <t>OI001-011</t>
  </si>
  <si>
    <t>Rusak</t>
  </si>
  <si>
    <t>BLACK PEPPER BEEF SAUSAGE SPAGHETTI</t>
  </si>
  <si>
    <t>BTL</t>
  </si>
  <si>
    <t>GARLIC SPICY CHICKEN SPAGHETTI</t>
  </si>
  <si>
    <t>45.796,55</t>
  </si>
  <si>
    <t>35.468,86</t>
  </si>
  <si>
    <t>PSG</t>
  </si>
  <si>
    <t>Rifqi</t>
  </si>
  <si>
    <t>PIZZA DUO (4-6 PERSON) (OD)</t>
  </si>
  <si>
    <t>P002-006</t>
  </si>
  <si>
    <t>Beef Sausage Pizza + Banana Cheese Pizza</t>
  </si>
  <si>
    <t>P002-007</t>
  </si>
  <si>
    <t>Balon Jchicken</t>
  </si>
  <si>
    <t>P003-002</t>
  </si>
  <si>
    <t>audit</t>
  </si>
  <si>
    <t>Buku Training Outlet</t>
  </si>
  <si>
    <t>P003-003</t>
  </si>
  <si>
    <t>1.057,69</t>
  </si>
  <si>
    <t>Handtowel Multifold</t>
  </si>
  <si>
    <t>P003-006</t>
  </si>
  <si>
    <t>326,56</t>
  </si>
  <si>
    <t>6.076,10</t>
  </si>
  <si>
    <t>Kantong Sampah Kecil</t>
  </si>
  <si>
    <t>P003-008</t>
  </si>
  <si>
    <t>7.114,59</t>
  </si>
  <si>
    <t>discard</t>
  </si>
  <si>
    <t>v</t>
  </si>
  <si>
    <t>Kantong Sampah Medium</t>
  </si>
  <si>
    <t>P003-009</t>
  </si>
  <si>
    <t>Kertas Termal (Mesin Kasir)</t>
  </si>
  <si>
    <t>P003-010</t>
  </si>
  <si>
    <t>Label Sticker Expire Date</t>
  </si>
  <si>
    <t>P003-011</t>
  </si>
  <si>
    <t>33,41</t>
  </si>
  <si>
    <t>Bekas Breading</t>
  </si>
  <si>
    <t>Pelumas Mesin Es Krim</t>
  </si>
  <si>
    <t>P003-012</t>
  </si>
  <si>
    <t>22,35</t>
  </si>
  <si>
    <t>22,03</t>
  </si>
  <si>
    <t>Sarung Cuci Tangan</t>
  </si>
  <si>
    <t>P003-015</t>
  </si>
  <si>
    <t>1.683,87</t>
  </si>
  <si>
    <t>Sarung Tangan Karet - Biru</t>
  </si>
  <si>
    <t>P003-016</t>
  </si>
  <si>
    <t>30,81</t>
  </si>
  <si>
    <t>Sarung Tangan Plastik 100</t>
  </si>
  <si>
    <t>P003-017</t>
  </si>
  <si>
    <t>rosidin</t>
  </si>
  <si>
    <t>75,72</t>
  </si>
  <si>
    <t>Gagal produksi</t>
  </si>
  <si>
    <t>Sarung Tangan Sekali Pakai - Biru</t>
  </si>
  <si>
    <t>P003-018</t>
  </si>
  <si>
    <t>47,51</t>
  </si>
  <si>
    <t>Sarung Tangan Sekali Pakai - Putih</t>
  </si>
  <si>
    <t>P003-019</t>
  </si>
  <si>
    <t>20,51</t>
  </si>
  <si>
    <t>sisa/kering</t>
  </si>
  <si>
    <t>x</t>
  </si>
  <si>
    <t>Spon Pencuci</t>
  </si>
  <si>
    <t>P003-020</t>
  </si>
  <si>
    <t>26,13</t>
  </si>
  <si>
    <t>seharusnya satuan GRAM (1287gr)</t>
  </si>
  <si>
    <t>Stick Balon</t>
  </si>
  <si>
    <t>P003-021</t>
  </si>
  <si>
    <t>Tisu Cocktail Napkin</t>
  </si>
  <si>
    <t>P003-022</t>
  </si>
  <si>
    <t>14,71</t>
  </si>
  <si>
    <t xml:space="preserve">sisa </t>
  </si>
  <si>
    <t>Tisu Toilet ROL</t>
  </si>
  <si>
    <t>P003-023</t>
  </si>
  <si>
    <t>2,68</t>
  </si>
  <si>
    <t>5porsi</t>
  </si>
  <si>
    <t>Berjamur</t>
  </si>
  <si>
    <t>Tusuk Gigi</t>
  </si>
  <si>
    <t>P003-024</t>
  </si>
  <si>
    <t>4,54</t>
  </si>
  <si>
    <t>cone</t>
  </si>
  <si>
    <t>sisa</t>
  </si>
  <si>
    <t>2porsi</t>
  </si>
  <si>
    <t>0,69</t>
  </si>
  <si>
    <t>KARTU ULANG TAHUN</t>
  </si>
  <si>
    <t>P003-026</t>
  </si>
  <si>
    <t>4,95</t>
  </si>
  <si>
    <t>51,75</t>
  </si>
  <si>
    <t>53,92</t>
  </si>
  <si>
    <t>busuk</t>
  </si>
  <si>
    <t>neza</t>
  </si>
  <si>
    <t>135,16</t>
  </si>
  <si>
    <t>14,37</t>
  </si>
  <si>
    <t>rifqi</t>
  </si>
  <si>
    <t>55,62</t>
  </si>
  <si>
    <t>50,67</t>
  </si>
  <si>
    <t>25,79</t>
  </si>
  <si>
    <t>tidak berguna</t>
  </si>
  <si>
    <t>2.012,59</t>
  </si>
  <si>
    <t>Hancur</t>
  </si>
  <si>
    <t>Cancel order</t>
  </si>
  <si>
    <t>2760gr</t>
  </si>
  <si>
    <t>5.850,90</t>
  </si>
  <si>
    <t>34,95</t>
  </si>
  <si>
    <t>79,89</t>
  </si>
  <si>
    <t>1.778,42</t>
  </si>
  <si>
    <t>1.200,88</t>
  </si>
  <si>
    <t>4.453,93</t>
  </si>
  <si>
    <t>4.369,11</t>
  </si>
  <si>
    <t>3.069,06</t>
  </si>
  <si>
    <t>basi</t>
  </si>
  <si>
    <t>3.023,28</t>
  </si>
  <si>
    <t>Karin</t>
  </si>
  <si>
    <t>David</t>
  </si>
  <si>
    <t>3.570,24</t>
  </si>
  <si>
    <t>1.277,78</t>
  </si>
  <si>
    <t>Aletta</t>
  </si>
  <si>
    <t>WIP ROASTED BACON</t>
  </si>
  <si>
    <t>3.444,27</t>
  </si>
  <si>
    <t>WIP PATTIES BURGER</t>
  </si>
  <si>
    <t>P004-042</t>
  </si>
  <si>
    <t>4.938,38</t>
  </si>
  <si>
    <t>WIP SAUCE JAPANESE CURRY</t>
  </si>
  <si>
    <t>P004-043</t>
  </si>
  <si>
    <t>2.965,52</t>
  </si>
  <si>
    <t>WIP SALTES EGG SAUCE</t>
  </si>
  <si>
    <t>P004-044</t>
  </si>
  <si>
    <t>8.810,92</t>
  </si>
  <si>
    <t>P004-045</t>
  </si>
  <si>
    <t>4.888,53</t>
  </si>
  <si>
    <t>WIP NASI PUTIH RICE BOWL</t>
  </si>
  <si>
    <t>P004-046</t>
  </si>
  <si>
    <t>2215gr</t>
  </si>
  <si>
    <t>6.091,53</t>
  </si>
  <si>
    <t>WIP NASI DAUN JERUK</t>
  </si>
  <si>
    <t>P004-047</t>
  </si>
  <si>
    <t>5.176,91</t>
  </si>
  <si>
    <t>WIP MUSHROOM SAUCE</t>
  </si>
  <si>
    <t>P004-048</t>
  </si>
  <si>
    <t>WIP BOLOGNESE SAUCE</t>
  </si>
  <si>
    <t>P004-049</t>
  </si>
  <si>
    <t>1.957,72</t>
  </si>
  <si>
    <t>WIP MINYAK BAWANG PUTIH</t>
  </si>
  <si>
    <t>P004-050</t>
  </si>
  <si>
    <t>23.303,76</t>
  </si>
  <si>
    <t>WIP EGG WASH</t>
  </si>
  <si>
    <t>P004-051</t>
  </si>
  <si>
    <t>23.668,70</t>
  </si>
  <si>
    <t>P004-052</t>
  </si>
  <si>
    <t>20.633,10</t>
  </si>
  <si>
    <t>WIP Korean Mayo Sauce</t>
  </si>
  <si>
    <t>P004-053</t>
  </si>
  <si>
    <t>WIP MEXICAN SALSA/ SAMBAL DABU DABU</t>
  </si>
  <si>
    <t>P004-054</t>
  </si>
  <si>
    <t>21.397,36</t>
  </si>
  <si>
    <t>tegar</t>
  </si>
  <si>
    <t>WIP SAMBAL HIJAU</t>
  </si>
  <si>
    <t>P004-055</t>
  </si>
  <si>
    <t>WIP SAMBAL BAWANG GEPREK</t>
  </si>
  <si>
    <t>P004-056</t>
  </si>
  <si>
    <t>2.455,43</t>
  </si>
  <si>
    <t>365,27</t>
  </si>
  <si>
    <t>458,86</t>
  </si>
  <si>
    <t>166,87</t>
  </si>
  <si>
    <t>367,55</t>
  </si>
  <si>
    <t>4.093,68</t>
  </si>
  <si>
    <t>674,00</t>
  </si>
  <si>
    <t>2.024,64</t>
  </si>
  <si>
    <t>[NEW] GILA SAMBAL BALI</t>
  </si>
  <si>
    <t>S001-014</t>
  </si>
  <si>
    <t>dendi</t>
  </si>
  <si>
    <t>AMERICAN FRIES (SMALL)</t>
  </si>
  <si>
    <t>S002-009</t>
  </si>
  <si>
    <t>7porsi</t>
  </si>
  <si>
    <t xml:space="preserve">Tegar </t>
  </si>
  <si>
    <t>Sizzling Crispy Chicken Steak</t>
  </si>
  <si>
    <t>S003-005</t>
  </si>
  <si>
    <t>TAKEAWAY WHOLE CHICKEN SERIES</t>
  </si>
  <si>
    <t>T001-001</t>
  </si>
  <si>
    <t>TAKEAWAY PASTA SERIES</t>
  </si>
  <si>
    <t>T001-002</t>
  </si>
  <si>
    <t>TAKEAWAY PIZZA SERIES</t>
  </si>
  <si>
    <t>T001-003</t>
  </si>
  <si>
    <t>TAKEAWAY DRINKS AND COFFEE ICE</t>
  </si>
  <si>
    <t>T001-004</t>
  </si>
  <si>
    <t>TAKEAWAY DRINKS AND COFFEE HOT</t>
  </si>
  <si>
    <t>T001-005</t>
  </si>
  <si>
    <t>Neza</t>
  </si>
  <si>
    <t>BOX WHOLE CHICKEN</t>
  </si>
  <si>
    <t>T001-006</t>
  </si>
  <si>
    <t>SINGLE CUP BAG</t>
  </si>
  <si>
    <t>T001-007</t>
  </si>
  <si>
    <t>DOUBLE CUP BAG</t>
  </si>
  <si>
    <t>T001-008</t>
  </si>
  <si>
    <t>KANTONG KERTAS (KECIL)</t>
  </si>
  <si>
    <t>T001-009</t>
  </si>
  <si>
    <t>KANTONG KERTAS (BESAR)</t>
  </si>
  <si>
    <t>T001-010</t>
  </si>
  <si>
    <t>kering</t>
  </si>
  <si>
    <t>BUCKET DAN TUTUP</t>
  </si>
  <si>
    <t>T001-011</t>
  </si>
  <si>
    <t>GELAS PLASTIK 400ML</t>
  </si>
  <si>
    <t>T001-012</t>
  </si>
  <si>
    <t>B2 KANTONG KAIN</t>
  </si>
  <si>
    <t>T001-013</t>
  </si>
  <si>
    <t>4porsi</t>
  </si>
  <si>
    <t>BOX KIDS MEAL</t>
  </si>
  <si>
    <t>T001-014</t>
  </si>
  <si>
    <t>Box Burger</t>
  </si>
  <si>
    <t>T001-015</t>
  </si>
  <si>
    <t>BIAYA KEMASAN 1</t>
  </si>
  <si>
    <t>T002-001</t>
  </si>
  <si>
    <t>BIAYA KEMASAN 2</t>
  </si>
  <si>
    <t>T002-002</t>
  </si>
  <si>
    <t>Biaya Kemasan 0-99k</t>
  </si>
  <si>
    <t>T002-003</t>
  </si>
  <si>
    <t>Birthday Party</t>
  </si>
  <si>
    <t>T002-004</t>
  </si>
  <si>
    <t>Biaya Kemasan 100-199k</t>
  </si>
  <si>
    <t>T002-005</t>
  </si>
  <si>
    <t>Biaya Kemasan 400-499k</t>
  </si>
  <si>
    <t>T002-006</t>
  </si>
  <si>
    <t>Biaya Kemasan 900-1000k</t>
  </si>
  <si>
    <t>T002-007</t>
  </si>
  <si>
    <t>Biaya Kemasan 600-699k</t>
  </si>
  <si>
    <t>T002-008</t>
  </si>
  <si>
    <t>Biaya Kemasan 200-299k</t>
  </si>
  <si>
    <t>T002-009</t>
  </si>
  <si>
    <t>Biaya Kemasan 300-399k</t>
  </si>
  <si>
    <t>Arul</t>
  </si>
  <si>
    <t>T002-010</t>
  </si>
  <si>
    <t>Biaya Kemasan 500-599k</t>
  </si>
  <si>
    <t>T002-011</t>
  </si>
  <si>
    <t>gagal fermentasi</t>
  </si>
  <si>
    <t>kekurangan gelas</t>
  </si>
  <si>
    <t>tidak terpakai</t>
  </si>
  <si>
    <t>tdak terpakai</t>
  </si>
  <si>
    <t>Topping ayam sambal bali</t>
  </si>
  <si>
    <t>amanda</t>
  </si>
  <si>
    <t>Gr</t>
  </si>
  <si>
    <t>dani</t>
  </si>
  <si>
    <t xml:space="preserve">berdarah </t>
  </si>
  <si>
    <t>gosong</t>
  </si>
  <si>
    <t>pecah</t>
  </si>
  <si>
    <t>12porsi</t>
  </si>
  <si>
    <t xml:space="preserve">busuk </t>
  </si>
  <si>
    <t>sisa tidak terjual</t>
  </si>
  <si>
    <t xml:space="preserve">Kering </t>
  </si>
  <si>
    <t>tidak terjual</t>
  </si>
  <si>
    <t>putra</t>
  </si>
  <si>
    <t xml:space="preserve">discard </t>
  </si>
  <si>
    <t>naufal</t>
  </si>
  <si>
    <t>tidak bisa dipakai</t>
  </si>
  <si>
    <t>Manda</t>
  </si>
  <si>
    <t xml:space="preserve">gagal fermentasi </t>
  </si>
  <si>
    <t>waste</t>
  </si>
  <si>
    <t>tidak ngembang</t>
  </si>
  <si>
    <t>Nagof</t>
  </si>
  <si>
    <t>21porsi</t>
  </si>
  <si>
    <t>tak terjual</t>
  </si>
  <si>
    <t>gosong sebelah</t>
  </si>
  <si>
    <t>Daun mint</t>
  </si>
  <si>
    <t>Layu</t>
  </si>
  <si>
    <t>double order</t>
  </si>
  <si>
    <t>17porsi</t>
  </si>
  <si>
    <t>nagop</t>
  </si>
  <si>
    <t>6porsi</t>
  </si>
  <si>
    <t>rusak</t>
  </si>
  <si>
    <t>hancur</t>
  </si>
  <si>
    <t>berjamur</t>
  </si>
  <si>
    <t>gagal conveyor oven</t>
  </si>
  <si>
    <t>fadli</t>
  </si>
  <si>
    <t>rusak / kering</t>
  </si>
  <si>
    <t>rifki</t>
  </si>
  <si>
    <t>tdak berguna</t>
  </si>
  <si>
    <t>busuk / bau</t>
  </si>
  <si>
    <t>remuk</t>
  </si>
  <si>
    <t>kekurangan gela</t>
  </si>
  <si>
    <t>sudah tidak layak</t>
  </si>
  <si>
    <t>aleta</t>
  </si>
  <si>
    <t>135gr</t>
  </si>
  <si>
    <t>dibuang</t>
  </si>
  <si>
    <t>david</t>
  </si>
  <si>
    <t>jatuh</t>
  </si>
  <si>
    <t>Ml</t>
  </si>
  <si>
    <t>14porsi</t>
  </si>
  <si>
    <t>326gr</t>
  </si>
  <si>
    <t>orderan cncel</t>
  </si>
  <si>
    <t>1ayam besar dan 1 ayam kecil</t>
  </si>
  <si>
    <t>3porsi</t>
  </si>
  <si>
    <t>13porsi</t>
  </si>
  <si>
    <t xml:space="preserve">lebihan </t>
  </si>
  <si>
    <t>11porsi</t>
  </si>
  <si>
    <t>spoil/gosong</t>
  </si>
  <si>
    <t>13/03/26</t>
  </si>
  <si>
    <t>Locita</t>
  </si>
  <si>
    <t>gagal ngembang</t>
  </si>
  <si>
    <t>1porsi</t>
  </si>
  <si>
    <t>busuk dibungkusnya</t>
  </si>
  <si>
    <t>Pecah</t>
  </si>
  <si>
    <t xml:space="preserve">tidak ngembang </t>
  </si>
  <si>
    <t xml:space="preserve">ML </t>
  </si>
  <si>
    <t>letuce</t>
  </si>
  <si>
    <t>discartd</t>
  </si>
  <si>
    <t>14/03/26</t>
  </si>
  <si>
    <t>15/03/26</t>
  </si>
  <si>
    <t>arul</t>
  </si>
  <si>
    <t>6550gr</t>
  </si>
  <si>
    <t>16/03/26</t>
  </si>
  <si>
    <t>V</t>
  </si>
  <si>
    <t>tidak digunakan</t>
  </si>
  <si>
    <t>X</t>
  </si>
  <si>
    <t>640 GR</t>
  </si>
  <si>
    <t>17/03/2026</t>
  </si>
  <si>
    <t>rosisdin</t>
  </si>
  <si>
    <t>rosisidn</t>
  </si>
  <si>
    <t>5 PORSI</t>
  </si>
  <si>
    <t>6 PORSI</t>
  </si>
  <si>
    <t>kelebihan orderan</t>
  </si>
  <si>
    <t>18/03/26</t>
  </si>
  <si>
    <t>tidak layak</t>
  </si>
  <si>
    <t>15 PORSI</t>
  </si>
  <si>
    <t>4 PORSI</t>
  </si>
  <si>
    <t>19/03/26</t>
  </si>
  <si>
    <t>crispy chicken steak</t>
  </si>
  <si>
    <t>trial menu baru</t>
  </si>
  <si>
    <t>discared</t>
  </si>
  <si>
    <t>discrad</t>
  </si>
  <si>
    <t>3 PORSI</t>
  </si>
  <si>
    <t xml:space="preserve">dendi </t>
  </si>
  <si>
    <t>20/03/26</t>
  </si>
  <si>
    <t xml:space="preserve">kekurangan gelas </t>
  </si>
  <si>
    <t>12 PORSI</t>
  </si>
  <si>
    <t>21/03/26</t>
  </si>
  <si>
    <t>32PORSI</t>
  </si>
  <si>
    <t>8PORSI</t>
  </si>
  <si>
    <t>tidka berguna</t>
  </si>
  <si>
    <t>4015GR</t>
  </si>
  <si>
    <t>kekuirangan gelas</t>
  </si>
  <si>
    <t>22/03/26</t>
  </si>
  <si>
    <t>bekas tapisan</t>
  </si>
  <si>
    <t>4805GR</t>
  </si>
  <si>
    <t>gagal produksi</t>
  </si>
  <si>
    <t>23/03/26</t>
  </si>
  <si>
    <t xml:space="preserve">tidak mengembang </t>
  </si>
  <si>
    <t>3PORSI</t>
  </si>
  <si>
    <t>24/03/26</t>
  </si>
  <si>
    <t>tidakdigunakan</t>
  </si>
  <si>
    <t>7PORSI</t>
  </si>
  <si>
    <t>4PORSI</t>
  </si>
  <si>
    <t>25/03/26</t>
  </si>
  <si>
    <t>19PORSI</t>
  </si>
  <si>
    <t>2PORSI</t>
  </si>
  <si>
    <t>amnda</t>
  </si>
  <si>
    <t>Salted Egg Saus</t>
  </si>
  <si>
    <t>expaierd</t>
  </si>
  <si>
    <t>26/03/26</t>
  </si>
  <si>
    <t>kontaminasi hewan</t>
  </si>
  <si>
    <t>10935GR</t>
  </si>
  <si>
    <t>terkena air</t>
  </si>
  <si>
    <t>27/03/26</t>
  </si>
  <si>
    <t>145PCS</t>
  </si>
  <si>
    <t>37GR</t>
  </si>
  <si>
    <t>28/03/26</t>
  </si>
  <si>
    <t>densi</t>
  </si>
  <si>
    <t>29/03/26</t>
  </si>
  <si>
    <t>20PORSI</t>
  </si>
  <si>
    <t>1PORSI</t>
  </si>
  <si>
    <t>minum untuk tukang</t>
  </si>
  <si>
    <t>30/03/26</t>
  </si>
  <si>
    <t>92PCS</t>
  </si>
  <si>
    <t>31PORSI</t>
  </si>
  <si>
    <t>31/03/26</t>
  </si>
  <si>
    <t>discrard</t>
  </si>
  <si>
    <t>riki</t>
  </si>
  <si>
    <t xml:space="preserve"> </t>
  </si>
  <si>
    <t>KETERANGAN</t>
  </si>
  <si>
    <t>manda</t>
  </si>
  <si>
    <t>12PORSI</t>
  </si>
  <si>
    <t>syendi</t>
  </si>
  <si>
    <t>tidak mengembang</t>
  </si>
  <si>
    <t>menghitam</t>
  </si>
  <si>
    <t>29PCS</t>
  </si>
  <si>
    <t>Campuran Orange</t>
  </si>
  <si>
    <t>293gr</t>
  </si>
  <si>
    <t>sisa tapisan</t>
  </si>
  <si>
    <t>kontaminasi kotoran</t>
  </si>
  <si>
    <t>5PORSI</t>
  </si>
  <si>
    <t>gina</t>
  </si>
  <si>
    <t>1445GR</t>
  </si>
  <si>
    <t>bonggol</t>
  </si>
  <si>
    <t xml:space="preserve">koreksi audit </t>
  </si>
  <si>
    <t>tangkai cabe</t>
  </si>
  <si>
    <t>rina</t>
  </si>
  <si>
    <t>kulit bawang</t>
  </si>
  <si>
    <t>batang daun</t>
  </si>
  <si>
    <t>1215GR</t>
  </si>
  <si>
    <t>kurang gelas</t>
  </si>
  <si>
    <t>sisa nasi</t>
  </si>
  <si>
    <t>x (1859)</t>
  </si>
  <si>
    <t>BULAN, TAHUN: JUNI, 2026</t>
  </si>
  <si>
    <t>x (19)</t>
  </si>
  <si>
    <t>Jenis</t>
  </si>
  <si>
    <t>x ( 9 porsi)</t>
  </si>
  <si>
    <t>puput</t>
  </si>
  <si>
    <t>TIDAK TERPAKAI</t>
  </si>
  <si>
    <t>PUPUT</t>
  </si>
  <si>
    <t>MP</t>
  </si>
  <si>
    <t>tdk terpakai</t>
  </si>
  <si>
    <t>x (2187)</t>
  </si>
  <si>
    <t>1182,69</t>
  </si>
  <si>
    <t>NASI KERING</t>
  </si>
  <si>
    <t>TEGAR</t>
  </si>
  <si>
    <t>ASSEMBLY</t>
  </si>
  <si>
    <t>11,83</t>
  </si>
  <si>
    <t>SISA</t>
  </si>
  <si>
    <t>MANDA</t>
  </si>
  <si>
    <t>BAR</t>
  </si>
  <si>
    <t>1030GR</t>
  </si>
  <si>
    <t>BEKAS TAPISAN</t>
  </si>
  <si>
    <t>ARDI</t>
  </si>
  <si>
    <t>COOK</t>
  </si>
  <si>
    <t>KALIBRASI</t>
  </si>
  <si>
    <t>Test food/ Kalibrasi</t>
  </si>
  <si>
    <t>02 Juni 2026</t>
  </si>
  <si>
    <t>BASI</t>
  </si>
  <si>
    <t>Spoil</t>
  </si>
  <si>
    <t>x (2787)</t>
  </si>
  <si>
    <t>DISCARD</t>
  </si>
  <si>
    <t>x (28)</t>
  </si>
  <si>
    <t>SYENDI</t>
  </si>
  <si>
    <t>905GR</t>
  </si>
  <si>
    <t>ardi</t>
  </si>
  <si>
    <t>DUSCARD</t>
  </si>
  <si>
    <t>DAVID</t>
  </si>
  <si>
    <t>86,54</t>
  </si>
  <si>
    <t>0,87</t>
  </si>
  <si>
    <t>03 Juni 2026</t>
  </si>
  <si>
    <t>DENDI</t>
  </si>
  <si>
    <t>SAUS SALTAD EGG</t>
  </si>
  <si>
    <t>x ( 1porsi)</t>
  </si>
  <si>
    <t>483,97</t>
  </si>
  <si>
    <t>BUSUK</t>
  </si>
  <si>
    <t>TRI AUDIT</t>
  </si>
  <si>
    <t>4,84</t>
  </si>
  <si>
    <t>bianca</t>
  </si>
  <si>
    <t>fadhel</t>
  </si>
  <si>
    <t>Saus Salted egg</t>
  </si>
  <si>
    <t>04 Juni 2026</t>
  </si>
  <si>
    <t>GINA</t>
  </si>
  <si>
    <t>8GR</t>
  </si>
  <si>
    <t>retak</t>
  </si>
  <si>
    <t>628,21</t>
  </si>
  <si>
    <t>6,28</t>
  </si>
  <si>
    <t>5 Juni 2026</t>
  </si>
  <si>
    <t>mahess</t>
  </si>
  <si>
    <t>TRAINING CARBONARA SPAGETTI</t>
  </si>
  <si>
    <t>PUTRA</t>
  </si>
  <si>
    <t>ok</t>
  </si>
  <si>
    <t>X(1234 GR)</t>
  </si>
  <si>
    <t>2560GR</t>
  </si>
  <si>
    <t>394,23</t>
  </si>
  <si>
    <t>13/4/26</t>
  </si>
  <si>
    <t>3,94</t>
  </si>
  <si>
    <t>X(413 CC)</t>
  </si>
  <si>
    <t>06 Juni 2026</t>
  </si>
  <si>
    <t>RIKI</t>
  </si>
  <si>
    <t>X(1951 GR)</t>
  </si>
  <si>
    <t>sisa  nasi</t>
  </si>
  <si>
    <t>SUDAH DITAMBAKAN</t>
  </si>
  <si>
    <t>X (1 PORSI)</t>
  </si>
  <si>
    <t>LAYU</t>
  </si>
  <si>
    <t xml:space="preserve">X </t>
  </si>
  <si>
    <t>14/4/26</t>
  </si>
  <si>
    <t>bekas kalibrasi</t>
  </si>
  <si>
    <t>07 Juni 2026</t>
  </si>
  <si>
    <t>X(6 PORSI)</t>
  </si>
  <si>
    <t>X (1905)</t>
  </si>
  <si>
    <t>X (638 GR)</t>
  </si>
  <si>
    <t>15/04/26</t>
  </si>
  <si>
    <t>576,92</t>
  </si>
  <si>
    <t>NASI BAU</t>
  </si>
  <si>
    <t>training</t>
  </si>
  <si>
    <t>5,77</t>
  </si>
  <si>
    <t>WASTE NASI</t>
  </si>
  <si>
    <t>TRI</t>
  </si>
  <si>
    <t>08 Juni 2026</t>
  </si>
  <si>
    <t>RUSAK MELEMPEM</t>
  </si>
  <si>
    <t>13/5/26</t>
  </si>
  <si>
    <t>kotor</t>
  </si>
  <si>
    <t>16/4/25</t>
  </si>
  <si>
    <t>14/5/26</t>
  </si>
  <si>
    <t>cheese sea salt caramel latte</t>
  </si>
  <si>
    <t>lebih orderan</t>
  </si>
  <si>
    <t>451,92</t>
  </si>
  <si>
    <t>4,52</t>
  </si>
  <si>
    <t>09 Juni 2026</t>
  </si>
  <si>
    <t>duscard</t>
  </si>
  <si>
    <t>sisa(nasi)</t>
  </si>
  <si>
    <t>alleta</t>
  </si>
  <si>
    <t>503,21</t>
  </si>
  <si>
    <t>17/4/26</t>
  </si>
  <si>
    <t>NEZA</t>
  </si>
  <si>
    <t>5,03</t>
  </si>
  <si>
    <t>423,08</t>
  </si>
  <si>
    <t>15/5/256</t>
  </si>
  <si>
    <t>4,23</t>
  </si>
  <si>
    <t>76,92</t>
  </si>
  <si>
    <t>8 porsi</t>
  </si>
  <si>
    <t>0,77</t>
  </si>
  <si>
    <t>984 gr</t>
  </si>
  <si>
    <t>10 Juni 2026</t>
  </si>
  <si>
    <t>16/5/26</t>
  </si>
  <si>
    <t>18/4/26</t>
  </si>
  <si>
    <t>11 Juni 2026</t>
  </si>
  <si>
    <t>konsumsi tukang</t>
  </si>
  <si>
    <t>13,29</t>
  </si>
  <si>
    <t xml:space="preserve">NASI DAUN JERUK </t>
  </si>
  <si>
    <t>182,57</t>
  </si>
  <si>
    <t>1,83</t>
  </si>
  <si>
    <t>1,90</t>
  </si>
  <si>
    <t>kerak nasi</t>
  </si>
  <si>
    <t>17/5/26</t>
  </si>
  <si>
    <t>gagal mengembang</t>
  </si>
  <si>
    <t>12 Juni 2026</t>
  </si>
  <si>
    <t xml:space="preserve">29 ml </t>
  </si>
  <si>
    <t>15 porsi</t>
  </si>
  <si>
    <t>13 Juni 2026</t>
  </si>
  <si>
    <t>19/4/26</t>
  </si>
  <si>
    <t>18/5/2026</t>
  </si>
  <si>
    <t>BOCOR</t>
  </si>
  <si>
    <t>19/5/26</t>
  </si>
  <si>
    <t>14 Juni 2026</t>
  </si>
  <si>
    <t>dsicard</t>
  </si>
  <si>
    <t>korean Sweet &amp; Spicy rice box</t>
  </si>
  <si>
    <t>603 gr</t>
  </si>
  <si>
    <t>20/4/26</t>
  </si>
  <si>
    <t>DOUBLE INPUT, DI REPORT TIDAK ADA WASTE TERSEBUT HANYA ADA TANGGAL 19 APRIL</t>
  </si>
  <si>
    <t>15 Juni 2026</t>
  </si>
  <si>
    <t>GARLIC OIL</t>
  </si>
  <si>
    <t>20/5/26</t>
  </si>
  <si>
    <t>sisa kalibrasi</t>
  </si>
  <si>
    <t xml:space="preserve">tumpah </t>
  </si>
  <si>
    <t>16 Juni 2026</t>
  </si>
  <si>
    <t>MAHESA</t>
  </si>
  <si>
    <t>batang</t>
  </si>
  <si>
    <t xml:space="preserve">nasi kering </t>
  </si>
  <si>
    <t>21/4/26</t>
  </si>
  <si>
    <t>23 ml</t>
  </si>
  <si>
    <t>21/5/26</t>
  </si>
  <si>
    <t>2821 gr</t>
  </si>
  <si>
    <t>dscard</t>
  </si>
  <si>
    <t>17 Juni 2026</t>
  </si>
  <si>
    <t>22/4/26</t>
  </si>
  <si>
    <t>7890GR</t>
  </si>
  <si>
    <t>training hsr</t>
  </si>
  <si>
    <t>trainig hsr</t>
  </si>
  <si>
    <t>tdk layak</t>
  </si>
  <si>
    <t>18 Juni 2026</t>
  </si>
  <si>
    <t>22/5/26</t>
  </si>
  <si>
    <t>Japanese curry saus</t>
  </si>
  <si>
    <t>tangkai &amp; busuk</t>
  </si>
  <si>
    <t>19 Juni 2026</t>
  </si>
  <si>
    <t>tdk mengembang</t>
  </si>
  <si>
    <t>580,13</t>
  </si>
  <si>
    <t>5,80</t>
  </si>
  <si>
    <t>tepung Crispy Breading</t>
  </si>
  <si>
    <t>ARUL</t>
  </si>
  <si>
    <t>23/4/26</t>
  </si>
  <si>
    <t>20 Juni 2026</t>
  </si>
  <si>
    <t>21 Juni 2026</t>
  </si>
  <si>
    <t>v'</t>
  </si>
  <si>
    <t>SISA TAPISAN</t>
  </si>
  <si>
    <t>23/5/26</t>
  </si>
  <si>
    <t>692,31</t>
  </si>
  <si>
    <t>6,92</t>
  </si>
  <si>
    <t>22 Juni 26</t>
  </si>
  <si>
    <t>51,12</t>
  </si>
  <si>
    <t>KERING</t>
  </si>
  <si>
    <t>0,51</t>
  </si>
  <si>
    <t>3,72</t>
  </si>
  <si>
    <t>0,53</t>
  </si>
  <si>
    <t>477,56</t>
  </si>
  <si>
    <t xml:space="preserve">NASI KERING </t>
  </si>
  <si>
    <t>4,78</t>
  </si>
  <si>
    <t>24/5/26</t>
  </si>
  <si>
    <t>kalibrasi</t>
  </si>
  <si>
    <t>26GR</t>
  </si>
  <si>
    <t>layu</t>
  </si>
  <si>
    <t>23 JunI 26</t>
  </si>
  <si>
    <t>24/4/26</t>
  </si>
  <si>
    <t>testfood</t>
  </si>
  <si>
    <t>untuk tukang</t>
  </si>
  <si>
    <t>mitha</t>
  </si>
  <si>
    <t>KULIT TIDAK TERPAKAI</t>
  </si>
  <si>
    <t xml:space="preserve">WASTE  </t>
  </si>
  <si>
    <t>WASTE</t>
  </si>
  <si>
    <t>24 juni 2026</t>
  </si>
  <si>
    <t>25/5/26</t>
  </si>
  <si>
    <t>7 porsi</t>
  </si>
  <si>
    <t>5 ml</t>
  </si>
  <si>
    <t>25/4/26</t>
  </si>
  <si>
    <t>TERKONTAMINASI</t>
  </si>
  <si>
    <t>4 ml</t>
  </si>
  <si>
    <t>26/5/26</t>
  </si>
  <si>
    <t>25 JUNI 2026</t>
  </si>
  <si>
    <t>BATANG</t>
  </si>
  <si>
    <t>discad</t>
  </si>
  <si>
    <t>shendy</t>
  </si>
  <si>
    <t>DNEDI</t>
  </si>
  <si>
    <t>26/4/26</t>
  </si>
  <si>
    <t>26 JUNI 2026</t>
  </si>
  <si>
    <t>dicard</t>
  </si>
  <si>
    <t>27/5/26</t>
  </si>
  <si>
    <t>1 porsi</t>
  </si>
  <si>
    <t>27 JUNI 2026</t>
  </si>
  <si>
    <t xml:space="preserve">DENDI </t>
  </si>
  <si>
    <t xml:space="preserve">RUSAK  </t>
  </si>
  <si>
    <t>BERJAMUR</t>
  </si>
  <si>
    <t>28/5/26</t>
  </si>
  <si>
    <t>27/04/26</t>
  </si>
  <si>
    <t>BOMBAY</t>
  </si>
  <si>
    <t>syendy</t>
  </si>
  <si>
    <t>disccard</t>
  </si>
  <si>
    <t>regina</t>
  </si>
  <si>
    <t>28 JUNI 2026</t>
  </si>
  <si>
    <t>28/04/26</t>
  </si>
  <si>
    <t>29 JUNI 2026</t>
  </si>
  <si>
    <t>NASI KUNING</t>
  </si>
  <si>
    <t>fahdel</t>
  </si>
  <si>
    <t>30 Juni 2026</t>
  </si>
  <si>
    <t>traning</t>
  </si>
  <si>
    <t>SLAMET</t>
  </si>
  <si>
    <t>6 porsi</t>
  </si>
  <si>
    <t>29/4/26</t>
  </si>
  <si>
    <t>BULAN, TAHUN: JULI, 2026</t>
  </si>
  <si>
    <t>Bekas TAPISAN</t>
  </si>
  <si>
    <t>DAUN JERUK BUBUK</t>
  </si>
  <si>
    <t>mahesa</t>
  </si>
  <si>
    <t>BUMBU NASI DAUN JERUK PASTA</t>
  </si>
  <si>
    <t>JAPANESE CURRY SAUS</t>
  </si>
  <si>
    <t>nasi daun jeruk sisa</t>
  </si>
  <si>
    <t>SAUS ASAM MANIS KOREA</t>
  </si>
  <si>
    <t>WIP SAUS BUTTER SOY</t>
  </si>
  <si>
    <t>29/5/26</t>
  </si>
  <si>
    <t>627 ML</t>
  </si>
  <si>
    <t>30/4/26</t>
  </si>
  <si>
    <t>8672 GR</t>
  </si>
  <si>
    <t>busuk&amp;tangkai</t>
  </si>
  <si>
    <t xml:space="preserve">168 GR </t>
  </si>
  <si>
    <t>30/5/26</t>
  </si>
  <si>
    <t>Minyak bekas</t>
  </si>
  <si>
    <t>FADHEL</t>
  </si>
  <si>
    <t xml:space="preserve">bekas tapisan </t>
  </si>
  <si>
    <t>slamet</t>
  </si>
  <si>
    <t>sisaan</t>
  </si>
  <si>
    <t>Nasi kering</t>
  </si>
  <si>
    <t xml:space="preserve">David </t>
  </si>
  <si>
    <t>hitram dan layyu</t>
  </si>
  <si>
    <t>TRAINING MENU BARU GEPREK SERIES</t>
  </si>
  <si>
    <t xml:space="preserve">FADHEL </t>
  </si>
  <si>
    <t>daun pisang</t>
  </si>
  <si>
    <t>timun</t>
  </si>
  <si>
    <t>TRAINING MENU BARU GEPREK</t>
  </si>
  <si>
    <t>0,9</t>
  </si>
  <si>
    <t>368,59</t>
  </si>
  <si>
    <t>nasi kering</t>
  </si>
  <si>
    <t>3,69</t>
  </si>
  <si>
    <t>bayu</t>
  </si>
  <si>
    <t>bususk</t>
  </si>
  <si>
    <t>301,28</t>
  </si>
  <si>
    <t>davud</t>
  </si>
  <si>
    <t>3,01</t>
  </si>
  <si>
    <t>tangkai</t>
  </si>
  <si>
    <t>387,82</t>
  </si>
  <si>
    <t>3,88</t>
  </si>
  <si>
    <t>ujung timun</t>
  </si>
  <si>
    <t>Daun Pisang</t>
  </si>
  <si>
    <t>robek</t>
  </si>
  <si>
    <t>Fadhel</t>
  </si>
  <si>
    <t>1054,49</t>
  </si>
  <si>
    <t>waste nasi</t>
  </si>
  <si>
    <t>10,54</t>
  </si>
  <si>
    <t>189,10</t>
  </si>
  <si>
    <t>sisa waste nasi kering</t>
  </si>
  <si>
    <t>1,89</t>
  </si>
  <si>
    <t>419,87</t>
  </si>
  <si>
    <t xml:space="preserve">david </t>
  </si>
  <si>
    <t>4,20</t>
  </si>
  <si>
    <t>kulit</t>
  </si>
  <si>
    <t>1711,54</t>
  </si>
  <si>
    <t>17,12</t>
  </si>
  <si>
    <t>nasi bau</t>
  </si>
  <si>
    <t>robek tidak terpakai</t>
  </si>
  <si>
    <t>TRAINING JUST MADE BURGER</t>
  </si>
  <si>
    <t>TRAINING CLASSIC CAFFFE LATTE</t>
  </si>
  <si>
    <t>TRAINING LEMONGRASS TEA</t>
  </si>
  <si>
    <t>Sereh</t>
  </si>
  <si>
    <t>TRAINING SPAGHETTI AGLIO E OLIO</t>
  </si>
  <si>
    <t>TRAINING BEEF PATTY HOTPLATE</t>
  </si>
  <si>
    <t>amal</t>
  </si>
  <si>
    <t xml:space="preserve">bonggol </t>
  </si>
  <si>
    <t>Minyak Bekas</t>
  </si>
  <si>
    <t>putri</t>
  </si>
  <si>
    <t>discatd</t>
  </si>
  <si>
    <t>tumpah di chiller</t>
  </si>
  <si>
    <t xml:space="preserve">tangkai  </t>
  </si>
  <si>
    <t xml:space="preserve">nasi kuning </t>
  </si>
  <si>
    <t>seihan</t>
  </si>
  <si>
    <t>2,5</t>
  </si>
  <si>
    <t>diqscard</t>
  </si>
  <si>
    <t>BULAN, TAHUN:  AGUSTUS 2026</t>
  </si>
  <si>
    <t>SM</t>
  </si>
  <si>
    <t>gososng</t>
  </si>
  <si>
    <t>nasi kkering</t>
  </si>
  <si>
    <t>spoil</t>
  </si>
  <si>
    <t>minyak bekas</t>
  </si>
  <si>
    <t>BULAN, TAHUN: September 2026</t>
  </si>
  <si>
    <t>discard asam</t>
  </si>
  <si>
    <t>Amelia</t>
  </si>
  <si>
    <t>nasi kering menguning</t>
  </si>
  <si>
    <t>Amalya</t>
  </si>
  <si>
    <t>nasi kuning</t>
  </si>
  <si>
    <t xml:space="preserve">kulit </t>
  </si>
  <si>
    <t>Training menu agustus</t>
  </si>
  <si>
    <t xml:space="preserve">discard  </t>
  </si>
  <si>
    <t>Kopyor powder</t>
  </si>
  <si>
    <t>ayam terlalu kecil</t>
  </si>
  <si>
    <t>training sop baru</t>
  </si>
  <si>
    <t>discard openbooth</t>
  </si>
  <si>
    <t xml:space="preserve">menggumpal </t>
  </si>
  <si>
    <t>jelek</t>
  </si>
  <si>
    <t>hitam</t>
  </si>
  <si>
    <t>biji bonggol</t>
  </si>
  <si>
    <t>sobek</t>
  </si>
  <si>
    <t>mikas</t>
  </si>
  <si>
    <t>nasi kuning bkering</t>
  </si>
  <si>
    <t>nasi kering kuning</t>
  </si>
  <si>
    <t>cairan egg tart discard</t>
  </si>
  <si>
    <t xml:space="preserve">basi </t>
  </si>
  <si>
    <t>sisa open booth</t>
  </si>
  <si>
    <t>ML:</t>
  </si>
  <si>
    <t>bau</t>
  </si>
  <si>
    <t xml:space="preserve">rusak </t>
  </si>
  <si>
    <t xml:space="preserve">tangkai </t>
  </si>
  <si>
    <t xml:space="preserve">tangkai cabe </t>
  </si>
  <si>
    <t xml:space="preserve">seihan </t>
  </si>
  <si>
    <t xml:space="preserve">gosong </t>
  </si>
  <si>
    <t xml:space="preserve">dwi </t>
  </si>
  <si>
    <t>biji</t>
  </si>
  <si>
    <t xml:space="preserve">david  </t>
  </si>
  <si>
    <t>fatih</t>
  </si>
  <si>
    <t>amel</t>
  </si>
  <si>
    <t xml:space="preserve">manda </t>
  </si>
  <si>
    <t xml:space="preserve">biji </t>
  </si>
  <si>
    <t>kulit pisang</t>
  </si>
  <si>
    <t>SUM dari JUMLAH</t>
  </si>
  <si>
    <t>Total Keseluruhan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</si>
</sst>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&quot;mmmm&quot; &quot;yyyy"/>
    <numFmt numFmtId="165" formatCode="dd/mm/yy"/>
    <numFmt numFmtId="166" formatCode="m/d/yy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4" numFmtId="0" xfId="0" applyAlignment="1" applyFont="1">
      <alignment readingOrder="0"/>
    </xf>
    <xf borderId="1" fillId="0" fontId="5" numFmtId="0" xfId="0" applyBorder="1" applyFont="1"/>
    <xf borderId="0" fillId="0" fontId="6" numFmtId="0" xfId="0" applyAlignment="1" applyFont="1">
      <alignment readingOrder="0"/>
    </xf>
    <xf borderId="1" fillId="0" fontId="5" numFmtId="0" xfId="0" applyAlignment="1" applyBorder="1" applyFont="1">
      <alignment horizontal="center"/>
    </xf>
    <xf borderId="0" fillId="0" fontId="6" numFmtId="164" xfId="0" applyFont="1" applyNumberFormat="1"/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readingOrder="0" vertical="center"/>
    </xf>
    <xf borderId="0" fillId="0" fontId="6" numFmtId="0" xfId="0" applyFont="1"/>
    <xf borderId="1" fillId="0" fontId="5" numFmtId="14" xfId="0" applyBorder="1" applyFont="1" applyNumberFormat="1"/>
    <xf borderId="0" fillId="0" fontId="5" numFmtId="0" xfId="0" applyAlignment="1" applyFont="1">
      <alignment horizontal="center"/>
    </xf>
    <xf borderId="0" fillId="0" fontId="5" numFmtId="0" xfId="0" applyFont="1"/>
    <xf borderId="1" fillId="0" fontId="5" numFmtId="14" xfId="0" applyAlignment="1" applyBorder="1" applyFont="1" applyNumberFormat="1">
      <alignment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0" fillId="3" fontId="6" numFmtId="0" xfId="0" applyAlignment="1" applyFill="1" applyFont="1">
      <alignment readingOrder="0"/>
    </xf>
    <xf borderId="0" fillId="0" fontId="7" numFmtId="0" xfId="0" applyAlignment="1" applyFont="1">
      <alignment readingOrder="0" vertical="bottom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 readingOrder="0"/>
    </xf>
    <xf borderId="1" fillId="0" fontId="6" numFmtId="0" xfId="0" applyBorder="1" applyFont="1"/>
    <xf borderId="0" fillId="0" fontId="6" numFmtId="0" xfId="0" applyAlignment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2" fillId="0" fontId="5" numFmtId="165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readingOrder="0"/>
    </xf>
    <xf borderId="3" fillId="0" fontId="8" numFmtId="0" xfId="0" applyBorder="1" applyFont="1"/>
    <xf borderId="4" fillId="0" fontId="8" numFmtId="0" xfId="0" applyBorder="1" applyFont="1"/>
    <xf borderId="2" fillId="0" fontId="5" numFmtId="14" xfId="0" applyAlignment="1" applyBorder="1" applyFont="1" applyNumberFormat="1">
      <alignment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bottom"/>
    </xf>
    <xf borderId="1" fillId="0" fontId="5" numFmtId="14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left" readingOrder="0" vertical="center"/>
    </xf>
    <xf borderId="5" fillId="0" fontId="5" numFmtId="14" xfId="0" applyAlignment="1" applyBorder="1" applyFont="1" applyNumberFormat="1">
      <alignment horizontal="right" shrinkToFit="0" vertical="center" wrapText="1"/>
    </xf>
    <xf borderId="6" fillId="0" fontId="5" numFmtId="0" xfId="0" applyAlignment="1" applyBorder="1" applyFont="1">
      <alignment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6" fillId="0" fontId="5" numFmtId="0" xfId="0" applyAlignment="1" applyBorder="1" applyFont="1">
      <alignment horizontal="center" readingOrder="0" shrinkToFit="0" vertical="bottom" wrapText="1"/>
    </xf>
    <xf borderId="8" fillId="0" fontId="5" numFmtId="0" xfId="0" applyAlignment="1" applyBorder="1" applyFont="1">
      <alignment horizontal="center" shrinkToFit="0" vertical="bottom" wrapText="1"/>
    </xf>
    <xf borderId="9" fillId="0" fontId="8" numFmtId="0" xfId="0" applyBorder="1" applyFont="1"/>
    <xf borderId="10" fillId="0" fontId="5" numFmtId="0" xfId="0" applyAlignment="1" applyBorder="1" applyFont="1">
      <alignment shrinkToFit="0" vertical="bottom" wrapText="1"/>
    </xf>
    <xf borderId="11" fillId="0" fontId="5" numFmtId="0" xfId="0" applyAlignment="1" applyBorder="1" applyFont="1">
      <alignment horizontal="center" shrinkToFit="0" vertical="bottom" wrapText="1"/>
    </xf>
    <xf borderId="10" fillId="0" fontId="5" numFmtId="0" xfId="0" applyAlignment="1" applyBorder="1" applyFont="1">
      <alignment horizontal="center" shrinkToFit="0" vertical="bottom" wrapText="1"/>
    </xf>
    <xf borderId="12" fillId="0" fontId="5" numFmtId="0" xfId="0" applyAlignment="1" applyBorder="1" applyFont="1">
      <alignment horizontal="center" shrinkToFit="0" vertical="bottom" wrapText="1"/>
    </xf>
    <xf borderId="1" fillId="4" fontId="5" numFmtId="14" xfId="0" applyAlignment="1" applyBorder="1" applyFill="1" applyFont="1" applyNumberFormat="1">
      <alignment horizontal="center" readingOrder="0" vertical="center"/>
    </xf>
    <xf borderId="1" fillId="4" fontId="5" numFmtId="0" xfId="0" applyAlignment="1" applyBorder="1" applyFill="1" applyFont="1">
      <alignment horizontal="left" readingOrder="0" vertical="center"/>
    </xf>
    <xf borderId="1" fillId="4" fontId="5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center" readingOrder="0" vertical="center"/>
    </xf>
    <xf borderId="0" fillId="4" fontId="6" numFmtId="0" xfId="0" applyAlignment="1" applyFill="1" applyFont="1">
      <alignment horizontal="left" readingOrder="0" vertical="center"/>
    </xf>
    <xf borderId="0" fillId="4" fontId="6" numFmtId="0" xfId="0" applyAlignment="1" applyFill="1" applyFont="1">
      <alignment horizontal="center" vertical="bottom"/>
    </xf>
    <xf borderId="13" fillId="0" fontId="8" numFmtId="0" xfId="0" applyBorder="1" applyFont="1"/>
    <xf borderId="14" fillId="0" fontId="5" numFmtId="14" xfId="0" applyAlignment="1" applyBorder="1" applyFont="1" applyNumberFormat="1">
      <alignment horizontal="right" shrinkToFit="0" vertical="center" wrapText="1"/>
    </xf>
    <xf borderId="0" fillId="2" fontId="6" numFmtId="0" xfId="0" applyAlignment="1" applyFill="1" applyFont="1">
      <alignment horizontal="left" readingOrder="0" vertical="center"/>
    </xf>
    <xf borderId="0" fillId="0" fontId="3" numFmtId="0" xfId="0" applyAlignment="1" applyFont="1">
      <alignment horizontal="center" readingOrder="0"/>
    </xf>
    <xf borderId="0" fillId="0" fontId="6" numFmtId="1" xfId="0" applyAlignment="1" applyFont="1" applyNumberFormat="1">
      <alignment horizontal="center"/>
    </xf>
    <xf borderId="0" fillId="0" fontId="6" numFmtId="1" xfId="0" applyAlignment="1" applyFont="1" applyNumberFormat="1">
      <alignment horizontal="right"/>
    </xf>
    <xf borderId="0" fillId="0" fontId="6" numFmtId="0" xfId="0" applyAlignment="1" applyFont="1">
      <alignment horizontal="center" shrinkToFit="0" vertical="center" wrapText="1"/>
    </xf>
    <xf borderId="1" fillId="2" fontId="1" numFmtId="1" xfId="0" applyAlignment="1" applyBorder="1" applyFill="1" applyFont="1" applyNumberFormat="1">
      <alignment horizontal="center" readingOrder="0" vertical="center"/>
    </xf>
    <xf borderId="1" fillId="2" fontId="1" numFmtId="1" xfId="0" applyAlignment="1" applyBorder="1" applyFill="1" applyFont="1" applyNumberFormat="1">
      <alignment horizontal="right" readingOrder="0"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1" xfId="0" applyAlignment="1" applyFont="1" applyNumberFormat="1">
      <alignment horizontal="center" readingOrder="0"/>
    </xf>
    <xf borderId="0" fillId="0" fontId="6" numFmtId="1" xfId="0" applyAlignment="1" applyFont="1" applyNumberFormat="1">
      <alignment horizontal="right" readingOrder="0"/>
    </xf>
    <xf borderId="0" fillId="0" fontId="6" numFmtId="0" xfId="0" applyAlignment="1" applyFont="1">
      <alignment horizontal="right" readingOrder="0"/>
    </xf>
    <xf borderId="14" fillId="0" fontId="5" numFmtId="14" xfId="0" applyAlignment="1" applyBorder="1" applyFont="1" applyNumberFormat="1">
      <alignment readingOrder="0" vertical="center"/>
    </xf>
    <xf borderId="1" fillId="0" fontId="5" numFmtId="166" xfId="0" applyAlignment="1" applyBorder="1" applyFont="1" applyNumberFormat="1">
      <alignment horizontal="center" readingOrder="0" vertical="center"/>
    </xf>
    <xf borderId="12" fillId="0" fontId="5" numFmtId="0" xfId="0" applyAlignment="1" applyBorder="1" applyFont="1">
      <alignment horizontal="center" shrinkToFit="0" vertical="bottom" wrapText="1"/>
    </xf>
    <xf borderId="11" fillId="0" fontId="5" numFmtId="0" xfId="0" applyAlignment="1" applyBorder="1" applyFont="1">
      <alignment horizontal="center" readingOrder="0" shrinkToFit="0" vertical="bottom" wrapText="1"/>
    </xf>
    <xf borderId="10" fillId="0" fontId="5" numFmtId="0" xfId="0" applyAlignment="1" applyBorder="1" applyFont="1">
      <alignment readingOrder="0" shrinkToFit="0" vertical="bottom" wrapText="1"/>
    </xf>
    <xf borderId="0" fillId="0" fontId="6" numFmtId="1" xfId="0" applyAlignment="1" applyFont="1" applyNumberFormat="1">
      <alignment horizontal="right" readingOrder="0" vertical="center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2" fillId="0" fontId="5" numFmtId="14" xfId="0" applyAlignment="1" applyBorder="1" applyFont="1" applyNumberFormat="1">
      <alignment horizontal="right" vertical="center"/>
    </xf>
    <xf borderId="0" fillId="4" fontId="6" numFmtId="0" xfId="0" applyAlignment="1" applyFill="1" applyFont="1">
      <alignment horizontal="center" readingOrder="0" vertical="center"/>
    </xf>
    <xf borderId="0" fillId="0" fontId="6" numFmtId="0" xfId="0" applyAlignment="1" applyFont="1">
      <alignment readingOrder="0" shrinkToFit="0" vertical="center" wrapText="1"/>
    </xf>
    <xf borderId="1" fillId="0" fontId="5" numFmtId="14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readingOrder="0" vertical="center"/>
    </xf>
    <xf borderId="1" fillId="4" fontId="5" numFmtId="14" xfId="0" applyAlignment="1" applyBorder="1" applyFill="1" applyFont="1" applyNumberFormat="1">
      <alignment horizontal="center" vertical="center"/>
    </xf>
    <xf borderId="1" fillId="2" fontId="5" numFmtId="0" xfId="0" applyAlignment="1" applyBorder="1" applyFill="1" applyFont="1">
      <alignment readingOrder="0"/>
    </xf>
    <xf borderId="1" fillId="2" fontId="5" numFmtId="0" xfId="0" applyBorder="1" applyFill="1" applyFont="1"/>
    <xf borderId="1" fillId="2" fontId="5" numFmtId="0" xfId="0" applyAlignment="1" applyBorder="1" applyFill="1" applyFont="1">
      <alignment horizontal="center"/>
    </xf>
    <xf borderId="1" fillId="2" fontId="5" numFmtId="0" xfId="0" applyAlignment="1" applyBorder="1" applyFill="1" applyFont="1">
      <alignment horizontal="center" readingOrder="0"/>
    </xf>
    <xf borderId="2" fillId="0" fontId="5" numFmtId="0" xfId="0" applyAlignment="1" applyBorder="1" applyFont="1">
      <alignment readingOrder="0" shrinkToFit="0" vertical="center" wrapText="1"/>
    </xf>
    <xf borderId="0" fillId="2" fontId="6" numFmtId="0" xfId="0" applyAlignment="1" applyFill="1" applyFont="1">
      <alignment horizontal="center" readingOrder="0" vertical="center"/>
    </xf>
    <xf borderId="1" fillId="2" fontId="6" numFmtId="0" xfId="0" applyAlignment="1" applyBorder="1" applyFill="1" applyFont="1">
      <alignment readingOrder="0"/>
    </xf>
    <xf borderId="1" fillId="2" fontId="6" numFmtId="0" xfId="0" applyBorder="1" applyFill="1" applyFont="1"/>
    <xf borderId="0" fillId="2" fontId="6" numFmtId="0" xfId="0" applyFill="1" applyFont="1"/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horizontal="center" vertical="center"/>
    </xf>
    <xf borderId="0" fillId="4" fontId="6" numFmtId="0" xfId="0" applyAlignment="1" applyFill="1" applyFont="1">
      <alignment horizontal="center" vertical="center"/>
    </xf>
    <xf borderId="0" fillId="0" fontId="6" numFmtId="0" xfId="0" applyAlignment="1" applyFont="1">
      <alignment vertical="center"/>
    </xf>
    <xf borderId="1" fillId="0" fontId="5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/>
    </xf>
    <xf borderId="0" fillId="0" fontId="6" numFmtId="0" xfId="0" applyFont="1"/>
    <xf borderId="0" fillId="0" fontId="6" numFmtId="1" xfId="0" applyAlignment="1" applyFont="1" applyNumberFormat="1">
      <alignment readingOrder="0"/>
    </xf>
    <xf borderId="0" fillId="0" fontId="6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pivotCacheDefinition" Target="pivotCache/pivotCacheDefinition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F74" sheet="Sheet10"/>
  </cacheSource>
  <cacheFields>
    <cacheField name="NAMA PRODUK" numFmtId="0">
      <sharedItems>
        <s v="Pisang"/>
        <s v="Paprika Merah"/>
        <s v="Bawang Bombay"/>
        <s v="Beras 25KG"/>
        <s v="Minyak Makan"/>
        <s v="WIP RED TEA BASE"/>
        <s v="WIP GREEN TEA BASE"/>
        <s v="WIP UNSWEETENED TEA BATCH"/>
        <s v="Tepung Crispy Breading"/>
        <s v="Biji Kopi"/>
        <s v="WIP CAMPURAN OREN"/>
        <s v="WIP MILK TEA BASE"/>
        <s v="Chicken Bacon"/>
        <s v="Coca-Cola"/>
        <s v="WIP TELUR KOCOK"/>
        <s v="WIP LEMON TEA BATCH"/>
        <s v="SHOESTRING FRENCH FRIES"/>
        <s v="Cabai Rawit Hijau"/>
        <s v="SELADA / LETTUCE"/>
        <s v="WIP SAMBAL BALI"/>
        <s v="Paprika Hijau"/>
        <s v="WIP MUSHROOM SAUCE"/>
        <s v="WIP SPAGHETTI"/>
        <s v="WIP MILK FOAM"/>
        <s v="Daun parsley"/>
        <s v="SCRAMBLED EGG"/>
        <s v="WIP EGG WASH"/>
      </sharedItems>
    </cacheField>
    <cacheField name="KODE CSA" numFmtId="0">
      <sharedItems containsBlank="1">
        <s v="B001-064"/>
        <s v="B001-061"/>
        <s v="B001-006"/>
        <s v="B001-008"/>
        <s v="B001-056"/>
        <s v="P004-022"/>
        <s v="P004-023"/>
        <s v="P004-024"/>
        <s v="B001-088"/>
        <s v="B001-009"/>
        <s v="P004-045"/>
        <s v="P004-019"/>
        <s v="B001-023"/>
        <s v="B001-032"/>
        <s v="P004-014"/>
        <s v="P004-025"/>
        <s v="B001-002"/>
        <s v="B001-018"/>
        <s v="B001-125"/>
        <s v="P004-015"/>
        <s v="B001-060"/>
        <m/>
        <s v="P004-021"/>
        <s v="P004-020"/>
        <s v="B001-151"/>
        <s v="S001-002"/>
      </sharedItems>
    </cacheField>
    <cacheField name="Jenis" numFmtId="1">
      <sharedItems>
        <s v="bahan baku"/>
        <s v="barang jadi &amp; bahan baku"/>
        <e v="#N/A"/>
        <s v="barang jadi"/>
      </sharedItems>
    </cacheField>
    <cacheField name="JUMLAH">
      <sharedItems containsMixedTypes="1" containsNumber="1" containsInteger="1">
        <n v="50.0"/>
        <n v="40.0"/>
        <n v="17.0"/>
        <n v="119.0"/>
        <s v="1182,69"/>
        <s v="11,83"/>
        <n v="881.0"/>
        <n v="32.0"/>
        <n v="154.0"/>
        <n v="2965.0"/>
        <n v="45.0"/>
        <n v="42.0"/>
        <n v="60.0"/>
        <n v="16.0"/>
        <n v="53.0"/>
        <n v="540.0"/>
        <n v="82.0"/>
        <n v="451.0"/>
        <n v="248.0"/>
        <n v="919.0"/>
        <n v="436.0"/>
        <n v="68.0"/>
        <s v="86,54"/>
        <s v="0,87"/>
        <n v="12.0"/>
        <s v="483,97"/>
        <s v="4,84"/>
        <n v="863.0"/>
        <n v="400.0"/>
        <n v="20.0"/>
        <n v="2220.0"/>
        <n v="72.0"/>
        <n v="129.0"/>
        <s v="628,21"/>
        <s v="6,28"/>
        <n v="480.0"/>
        <n v="59.0"/>
        <n v="3585.0"/>
        <n v="8.0"/>
        <n v="120.0"/>
        <n v="160.0"/>
        <n v="291.0"/>
        <n v="21.0"/>
        <s v="394,23"/>
        <s v="3,94"/>
        <n v="1393.0"/>
        <n v="1673.0"/>
        <n v="86.0"/>
        <n v="24.0"/>
        <n v="43.0"/>
        <n v="200.0"/>
        <n v="22.0"/>
        <n v="387.0"/>
        <n v="668.0"/>
        <n v="409.0"/>
        <n v="1.0"/>
        <n v="100.0"/>
        <n v="3600.0"/>
        <n v="3.0"/>
        <n v="1243.0"/>
        <n v="731.0"/>
        <n v="995.0"/>
        <n v="9.0"/>
        <n v="4675.0"/>
        <s v="576,92"/>
        <s v="5,77"/>
      </sharedItems>
    </cacheField>
    <cacheField name="SATUAN CSA" numFmtId="0">
      <sharedItems>
        <s v="GR"/>
        <s v="ML"/>
        <s v="CC"/>
        <s v="PR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0" cacheId="0" dataCaption="" compact="0" compactData="0">
  <location ref="P45:U74" firstHeaderRow="0" firstDataRow="1" firstDataCol="1"/>
  <pivotFields>
    <pivotField name="NAMA PRODUK" axis="axisRow" compact="0" outline="0" multipleItemSelectionAllowed="1" showAll="0" sortType="ascending">
      <items>
        <item x="2"/>
        <item x="3"/>
        <item x="9"/>
        <item x="17"/>
        <item x="12"/>
        <item x="13"/>
        <item x="24"/>
        <item x="4"/>
        <item x="20"/>
        <item x="1"/>
        <item x="0"/>
        <item x="25"/>
        <item x="18"/>
        <item x="16"/>
        <item x="8"/>
        <item x="10"/>
        <item x="26"/>
        <item x="6"/>
        <item x="15"/>
        <item x="23"/>
        <item x="11"/>
        <item x="21"/>
        <item x="5"/>
        <item x="19"/>
        <item x="22"/>
        <item x="14"/>
        <item x="7"/>
        <item t="default"/>
      </items>
    </pivotField>
    <pivotField name="KODE C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Jenis" compact="0" numFmtId="1" outline="0" multipleItemSelectionAllowed="1" showAll="0">
      <items>
        <item x="0"/>
        <item x="1"/>
        <item x="2"/>
        <item x="3"/>
        <item t="default"/>
      </items>
    </pivotField>
    <pivotField name="JUMLAH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SATUAN CSA" axis="axisCol" compact="0" outline="0" multipleItemSelectionAllowed="1" showAll="0" sortType="ascending">
      <items>
        <item x="2"/>
        <item x="0"/>
        <item x="1"/>
        <item x="3"/>
        <item t="default"/>
      </items>
    </pivotField>
  </pivotFields>
  <rowFields>
    <field x="0"/>
  </rowFields>
  <colFields>
    <field x="4"/>
  </colFields>
  <dataFields>
    <dataField name="SUM of JUMLAH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52.57"/>
    <col customWidth="1" min="3" max="3" width="23.57"/>
    <col customWidth="1" min="4" max="4" width="14.71"/>
    <col customWidth="1" min="5" max="5" width="10.29"/>
    <col customWidth="1" min="6" max="6" width="38.29"/>
    <col customWidth="1" min="7" max="7" width="13.14"/>
    <col customWidth="1" min="8" max="26" width="8.71"/>
  </cols>
  <sheetData>
    <row r="1">
      <c r="A1" s="1"/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15</v>
      </c>
      <c r="B2" s="6" t="s">
        <v>18</v>
      </c>
      <c r="C2" s="8" t="s">
        <v>19</v>
      </c>
      <c r="D2" s="8" t="s">
        <v>20</v>
      </c>
      <c r="E2" s="6"/>
      <c r="F2" s="6"/>
      <c r="G2" s="6"/>
    </row>
    <row r="3">
      <c r="A3" s="6" t="s">
        <v>22</v>
      </c>
      <c r="B3" s="6" t="s">
        <v>21</v>
      </c>
      <c r="C3" s="8" t="s">
        <v>19</v>
      </c>
      <c r="D3" s="8" t="s">
        <v>20</v>
      </c>
      <c r="E3" s="6"/>
      <c r="F3" s="6"/>
      <c r="G3" s="6"/>
    </row>
    <row r="4">
      <c r="A4" s="6" t="s">
        <v>24</v>
      </c>
      <c r="B4" s="6" t="s">
        <v>23</v>
      </c>
      <c r="C4" s="8" t="s">
        <v>19</v>
      </c>
      <c r="D4" s="8" t="s">
        <v>25</v>
      </c>
      <c r="E4" s="6"/>
      <c r="F4" s="6"/>
      <c r="G4" s="6"/>
    </row>
    <row r="5">
      <c r="A5" s="6" t="s">
        <v>27</v>
      </c>
      <c r="B5" s="6" t="s">
        <v>26</v>
      </c>
      <c r="C5" s="8" t="s">
        <v>19</v>
      </c>
      <c r="D5" s="8" t="s">
        <v>25</v>
      </c>
      <c r="E5" s="6"/>
      <c r="F5" s="6"/>
      <c r="G5" s="6"/>
    </row>
    <row r="6">
      <c r="A6" s="6" t="s">
        <v>29</v>
      </c>
      <c r="B6" s="6" t="s">
        <v>28</v>
      </c>
      <c r="C6" s="8" t="s">
        <v>19</v>
      </c>
      <c r="D6" s="8" t="s">
        <v>20</v>
      </c>
      <c r="E6" s="6"/>
      <c r="F6" s="6"/>
      <c r="G6" s="6"/>
    </row>
    <row r="7">
      <c r="A7" s="6" t="s">
        <v>31</v>
      </c>
      <c r="B7" s="6" t="s">
        <v>30</v>
      </c>
      <c r="C7" s="8" t="s">
        <v>19</v>
      </c>
      <c r="D7" s="8" t="s">
        <v>20</v>
      </c>
      <c r="E7" s="6"/>
      <c r="F7" s="6"/>
      <c r="G7" s="6"/>
    </row>
    <row r="8">
      <c r="A8" s="6" t="s">
        <v>34</v>
      </c>
      <c r="B8" s="6" t="s">
        <v>33</v>
      </c>
      <c r="C8" s="8" t="s">
        <v>19</v>
      </c>
      <c r="D8" s="8" t="s">
        <v>20</v>
      </c>
      <c r="E8" s="6"/>
      <c r="F8" s="6"/>
      <c r="G8" s="6"/>
    </row>
    <row r="9">
      <c r="A9" s="6" t="s">
        <v>37</v>
      </c>
      <c r="B9" s="6" t="s">
        <v>36</v>
      </c>
      <c r="C9" s="8" t="s">
        <v>19</v>
      </c>
      <c r="D9" s="8" t="s">
        <v>20</v>
      </c>
      <c r="E9" s="6"/>
      <c r="F9" s="6"/>
      <c r="G9" s="6"/>
    </row>
    <row r="10">
      <c r="A10" s="6" t="s">
        <v>39</v>
      </c>
      <c r="B10" s="6" t="s">
        <v>38</v>
      </c>
      <c r="C10" s="8" t="s">
        <v>19</v>
      </c>
      <c r="D10" s="8" t="s">
        <v>20</v>
      </c>
      <c r="E10" s="6"/>
      <c r="F10" s="6"/>
      <c r="G10" s="6"/>
    </row>
    <row r="11">
      <c r="A11" s="6" t="s">
        <v>41</v>
      </c>
      <c r="B11" s="6" t="s">
        <v>40</v>
      </c>
      <c r="C11" s="8" t="s">
        <v>19</v>
      </c>
      <c r="D11" s="8" t="s">
        <v>20</v>
      </c>
      <c r="E11" s="6"/>
      <c r="F11" s="6"/>
      <c r="G11" s="6"/>
    </row>
    <row r="12">
      <c r="A12" s="6" t="s">
        <v>43</v>
      </c>
      <c r="B12" s="6" t="s">
        <v>42</v>
      </c>
      <c r="C12" s="8" t="s">
        <v>19</v>
      </c>
      <c r="D12" s="8" t="s">
        <v>20</v>
      </c>
      <c r="E12" s="6"/>
      <c r="F12" s="6"/>
      <c r="G12" s="6"/>
    </row>
    <row r="13">
      <c r="A13" s="6" t="s">
        <v>45</v>
      </c>
      <c r="B13" s="6" t="s">
        <v>44</v>
      </c>
      <c r="C13" s="8" t="s">
        <v>19</v>
      </c>
      <c r="D13" s="8" t="s">
        <v>20</v>
      </c>
      <c r="E13" s="6"/>
      <c r="F13" s="6"/>
      <c r="G13" s="6"/>
    </row>
    <row r="14">
      <c r="A14" s="6" t="s">
        <v>47</v>
      </c>
      <c r="B14" s="6" t="s">
        <v>46</v>
      </c>
      <c r="C14" s="8" t="s">
        <v>19</v>
      </c>
      <c r="D14" s="8" t="s">
        <v>20</v>
      </c>
      <c r="E14" s="6"/>
      <c r="F14" s="6"/>
      <c r="G14" s="6"/>
    </row>
    <row r="15">
      <c r="A15" s="6" t="s">
        <v>49</v>
      </c>
      <c r="B15" s="6" t="s">
        <v>48</v>
      </c>
      <c r="C15" s="8" t="s">
        <v>19</v>
      </c>
      <c r="D15" s="8" t="s">
        <v>20</v>
      </c>
      <c r="E15" s="6"/>
      <c r="F15" s="6"/>
      <c r="G15" s="6"/>
    </row>
    <row r="16">
      <c r="A16" s="6" t="s">
        <v>51</v>
      </c>
      <c r="B16" s="6" t="s">
        <v>50</v>
      </c>
      <c r="C16" s="8" t="s">
        <v>19</v>
      </c>
      <c r="D16" s="8" t="s">
        <v>20</v>
      </c>
      <c r="E16" s="6"/>
      <c r="F16" s="6"/>
      <c r="G16" s="6"/>
    </row>
    <row r="17">
      <c r="A17" s="6" t="s">
        <v>53</v>
      </c>
      <c r="B17" s="6" t="s">
        <v>52</v>
      </c>
      <c r="C17" s="8" t="s">
        <v>19</v>
      </c>
      <c r="D17" s="8" t="s">
        <v>20</v>
      </c>
      <c r="E17" s="6"/>
      <c r="F17" s="6"/>
      <c r="G17" s="6"/>
    </row>
    <row r="18">
      <c r="A18" s="6" t="s">
        <v>55</v>
      </c>
      <c r="B18" s="6" t="s">
        <v>54</v>
      </c>
      <c r="C18" s="8" t="s">
        <v>19</v>
      </c>
      <c r="D18" s="8" t="s">
        <v>20</v>
      </c>
      <c r="E18" s="6"/>
      <c r="F18" s="6"/>
      <c r="G18" s="6"/>
    </row>
    <row r="19">
      <c r="A19" s="6" t="s">
        <v>59</v>
      </c>
      <c r="B19" s="6" t="s">
        <v>58</v>
      </c>
      <c r="C19" s="8" t="s">
        <v>19</v>
      </c>
      <c r="D19" s="8" t="s">
        <v>20</v>
      </c>
      <c r="E19" s="6"/>
      <c r="F19" s="6"/>
      <c r="G19" s="6"/>
    </row>
    <row r="20">
      <c r="A20" s="6" t="s">
        <v>64</v>
      </c>
      <c r="B20" s="6" t="s">
        <v>62</v>
      </c>
      <c r="C20" s="8" t="s">
        <v>19</v>
      </c>
      <c r="D20" s="8" t="s">
        <v>20</v>
      </c>
      <c r="E20" s="6"/>
      <c r="F20" s="6"/>
      <c r="G20" s="6"/>
    </row>
    <row r="21" ht="15.75" customHeight="1">
      <c r="A21" s="6" t="s">
        <v>66</v>
      </c>
      <c r="B21" s="6" t="s">
        <v>65</v>
      </c>
      <c r="C21" s="8" t="s">
        <v>19</v>
      </c>
      <c r="D21" s="8" t="s">
        <v>20</v>
      </c>
      <c r="E21" s="6"/>
      <c r="F21" s="6"/>
      <c r="G21" s="6"/>
    </row>
    <row r="22" ht="15.75" customHeight="1">
      <c r="A22" s="6" t="s">
        <v>68</v>
      </c>
      <c r="B22" s="6" t="s">
        <v>67</v>
      </c>
      <c r="C22" s="8" t="s">
        <v>19</v>
      </c>
      <c r="D22" s="8" t="s">
        <v>25</v>
      </c>
      <c r="E22" s="6"/>
      <c r="F22" s="6"/>
      <c r="G22" s="6"/>
    </row>
    <row r="23" ht="15.75" customHeight="1">
      <c r="A23" s="6" t="s">
        <v>70</v>
      </c>
      <c r="B23" s="6" t="s">
        <v>69</v>
      </c>
      <c r="C23" s="8" t="s">
        <v>19</v>
      </c>
      <c r="D23" s="8" t="s">
        <v>20</v>
      </c>
      <c r="E23" s="6"/>
      <c r="F23" s="6"/>
      <c r="G23" s="6"/>
    </row>
    <row r="24" ht="15.75" customHeight="1">
      <c r="A24" s="6" t="s">
        <v>72</v>
      </c>
      <c r="B24" s="6" t="s">
        <v>71</v>
      </c>
      <c r="C24" s="8" t="s">
        <v>19</v>
      </c>
      <c r="D24" s="8" t="s">
        <v>20</v>
      </c>
      <c r="E24" s="6"/>
      <c r="F24" s="6"/>
      <c r="G24" s="6"/>
    </row>
    <row r="25" ht="15.75" customHeight="1">
      <c r="A25" s="6" t="s">
        <v>75</v>
      </c>
      <c r="B25" s="6" t="s">
        <v>74</v>
      </c>
      <c r="C25" s="8" t="s">
        <v>19</v>
      </c>
      <c r="D25" s="8" t="s">
        <v>25</v>
      </c>
      <c r="E25" s="6"/>
      <c r="F25" s="6"/>
      <c r="G25" s="6"/>
    </row>
    <row r="26" ht="15.75" customHeight="1">
      <c r="A26" s="6" t="s">
        <v>77</v>
      </c>
      <c r="B26" s="6" t="s">
        <v>76</v>
      </c>
      <c r="C26" s="8" t="s">
        <v>19</v>
      </c>
      <c r="D26" s="8" t="s">
        <v>78</v>
      </c>
      <c r="E26" s="6"/>
      <c r="F26" s="6"/>
      <c r="G26" s="6"/>
    </row>
    <row r="27" ht="15.75" customHeight="1">
      <c r="A27" s="6" t="s">
        <v>80</v>
      </c>
      <c r="B27" s="6" t="s">
        <v>79</v>
      </c>
      <c r="C27" s="8" t="s">
        <v>19</v>
      </c>
      <c r="D27" s="8" t="s">
        <v>25</v>
      </c>
      <c r="E27" s="6"/>
      <c r="F27" s="6"/>
      <c r="G27" s="6"/>
    </row>
    <row r="28" ht="15.75" customHeight="1">
      <c r="A28" s="6" t="s">
        <v>82</v>
      </c>
      <c r="B28" s="6" t="s">
        <v>81</v>
      </c>
      <c r="C28" s="8" t="s">
        <v>19</v>
      </c>
      <c r="D28" s="8" t="s">
        <v>20</v>
      </c>
      <c r="E28" s="6"/>
      <c r="F28" s="6"/>
      <c r="G28" s="6"/>
    </row>
    <row r="29" ht="15.75" customHeight="1">
      <c r="A29" s="6" t="s">
        <v>84</v>
      </c>
      <c r="B29" s="6" t="s">
        <v>83</v>
      </c>
      <c r="C29" s="8" t="s">
        <v>19</v>
      </c>
      <c r="D29" s="8" t="s">
        <v>20</v>
      </c>
      <c r="E29" s="6"/>
      <c r="F29" s="6"/>
      <c r="G29" s="6"/>
    </row>
    <row r="30" ht="15.75" customHeight="1">
      <c r="A30" s="6" t="s">
        <v>87</v>
      </c>
      <c r="B30" s="6" t="s">
        <v>86</v>
      </c>
      <c r="C30" s="8" t="s">
        <v>19</v>
      </c>
      <c r="D30" s="8" t="s">
        <v>20</v>
      </c>
      <c r="E30" s="6"/>
      <c r="F30" s="6"/>
      <c r="G30" s="6"/>
    </row>
    <row r="31" ht="15.75" customHeight="1">
      <c r="A31" s="6" t="s">
        <v>89</v>
      </c>
      <c r="B31" s="6" t="s">
        <v>88</v>
      </c>
      <c r="C31" s="8" t="s">
        <v>19</v>
      </c>
      <c r="D31" s="8" t="s">
        <v>25</v>
      </c>
      <c r="E31" s="6"/>
      <c r="F31" s="6"/>
      <c r="G31" s="6"/>
    </row>
    <row r="32" ht="15.75" customHeight="1">
      <c r="A32" s="6" t="s">
        <v>92</v>
      </c>
      <c r="B32" s="6" t="s">
        <v>91</v>
      </c>
      <c r="C32" s="8" t="s">
        <v>19</v>
      </c>
      <c r="D32" s="8" t="s">
        <v>25</v>
      </c>
      <c r="E32" s="6"/>
      <c r="F32" s="6"/>
      <c r="G32" s="6"/>
    </row>
    <row r="33" ht="15.75" customHeight="1">
      <c r="A33" s="6" t="s">
        <v>94</v>
      </c>
      <c r="B33" s="6" t="s">
        <v>93</v>
      </c>
      <c r="C33" s="8" t="s">
        <v>19</v>
      </c>
      <c r="D33" s="8" t="s">
        <v>25</v>
      </c>
      <c r="E33" s="6"/>
      <c r="F33" s="6"/>
      <c r="G33" s="6"/>
    </row>
    <row r="34" ht="15.75" customHeight="1">
      <c r="A34" s="6" t="s">
        <v>96</v>
      </c>
      <c r="B34" s="6" t="s">
        <v>95</v>
      </c>
      <c r="C34" s="8" t="s">
        <v>19</v>
      </c>
      <c r="D34" s="8" t="s">
        <v>20</v>
      </c>
      <c r="E34" s="6"/>
      <c r="F34" s="6"/>
      <c r="G34" s="6"/>
    </row>
    <row r="35" ht="15.75" customHeight="1">
      <c r="A35" s="6" t="s">
        <v>99</v>
      </c>
      <c r="B35" s="6" t="s">
        <v>98</v>
      </c>
      <c r="C35" s="8" t="s">
        <v>19</v>
      </c>
      <c r="D35" s="8" t="s">
        <v>20</v>
      </c>
      <c r="E35" s="6"/>
      <c r="F35" s="6"/>
      <c r="G35" s="6"/>
    </row>
    <row r="36" ht="15.75" customHeight="1">
      <c r="A36" s="6" t="s">
        <v>102</v>
      </c>
      <c r="B36" s="6" t="s">
        <v>101</v>
      </c>
      <c r="C36" s="8" t="s">
        <v>19</v>
      </c>
      <c r="D36" s="8" t="s">
        <v>20</v>
      </c>
      <c r="E36" s="6"/>
      <c r="F36" s="6"/>
      <c r="G36" s="6"/>
    </row>
    <row r="37" ht="15.75" customHeight="1">
      <c r="A37" s="6" t="s">
        <v>106</v>
      </c>
      <c r="B37" s="6" t="s">
        <v>105</v>
      </c>
      <c r="C37" s="8" t="s">
        <v>19</v>
      </c>
      <c r="D37" s="8" t="s">
        <v>20</v>
      </c>
      <c r="E37" s="6"/>
      <c r="F37" s="6"/>
      <c r="G37" s="6"/>
    </row>
    <row r="38" ht="15.75" customHeight="1">
      <c r="A38" s="6" t="s">
        <v>110</v>
      </c>
      <c r="B38" s="6" t="s">
        <v>108</v>
      </c>
      <c r="C38" s="8" t="s">
        <v>19</v>
      </c>
      <c r="D38" s="8" t="s">
        <v>20</v>
      </c>
      <c r="E38" s="6"/>
      <c r="F38" s="6"/>
      <c r="G38" s="6"/>
    </row>
    <row r="39" ht="15.75" customHeight="1">
      <c r="A39" s="6" t="s">
        <v>112</v>
      </c>
      <c r="B39" s="6" t="s">
        <v>111</v>
      </c>
      <c r="C39" s="8" t="s">
        <v>19</v>
      </c>
      <c r="D39" s="8" t="s">
        <v>20</v>
      </c>
      <c r="E39" s="6"/>
      <c r="F39" s="6"/>
      <c r="G39" s="6"/>
    </row>
    <row r="40" ht="15.75" customHeight="1">
      <c r="A40" s="6" t="s">
        <v>114</v>
      </c>
      <c r="B40" s="6" t="s">
        <v>113</v>
      </c>
      <c r="C40" s="8" t="s">
        <v>19</v>
      </c>
      <c r="D40" s="8" t="s">
        <v>78</v>
      </c>
      <c r="E40" s="6"/>
      <c r="F40" s="6"/>
      <c r="G40" s="6"/>
    </row>
    <row r="41" ht="15.75" customHeight="1">
      <c r="A41" s="6" t="s">
        <v>117</v>
      </c>
      <c r="B41" s="6" t="s">
        <v>116</v>
      </c>
      <c r="C41" s="8" t="s">
        <v>19</v>
      </c>
      <c r="D41" s="8" t="s">
        <v>20</v>
      </c>
      <c r="E41" s="6"/>
      <c r="F41" s="6"/>
      <c r="G41" s="6"/>
    </row>
    <row r="42" ht="15.75" customHeight="1">
      <c r="A42" s="6" t="s">
        <v>121</v>
      </c>
      <c r="B42" s="6" t="s">
        <v>120</v>
      </c>
      <c r="C42" s="8" t="s">
        <v>19</v>
      </c>
      <c r="D42" s="8" t="s">
        <v>20</v>
      </c>
      <c r="E42" s="6"/>
      <c r="F42" s="6"/>
      <c r="G42" s="6"/>
    </row>
    <row r="43" ht="15.75" customHeight="1">
      <c r="A43" s="6" t="s">
        <v>124</v>
      </c>
      <c r="B43" s="6" t="s">
        <v>123</v>
      </c>
      <c r="C43" s="8" t="s">
        <v>19</v>
      </c>
      <c r="D43" s="8" t="s">
        <v>20</v>
      </c>
      <c r="E43" s="6"/>
      <c r="F43" s="6"/>
      <c r="G43" s="6"/>
    </row>
    <row r="44" ht="15.75" customHeight="1">
      <c r="A44" s="6" t="s">
        <v>128</v>
      </c>
      <c r="B44" s="6" t="s">
        <v>127</v>
      </c>
      <c r="C44" s="8" t="s">
        <v>19</v>
      </c>
      <c r="D44" s="8" t="s">
        <v>20</v>
      </c>
      <c r="E44" s="6"/>
      <c r="F44" s="6"/>
      <c r="G44" s="6"/>
    </row>
    <row r="45" ht="15.75" customHeight="1">
      <c r="A45" s="6" t="s">
        <v>130</v>
      </c>
      <c r="B45" s="6" t="s">
        <v>129</v>
      </c>
      <c r="C45" s="8" t="s">
        <v>19</v>
      </c>
      <c r="D45" s="8" t="s">
        <v>78</v>
      </c>
      <c r="E45" s="6"/>
      <c r="F45" s="6"/>
      <c r="G45" s="6"/>
    </row>
    <row r="46" ht="15.75" customHeight="1">
      <c r="A46" s="6" t="s">
        <v>133</v>
      </c>
      <c r="B46" s="6" t="s">
        <v>132</v>
      </c>
      <c r="C46" s="8" t="s">
        <v>19</v>
      </c>
      <c r="D46" s="8" t="s">
        <v>20</v>
      </c>
      <c r="E46" s="6"/>
      <c r="F46" s="6"/>
      <c r="G46" s="6"/>
    </row>
    <row r="47" ht="15.75" customHeight="1">
      <c r="A47" s="6" t="s">
        <v>136</v>
      </c>
      <c r="B47" s="6" t="s">
        <v>135</v>
      </c>
      <c r="C47" s="8" t="s">
        <v>19</v>
      </c>
      <c r="D47" s="8" t="s">
        <v>20</v>
      </c>
      <c r="E47" s="6"/>
      <c r="F47" s="6"/>
      <c r="G47" s="6"/>
    </row>
    <row r="48" ht="15.75" customHeight="1">
      <c r="A48" s="6" t="s">
        <v>138</v>
      </c>
      <c r="B48" s="6" t="s">
        <v>137</v>
      </c>
      <c r="C48" s="8" t="s">
        <v>19</v>
      </c>
      <c r="D48" s="8" t="s">
        <v>20</v>
      </c>
      <c r="E48" s="6"/>
      <c r="F48" s="6"/>
      <c r="G48" s="6"/>
    </row>
    <row r="49" ht="15.75" customHeight="1">
      <c r="A49" s="6" t="s">
        <v>140</v>
      </c>
      <c r="B49" s="6" t="s">
        <v>139</v>
      </c>
      <c r="C49" s="8" t="s">
        <v>19</v>
      </c>
      <c r="D49" s="8" t="s">
        <v>20</v>
      </c>
      <c r="E49" s="6"/>
      <c r="F49" s="6"/>
      <c r="G49" s="6"/>
    </row>
    <row r="50" ht="15.75" customHeight="1">
      <c r="A50" s="6" t="s">
        <v>144</v>
      </c>
      <c r="B50" s="6" t="s">
        <v>142</v>
      </c>
      <c r="C50" s="8" t="s">
        <v>19</v>
      </c>
      <c r="D50" s="8" t="s">
        <v>20</v>
      </c>
      <c r="E50" s="6"/>
      <c r="F50" s="6"/>
      <c r="G50" s="6"/>
    </row>
    <row r="51" ht="15.75" customHeight="1">
      <c r="A51" s="6" t="s">
        <v>147</v>
      </c>
      <c r="B51" s="6" t="s">
        <v>146</v>
      </c>
      <c r="C51" s="8" t="s">
        <v>19</v>
      </c>
      <c r="D51" s="8" t="s">
        <v>20</v>
      </c>
      <c r="E51" s="6"/>
      <c r="F51" s="6"/>
      <c r="G51" s="6"/>
    </row>
    <row r="52" ht="15.75" customHeight="1">
      <c r="A52" s="6" t="s">
        <v>149</v>
      </c>
      <c r="B52" s="6" t="s">
        <v>148</v>
      </c>
      <c r="C52" s="8" t="s">
        <v>19</v>
      </c>
      <c r="D52" s="8" t="s">
        <v>20</v>
      </c>
      <c r="E52" s="6"/>
      <c r="F52" s="6"/>
      <c r="G52" s="6"/>
    </row>
    <row r="53" ht="15.75" customHeight="1">
      <c r="A53" s="6" t="s">
        <v>151</v>
      </c>
      <c r="B53" s="6" t="s">
        <v>150</v>
      </c>
      <c r="C53" s="8" t="s">
        <v>19</v>
      </c>
      <c r="D53" s="8" t="s">
        <v>25</v>
      </c>
      <c r="E53" s="6"/>
      <c r="F53" s="6"/>
      <c r="G53" s="6"/>
    </row>
    <row r="54" ht="15.75" customHeight="1">
      <c r="A54" s="6" t="s">
        <v>154</v>
      </c>
      <c r="B54" s="6" t="s">
        <v>153</v>
      </c>
      <c r="C54" s="8" t="s">
        <v>19</v>
      </c>
      <c r="D54" s="8" t="s">
        <v>20</v>
      </c>
      <c r="E54" s="6"/>
      <c r="F54" s="6"/>
      <c r="G54" s="6"/>
    </row>
    <row r="55" ht="15.75" customHeight="1">
      <c r="A55" s="6" t="s">
        <v>157</v>
      </c>
      <c r="B55" s="6" t="s">
        <v>156</v>
      </c>
      <c r="C55" s="8" t="s">
        <v>19</v>
      </c>
      <c r="D55" s="8" t="s">
        <v>20</v>
      </c>
      <c r="E55" s="6"/>
      <c r="F55" s="6"/>
      <c r="G55" s="6"/>
    </row>
    <row r="56" ht="15.75" customHeight="1">
      <c r="A56" s="6" t="s">
        <v>159</v>
      </c>
      <c r="B56" s="6" t="s">
        <v>158</v>
      </c>
      <c r="C56" s="8" t="s">
        <v>19</v>
      </c>
      <c r="D56" s="8" t="s">
        <v>161</v>
      </c>
      <c r="E56" s="6"/>
      <c r="F56" s="6"/>
      <c r="G56" s="6"/>
    </row>
    <row r="57" ht="15.75" customHeight="1">
      <c r="A57" s="6" t="s">
        <v>164</v>
      </c>
      <c r="B57" s="6" t="s">
        <v>162</v>
      </c>
      <c r="C57" s="8" t="s">
        <v>19</v>
      </c>
      <c r="D57" s="8" t="s">
        <v>20</v>
      </c>
      <c r="E57" s="6"/>
      <c r="F57" s="6"/>
      <c r="G57" s="6"/>
    </row>
    <row r="58" ht="15.75" customHeight="1">
      <c r="A58" s="6" t="s">
        <v>166</v>
      </c>
      <c r="B58" s="6" t="s">
        <v>165</v>
      </c>
      <c r="C58" s="8" t="s">
        <v>19</v>
      </c>
      <c r="D58" s="8" t="s">
        <v>20</v>
      </c>
      <c r="E58" s="6"/>
      <c r="F58" s="6"/>
      <c r="G58" s="6"/>
    </row>
    <row r="59" ht="15.75" customHeight="1">
      <c r="A59" s="6" t="s">
        <v>168</v>
      </c>
      <c r="B59" s="6" t="s">
        <v>167</v>
      </c>
      <c r="C59" s="8" t="s">
        <v>19</v>
      </c>
      <c r="D59" s="8" t="s">
        <v>20</v>
      </c>
      <c r="E59" s="6"/>
      <c r="F59" s="6"/>
      <c r="G59" s="6"/>
    </row>
    <row r="60" ht="15.75" customHeight="1">
      <c r="A60" s="6" t="s">
        <v>174</v>
      </c>
      <c r="B60" s="6" t="s">
        <v>172</v>
      </c>
      <c r="C60" s="8" t="s">
        <v>19</v>
      </c>
      <c r="D60" s="8" t="s">
        <v>78</v>
      </c>
      <c r="E60" s="6"/>
      <c r="F60" s="6"/>
      <c r="G60" s="6"/>
    </row>
    <row r="61" ht="15.75" customHeight="1">
      <c r="A61" s="6" t="s">
        <v>179</v>
      </c>
      <c r="B61" s="6" t="s">
        <v>178</v>
      </c>
      <c r="C61" s="8" t="s">
        <v>19</v>
      </c>
      <c r="D61" s="8" t="s">
        <v>78</v>
      </c>
      <c r="E61" s="6"/>
      <c r="F61" s="6"/>
      <c r="G61" s="6"/>
    </row>
    <row r="62" ht="15.75" customHeight="1">
      <c r="A62" s="6" t="s">
        <v>183</v>
      </c>
      <c r="B62" s="6" t="s">
        <v>182</v>
      </c>
      <c r="C62" s="8" t="s">
        <v>19</v>
      </c>
      <c r="D62" s="8" t="s">
        <v>78</v>
      </c>
      <c r="E62" s="6"/>
      <c r="F62" s="6"/>
      <c r="G62" s="6"/>
    </row>
    <row r="63" ht="15.75" customHeight="1">
      <c r="A63" s="6" t="s">
        <v>185</v>
      </c>
      <c r="B63" s="6" t="s">
        <v>184</v>
      </c>
      <c r="C63" s="8" t="s">
        <v>19</v>
      </c>
      <c r="D63" s="8" t="s">
        <v>78</v>
      </c>
      <c r="E63" s="6"/>
      <c r="F63" s="6"/>
      <c r="G63" s="6"/>
    </row>
    <row r="64" ht="15.75" customHeight="1">
      <c r="A64" s="6" t="s">
        <v>187</v>
      </c>
      <c r="B64" s="6" t="s">
        <v>186</v>
      </c>
      <c r="C64" s="8" t="s">
        <v>19</v>
      </c>
      <c r="D64" s="8" t="s">
        <v>20</v>
      </c>
      <c r="E64" s="6"/>
      <c r="F64" s="6"/>
      <c r="G64" s="6"/>
    </row>
    <row r="65" ht="15.75" customHeight="1">
      <c r="A65" s="6" t="s">
        <v>190</v>
      </c>
      <c r="B65" s="6" t="s">
        <v>189</v>
      </c>
      <c r="C65" s="8" t="s">
        <v>19</v>
      </c>
      <c r="D65" s="8" t="s">
        <v>20</v>
      </c>
      <c r="E65" s="6"/>
      <c r="F65" s="6"/>
      <c r="G65" s="6"/>
    </row>
    <row r="66" ht="15.75" customHeight="1">
      <c r="A66" s="6" t="s">
        <v>193</v>
      </c>
      <c r="B66" s="6" t="s">
        <v>192</v>
      </c>
      <c r="C66" s="8" t="s">
        <v>19</v>
      </c>
      <c r="D66" s="8" t="s">
        <v>161</v>
      </c>
      <c r="E66" s="6"/>
      <c r="F66" s="6"/>
      <c r="G66" s="6"/>
    </row>
    <row r="67" ht="15.75" customHeight="1">
      <c r="A67" s="6" t="s">
        <v>196</v>
      </c>
      <c r="B67" s="6" t="s">
        <v>195</v>
      </c>
      <c r="C67" s="8" t="s">
        <v>19</v>
      </c>
      <c r="D67" s="8" t="s">
        <v>20</v>
      </c>
      <c r="E67" s="6"/>
      <c r="F67" s="6"/>
      <c r="G67" s="6"/>
    </row>
    <row r="68" ht="15.75" customHeight="1">
      <c r="A68" s="6" t="s">
        <v>198</v>
      </c>
      <c r="B68" s="6" t="s">
        <v>197</v>
      </c>
      <c r="C68" s="8" t="s">
        <v>19</v>
      </c>
      <c r="D68" s="8" t="s">
        <v>78</v>
      </c>
      <c r="E68" s="6"/>
      <c r="F68" s="6"/>
      <c r="G68" s="6"/>
    </row>
    <row r="69" ht="15.75" customHeight="1">
      <c r="A69" s="6" t="s">
        <v>201</v>
      </c>
      <c r="B69" s="6" t="s">
        <v>199</v>
      </c>
      <c r="C69" s="8" t="s">
        <v>19</v>
      </c>
      <c r="D69" s="8" t="s">
        <v>25</v>
      </c>
      <c r="E69" s="6"/>
      <c r="F69" s="6"/>
      <c r="G69" s="6"/>
    </row>
    <row r="70" ht="15.75" customHeight="1">
      <c r="A70" s="6" t="s">
        <v>205</v>
      </c>
      <c r="B70" s="6" t="s">
        <v>202</v>
      </c>
      <c r="C70" s="8" t="s">
        <v>19</v>
      </c>
      <c r="D70" s="8" t="s">
        <v>20</v>
      </c>
      <c r="E70" s="6"/>
      <c r="F70" s="6"/>
      <c r="G70" s="6"/>
    </row>
    <row r="71" ht="15.75" customHeight="1">
      <c r="A71" s="6" t="s">
        <v>207</v>
      </c>
      <c r="B71" s="6" t="s">
        <v>206</v>
      </c>
      <c r="C71" s="8" t="s">
        <v>19</v>
      </c>
      <c r="D71" s="8" t="s">
        <v>20</v>
      </c>
      <c r="E71" s="6"/>
      <c r="F71" s="6"/>
      <c r="G71" s="6"/>
    </row>
    <row r="72" ht="15.75" customHeight="1">
      <c r="A72" s="6" t="s">
        <v>209</v>
      </c>
      <c r="B72" s="6" t="s">
        <v>208</v>
      </c>
      <c r="C72" s="8" t="s">
        <v>19</v>
      </c>
      <c r="D72" s="8" t="s">
        <v>25</v>
      </c>
      <c r="E72" s="6"/>
      <c r="F72" s="6"/>
      <c r="G72" s="6"/>
    </row>
    <row r="73" ht="15.75" customHeight="1">
      <c r="A73" s="6" t="s">
        <v>213</v>
      </c>
      <c r="B73" s="6" t="s">
        <v>211</v>
      </c>
      <c r="C73" s="8" t="s">
        <v>19</v>
      </c>
      <c r="D73" s="8" t="s">
        <v>20</v>
      </c>
      <c r="E73" s="6"/>
      <c r="F73" s="6"/>
      <c r="G73" s="6"/>
    </row>
    <row r="74" ht="15.75" customHeight="1">
      <c r="A74" s="6" t="s">
        <v>215</v>
      </c>
      <c r="B74" s="6" t="s">
        <v>214</v>
      </c>
      <c r="C74" s="8" t="s">
        <v>19</v>
      </c>
      <c r="D74" s="8" t="s">
        <v>20</v>
      </c>
      <c r="E74" s="6"/>
      <c r="F74" s="6"/>
      <c r="G74" s="6"/>
    </row>
    <row r="75" ht="15.75" customHeight="1">
      <c r="A75" s="6" t="s">
        <v>217</v>
      </c>
      <c r="B75" s="6" t="s">
        <v>216</v>
      </c>
      <c r="C75" s="8" t="s">
        <v>19</v>
      </c>
      <c r="D75" s="8" t="s">
        <v>78</v>
      </c>
      <c r="E75" s="6"/>
      <c r="F75" s="6"/>
      <c r="G75" s="6"/>
    </row>
    <row r="76" ht="15.75" customHeight="1">
      <c r="A76" s="6" t="s">
        <v>220</v>
      </c>
      <c r="B76" s="6" t="s">
        <v>218</v>
      </c>
      <c r="C76" s="8" t="s">
        <v>19</v>
      </c>
      <c r="D76" s="8" t="s">
        <v>20</v>
      </c>
      <c r="E76" s="6"/>
      <c r="F76" s="6"/>
      <c r="G76" s="6"/>
    </row>
    <row r="77" ht="15.75" customHeight="1">
      <c r="A77" s="6" t="s">
        <v>222</v>
      </c>
      <c r="B77" s="6" t="s">
        <v>221</v>
      </c>
      <c r="C77" s="8" t="s">
        <v>19</v>
      </c>
      <c r="D77" s="8" t="s">
        <v>20</v>
      </c>
      <c r="E77" s="6"/>
      <c r="F77" s="6"/>
      <c r="G77" s="6"/>
    </row>
    <row r="78" ht="15.75" customHeight="1">
      <c r="A78" s="6" t="s">
        <v>224</v>
      </c>
      <c r="B78" s="6" t="s">
        <v>223</v>
      </c>
      <c r="C78" s="8" t="s">
        <v>19</v>
      </c>
      <c r="D78" s="8" t="s">
        <v>20</v>
      </c>
      <c r="E78" s="6"/>
      <c r="F78" s="6"/>
      <c r="G78" s="6"/>
    </row>
    <row r="79" ht="15.75" customHeight="1">
      <c r="A79" s="6" t="s">
        <v>228</v>
      </c>
      <c r="B79" s="6" t="s">
        <v>227</v>
      </c>
      <c r="C79" s="8" t="s">
        <v>19</v>
      </c>
      <c r="D79" s="8" t="s">
        <v>20</v>
      </c>
      <c r="E79" s="6"/>
      <c r="F79" s="6"/>
      <c r="G79" s="6"/>
    </row>
    <row r="80" ht="15.75" customHeight="1">
      <c r="A80" s="6" t="s">
        <v>230</v>
      </c>
      <c r="B80" s="6" t="s">
        <v>229</v>
      </c>
      <c r="C80" s="8" t="s">
        <v>19</v>
      </c>
      <c r="D80" s="8" t="s">
        <v>20</v>
      </c>
      <c r="E80" s="6"/>
      <c r="F80" s="6"/>
      <c r="G80" s="6"/>
    </row>
    <row r="81" ht="15.75" customHeight="1">
      <c r="A81" s="6" t="s">
        <v>232</v>
      </c>
      <c r="B81" s="6" t="s">
        <v>231</v>
      </c>
      <c r="C81" s="8" t="s">
        <v>19</v>
      </c>
      <c r="D81" s="8" t="s">
        <v>20</v>
      </c>
      <c r="E81" s="6"/>
      <c r="F81" s="6"/>
      <c r="G81" s="6"/>
    </row>
    <row r="82" ht="15.75" customHeight="1">
      <c r="A82" s="6" t="s">
        <v>236</v>
      </c>
      <c r="B82" s="6" t="s">
        <v>235</v>
      </c>
      <c r="C82" s="8" t="s">
        <v>19</v>
      </c>
      <c r="D82" s="8" t="s">
        <v>20</v>
      </c>
      <c r="E82" s="6"/>
      <c r="F82" s="6"/>
      <c r="G82" s="6"/>
    </row>
    <row r="83" ht="15.75" customHeight="1">
      <c r="A83" s="6" t="s">
        <v>239</v>
      </c>
      <c r="B83" s="6" t="s">
        <v>238</v>
      </c>
      <c r="C83" s="8" t="s">
        <v>19</v>
      </c>
      <c r="D83" s="8" t="s">
        <v>20</v>
      </c>
      <c r="E83" s="6"/>
      <c r="F83" s="6"/>
      <c r="G83" s="6"/>
    </row>
    <row r="84" ht="15.75" customHeight="1">
      <c r="A84" s="6" t="s">
        <v>241</v>
      </c>
      <c r="B84" s="6" t="s">
        <v>240</v>
      </c>
      <c r="C84" s="8" t="s">
        <v>19</v>
      </c>
      <c r="D84" s="8" t="s">
        <v>20</v>
      </c>
      <c r="E84" s="6"/>
      <c r="F84" s="6"/>
      <c r="G84" s="6"/>
    </row>
    <row r="85" ht="15.75" customHeight="1">
      <c r="A85" s="6" t="s">
        <v>243</v>
      </c>
      <c r="B85" s="6" t="s">
        <v>242</v>
      </c>
      <c r="C85" s="8" t="s">
        <v>19</v>
      </c>
      <c r="D85" s="8" t="s">
        <v>20</v>
      </c>
      <c r="E85" s="6"/>
      <c r="F85" s="6"/>
      <c r="G85" s="6"/>
    </row>
    <row r="86" ht="15.75" customHeight="1">
      <c r="A86" s="6" t="s">
        <v>246</v>
      </c>
      <c r="B86" s="6" t="s">
        <v>245</v>
      </c>
      <c r="C86" s="8" t="s">
        <v>19</v>
      </c>
      <c r="D86" s="8" t="s">
        <v>20</v>
      </c>
      <c r="E86" s="6"/>
      <c r="F86" s="6"/>
      <c r="G86" s="6"/>
    </row>
    <row r="87" ht="15.75" customHeight="1">
      <c r="A87" s="6" t="s">
        <v>251</v>
      </c>
      <c r="B87" s="6" t="s">
        <v>250</v>
      </c>
      <c r="C87" s="8" t="s">
        <v>19</v>
      </c>
      <c r="D87" s="8" t="s">
        <v>20</v>
      </c>
      <c r="E87" s="6"/>
      <c r="F87" s="6"/>
      <c r="G87" s="6"/>
    </row>
    <row r="88" ht="15.75" customHeight="1">
      <c r="A88" s="6" t="s">
        <v>253</v>
      </c>
      <c r="B88" s="6" t="s">
        <v>252</v>
      </c>
      <c r="C88" s="8" t="s">
        <v>19</v>
      </c>
      <c r="D88" s="8" t="s">
        <v>20</v>
      </c>
      <c r="E88" s="6"/>
      <c r="F88" s="6"/>
      <c r="G88" s="6"/>
    </row>
    <row r="89" ht="15.75" customHeight="1">
      <c r="A89" s="6" t="s">
        <v>255</v>
      </c>
      <c r="B89" s="6" t="s">
        <v>254</v>
      </c>
      <c r="C89" s="8" t="s">
        <v>19</v>
      </c>
      <c r="D89" s="8" t="s">
        <v>20</v>
      </c>
      <c r="E89" s="6"/>
      <c r="F89" s="6"/>
      <c r="G89" s="6"/>
    </row>
    <row r="90" ht="15.75" customHeight="1">
      <c r="A90" s="6" t="s">
        <v>257</v>
      </c>
      <c r="B90" s="6" t="s">
        <v>256</v>
      </c>
      <c r="C90" s="8" t="s">
        <v>19</v>
      </c>
      <c r="D90" s="8" t="s">
        <v>20</v>
      </c>
      <c r="E90" s="6"/>
      <c r="F90" s="6"/>
      <c r="G90" s="6"/>
    </row>
    <row r="91" ht="15.75" customHeight="1">
      <c r="A91" s="6" t="s">
        <v>260</v>
      </c>
      <c r="B91" s="6" t="s">
        <v>258</v>
      </c>
      <c r="C91" s="8" t="s">
        <v>19</v>
      </c>
      <c r="D91" s="8" t="s">
        <v>20</v>
      </c>
      <c r="E91" s="6"/>
      <c r="F91" s="6"/>
      <c r="G91" s="6"/>
    </row>
    <row r="92" ht="15.75" customHeight="1">
      <c r="A92" s="6" t="s">
        <v>262</v>
      </c>
      <c r="B92" s="6" t="s">
        <v>261</v>
      </c>
      <c r="C92" s="8" t="s">
        <v>19</v>
      </c>
      <c r="D92" s="8" t="s">
        <v>20</v>
      </c>
      <c r="E92" s="6"/>
      <c r="F92" s="6"/>
      <c r="G92" s="6"/>
    </row>
    <row r="93" ht="15.75" customHeight="1">
      <c r="A93" s="6" t="s">
        <v>264</v>
      </c>
      <c r="B93" s="6" t="s">
        <v>263</v>
      </c>
      <c r="C93" s="8" t="s">
        <v>19</v>
      </c>
      <c r="D93" s="8" t="s">
        <v>20</v>
      </c>
      <c r="E93" s="6"/>
      <c r="F93" s="6"/>
      <c r="G93" s="6"/>
    </row>
    <row r="94" ht="15.75" customHeight="1">
      <c r="A94" s="6" t="s">
        <v>266</v>
      </c>
      <c r="B94" s="6" t="s">
        <v>265</v>
      </c>
      <c r="C94" s="8" t="s">
        <v>19</v>
      </c>
      <c r="D94" s="8" t="s">
        <v>25</v>
      </c>
      <c r="E94" s="6"/>
      <c r="F94" s="6"/>
      <c r="G94" s="6"/>
    </row>
    <row r="95" ht="15.75" customHeight="1">
      <c r="A95" s="6" t="s">
        <v>268</v>
      </c>
      <c r="B95" s="6" t="s">
        <v>267</v>
      </c>
      <c r="C95" s="8" t="s">
        <v>19</v>
      </c>
      <c r="D95" s="8" t="s">
        <v>20</v>
      </c>
      <c r="E95" s="6"/>
      <c r="F95" s="6"/>
      <c r="G95" s="6"/>
    </row>
    <row r="96" ht="15.75" customHeight="1">
      <c r="A96" s="6" t="s">
        <v>270</v>
      </c>
      <c r="B96" s="6" t="s">
        <v>269</v>
      </c>
      <c r="C96" s="8" t="s">
        <v>19</v>
      </c>
      <c r="D96" s="8" t="s">
        <v>20</v>
      </c>
      <c r="E96" s="6"/>
      <c r="F96" s="6"/>
      <c r="G96" s="6"/>
    </row>
    <row r="97" ht="15.75" customHeight="1">
      <c r="A97" s="6" t="s">
        <v>272</v>
      </c>
      <c r="B97" s="6" t="s">
        <v>271</v>
      </c>
      <c r="C97" s="8" t="s">
        <v>19</v>
      </c>
      <c r="D97" s="8" t="s">
        <v>20</v>
      </c>
      <c r="E97" s="6"/>
      <c r="F97" s="6"/>
      <c r="G97" s="6"/>
    </row>
    <row r="98" ht="15.75" customHeight="1">
      <c r="A98" s="6" t="s">
        <v>274</v>
      </c>
      <c r="B98" s="6" t="s">
        <v>273</v>
      </c>
      <c r="C98" s="8" t="s">
        <v>19</v>
      </c>
      <c r="D98" s="8" t="s">
        <v>20</v>
      </c>
      <c r="E98" s="6"/>
      <c r="F98" s="6"/>
      <c r="G98" s="6"/>
    </row>
    <row r="99" ht="15.75" customHeight="1">
      <c r="A99" s="6" t="s">
        <v>276</v>
      </c>
      <c r="B99" s="6" t="s">
        <v>275</v>
      </c>
      <c r="C99" s="8" t="s">
        <v>19</v>
      </c>
      <c r="D99" s="8" t="s">
        <v>78</v>
      </c>
      <c r="E99" s="6"/>
      <c r="F99" s="6"/>
      <c r="G99" s="6"/>
    </row>
    <row r="100" ht="15.75" customHeight="1">
      <c r="A100" s="6" t="s">
        <v>280</v>
      </c>
      <c r="B100" s="6" t="s">
        <v>278</v>
      </c>
      <c r="C100" s="8" t="s">
        <v>19</v>
      </c>
      <c r="D100" s="8" t="s">
        <v>25</v>
      </c>
      <c r="E100" s="6"/>
      <c r="F100" s="6"/>
      <c r="G100" s="6"/>
    </row>
    <row r="101" ht="15.75" customHeight="1">
      <c r="A101" s="6" t="s">
        <v>283</v>
      </c>
      <c r="B101" s="6" t="s">
        <v>282</v>
      </c>
      <c r="C101" s="8" t="s">
        <v>19</v>
      </c>
      <c r="D101" s="8" t="s">
        <v>25</v>
      </c>
      <c r="E101" s="6"/>
      <c r="F101" s="6"/>
      <c r="G101" s="6"/>
    </row>
    <row r="102" ht="15.75" customHeight="1">
      <c r="A102" s="6" t="s">
        <v>285</v>
      </c>
      <c r="B102" s="6" t="s">
        <v>284</v>
      </c>
      <c r="C102" s="8" t="s">
        <v>19</v>
      </c>
      <c r="D102" s="8" t="s">
        <v>25</v>
      </c>
      <c r="E102" s="6"/>
      <c r="F102" s="6"/>
      <c r="G102" s="6"/>
    </row>
    <row r="103" ht="15.75" customHeight="1">
      <c r="A103" s="6" t="s">
        <v>287</v>
      </c>
      <c r="B103" s="6" t="s">
        <v>286</v>
      </c>
      <c r="C103" s="8" t="s">
        <v>19</v>
      </c>
      <c r="D103" s="8" t="s">
        <v>25</v>
      </c>
      <c r="E103" s="6"/>
      <c r="F103" s="6"/>
      <c r="G103" s="6"/>
    </row>
    <row r="104" ht="15.75" customHeight="1">
      <c r="A104" s="6" t="s">
        <v>289</v>
      </c>
      <c r="B104" s="6" t="s">
        <v>288</v>
      </c>
      <c r="C104" s="8" t="s">
        <v>19</v>
      </c>
      <c r="D104" s="8" t="s">
        <v>25</v>
      </c>
      <c r="E104" s="6"/>
      <c r="F104" s="6"/>
      <c r="G104" s="6"/>
    </row>
    <row r="105" ht="15.75" customHeight="1">
      <c r="A105" s="6" t="s">
        <v>293</v>
      </c>
      <c r="B105" s="6" t="s">
        <v>292</v>
      </c>
      <c r="C105" s="8" t="s">
        <v>19</v>
      </c>
      <c r="D105" s="8" t="s">
        <v>25</v>
      </c>
      <c r="E105" s="6"/>
      <c r="F105" s="6"/>
      <c r="G105" s="6"/>
    </row>
    <row r="106" ht="15.75" customHeight="1">
      <c r="A106" s="6" t="s">
        <v>295</v>
      </c>
      <c r="B106" s="6" t="s">
        <v>294</v>
      </c>
      <c r="C106" s="8" t="s">
        <v>19</v>
      </c>
      <c r="D106" s="8" t="s">
        <v>25</v>
      </c>
      <c r="E106" s="6"/>
      <c r="F106" s="6"/>
      <c r="G106" s="6"/>
    </row>
    <row r="107" ht="15.75" customHeight="1">
      <c r="A107" s="6" t="s">
        <v>297</v>
      </c>
      <c r="B107" s="6" t="s">
        <v>296</v>
      </c>
      <c r="C107" s="8" t="s">
        <v>19</v>
      </c>
      <c r="D107" s="8" t="s">
        <v>20</v>
      </c>
      <c r="E107" s="6"/>
      <c r="F107" s="6"/>
      <c r="G107" s="6"/>
    </row>
    <row r="108" ht="15.75" customHeight="1">
      <c r="A108" s="6" t="s">
        <v>299</v>
      </c>
      <c r="B108" s="6" t="s">
        <v>298</v>
      </c>
      <c r="C108" s="8" t="s">
        <v>19</v>
      </c>
      <c r="D108" s="8" t="s">
        <v>20</v>
      </c>
      <c r="E108" s="6"/>
      <c r="F108" s="6"/>
      <c r="G108" s="6"/>
    </row>
    <row r="109" ht="15.75" customHeight="1">
      <c r="A109" s="6" t="s">
        <v>302</v>
      </c>
      <c r="B109" s="6" t="s">
        <v>300</v>
      </c>
      <c r="C109" s="8" t="s">
        <v>19</v>
      </c>
      <c r="D109" s="8" t="s">
        <v>20</v>
      </c>
      <c r="E109" s="6"/>
      <c r="F109" s="6"/>
      <c r="G109" s="6"/>
    </row>
    <row r="110" ht="15.75" customHeight="1">
      <c r="A110" s="6" t="s">
        <v>307</v>
      </c>
      <c r="B110" s="6" t="s">
        <v>306</v>
      </c>
      <c r="C110" s="8" t="s">
        <v>19</v>
      </c>
      <c r="D110" s="8" t="s">
        <v>25</v>
      </c>
      <c r="E110" s="6"/>
      <c r="F110" s="6"/>
      <c r="G110" s="6"/>
    </row>
    <row r="111" ht="15.75" customHeight="1">
      <c r="A111" s="6" t="s">
        <v>309</v>
      </c>
      <c r="B111" s="6" t="s">
        <v>308</v>
      </c>
      <c r="C111" s="8" t="s">
        <v>19</v>
      </c>
      <c r="D111" s="8" t="s">
        <v>20</v>
      </c>
      <c r="E111" s="6"/>
      <c r="F111" s="6"/>
      <c r="G111" s="6"/>
    </row>
    <row r="112" ht="15.75" customHeight="1">
      <c r="A112" s="6" t="s">
        <v>311</v>
      </c>
      <c r="B112" s="6" t="s">
        <v>310</v>
      </c>
      <c r="C112" s="8" t="s">
        <v>19</v>
      </c>
      <c r="D112" s="8" t="s">
        <v>20</v>
      </c>
      <c r="E112" s="6"/>
      <c r="F112" s="6"/>
      <c r="G112" s="6"/>
    </row>
    <row r="113" ht="15.75" customHeight="1">
      <c r="A113" s="6" t="s">
        <v>313</v>
      </c>
      <c r="B113" s="6" t="s">
        <v>312</v>
      </c>
      <c r="C113" s="8" t="s">
        <v>19</v>
      </c>
      <c r="D113" s="8" t="s">
        <v>25</v>
      </c>
      <c r="E113" s="6"/>
      <c r="F113" s="6"/>
      <c r="G113" s="6"/>
    </row>
    <row r="114" ht="15.75" customHeight="1">
      <c r="A114" s="6" t="s">
        <v>315</v>
      </c>
      <c r="B114" s="6" t="s">
        <v>314</v>
      </c>
      <c r="C114" s="8" t="s">
        <v>316</v>
      </c>
      <c r="D114" s="8" t="s">
        <v>318</v>
      </c>
      <c r="E114" s="6"/>
      <c r="F114" s="6"/>
      <c r="G114" s="6"/>
    </row>
    <row r="115" ht="15.75" customHeight="1">
      <c r="A115" s="6" t="s">
        <v>320</v>
      </c>
      <c r="B115" s="6" t="s">
        <v>319</v>
      </c>
      <c r="C115" s="8" t="s">
        <v>316</v>
      </c>
      <c r="D115" s="8" t="s">
        <v>318</v>
      </c>
      <c r="E115" s="6"/>
      <c r="F115" s="6"/>
      <c r="G115" s="6"/>
    </row>
    <row r="116" ht="15.75" customHeight="1">
      <c r="A116" s="6" t="s">
        <v>322</v>
      </c>
      <c r="B116" s="6" t="s">
        <v>321</v>
      </c>
      <c r="C116" s="8" t="s">
        <v>316</v>
      </c>
      <c r="D116" s="8" t="s">
        <v>318</v>
      </c>
      <c r="E116" s="6"/>
      <c r="F116" s="6"/>
      <c r="G116" s="6"/>
    </row>
    <row r="117" ht="15.75" customHeight="1">
      <c r="A117" s="6" t="s">
        <v>324</v>
      </c>
      <c r="B117" s="6" t="s">
        <v>323</v>
      </c>
      <c r="C117" s="8" t="s">
        <v>316</v>
      </c>
      <c r="D117" s="8" t="s">
        <v>318</v>
      </c>
      <c r="E117" s="6"/>
      <c r="F117" s="6"/>
      <c r="G117" s="6"/>
    </row>
    <row r="118" ht="15.75" customHeight="1">
      <c r="A118" s="6" t="s">
        <v>326</v>
      </c>
      <c r="B118" s="6" t="s">
        <v>325</v>
      </c>
      <c r="C118" s="8" t="s">
        <v>316</v>
      </c>
      <c r="D118" s="8" t="s">
        <v>318</v>
      </c>
      <c r="E118" s="6"/>
      <c r="F118" s="6"/>
      <c r="G118" s="6"/>
    </row>
    <row r="119" ht="15.75" customHeight="1">
      <c r="A119" s="6" t="s">
        <v>329</v>
      </c>
      <c r="B119" s="6" t="s">
        <v>327</v>
      </c>
      <c r="C119" s="8" t="s">
        <v>316</v>
      </c>
      <c r="D119" s="8" t="s">
        <v>318</v>
      </c>
      <c r="E119" s="6"/>
      <c r="F119" s="6"/>
      <c r="G119" s="6"/>
    </row>
    <row r="120" ht="15.75" customHeight="1">
      <c r="A120" s="6" t="s">
        <v>331</v>
      </c>
      <c r="B120" s="6" t="s">
        <v>330</v>
      </c>
      <c r="C120" s="8" t="s">
        <v>316</v>
      </c>
      <c r="D120" s="8" t="s">
        <v>318</v>
      </c>
      <c r="E120" s="6"/>
      <c r="F120" s="6"/>
      <c r="G120" s="6"/>
    </row>
    <row r="121" ht="15.75" customHeight="1">
      <c r="A121" s="6" t="s">
        <v>333</v>
      </c>
      <c r="B121" s="6" t="s">
        <v>332</v>
      </c>
      <c r="C121" s="8" t="s">
        <v>316</v>
      </c>
      <c r="D121" s="8" t="s">
        <v>318</v>
      </c>
      <c r="E121" s="6"/>
      <c r="F121" s="6"/>
      <c r="G121" s="6"/>
    </row>
    <row r="122" ht="15.75" customHeight="1">
      <c r="A122" s="6" t="s">
        <v>335</v>
      </c>
      <c r="B122" s="6" t="s">
        <v>334</v>
      </c>
      <c r="C122" s="8" t="s">
        <v>316</v>
      </c>
      <c r="D122" s="8" t="s">
        <v>318</v>
      </c>
      <c r="E122" s="6"/>
      <c r="F122" s="6"/>
      <c r="G122" s="6"/>
    </row>
    <row r="123" ht="15.75" customHeight="1">
      <c r="A123" s="6" t="s">
        <v>337</v>
      </c>
      <c r="B123" s="6" t="s">
        <v>336</v>
      </c>
      <c r="C123" s="8" t="s">
        <v>316</v>
      </c>
      <c r="D123" s="8" t="s">
        <v>318</v>
      </c>
      <c r="E123" s="6"/>
      <c r="F123" s="6"/>
      <c r="G123" s="6"/>
    </row>
    <row r="124" ht="15.75" customHeight="1">
      <c r="A124" s="6" t="s">
        <v>340</v>
      </c>
      <c r="B124" s="6" t="s">
        <v>339</v>
      </c>
      <c r="C124" s="8" t="s">
        <v>316</v>
      </c>
      <c r="D124" s="8" t="s">
        <v>318</v>
      </c>
      <c r="E124" s="6"/>
      <c r="F124" s="6"/>
      <c r="G124" s="6"/>
    </row>
    <row r="125" ht="15.75" customHeight="1">
      <c r="A125" s="6" t="s">
        <v>343</v>
      </c>
      <c r="B125" s="6" t="s">
        <v>342</v>
      </c>
      <c r="C125" s="8" t="s">
        <v>316</v>
      </c>
      <c r="D125" s="8" t="s">
        <v>318</v>
      </c>
      <c r="E125" s="6"/>
      <c r="F125" s="6"/>
      <c r="G125" s="6"/>
    </row>
    <row r="126" ht="15.75" customHeight="1">
      <c r="A126" s="6" t="s">
        <v>345</v>
      </c>
      <c r="B126" s="6" t="s">
        <v>344</v>
      </c>
      <c r="C126" s="8" t="s">
        <v>316</v>
      </c>
      <c r="D126" s="8" t="s">
        <v>318</v>
      </c>
      <c r="E126" s="6"/>
      <c r="F126" s="6"/>
      <c r="G126" s="6"/>
    </row>
    <row r="127" ht="15.75" customHeight="1">
      <c r="A127" s="6" t="s">
        <v>348</v>
      </c>
      <c r="B127" s="6" t="s">
        <v>347</v>
      </c>
      <c r="C127" s="8" t="s">
        <v>316</v>
      </c>
      <c r="D127" s="8" t="s">
        <v>318</v>
      </c>
      <c r="E127" s="6"/>
      <c r="F127" s="6"/>
      <c r="G127" s="6"/>
    </row>
    <row r="128" ht="15.75" customHeight="1">
      <c r="A128" s="6" t="s">
        <v>350</v>
      </c>
      <c r="B128" s="6" t="s">
        <v>349</v>
      </c>
      <c r="C128" s="8" t="s">
        <v>316</v>
      </c>
      <c r="D128" s="8" t="s">
        <v>25</v>
      </c>
      <c r="E128" s="6"/>
      <c r="F128" s="6"/>
      <c r="G128" s="6"/>
    </row>
    <row r="129" ht="15.75" customHeight="1">
      <c r="A129" s="6" t="s">
        <v>352</v>
      </c>
      <c r="B129" s="6" t="s">
        <v>351</v>
      </c>
      <c r="C129" s="8" t="s">
        <v>316</v>
      </c>
      <c r="D129" s="8" t="s">
        <v>318</v>
      </c>
      <c r="E129" s="6"/>
      <c r="F129" s="6"/>
      <c r="G129" s="6"/>
    </row>
    <row r="130" ht="15.75" customHeight="1">
      <c r="A130" s="6" t="s">
        <v>354</v>
      </c>
      <c r="B130" s="6" t="s">
        <v>353</v>
      </c>
      <c r="C130" s="8" t="s">
        <v>316</v>
      </c>
      <c r="D130" s="8" t="s">
        <v>318</v>
      </c>
      <c r="E130" s="6"/>
      <c r="F130" s="6"/>
      <c r="G130" s="6"/>
    </row>
    <row r="131" ht="15.75" customHeight="1">
      <c r="A131" s="6" t="s">
        <v>356</v>
      </c>
      <c r="B131" s="6" t="s">
        <v>355</v>
      </c>
      <c r="C131" s="8" t="s">
        <v>316</v>
      </c>
      <c r="D131" s="8" t="s">
        <v>318</v>
      </c>
      <c r="E131" s="6"/>
      <c r="F131" s="6"/>
      <c r="G131" s="6"/>
    </row>
    <row r="132" ht="15.75" customHeight="1">
      <c r="A132" s="6" t="s">
        <v>359</v>
      </c>
      <c r="B132" s="6" t="s">
        <v>358</v>
      </c>
      <c r="C132" s="8" t="s">
        <v>316</v>
      </c>
      <c r="D132" s="8" t="s">
        <v>318</v>
      </c>
      <c r="E132" s="6"/>
      <c r="F132" s="6"/>
      <c r="G132" s="6"/>
    </row>
    <row r="133" ht="15.75" customHeight="1">
      <c r="A133" s="6" t="s">
        <v>361</v>
      </c>
      <c r="B133" s="6" t="s">
        <v>360</v>
      </c>
      <c r="C133" s="8" t="s">
        <v>316</v>
      </c>
      <c r="D133" s="8" t="s">
        <v>318</v>
      </c>
      <c r="E133" s="6"/>
      <c r="F133" s="6"/>
      <c r="G133" s="6"/>
    </row>
    <row r="134" ht="15.75" customHeight="1">
      <c r="A134" s="6" t="s">
        <v>363</v>
      </c>
      <c r="B134" s="6" t="s">
        <v>362</v>
      </c>
      <c r="C134" s="8" t="s">
        <v>316</v>
      </c>
      <c r="D134" s="8" t="s">
        <v>318</v>
      </c>
      <c r="E134" s="6"/>
      <c r="F134" s="6"/>
      <c r="G134" s="6"/>
    </row>
    <row r="135" ht="15.75" customHeight="1">
      <c r="A135" s="6" t="s">
        <v>365</v>
      </c>
      <c r="B135" s="6" t="s">
        <v>364</v>
      </c>
      <c r="C135" s="8" t="s">
        <v>316</v>
      </c>
      <c r="D135" s="8" t="s">
        <v>318</v>
      </c>
      <c r="E135" s="6"/>
      <c r="F135" s="6"/>
      <c r="G135" s="6"/>
    </row>
    <row r="136" ht="15.75" customHeight="1">
      <c r="A136" s="6" t="s">
        <v>368</v>
      </c>
      <c r="B136" s="6" t="s">
        <v>367</v>
      </c>
      <c r="C136" s="8" t="s">
        <v>316</v>
      </c>
      <c r="D136" s="8" t="s">
        <v>318</v>
      </c>
      <c r="E136" s="6"/>
      <c r="F136" s="6"/>
      <c r="G136" s="6"/>
    </row>
    <row r="137" ht="15.75" customHeight="1">
      <c r="A137" s="6" t="s">
        <v>370</v>
      </c>
      <c r="B137" s="6" t="s">
        <v>369</v>
      </c>
      <c r="C137" s="8" t="s">
        <v>316</v>
      </c>
      <c r="D137" s="8" t="s">
        <v>25</v>
      </c>
      <c r="E137" s="6"/>
      <c r="F137" s="6"/>
      <c r="G137" s="6"/>
    </row>
    <row r="138" ht="15.75" customHeight="1">
      <c r="A138" s="6" t="s">
        <v>372</v>
      </c>
      <c r="B138" s="6" t="s">
        <v>371</v>
      </c>
      <c r="C138" s="8" t="s">
        <v>316</v>
      </c>
      <c r="D138" s="8" t="s">
        <v>318</v>
      </c>
      <c r="E138" s="6"/>
      <c r="F138" s="6"/>
      <c r="G138" s="6"/>
    </row>
    <row r="139" ht="15.75" customHeight="1">
      <c r="A139" s="6" t="s">
        <v>374</v>
      </c>
      <c r="B139" s="6" t="s">
        <v>373</v>
      </c>
      <c r="C139" s="8" t="s">
        <v>316</v>
      </c>
      <c r="D139" s="8" t="s">
        <v>318</v>
      </c>
      <c r="E139" s="6"/>
      <c r="F139" s="6"/>
      <c r="G139" s="6"/>
    </row>
    <row r="140" ht="15.75" customHeight="1">
      <c r="A140" s="6" t="s">
        <v>378</v>
      </c>
      <c r="B140" s="6" t="s">
        <v>377</v>
      </c>
      <c r="C140" s="8" t="s">
        <v>316</v>
      </c>
      <c r="D140" s="8" t="s">
        <v>318</v>
      </c>
      <c r="E140" s="6"/>
      <c r="F140" s="6"/>
      <c r="G140" s="6"/>
    </row>
    <row r="141" ht="15.75" customHeight="1">
      <c r="A141" s="6" t="s">
        <v>382</v>
      </c>
      <c r="B141" s="6" t="s">
        <v>380</v>
      </c>
      <c r="C141" s="8" t="s">
        <v>316</v>
      </c>
      <c r="D141" s="8" t="s">
        <v>318</v>
      </c>
      <c r="E141" s="6"/>
      <c r="F141" s="6"/>
      <c r="G141" s="6"/>
    </row>
    <row r="142" ht="15.75" customHeight="1">
      <c r="A142" s="6" t="s">
        <v>384</v>
      </c>
      <c r="B142" s="6" t="s">
        <v>383</v>
      </c>
      <c r="C142" s="8" t="s">
        <v>316</v>
      </c>
      <c r="D142" s="8" t="s">
        <v>318</v>
      </c>
      <c r="E142" s="6"/>
      <c r="F142" s="6"/>
      <c r="G142" s="6"/>
    </row>
    <row r="143" ht="15.75" customHeight="1">
      <c r="A143" s="6" t="s">
        <v>386</v>
      </c>
      <c r="B143" s="6" t="s">
        <v>385</v>
      </c>
      <c r="C143" s="8" t="s">
        <v>316</v>
      </c>
      <c r="D143" s="8" t="s">
        <v>318</v>
      </c>
      <c r="E143" s="6"/>
      <c r="F143" s="6"/>
      <c r="G143" s="6"/>
    </row>
    <row r="144" ht="15.75" customHeight="1">
      <c r="A144" s="6" t="s">
        <v>388</v>
      </c>
      <c r="B144" s="6" t="s">
        <v>387</v>
      </c>
      <c r="C144" s="8" t="s">
        <v>316</v>
      </c>
      <c r="D144" s="8" t="s">
        <v>318</v>
      </c>
      <c r="E144" s="6"/>
      <c r="F144" s="6"/>
      <c r="G144" s="6"/>
    </row>
    <row r="145" ht="15.75" customHeight="1">
      <c r="A145" s="6" t="s">
        <v>390</v>
      </c>
      <c r="B145" s="6" t="s">
        <v>389</v>
      </c>
      <c r="C145" s="8" t="s">
        <v>316</v>
      </c>
      <c r="D145" s="8" t="s">
        <v>318</v>
      </c>
      <c r="E145" s="6"/>
      <c r="F145" s="6"/>
      <c r="G145" s="6"/>
    </row>
    <row r="146" ht="15.75" customHeight="1">
      <c r="A146" s="6" t="s">
        <v>392</v>
      </c>
      <c r="B146" s="6" t="s">
        <v>391</v>
      </c>
      <c r="C146" s="8" t="s">
        <v>316</v>
      </c>
      <c r="D146" s="8" t="s">
        <v>318</v>
      </c>
      <c r="E146" s="6"/>
      <c r="F146" s="6"/>
      <c r="G146" s="6"/>
    </row>
    <row r="147" ht="15.75" customHeight="1">
      <c r="A147" s="6" t="s">
        <v>394</v>
      </c>
      <c r="B147" s="6" t="s">
        <v>393</v>
      </c>
      <c r="C147" s="8" t="s">
        <v>316</v>
      </c>
      <c r="D147" s="8" t="s">
        <v>318</v>
      </c>
      <c r="E147" s="6"/>
      <c r="F147" s="6"/>
      <c r="G147" s="6"/>
    </row>
    <row r="148" ht="15.75" customHeight="1">
      <c r="A148" s="6" t="s">
        <v>396</v>
      </c>
      <c r="B148" s="6" t="s">
        <v>395</v>
      </c>
      <c r="C148" s="8" t="s">
        <v>316</v>
      </c>
      <c r="D148" s="8" t="s">
        <v>318</v>
      </c>
      <c r="E148" s="6"/>
      <c r="F148" s="6"/>
      <c r="G148" s="6"/>
    </row>
    <row r="149" ht="15.75" customHeight="1">
      <c r="A149" s="6" t="s">
        <v>399</v>
      </c>
      <c r="B149" s="6" t="s">
        <v>398</v>
      </c>
      <c r="C149" s="8" t="s">
        <v>316</v>
      </c>
      <c r="D149" s="8" t="s">
        <v>318</v>
      </c>
      <c r="E149" s="6"/>
      <c r="F149" s="6"/>
      <c r="G149" s="6"/>
    </row>
    <row r="150" ht="15.75" customHeight="1">
      <c r="A150" s="6" t="s">
        <v>401</v>
      </c>
      <c r="B150" s="6" t="s">
        <v>400</v>
      </c>
      <c r="C150" s="8" t="s">
        <v>316</v>
      </c>
      <c r="D150" s="8" t="s">
        <v>318</v>
      </c>
      <c r="E150" s="6"/>
      <c r="F150" s="6"/>
      <c r="G150" s="6"/>
    </row>
    <row r="151" ht="15.75" customHeight="1">
      <c r="A151" s="6" t="s">
        <v>403</v>
      </c>
      <c r="B151" s="6" t="s">
        <v>402</v>
      </c>
      <c r="C151" s="8" t="s">
        <v>316</v>
      </c>
      <c r="D151" s="8" t="s">
        <v>318</v>
      </c>
      <c r="E151" s="6"/>
      <c r="F151" s="6"/>
      <c r="G151" s="6"/>
    </row>
    <row r="152" ht="15.75" customHeight="1">
      <c r="A152" s="6" t="s">
        <v>405</v>
      </c>
      <c r="B152" s="6" t="s">
        <v>404</v>
      </c>
      <c r="C152" s="8" t="s">
        <v>316</v>
      </c>
      <c r="D152" s="8" t="s">
        <v>318</v>
      </c>
      <c r="E152" s="6"/>
      <c r="F152" s="6"/>
      <c r="G152" s="6"/>
    </row>
    <row r="153" ht="15.75" customHeight="1">
      <c r="A153" s="6" t="s">
        <v>407</v>
      </c>
      <c r="B153" s="6" t="s">
        <v>406</v>
      </c>
      <c r="C153" s="8" t="s">
        <v>316</v>
      </c>
      <c r="D153" s="8" t="s">
        <v>318</v>
      </c>
      <c r="E153" s="6"/>
      <c r="F153" s="6"/>
      <c r="G153" s="6"/>
    </row>
    <row r="154" ht="15.75" customHeight="1">
      <c r="A154" s="6" t="s">
        <v>409</v>
      </c>
      <c r="B154" s="6" t="s">
        <v>408</v>
      </c>
      <c r="C154" s="8" t="s">
        <v>316</v>
      </c>
      <c r="D154" s="8" t="s">
        <v>318</v>
      </c>
      <c r="E154" s="6"/>
      <c r="F154" s="6"/>
      <c r="G154" s="6"/>
    </row>
    <row r="155" ht="15.75" customHeight="1">
      <c r="A155" s="6" t="s">
        <v>411</v>
      </c>
      <c r="B155" s="6" t="s">
        <v>410</v>
      </c>
      <c r="C155" s="8" t="s">
        <v>316</v>
      </c>
      <c r="D155" s="8" t="s">
        <v>318</v>
      </c>
      <c r="E155" s="6"/>
      <c r="F155" s="6"/>
      <c r="G155" s="6"/>
    </row>
    <row r="156" ht="15.75" customHeight="1">
      <c r="A156" s="6" t="s">
        <v>413</v>
      </c>
      <c r="B156" s="6" t="s">
        <v>412</v>
      </c>
      <c r="C156" s="8" t="s">
        <v>316</v>
      </c>
      <c r="D156" s="8" t="s">
        <v>318</v>
      </c>
      <c r="E156" s="6"/>
      <c r="F156" s="6"/>
      <c r="G156" s="6"/>
    </row>
    <row r="157" ht="15.75" customHeight="1">
      <c r="A157" s="6" t="s">
        <v>415</v>
      </c>
      <c r="B157" s="6" t="s">
        <v>414</v>
      </c>
      <c r="C157" s="8" t="s">
        <v>316</v>
      </c>
      <c r="D157" s="8" t="s">
        <v>318</v>
      </c>
      <c r="E157" s="6"/>
      <c r="F157" s="6"/>
      <c r="G157" s="6"/>
    </row>
    <row r="158" ht="15.75" customHeight="1">
      <c r="A158" s="6" t="s">
        <v>417</v>
      </c>
      <c r="B158" s="6" t="s">
        <v>416</v>
      </c>
      <c r="C158" s="8" t="s">
        <v>316</v>
      </c>
      <c r="D158" s="8" t="s">
        <v>318</v>
      </c>
      <c r="E158" s="6"/>
      <c r="F158" s="6"/>
      <c r="G158" s="6"/>
    </row>
    <row r="159" ht="15.75" customHeight="1">
      <c r="A159" s="6" t="s">
        <v>419</v>
      </c>
      <c r="B159" s="6" t="s">
        <v>418</v>
      </c>
      <c r="C159" s="8" t="s">
        <v>316</v>
      </c>
      <c r="D159" s="8" t="s">
        <v>318</v>
      </c>
      <c r="E159" s="6"/>
      <c r="F159" s="6"/>
      <c r="G159" s="6"/>
    </row>
    <row r="160" ht="15.75" customHeight="1">
      <c r="A160" s="6" t="s">
        <v>421</v>
      </c>
      <c r="B160" s="6" t="s">
        <v>420</v>
      </c>
      <c r="C160" s="8" t="s">
        <v>316</v>
      </c>
      <c r="D160" s="8" t="s">
        <v>318</v>
      </c>
      <c r="E160" s="6"/>
      <c r="F160" s="6"/>
      <c r="G160" s="6"/>
    </row>
    <row r="161" ht="15.75" customHeight="1">
      <c r="A161" s="6" t="s">
        <v>423</v>
      </c>
      <c r="B161" s="6" t="s">
        <v>422</v>
      </c>
      <c r="C161" s="8" t="s">
        <v>316</v>
      </c>
      <c r="D161" s="8" t="s">
        <v>318</v>
      </c>
      <c r="E161" s="6"/>
      <c r="F161" s="6"/>
      <c r="G161" s="6"/>
    </row>
    <row r="162" ht="15.75" customHeight="1">
      <c r="A162" s="6" t="s">
        <v>425</v>
      </c>
      <c r="B162" s="6" t="s">
        <v>424</v>
      </c>
      <c r="C162" s="8" t="s">
        <v>316</v>
      </c>
      <c r="D162" s="8" t="s">
        <v>318</v>
      </c>
      <c r="E162" s="6"/>
      <c r="F162" s="6"/>
      <c r="G162" s="6"/>
    </row>
    <row r="163" ht="15.75" customHeight="1">
      <c r="A163" s="6" t="s">
        <v>427</v>
      </c>
      <c r="B163" s="6" t="s">
        <v>426</v>
      </c>
      <c r="C163" s="8" t="s">
        <v>316</v>
      </c>
      <c r="D163" s="8" t="s">
        <v>318</v>
      </c>
      <c r="E163" s="6"/>
      <c r="F163" s="6"/>
      <c r="G163" s="6"/>
    </row>
    <row r="164" ht="15.75" customHeight="1">
      <c r="A164" s="6" t="s">
        <v>429</v>
      </c>
      <c r="B164" s="6" t="s">
        <v>428</v>
      </c>
      <c r="C164" s="8" t="s">
        <v>316</v>
      </c>
      <c r="D164" s="8" t="s">
        <v>318</v>
      </c>
      <c r="E164" s="6"/>
      <c r="F164" s="6"/>
      <c r="G164" s="6"/>
    </row>
    <row r="165" ht="15.75" customHeight="1">
      <c r="A165" s="6" t="s">
        <v>431</v>
      </c>
      <c r="B165" s="6" t="s">
        <v>430</v>
      </c>
      <c r="C165" s="8" t="s">
        <v>316</v>
      </c>
      <c r="D165" s="8" t="s">
        <v>318</v>
      </c>
      <c r="E165" s="6"/>
      <c r="F165" s="6"/>
      <c r="G165" s="6"/>
    </row>
    <row r="166" ht="15.75" customHeight="1">
      <c r="A166" s="6" t="s">
        <v>434</v>
      </c>
      <c r="B166" s="6" t="s">
        <v>433</v>
      </c>
      <c r="C166" s="8" t="s">
        <v>316</v>
      </c>
      <c r="D166" s="8" t="s">
        <v>318</v>
      </c>
      <c r="E166" s="6"/>
      <c r="F166" s="6"/>
      <c r="G166" s="6"/>
    </row>
    <row r="167" ht="15.75" customHeight="1">
      <c r="A167" s="6" t="s">
        <v>439</v>
      </c>
      <c r="B167" s="6" t="s">
        <v>437</v>
      </c>
      <c r="C167" s="8" t="s">
        <v>316</v>
      </c>
      <c r="D167" s="8" t="s">
        <v>318</v>
      </c>
      <c r="E167" s="6"/>
      <c r="F167" s="6"/>
      <c r="G167" s="6"/>
    </row>
    <row r="168" ht="15.75" customHeight="1">
      <c r="A168" s="6" t="s">
        <v>441</v>
      </c>
      <c r="B168" s="6" t="s">
        <v>440</v>
      </c>
      <c r="C168" s="8" t="s">
        <v>316</v>
      </c>
      <c r="D168" s="8" t="s">
        <v>318</v>
      </c>
      <c r="E168" s="6"/>
      <c r="F168" s="6"/>
      <c r="G168" s="6"/>
    </row>
    <row r="169" ht="15.75" customHeight="1">
      <c r="A169" s="6" t="s">
        <v>443</v>
      </c>
      <c r="B169" s="6" t="s">
        <v>442</v>
      </c>
      <c r="C169" s="8" t="s">
        <v>316</v>
      </c>
      <c r="D169" s="8" t="s">
        <v>318</v>
      </c>
      <c r="E169" s="6"/>
      <c r="F169" s="6"/>
      <c r="G169" s="6"/>
    </row>
    <row r="170" ht="15.75" customHeight="1">
      <c r="A170" s="6" t="s">
        <v>445</v>
      </c>
      <c r="B170" s="6" t="s">
        <v>444</v>
      </c>
      <c r="C170" s="8" t="s">
        <v>316</v>
      </c>
      <c r="D170" s="8" t="s">
        <v>318</v>
      </c>
      <c r="E170" s="6"/>
      <c r="F170" s="6"/>
      <c r="G170" s="6"/>
    </row>
    <row r="171" ht="15.75" customHeight="1">
      <c r="A171" s="6" t="s">
        <v>447</v>
      </c>
      <c r="B171" s="6" t="s">
        <v>446</v>
      </c>
      <c r="C171" s="8" t="s">
        <v>316</v>
      </c>
      <c r="D171" s="8" t="s">
        <v>318</v>
      </c>
      <c r="E171" s="6"/>
      <c r="F171" s="6"/>
      <c r="G171" s="6"/>
    </row>
    <row r="172" ht="15.75" customHeight="1">
      <c r="A172" s="6" t="s">
        <v>449</v>
      </c>
      <c r="B172" s="6" t="s">
        <v>448</v>
      </c>
      <c r="C172" s="8" t="s">
        <v>316</v>
      </c>
      <c r="D172" s="8" t="s">
        <v>318</v>
      </c>
      <c r="E172" s="6"/>
      <c r="F172" s="6"/>
      <c r="G172" s="6"/>
    </row>
    <row r="173" ht="15.75" customHeight="1">
      <c r="A173" s="6" t="s">
        <v>451</v>
      </c>
      <c r="B173" s="6" t="s">
        <v>450</v>
      </c>
      <c r="C173" s="8" t="s">
        <v>316</v>
      </c>
      <c r="D173" s="8" t="s">
        <v>318</v>
      </c>
      <c r="E173" s="6"/>
      <c r="F173" s="6"/>
      <c r="G173" s="6"/>
    </row>
    <row r="174" ht="15.75" customHeight="1">
      <c r="A174" s="6" t="s">
        <v>453</v>
      </c>
      <c r="B174" s="6" t="s">
        <v>452</v>
      </c>
      <c r="C174" s="8" t="s">
        <v>316</v>
      </c>
      <c r="D174" s="8" t="s">
        <v>318</v>
      </c>
      <c r="E174" s="6"/>
      <c r="F174" s="6"/>
      <c r="G174" s="6"/>
    </row>
    <row r="175" ht="15.75" customHeight="1">
      <c r="A175" s="6" t="s">
        <v>455</v>
      </c>
      <c r="B175" s="6" t="s">
        <v>454</v>
      </c>
      <c r="C175" s="8" t="s">
        <v>316</v>
      </c>
      <c r="D175" s="8" t="s">
        <v>318</v>
      </c>
      <c r="E175" s="6"/>
      <c r="F175" s="6"/>
      <c r="G175" s="6"/>
    </row>
    <row r="176" ht="15.75" customHeight="1">
      <c r="A176" s="6" t="s">
        <v>457</v>
      </c>
      <c r="B176" s="6" t="s">
        <v>456</v>
      </c>
      <c r="C176" s="8" t="s">
        <v>316</v>
      </c>
      <c r="D176" s="8" t="s">
        <v>318</v>
      </c>
      <c r="E176" s="6"/>
      <c r="F176" s="6"/>
      <c r="G176" s="6"/>
    </row>
    <row r="177" ht="15.75" customHeight="1">
      <c r="A177" s="6" t="s">
        <v>459</v>
      </c>
      <c r="B177" s="6" t="s">
        <v>458</v>
      </c>
      <c r="C177" s="8" t="s">
        <v>316</v>
      </c>
      <c r="D177" s="8" t="s">
        <v>318</v>
      </c>
      <c r="E177" s="6"/>
      <c r="F177" s="6"/>
      <c r="G177" s="6"/>
    </row>
    <row r="178" ht="15.75" customHeight="1">
      <c r="A178" s="6" t="s">
        <v>462</v>
      </c>
      <c r="B178" s="6" t="s">
        <v>461</v>
      </c>
      <c r="C178" s="8" t="s">
        <v>316</v>
      </c>
      <c r="D178" s="8" t="s">
        <v>318</v>
      </c>
      <c r="E178" s="6"/>
      <c r="F178" s="6"/>
      <c r="G178" s="6"/>
    </row>
    <row r="179" ht="15.75" customHeight="1">
      <c r="A179" s="6" t="s">
        <v>464</v>
      </c>
      <c r="B179" s="6" t="s">
        <v>463</v>
      </c>
      <c r="C179" s="8" t="s">
        <v>316</v>
      </c>
      <c r="D179" s="8" t="s">
        <v>318</v>
      </c>
      <c r="E179" s="6"/>
      <c r="F179" s="6"/>
      <c r="G179" s="6"/>
    </row>
    <row r="180" ht="15.75" customHeight="1">
      <c r="A180" s="6" t="s">
        <v>466</v>
      </c>
      <c r="B180" s="6" t="s">
        <v>465</v>
      </c>
      <c r="C180" s="8" t="s">
        <v>316</v>
      </c>
      <c r="D180" s="8" t="s">
        <v>318</v>
      </c>
      <c r="E180" s="6"/>
      <c r="F180" s="6"/>
      <c r="G180" s="6"/>
    </row>
    <row r="181" ht="15.75" customHeight="1">
      <c r="A181" s="6" t="s">
        <v>468</v>
      </c>
      <c r="B181" s="6" t="s">
        <v>467</v>
      </c>
      <c r="C181" s="8" t="s">
        <v>316</v>
      </c>
      <c r="D181" s="8" t="s">
        <v>318</v>
      </c>
      <c r="E181" s="6"/>
      <c r="F181" s="6"/>
      <c r="G181" s="6"/>
    </row>
    <row r="182" ht="15.75" customHeight="1">
      <c r="A182" s="6" t="s">
        <v>470</v>
      </c>
      <c r="B182" s="6" t="s">
        <v>469</v>
      </c>
      <c r="C182" s="8" t="s">
        <v>316</v>
      </c>
      <c r="D182" s="8" t="s">
        <v>318</v>
      </c>
      <c r="E182" s="6"/>
      <c r="F182" s="6"/>
      <c r="G182" s="6"/>
    </row>
    <row r="183" ht="15.75" customHeight="1">
      <c r="A183" s="6" t="s">
        <v>472</v>
      </c>
      <c r="B183" s="6" t="s">
        <v>471</v>
      </c>
      <c r="C183" s="8" t="s">
        <v>316</v>
      </c>
      <c r="D183" s="8" t="s">
        <v>318</v>
      </c>
      <c r="E183" s="6"/>
      <c r="F183" s="6"/>
      <c r="G183" s="6"/>
    </row>
    <row r="184" ht="15.75" customHeight="1">
      <c r="A184" s="6" t="s">
        <v>474</v>
      </c>
      <c r="B184" s="6" t="s">
        <v>473</v>
      </c>
      <c r="C184" s="8" t="s">
        <v>316</v>
      </c>
      <c r="D184" s="8" t="s">
        <v>318</v>
      </c>
      <c r="E184" s="6"/>
      <c r="F184" s="6"/>
      <c r="G184" s="6"/>
    </row>
    <row r="185" ht="15.75" customHeight="1">
      <c r="A185" s="6" t="s">
        <v>477</v>
      </c>
      <c r="B185" s="6" t="s">
        <v>476</v>
      </c>
      <c r="C185" s="8" t="s">
        <v>316</v>
      </c>
      <c r="D185" s="8" t="s">
        <v>318</v>
      </c>
      <c r="E185" s="6"/>
      <c r="F185" s="6"/>
      <c r="G185" s="6"/>
    </row>
    <row r="186" ht="15.75" customHeight="1">
      <c r="A186" s="6" t="s">
        <v>479</v>
      </c>
      <c r="B186" s="6" t="s">
        <v>478</v>
      </c>
      <c r="C186" s="8" t="s">
        <v>316</v>
      </c>
      <c r="D186" s="8" t="s">
        <v>318</v>
      </c>
      <c r="E186" s="6"/>
      <c r="F186" s="6"/>
      <c r="G186" s="6"/>
    </row>
    <row r="187" ht="15.75" customHeight="1">
      <c r="A187" s="6" t="s">
        <v>481</v>
      </c>
      <c r="B187" s="6" t="s">
        <v>480</v>
      </c>
      <c r="C187" s="8" t="s">
        <v>316</v>
      </c>
      <c r="D187" s="8" t="s">
        <v>318</v>
      </c>
      <c r="E187" s="6"/>
      <c r="F187" s="6"/>
      <c r="G187" s="6"/>
    </row>
    <row r="188" ht="15.75" customHeight="1">
      <c r="A188" s="6" t="s">
        <v>484</v>
      </c>
      <c r="B188" s="6" t="s">
        <v>482</v>
      </c>
      <c r="C188" s="8" t="s">
        <v>316</v>
      </c>
      <c r="D188" s="8" t="s">
        <v>318</v>
      </c>
      <c r="E188" s="6"/>
      <c r="F188" s="6"/>
      <c r="G188" s="6"/>
    </row>
    <row r="189" ht="15.75" customHeight="1">
      <c r="A189" s="6" t="s">
        <v>487</v>
      </c>
      <c r="B189" s="6" t="s">
        <v>486</v>
      </c>
      <c r="C189" s="8" t="s">
        <v>316</v>
      </c>
      <c r="D189" s="8" t="s">
        <v>318</v>
      </c>
      <c r="E189" s="6"/>
      <c r="F189" s="6"/>
      <c r="G189" s="6"/>
    </row>
    <row r="190" ht="15.75" customHeight="1">
      <c r="A190" s="6" t="s">
        <v>489</v>
      </c>
      <c r="B190" s="6" t="s">
        <v>488</v>
      </c>
      <c r="C190" s="8" t="s">
        <v>316</v>
      </c>
      <c r="D190" s="8" t="s">
        <v>318</v>
      </c>
      <c r="E190" s="6"/>
      <c r="F190" s="6"/>
      <c r="G190" s="6"/>
    </row>
    <row r="191" ht="15.75" customHeight="1">
      <c r="A191" s="6" t="s">
        <v>491</v>
      </c>
      <c r="B191" s="6" t="s">
        <v>490</v>
      </c>
      <c r="C191" s="8" t="s">
        <v>316</v>
      </c>
      <c r="D191" s="8" t="s">
        <v>318</v>
      </c>
      <c r="E191" s="6"/>
      <c r="F191" s="6"/>
      <c r="G191" s="6"/>
    </row>
    <row r="192" ht="15.75" customHeight="1">
      <c r="A192" s="6" t="s">
        <v>493</v>
      </c>
      <c r="B192" s="6" t="s">
        <v>492</v>
      </c>
      <c r="C192" s="8" t="s">
        <v>316</v>
      </c>
      <c r="D192" s="8" t="s">
        <v>318</v>
      </c>
      <c r="E192" s="6"/>
      <c r="F192" s="6"/>
      <c r="G192" s="6"/>
    </row>
    <row r="193" ht="15.75" customHeight="1">
      <c r="A193" s="6" t="s">
        <v>495</v>
      </c>
      <c r="B193" s="6" t="s">
        <v>494</v>
      </c>
      <c r="C193" s="8" t="s">
        <v>316</v>
      </c>
      <c r="D193" s="8" t="s">
        <v>318</v>
      </c>
      <c r="E193" s="6"/>
      <c r="F193" s="6"/>
      <c r="G193" s="6"/>
    </row>
    <row r="194" ht="15.75" customHeight="1">
      <c r="A194" s="6" t="s">
        <v>497</v>
      </c>
      <c r="B194" s="6" t="s">
        <v>496</v>
      </c>
      <c r="C194" s="8" t="s">
        <v>316</v>
      </c>
      <c r="D194" s="8" t="s">
        <v>318</v>
      </c>
      <c r="E194" s="6"/>
      <c r="F194" s="6"/>
      <c r="G194" s="6"/>
    </row>
    <row r="195" ht="15.75" customHeight="1">
      <c r="A195" s="6" t="s">
        <v>499</v>
      </c>
      <c r="B195" s="6" t="s">
        <v>498</v>
      </c>
      <c r="C195" s="8" t="s">
        <v>316</v>
      </c>
      <c r="D195" s="8" t="s">
        <v>318</v>
      </c>
      <c r="E195" s="6"/>
      <c r="F195" s="6"/>
      <c r="G195" s="6"/>
    </row>
    <row r="196" ht="15.75" customHeight="1">
      <c r="A196" s="6" t="s">
        <v>501</v>
      </c>
      <c r="B196" s="6" t="s">
        <v>500</v>
      </c>
      <c r="C196" s="8" t="s">
        <v>316</v>
      </c>
      <c r="D196" s="8" t="s">
        <v>318</v>
      </c>
      <c r="E196" s="6"/>
      <c r="F196" s="6"/>
      <c r="G196" s="6"/>
    </row>
    <row r="197" ht="15.75" customHeight="1">
      <c r="A197" s="6" t="s">
        <v>503</v>
      </c>
      <c r="B197" s="6" t="s">
        <v>502</v>
      </c>
      <c r="C197" s="8" t="s">
        <v>316</v>
      </c>
      <c r="D197" s="8" t="s">
        <v>318</v>
      </c>
      <c r="E197" s="6"/>
      <c r="F197" s="6"/>
      <c r="G197" s="6"/>
    </row>
    <row r="198" ht="15.75" customHeight="1">
      <c r="A198" s="6" t="s">
        <v>505</v>
      </c>
      <c r="B198" s="6" t="s">
        <v>504</v>
      </c>
      <c r="C198" s="8" t="s">
        <v>316</v>
      </c>
      <c r="D198" s="8" t="s">
        <v>318</v>
      </c>
      <c r="E198" s="6"/>
      <c r="F198" s="6"/>
      <c r="G198" s="6"/>
    </row>
    <row r="199" ht="15.75" customHeight="1">
      <c r="A199" s="6" t="s">
        <v>507</v>
      </c>
      <c r="B199" s="6" t="s">
        <v>506</v>
      </c>
      <c r="C199" s="8" t="s">
        <v>316</v>
      </c>
      <c r="D199" s="8" t="s">
        <v>318</v>
      </c>
      <c r="E199" s="6"/>
      <c r="F199" s="6"/>
      <c r="G199" s="6"/>
    </row>
    <row r="200" ht="15.75" customHeight="1">
      <c r="A200" s="6" t="s">
        <v>510</v>
      </c>
      <c r="B200" s="6" t="s">
        <v>508</v>
      </c>
      <c r="C200" s="8" t="s">
        <v>316</v>
      </c>
      <c r="D200" s="8" t="s">
        <v>318</v>
      </c>
      <c r="E200" s="6"/>
      <c r="F200" s="6"/>
      <c r="G200" s="6"/>
    </row>
    <row r="201" ht="15.75" customHeight="1">
      <c r="A201" s="6" t="s">
        <v>512</v>
      </c>
      <c r="B201" s="6" t="s">
        <v>511</v>
      </c>
      <c r="C201" s="8" t="s">
        <v>316</v>
      </c>
      <c r="D201" s="8" t="s">
        <v>318</v>
      </c>
      <c r="E201" s="6"/>
      <c r="F201" s="6"/>
      <c r="G201" s="6"/>
    </row>
    <row r="202" ht="15.75" customHeight="1">
      <c r="A202" s="6" t="s">
        <v>514</v>
      </c>
      <c r="B202" s="6" t="s">
        <v>513</v>
      </c>
      <c r="C202" s="8" t="s">
        <v>316</v>
      </c>
      <c r="D202" s="8" t="s">
        <v>318</v>
      </c>
      <c r="E202" s="6"/>
      <c r="F202" s="6"/>
      <c r="G202" s="6"/>
    </row>
    <row r="203" ht="15.75" customHeight="1">
      <c r="A203" s="6" t="s">
        <v>516</v>
      </c>
      <c r="B203" s="6" t="s">
        <v>515</v>
      </c>
      <c r="C203" s="8" t="s">
        <v>316</v>
      </c>
      <c r="D203" s="8" t="s">
        <v>318</v>
      </c>
      <c r="E203" s="6"/>
      <c r="F203" s="6"/>
      <c r="G203" s="6"/>
    </row>
    <row r="204" ht="15.75" customHeight="1">
      <c r="A204" s="6" t="s">
        <v>518</v>
      </c>
      <c r="B204" s="6" t="s">
        <v>517</v>
      </c>
      <c r="C204" s="8" t="s">
        <v>316</v>
      </c>
      <c r="D204" s="8" t="s">
        <v>318</v>
      </c>
      <c r="E204" s="6"/>
      <c r="F204" s="6"/>
      <c r="G204" s="6"/>
    </row>
    <row r="205" ht="15.75" customHeight="1">
      <c r="A205" s="6" t="s">
        <v>521</v>
      </c>
      <c r="B205" s="6" t="s">
        <v>520</v>
      </c>
      <c r="C205" s="8" t="s">
        <v>316</v>
      </c>
      <c r="D205" s="8" t="s">
        <v>318</v>
      </c>
      <c r="E205" s="6"/>
      <c r="F205" s="6"/>
      <c r="G205" s="6"/>
    </row>
    <row r="206" ht="15.75" customHeight="1">
      <c r="A206" s="6" t="s">
        <v>523</v>
      </c>
      <c r="B206" s="6" t="s">
        <v>522</v>
      </c>
      <c r="C206" s="8" t="s">
        <v>316</v>
      </c>
      <c r="D206" s="8" t="s">
        <v>318</v>
      </c>
      <c r="E206" s="6"/>
      <c r="F206" s="6"/>
      <c r="G206" s="6"/>
    </row>
    <row r="207" ht="15.75" customHeight="1">
      <c r="A207" s="6" t="s">
        <v>525</v>
      </c>
      <c r="B207" s="6" t="s">
        <v>524</v>
      </c>
      <c r="C207" s="8" t="s">
        <v>316</v>
      </c>
      <c r="D207" s="8" t="s">
        <v>318</v>
      </c>
      <c r="E207" s="6"/>
      <c r="F207" s="6"/>
      <c r="G207" s="6"/>
    </row>
    <row r="208" ht="15.75" customHeight="1">
      <c r="A208" s="6" t="s">
        <v>527</v>
      </c>
      <c r="B208" s="6" t="s">
        <v>526</v>
      </c>
      <c r="C208" s="8" t="s">
        <v>316</v>
      </c>
      <c r="D208" s="8" t="s">
        <v>318</v>
      </c>
      <c r="E208" s="6"/>
      <c r="F208" s="6"/>
      <c r="G208" s="6"/>
    </row>
    <row r="209" ht="15.75" customHeight="1">
      <c r="A209" s="6" t="s">
        <v>529</v>
      </c>
      <c r="B209" s="6" t="s">
        <v>528</v>
      </c>
      <c r="C209" s="8" t="s">
        <v>316</v>
      </c>
      <c r="D209" s="8" t="s">
        <v>318</v>
      </c>
      <c r="E209" s="6"/>
      <c r="F209" s="6"/>
      <c r="G209" s="6"/>
    </row>
    <row r="210" ht="15.75" customHeight="1">
      <c r="A210" s="6" t="s">
        <v>531</v>
      </c>
      <c r="B210" s="6" t="s">
        <v>530</v>
      </c>
      <c r="C210" s="8" t="s">
        <v>316</v>
      </c>
      <c r="D210" s="8" t="s">
        <v>318</v>
      </c>
      <c r="E210" s="6"/>
      <c r="F210" s="6"/>
      <c r="G210" s="6"/>
    </row>
    <row r="211" ht="15.75" customHeight="1">
      <c r="A211" s="6" t="s">
        <v>533</v>
      </c>
      <c r="B211" s="6" t="s">
        <v>532</v>
      </c>
      <c r="C211" s="8" t="s">
        <v>316</v>
      </c>
      <c r="D211" s="8" t="s">
        <v>318</v>
      </c>
      <c r="E211" s="6"/>
      <c r="F211" s="6"/>
      <c r="G211" s="6"/>
    </row>
    <row r="212" ht="15.75" customHeight="1">
      <c r="A212" s="6" t="s">
        <v>535</v>
      </c>
      <c r="B212" s="6" t="s">
        <v>534</v>
      </c>
      <c r="C212" s="8" t="s">
        <v>316</v>
      </c>
      <c r="D212" s="8" t="s">
        <v>318</v>
      </c>
      <c r="E212" s="6"/>
      <c r="F212" s="6"/>
      <c r="G212" s="6"/>
    </row>
    <row r="213" ht="15.75" customHeight="1">
      <c r="A213" s="6" t="s">
        <v>539</v>
      </c>
      <c r="B213" s="6" t="s">
        <v>538</v>
      </c>
      <c r="C213" s="8" t="s">
        <v>316</v>
      </c>
      <c r="D213" s="8" t="s">
        <v>318</v>
      </c>
      <c r="E213" s="6"/>
      <c r="F213" s="6"/>
      <c r="G213" s="6"/>
    </row>
    <row r="214" ht="15.75" customHeight="1">
      <c r="A214" s="6" t="s">
        <v>541</v>
      </c>
      <c r="B214" s="6" t="s">
        <v>540</v>
      </c>
      <c r="C214" s="8" t="s">
        <v>316</v>
      </c>
      <c r="D214" s="8" t="s">
        <v>318</v>
      </c>
      <c r="E214" s="6"/>
      <c r="F214" s="6"/>
      <c r="G214" s="6"/>
    </row>
    <row r="215" ht="15.75" customHeight="1">
      <c r="A215" s="6" t="s">
        <v>543</v>
      </c>
      <c r="B215" s="6" t="s">
        <v>542</v>
      </c>
      <c r="C215" s="8" t="s">
        <v>316</v>
      </c>
      <c r="D215" s="8" t="s">
        <v>318</v>
      </c>
      <c r="E215" s="6"/>
      <c r="F215" s="6"/>
      <c r="G215" s="6"/>
    </row>
    <row r="216" ht="15.75" customHeight="1">
      <c r="A216" s="6" t="s">
        <v>547</v>
      </c>
      <c r="B216" s="6" t="s">
        <v>546</v>
      </c>
      <c r="C216" s="8" t="s">
        <v>316</v>
      </c>
      <c r="D216" s="8" t="s">
        <v>318</v>
      </c>
      <c r="E216" s="6"/>
      <c r="F216" s="6"/>
      <c r="G216" s="6"/>
    </row>
    <row r="217" ht="15.75" customHeight="1">
      <c r="A217" s="6" t="s">
        <v>550</v>
      </c>
      <c r="B217" s="6" t="s">
        <v>549</v>
      </c>
      <c r="C217" s="8" t="s">
        <v>316</v>
      </c>
      <c r="D217" s="8" t="s">
        <v>318</v>
      </c>
      <c r="E217" s="6"/>
      <c r="F217" s="6"/>
      <c r="G217" s="6"/>
    </row>
    <row r="218" ht="15.75" customHeight="1">
      <c r="A218" s="6" t="s">
        <v>552</v>
      </c>
      <c r="B218" s="6" t="s">
        <v>551</v>
      </c>
      <c r="C218" s="8" t="s">
        <v>316</v>
      </c>
      <c r="D218" s="8" t="s">
        <v>318</v>
      </c>
      <c r="E218" s="6"/>
      <c r="F218" s="6"/>
      <c r="G218" s="6"/>
    </row>
    <row r="219" ht="15.75" customHeight="1">
      <c r="A219" s="6" t="s">
        <v>554</v>
      </c>
      <c r="B219" s="6" t="s">
        <v>553</v>
      </c>
      <c r="C219" s="8" t="s">
        <v>316</v>
      </c>
      <c r="D219" s="8" t="s">
        <v>318</v>
      </c>
      <c r="E219" s="6"/>
      <c r="F219" s="6"/>
      <c r="G219" s="6"/>
    </row>
    <row r="220" ht="15.75" customHeight="1">
      <c r="A220" s="6" t="s">
        <v>556</v>
      </c>
      <c r="B220" s="6" t="s">
        <v>555</v>
      </c>
      <c r="C220" s="8" t="s">
        <v>316</v>
      </c>
      <c r="D220" s="8" t="s">
        <v>318</v>
      </c>
      <c r="E220" s="6"/>
      <c r="F220" s="6"/>
      <c r="G220" s="6"/>
    </row>
    <row r="221" ht="15.75" customHeight="1">
      <c r="A221" s="6" t="s">
        <v>558</v>
      </c>
      <c r="B221" s="6" t="s">
        <v>557</v>
      </c>
      <c r="C221" s="8" t="s">
        <v>316</v>
      </c>
      <c r="D221" s="8" t="s">
        <v>318</v>
      </c>
      <c r="E221" s="6"/>
      <c r="F221" s="6"/>
      <c r="G221" s="6"/>
    </row>
    <row r="222" ht="15.75" customHeight="1">
      <c r="A222" s="6" t="s">
        <v>560</v>
      </c>
      <c r="B222" s="6" t="s">
        <v>559</v>
      </c>
      <c r="C222" s="8" t="s">
        <v>316</v>
      </c>
      <c r="D222" s="8" t="s">
        <v>318</v>
      </c>
      <c r="E222" s="6"/>
      <c r="F222" s="6"/>
      <c r="G222" s="6"/>
    </row>
    <row r="223" ht="15.75" customHeight="1">
      <c r="A223" s="6" t="s">
        <v>562</v>
      </c>
      <c r="B223" s="6" t="s">
        <v>561</v>
      </c>
      <c r="C223" s="8" t="s">
        <v>316</v>
      </c>
      <c r="D223" s="8" t="s">
        <v>318</v>
      </c>
      <c r="E223" s="6"/>
      <c r="F223" s="6"/>
      <c r="G223" s="6"/>
    </row>
    <row r="224" ht="15.75" customHeight="1">
      <c r="A224" s="6" t="s">
        <v>564</v>
      </c>
      <c r="B224" s="6" t="s">
        <v>563</v>
      </c>
      <c r="C224" s="8" t="s">
        <v>316</v>
      </c>
      <c r="D224" s="8" t="s">
        <v>318</v>
      </c>
      <c r="E224" s="6"/>
      <c r="F224" s="6"/>
      <c r="G224" s="6"/>
    </row>
    <row r="225" ht="15.75" customHeight="1">
      <c r="A225" s="6" t="s">
        <v>566</v>
      </c>
      <c r="B225" s="6" t="s">
        <v>565</v>
      </c>
      <c r="C225" s="8" t="s">
        <v>316</v>
      </c>
      <c r="D225" s="8" t="s">
        <v>318</v>
      </c>
      <c r="E225" s="6"/>
      <c r="F225" s="6"/>
      <c r="G225" s="6"/>
    </row>
    <row r="226" ht="15.75" customHeight="1">
      <c r="A226" s="6" t="s">
        <v>567</v>
      </c>
      <c r="B226" s="6" t="s">
        <v>393</v>
      </c>
      <c r="C226" s="8" t="s">
        <v>316</v>
      </c>
      <c r="D226" s="8" t="s">
        <v>318</v>
      </c>
      <c r="E226" s="6"/>
      <c r="F226" s="6"/>
      <c r="G226" s="6"/>
    </row>
    <row r="227" ht="15.75" customHeight="1">
      <c r="A227" s="6" t="s">
        <v>569</v>
      </c>
      <c r="B227" s="6" t="s">
        <v>568</v>
      </c>
      <c r="C227" s="8" t="s">
        <v>316</v>
      </c>
      <c r="D227" s="8" t="s">
        <v>318</v>
      </c>
      <c r="E227" s="6"/>
      <c r="F227" s="6"/>
      <c r="G227" s="6"/>
    </row>
    <row r="228" ht="15.75" customHeight="1">
      <c r="A228" s="6" t="s">
        <v>574</v>
      </c>
      <c r="B228" s="6" t="s">
        <v>573</v>
      </c>
      <c r="C228" s="8" t="s">
        <v>316</v>
      </c>
      <c r="D228" s="8" t="s">
        <v>318</v>
      </c>
      <c r="E228" s="6"/>
      <c r="F228" s="6"/>
      <c r="G228" s="6"/>
    </row>
    <row r="229" ht="15.75" customHeight="1">
      <c r="A229" s="6" t="s">
        <v>578</v>
      </c>
      <c r="B229" s="6" t="s">
        <v>577</v>
      </c>
      <c r="C229" s="8" t="s">
        <v>316</v>
      </c>
      <c r="D229" s="8" t="s">
        <v>318</v>
      </c>
      <c r="E229" s="6"/>
      <c r="F229" s="6"/>
      <c r="G229" s="6"/>
    </row>
    <row r="230" ht="15.75" customHeight="1">
      <c r="A230" s="6" t="s">
        <v>581</v>
      </c>
      <c r="B230" s="6" t="s">
        <v>579</v>
      </c>
      <c r="C230" s="8" t="s">
        <v>316</v>
      </c>
      <c r="D230" s="8" t="s">
        <v>318</v>
      </c>
      <c r="E230" s="6"/>
      <c r="F230" s="6"/>
      <c r="G230" s="6"/>
    </row>
    <row r="231" ht="15.75" customHeight="1">
      <c r="A231" s="6" t="s">
        <v>583</v>
      </c>
      <c r="B231" s="6" t="s">
        <v>582</v>
      </c>
      <c r="C231" s="8" t="s">
        <v>316</v>
      </c>
      <c r="D231" s="8" t="s">
        <v>318</v>
      </c>
      <c r="E231" s="6"/>
      <c r="F231" s="6"/>
      <c r="G231" s="6"/>
    </row>
    <row r="232" ht="15.75" customHeight="1">
      <c r="A232" s="6" t="s">
        <v>585</v>
      </c>
      <c r="B232" s="6" t="s">
        <v>584</v>
      </c>
      <c r="C232" s="8" t="s">
        <v>316</v>
      </c>
      <c r="D232" s="8" t="s">
        <v>318</v>
      </c>
      <c r="E232" s="6"/>
      <c r="F232" s="6"/>
      <c r="G232" s="6"/>
    </row>
    <row r="233" ht="15.75" customHeight="1">
      <c r="A233" s="6" t="s">
        <v>588</v>
      </c>
      <c r="B233" s="6" t="s">
        <v>587</v>
      </c>
      <c r="C233" s="8" t="s">
        <v>316</v>
      </c>
      <c r="D233" s="8" t="s">
        <v>318</v>
      </c>
      <c r="E233" s="6"/>
      <c r="F233" s="6"/>
      <c r="G233" s="6"/>
    </row>
    <row r="234" ht="15.75" customHeight="1">
      <c r="A234" s="6" t="s">
        <v>590</v>
      </c>
      <c r="B234" s="6" t="s">
        <v>589</v>
      </c>
      <c r="C234" s="8" t="s">
        <v>316</v>
      </c>
      <c r="D234" s="8" t="s">
        <v>318</v>
      </c>
      <c r="E234" s="6"/>
      <c r="F234" s="6"/>
      <c r="G234" s="6"/>
    </row>
    <row r="235" ht="15.75" customHeight="1">
      <c r="A235" s="6" t="s">
        <v>592</v>
      </c>
      <c r="B235" s="6" t="s">
        <v>591</v>
      </c>
      <c r="C235" s="8" t="s">
        <v>316</v>
      </c>
      <c r="D235" s="8" t="s">
        <v>318</v>
      </c>
      <c r="E235" s="6"/>
      <c r="F235" s="6"/>
      <c r="G235" s="6"/>
    </row>
    <row r="236" ht="15.75" customHeight="1">
      <c r="A236" s="6" t="s">
        <v>595</v>
      </c>
      <c r="B236" s="6" t="s">
        <v>593</v>
      </c>
      <c r="C236" s="8" t="s">
        <v>316</v>
      </c>
      <c r="D236" s="8" t="s">
        <v>318</v>
      </c>
      <c r="E236" s="6"/>
      <c r="F236" s="6"/>
      <c r="G236" s="6"/>
    </row>
    <row r="237" ht="15.75" customHeight="1">
      <c r="A237" s="6" t="s">
        <v>597</v>
      </c>
      <c r="B237" s="6" t="s">
        <v>596</v>
      </c>
      <c r="C237" s="8" t="s">
        <v>316</v>
      </c>
      <c r="D237" s="8" t="s">
        <v>318</v>
      </c>
      <c r="E237" s="6"/>
      <c r="F237" s="6"/>
      <c r="G237" s="6"/>
    </row>
    <row r="238" ht="15.75" customHeight="1">
      <c r="A238" s="6" t="s">
        <v>248</v>
      </c>
      <c r="B238" s="6" t="s">
        <v>561</v>
      </c>
      <c r="C238" s="8" t="s">
        <v>600</v>
      </c>
      <c r="D238" s="8" t="s">
        <v>20</v>
      </c>
      <c r="E238" s="6"/>
      <c r="F238" s="6"/>
      <c r="G238" s="6"/>
    </row>
    <row r="239" ht="15.75" customHeight="1">
      <c r="A239" s="6" t="s">
        <v>602</v>
      </c>
      <c r="B239" s="6" t="s">
        <v>601</v>
      </c>
      <c r="C239" s="8" t="s">
        <v>600</v>
      </c>
      <c r="D239" s="8" t="s">
        <v>318</v>
      </c>
      <c r="E239" s="6"/>
      <c r="F239" s="6"/>
      <c r="G239" s="6"/>
    </row>
    <row r="240" ht="15.75" customHeight="1">
      <c r="A240" s="6" t="s">
        <v>605</v>
      </c>
      <c r="B240" s="6" t="s">
        <v>604</v>
      </c>
      <c r="C240" s="8" t="s">
        <v>600</v>
      </c>
      <c r="D240" s="8" t="s">
        <v>318</v>
      </c>
      <c r="E240" s="6"/>
      <c r="F240" s="6"/>
      <c r="G240" s="6"/>
    </row>
    <row r="241" ht="15.75" customHeight="1">
      <c r="A241" s="6" t="s">
        <v>607</v>
      </c>
      <c r="B241" s="6" t="s">
        <v>606</v>
      </c>
      <c r="C241" s="8" t="s">
        <v>600</v>
      </c>
      <c r="D241" s="8" t="s">
        <v>318</v>
      </c>
      <c r="E241" s="6"/>
      <c r="F241" s="6"/>
      <c r="G241" s="6"/>
    </row>
    <row r="242" ht="15.75" customHeight="1">
      <c r="A242" s="6" t="s">
        <v>610</v>
      </c>
      <c r="B242" s="6" t="s">
        <v>608</v>
      </c>
      <c r="C242" s="8" t="s">
        <v>600</v>
      </c>
      <c r="D242" s="8" t="s">
        <v>25</v>
      </c>
      <c r="E242" s="6"/>
      <c r="F242" s="6"/>
      <c r="G242" s="6"/>
    </row>
    <row r="243" ht="15.75" customHeight="1">
      <c r="A243" s="6" t="s">
        <v>612</v>
      </c>
      <c r="B243" s="6" t="s">
        <v>611</v>
      </c>
      <c r="C243" s="8" t="s">
        <v>600</v>
      </c>
      <c r="D243" s="8" t="s">
        <v>25</v>
      </c>
      <c r="E243" s="6"/>
      <c r="F243" s="6"/>
      <c r="G243" s="6"/>
    </row>
    <row r="244" ht="15.75" customHeight="1">
      <c r="A244" s="6" t="s">
        <v>614</v>
      </c>
      <c r="B244" s="6" t="s">
        <v>613</v>
      </c>
      <c r="C244" s="8" t="s">
        <v>600</v>
      </c>
      <c r="D244" s="8" t="s">
        <v>25</v>
      </c>
      <c r="E244" s="6"/>
      <c r="F244" s="6"/>
      <c r="G244" s="6"/>
    </row>
    <row r="245" ht="15.75" customHeight="1">
      <c r="A245" s="6" t="s">
        <v>618</v>
      </c>
      <c r="B245" s="6" t="s">
        <v>616</v>
      </c>
      <c r="C245" s="8" t="s">
        <v>600</v>
      </c>
      <c r="D245" s="8" t="s">
        <v>25</v>
      </c>
      <c r="E245" s="6"/>
      <c r="F245" s="6"/>
      <c r="G245" s="6"/>
    </row>
    <row r="246" ht="15.75" customHeight="1">
      <c r="A246" s="6" t="s">
        <v>621</v>
      </c>
      <c r="B246" s="6" t="s">
        <v>620</v>
      </c>
      <c r="C246" s="8" t="s">
        <v>600</v>
      </c>
      <c r="D246" s="8" t="s">
        <v>20</v>
      </c>
      <c r="E246" s="6"/>
      <c r="F246" s="6"/>
      <c r="G246" s="6"/>
    </row>
    <row r="247" ht="15.75" customHeight="1">
      <c r="A247" s="6" t="s">
        <v>624</v>
      </c>
      <c r="B247" s="6" t="s">
        <v>623</v>
      </c>
      <c r="C247" s="8" t="s">
        <v>600</v>
      </c>
      <c r="D247" s="8" t="s">
        <v>20</v>
      </c>
      <c r="E247" s="6"/>
      <c r="F247" s="6"/>
      <c r="G247" s="6"/>
    </row>
    <row r="248" ht="15.75" customHeight="1">
      <c r="A248" s="6" t="s">
        <v>626</v>
      </c>
      <c r="B248" s="6" t="s">
        <v>625</v>
      </c>
      <c r="C248" s="8" t="s">
        <v>600</v>
      </c>
      <c r="D248" s="8" t="s">
        <v>20</v>
      </c>
      <c r="E248" s="6"/>
      <c r="F248" s="6"/>
      <c r="G248" s="6"/>
    </row>
    <row r="249" ht="15.75" customHeight="1">
      <c r="A249" s="6" t="s">
        <v>630</v>
      </c>
      <c r="B249" s="6" t="s">
        <v>629</v>
      </c>
      <c r="C249" s="8" t="s">
        <v>600</v>
      </c>
      <c r="D249" s="8" t="s">
        <v>20</v>
      </c>
      <c r="E249" s="6"/>
      <c r="F249" s="6"/>
      <c r="G249" s="6"/>
    </row>
    <row r="250" ht="15.75" customHeight="1">
      <c r="A250" s="6" t="s">
        <v>633</v>
      </c>
      <c r="B250" s="6" t="s">
        <v>632</v>
      </c>
      <c r="C250" s="8" t="s">
        <v>600</v>
      </c>
      <c r="D250" s="8" t="s">
        <v>25</v>
      </c>
      <c r="E250" s="6"/>
      <c r="F250" s="6"/>
      <c r="G250" s="6"/>
    </row>
    <row r="251" ht="15.75" customHeight="1">
      <c r="A251" s="6" t="s">
        <v>635</v>
      </c>
      <c r="B251" s="6" t="s">
        <v>634</v>
      </c>
      <c r="C251" s="8" t="s">
        <v>600</v>
      </c>
      <c r="D251" s="8" t="s">
        <v>20</v>
      </c>
      <c r="E251" s="6"/>
      <c r="F251" s="6"/>
      <c r="G251" s="6"/>
    </row>
    <row r="252" ht="15.75" customHeight="1">
      <c r="A252" s="6" t="s">
        <v>638</v>
      </c>
      <c r="B252" s="6" t="s">
        <v>636</v>
      </c>
      <c r="C252" s="8" t="s">
        <v>600</v>
      </c>
      <c r="D252" s="8" t="s">
        <v>20</v>
      </c>
      <c r="E252" s="6"/>
      <c r="F252" s="6"/>
      <c r="G252" s="6"/>
    </row>
    <row r="253" ht="15.75" customHeight="1">
      <c r="A253" s="6" t="s">
        <v>641</v>
      </c>
      <c r="B253" s="6" t="s">
        <v>640</v>
      </c>
      <c r="C253" s="8" t="s">
        <v>600</v>
      </c>
      <c r="D253" s="8" t="s">
        <v>20</v>
      </c>
      <c r="E253" s="6"/>
      <c r="F253" s="6"/>
      <c r="G253" s="6"/>
    </row>
    <row r="254" ht="15.75" customHeight="1">
      <c r="A254" s="6" t="s">
        <v>644</v>
      </c>
      <c r="B254" s="6" t="s">
        <v>643</v>
      </c>
      <c r="C254" s="8" t="s">
        <v>600</v>
      </c>
      <c r="D254" s="8" t="s">
        <v>20</v>
      </c>
      <c r="E254" s="6"/>
      <c r="F254" s="6"/>
      <c r="G254" s="6"/>
    </row>
    <row r="255" ht="15.75" customHeight="1">
      <c r="A255" s="6" t="s">
        <v>646</v>
      </c>
      <c r="B255" s="6" t="s">
        <v>645</v>
      </c>
      <c r="C255" s="8" t="s">
        <v>600</v>
      </c>
      <c r="D255" s="8" t="s">
        <v>20</v>
      </c>
      <c r="E255" s="6"/>
      <c r="F255" s="6"/>
      <c r="G255" s="6"/>
    </row>
    <row r="256" ht="15.75" customHeight="1">
      <c r="A256" s="6" t="s">
        <v>649</v>
      </c>
      <c r="B256" s="6" t="s">
        <v>648</v>
      </c>
      <c r="C256" s="8" t="s">
        <v>600</v>
      </c>
      <c r="D256" s="8" t="s">
        <v>20</v>
      </c>
      <c r="E256" s="6"/>
      <c r="F256" s="6"/>
      <c r="G256" s="6"/>
    </row>
    <row r="257" ht="15.75" customHeight="1">
      <c r="A257" s="6" t="s">
        <v>652</v>
      </c>
      <c r="B257" s="6" t="s">
        <v>651</v>
      </c>
      <c r="C257" s="8" t="s">
        <v>600</v>
      </c>
      <c r="D257" s="8" t="s">
        <v>20</v>
      </c>
      <c r="E257" s="6"/>
      <c r="F257" s="6"/>
      <c r="G257" s="6"/>
    </row>
    <row r="258" ht="15.75" customHeight="1">
      <c r="A258" s="6" t="s">
        <v>654</v>
      </c>
      <c r="B258" s="6" t="s">
        <v>653</v>
      </c>
      <c r="C258" s="8" t="s">
        <v>600</v>
      </c>
      <c r="D258" s="8" t="s">
        <v>655</v>
      </c>
      <c r="E258" s="6"/>
      <c r="F258" s="6"/>
      <c r="G258" s="6"/>
    </row>
    <row r="259" ht="15.75" customHeight="1">
      <c r="A259" s="6" t="s">
        <v>658</v>
      </c>
      <c r="B259" s="6" t="s">
        <v>657</v>
      </c>
      <c r="C259" s="8" t="s">
        <v>600</v>
      </c>
      <c r="D259" s="8" t="s">
        <v>655</v>
      </c>
      <c r="E259" s="6"/>
      <c r="F259" s="6"/>
      <c r="G259" s="6"/>
    </row>
    <row r="260" ht="15.75" customHeight="1">
      <c r="A260" s="6" t="s">
        <v>661</v>
      </c>
      <c r="B260" s="6" t="s">
        <v>805</v>
      </c>
      <c r="C260" s="8" t="s">
        <v>600</v>
      </c>
      <c r="D260" s="8" t="s">
        <v>78</v>
      </c>
      <c r="E260" s="6"/>
      <c r="F260" s="6"/>
      <c r="G260" s="6"/>
    </row>
    <row r="261" ht="15.75" customHeight="1">
      <c r="A261" s="6" t="s">
        <v>666</v>
      </c>
      <c r="B261" s="6" t="s">
        <v>664</v>
      </c>
      <c r="C261" s="8" t="s">
        <v>600</v>
      </c>
      <c r="D261" s="8" t="s">
        <v>78</v>
      </c>
      <c r="E261" s="6"/>
      <c r="F261" s="6"/>
      <c r="G261" s="6"/>
    </row>
    <row r="262" ht="15.75" customHeight="1">
      <c r="A262" s="6" t="s">
        <v>668</v>
      </c>
      <c r="B262" s="6" t="s">
        <v>667</v>
      </c>
      <c r="C262" s="8" t="s">
        <v>600</v>
      </c>
      <c r="D262" s="8" t="s">
        <v>20</v>
      </c>
      <c r="E262" s="6"/>
      <c r="F262" s="6"/>
      <c r="G262" s="6"/>
    </row>
    <row r="263" ht="15.75" customHeight="1">
      <c r="A263" s="6" t="s">
        <v>670</v>
      </c>
      <c r="B263" s="6" t="s">
        <v>669</v>
      </c>
      <c r="C263" s="8" t="s">
        <v>600</v>
      </c>
      <c r="D263" s="8" t="s">
        <v>25</v>
      </c>
      <c r="E263" s="6"/>
      <c r="F263" s="6"/>
      <c r="G263" s="6"/>
    </row>
    <row r="264" ht="15.75" customHeight="1">
      <c r="A264" s="6" t="s">
        <v>673</v>
      </c>
      <c r="B264" s="6" t="s">
        <v>672</v>
      </c>
      <c r="C264" s="8" t="s">
        <v>600</v>
      </c>
      <c r="D264" s="8" t="s">
        <v>20</v>
      </c>
      <c r="E264" s="6"/>
      <c r="F264" s="6"/>
      <c r="G264" s="6"/>
    </row>
    <row r="265" ht="15.75" customHeight="1">
      <c r="A265" s="6" t="s">
        <v>675</v>
      </c>
      <c r="B265" s="6" t="s">
        <v>674</v>
      </c>
      <c r="C265" s="8" t="s">
        <v>600</v>
      </c>
      <c r="D265" s="8" t="s">
        <v>20</v>
      </c>
      <c r="E265" s="6"/>
      <c r="F265" s="6"/>
      <c r="G265" s="6"/>
    </row>
    <row r="266" ht="15.75" customHeight="1">
      <c r="A266" s="6" t="s">
        <v>678</v>
      </c>
      <c r="B266" s="6" t="s">
        <v>677</v>
      </c>
      <c r="C266" s="8" t="s">
        <v>600</v>
      </c>
      <c r="D266" s="8" t="s">
        <v>20</v>
      </c>
      <c r="E266" s="6"/>
      <c r="F266" s="6"/>
      <c r="G266" s="6"/>
    </row>
    <row r="267" ht="15.75" customHeight="1">
      <c r="A267" s="6" t="s">
        <v>680</v>
      </c>
      <c r="B267" s="6" t="s">
        <v>679</v>
      </c>
      <c r="C267" s="8" t="s">
        <v>600</v>
      </c>
      <c r="D267" s="8" t="s">
        <v>20</v>
      </c>
      <c r="E267" s="6"/>
      <c r="F267" s="6"/>
      <c r="G267" s="6"/>
    </row>
    <row r="268" ht="15.75" customHeight="1">
      <c r="A268" s="6" t="s">
        <v>683</v>
      </c>
      <c r="B268" s="6" t="s">
        <v>681</v>
      </c>
      <c r="C268" s="8" t="s">
        <v>600</v>
      </c>
      <c r="D268" s="8" t="s">
        <v>20</v>
      </c>
      <c r="E268" s="6"/>
      <c r="F268" s="6"/>
      <c r="G268" s="6"/>
    </row>
    <row r="269" ht="15.75" customHeight="1">
      <c r="A269" s="6" t="s">
        <v>685</v>
      </c>
      <c r="B269" s="6" t="s">
        <v>684</v>
      </c>
      <c r="C269" s="8" t="s">
        <v>600</v>
      </c>
      <c r="D269" s="8" t="s">
        <v>20</v>
      </c>
      <c r="E269" s="6"/>
      <c r="F269" s="6"/>
      <c r="G269" s="6"/>
    </row>
    <row r="270" ht="15.75" customHeight="1">
      <c r="A270" s="6" t="s">
        <v>689</v>
      </c>
      <c r="B270" s="6" t="s">
        <v>687</v>
      </c>
      <c r="C270" s="8" t="s">
        <v>600</v>
      </c>
      <c r="D270" s="8" t="s">
        <v>20</v>
      </c>
      <c r="E270" s="6"/>
      <c r="F270" s="6"/>
      <c r="G270" s="6"/>
    </row>
    <row r="271" ht="15.75" customHeight="1">
      <c r="A271" s="6" t="s">
        <v>692</v>
      </c>
      <c r="B271" s="6" t="s">
        <v>691</v>
      </c>
      <c r="C271" s="8" t="s">
        <v>600</v>
      </c>
      <c r="D271" s="8" t="s">
        <v>20</v>
      </c>
      <c r="E271" s="6"/>
      <c r="F271" s="6"/>
      <c r="G271" s="6"/>
    </row>
    <row r="272" ht="15.75" customHeight="1">
      <c r="A272" s="6" t="s">
        <v>694</v>
      </c>
      <c r="B272" s="6" t="s">
        <v>693</v>
      </c>
      <c r="C272" s="8" t="s">
        <v>600</v>
      </c>
      <c r="D272" s="8" t="s">
        <v>318</v>
      </c>
      <c r="E272" s="6"/>
      <c r="F272" s="6"/>
      <c r="G272" s="6"/>
    </row>
    <row r="273" ht="15.75" customHeight="1">
      <c r="A273" s="6" t="s">
        <v>696</v>
      </c>
      <c r="B273" s="6" t="s">
        <v>695</v>
      </c>
      <c r="C273" s="8" t="s">
        <v>600</v>
      </c>
      <c r="D273" s="8" t="s">
        <v>318</v>
      </c>
      <c r="E273" s="6"/>
      <c r="F273" s="6"/>
      <c r="G273" s="6"/>
    </row>
    <row r="274" ht="15.75" customHeight="1">
      <c r="A274" s="6" t="s">
        <v>699</v>
      </c>
      <c r="B274" s="6" t="s">
        <v>698</v>
      </c>
      <c r="C274" s="8" t="s">
        <v>600</v>
      </c>
      <c r="D274" s="8" t="s">
        <v>25</v>
      </c>
      <c r="E274" s="6"/>
      <c r="F274" s="6"/>
      <c r="G274" s="6"/>
    </row>
    <row r="275" ht="15.75" customHeight="1">
      <c r="A275" s="6" t="s">
        <v>701</v>
      </c>
      <c r="B275" s="6" t="s">
        <v>700</v>
      </c>
      <c r="C275" s="8" t="s">
        <v>600</v>
      </c>
      <c r="D275" s="8" t="s">
        <v>25</v>
      </c>
      <c r="E275" s="6"/>
      <c r="F275" s="6"/>
      <c r="G275" s="6"/>
    </row>
    <row r="276" ht="15.75" customHeight="1">
      <c r="A276" s="6" t="s">
        <v>703</v>
      </c>
      <c r="B276" s="6" t="s">
        <v>702</v>
      </c>
      <c r="C276" s="8" t="s">
        <v>600</v>
      </c>
      <c r="D276" s="8" t="s">
        <v>20</v>
      </c>
      <c r="E276" s="6"/>
      <c r="F276" s="6"/>
      <c r="G276" s="6"/>
    </row>
    <row r="277" ht="15.75" customHeight="1">
      <c r="A277" s="6" t="s">
        <v>705</v>
      </c>
      <c r="B277" s="6" t="s">
        <v>704</v>
      </c>
      <c r="C277" s="8" t="s">
        <v>600</v>
      </c>
      <c r="D277" s="8" t="s">
        <v>25</v>
      </c>
      <c r="E277" s="6"/>
      <c r="F277" s="6"/>
      <c r="G277" s="6"/>
    </row>
    <row r="278" ht="15.75" customHeight="1">
      <c r="A278" s="6" t="s">
        <v>707</v>
      </c>
      <c r="B278" s="6" t="s">
        <v>706</v>
      </c>
      <c r="C278" s="8" t="s">
        <v>708</v>
      </c>
      <c r="D278" s="8" t="s">
        <v>709</v>
      </c>
      <c r="E278" s="6"/>
      <c r="F278" s="6"/>
      <c r="G278" s="6"/>
    </row>
    <row r="279" ht="15.75" customHeight="1">
      <c r="A279" s="6" t="s">
        <v>712</v>
      </c>
      <c r="B279" s="6" t="s">
        <v>710</v>
      </c>
      <c r="C279" s="8" t="s">
        <v>708</v>
      </c>
      <c r="D279" s="8" t="s">
        <v>713</v>
      </c>
      <c r="E279" s="6"/>
      <c r="F279" s="6"/>
      <c r="G279" s="6"/>
    </row>
    <row r="280" ht="15.75" customHeight="1">
      <c r="A280" s="6" t="s">
        <v>545</v>
      </c>
      <c r="B280" s="6" t="s">
        <v>714</v>
      </c>
      <c r="C280" s="8" t="s">
        <v>708</v>
      </c>
      <c r="D280" s="8" t="s">
        <v>20</v>
      </c>
      <c r="E280" s="6"/>
      <c r="F280" s="6"/>
      <c r="G280" s="6"/>
    </row>
    <row r="281" ht="15.75" customHeight="1">
      <c r="A281" s="6" t="s">
        <v>716</v>
      </c>
      <c r="B281" s="6" t="s">
        <v>715</v>
      </c>
      <c r="C281" s="8" t="s">
        <v>708</v>
      </c>
      <c r="D281" s="8" t="s">
        <v>709</v>
      </c>
      <c r="E281" s="6"/>
      <c r="F281" s="6"/>
      <c r="G281" s="6"/>
    </row>
    <row r="282" ht="15.75" customHeight="1">
      <c r="A282" s="6" t="s">
        <v>718</v>
      </c>
      <c r="B282" s="6" t="s">
        <v>717</v>
      </c>
      <c r="C282" s="8" t="s">
        <v>708</v>
      </c>
      <c r="D282" s="8" t="s">
        <v>25</v>
      </c>
      <c r="E282" s="6"/>
      <c r="F282" s="6"/>
      <c r="G282" s="6"/>
    </row>
    <row r="283" ht="15.75" customHeight="1">
      <c r="A283" s="6" t="s">
        <v>721</v>
      </c>
      <c r="B283" s="6" t="s">
        <v>720</v>
      </c>
      <c r="C283" s="8" t="s">
        <v>708</v>
      </c>
      <c r="D283" s="8" t="s">
        <v>25</v>
      </c>
      <c r="E283" s="6"/>
      <c r="F283" s="6"/>
      <c r="G283" s="6"/>
    </row>
    <row r="284" ht="15.75" customHeight="1">
      <c r="A284" s="6" t="s">
        <v>723</v>
      </c>
      <c r="B284" s="6" t="s">
        <v>722</v>
      </c>
      <c r="C284" s="8" t="s">
        <v>708</v>
      </c>
      <c r="D284" s="8" t="s">
        <v>25</v>
      </c>
      <c r="E284" s="6"/>
      <c r="F284" s="6"/>
      <c r="G284" s="6"/>
    </row>
    <row r="285" ht="15.75" customHeight="1">
      <c r="A285" s="6" t="s">
        <v>725</v>
      </c>
      <c r="B285" s="6" t="s">
        <v>724</v>
      </c>
      <c r="C285" s="8" t="s">
        <v>708</v>
      </c>
      <c r="D285" s="8" t="s">
        <v>25</v>
      </c>
      <c r="E285" s="6"/>
      <c r="F285" s="6"/>
      <c r="G285" s="6"/>
    </row>
    <row r="286" ht="15.75" customHeight="1">
      <c r="A286" s="6" t="s">
        <v>727</v>
      </c>
      <c r="B286" s="6" t="s">
        <v>726</v>
      </c>
      <c r="C286" s="8" t="s">
        <v>708</v>
      </c>
      <c r="D286" s="8" t="s">
        <v>25</v>
      </c>
      <c r="E286" s="6"/>
      <c r="F286" s="6"/>
      <c r="G286" s="6"/>
    </row>
    <row r="287" ht="15.75" customHeight="1">
      <c r="A287" s="6" t="s">
        <v>729</v>
      </c>
      <c r="B287" s="6" t="s">
        <v>728</v>
      </c>
      <c r="C287" s="8" t="s">
        <v>708</v>
      </c>
      <c r="D287" s="8" t="s">
        <v>25</v>
      </c>
      <c r="E287" s="6"/>
      <c r="F287" s="6"/>
      <c r="G287" s="6"/>
    </row>
    <row r="288" ht="15.75" customHeight="1">
      <c r="A288" s="6" t="s">
        <v>731</v>
      </c>
      <c r="B288" s="6" t="s">
        <v>730</v>
      </c>
      <c r="C288" s="8" t="s">
        <v>708</v>
      </c>
      <c r="D288" s="8" t="s">
        <v>25</v>
      </c>
      <c r="E288" s="6"/>
      <c r="F288" s="6"/>
      <c r="G288" s="6"/>
    </row>
    <row r="289" ht="15.75" customHeight="1">
      <c r="A289" s="6" t="s">
        <v>733</v>
      </c>
      <c r="B289" s="6" t="s">
        <v>732</v>
      </c>
      <c r="C289" s="8" t="s">
        <v>708</v>
      </c>
      <c r="D289" s="8" t="s">
        <v>25</v>
      </c>
      <c r="E289" s="6"/>
      <c r="F289" s="6"/>
      <c r="G289" s="6"/>
    </row>
    <row r="290" ht="15.75" customHeight="1">
      <c r="A290" s="6" t="s">
        <v>735</v>
      </c>
      <c r="B290" s="6" t="s">
        <v>734</v>
      </c>
      <c r="C290" s="8" t="s">
        <v>708</v>
      </c>
      <c r="D290" s="8" t="s">
        <v>25</v>
      </c>
      <c r="E290" s="6"/>
      <c r="F290" s="6"/>
      <c r="G290" s="6"/>
    </row>
    <row r="291" ht="15.75" customHeight="1">
      <c r="A291" s="6" t="s">
        <v>739</v>
      </c>
      <c r="B291" s="6" t="s">
        <v>738</v>
      </c>
      <c r="C291" s="8" t="s">
        <v>708</v>
      </c>
      <c r="D291" s="8" t="s">
        <v>25</v>
      </c>
      <c r="E291" s="6"/>
      <c r="F291" s="6"/>
      <c r="G291" s="6"/>
    </row>
    <row r="292" ht="15.75" customHeight="1">
      <c r="A292" s="6" t="s">
        <v>279</v>
      </c>
      <c r="B292" s="6" t="s">
        <v>741</v>
      </c>
      <c r="C292" s="8" t="s">
        <v>708</v>
      </c>
      <c r="D292" s="8" t="s">
        <v>20</v>
      </c>
      <c r="E292" s="6"/>
      <c r="F292" s="6"/>
      <c r="G292" s="6"/>
    </row>
    <row r="293" ht="15.75" customHeight="1">
      <c r="A293" s="6" t="s">
        <v>744</v>
      </c>
      <c r="B293" s="6" t="s">
        <v>743</v>
      </c>
      <c r="C293" s="8" t="s">
        <v>708</v>
      </c>
      <c r="D293" s="8" t="s">
        <v>745</v>
      </c>
      <c r="E293" s="6"/>
      <c r="F293" s="6"/>
      <c r="G293" s="6"/>
    </row>
    <row r="294" ht="15.75" customHeight="1">
      <c r="A294" s="6" t="s">
        <v>303</v>
      </c>
      <c r="B294" s="6" t="s">
        <v>747</v>
      </c>
      <c r="C294" s="8" t="s">
        <v>708</v>
      </c>
      <c r="D294" s="8" t="s">
        <v>745</v>
      </c>
      <c r="E294" s="6"/>
      <c r="F294" s="6"/>
      <c r="G294" s="6"/>
    </row>
    <row r="295" ht="15.75" customHeight="1">
      <c r="A295" s="6" t="s">
        <v>226</v>
      </c>
      <c r="B295" s="6" t="s">
        <v>225</v>
      </c>
      <c r="C295" s="8" t="s">
        <v>708</v>
      </c>
      <c r="D295" s="8" t="s">
        <v>20</v>
      </c>
      <c r="E295" s="6"/>
      <c r="F295" s="6"/>
      <c r="G295" s="6"/>
    </row>
    <row r="296" ht="15.75" customHeight="1">
      <c r="A296" s="6" t="s">
        <v>749</v>
      </c>
      <c r="B296" s="6" t="s">
        <v>748</v>
      </c>
      <c r="C296" s="8" t="s">
        <v>708</v>
      </c>
      <c r="D296" s="8" t="s">
        <v>750</v>
      </c>
      <c r="E296" s="6"/>
      <c r="F296" s="6"/>
      <c r="G296" s="6"/>
    </row>
    <row r="297" ht="15.75" customHeight="1">
      <c r="A297" s="6" t="s">
        <v>753</v>
      </c>
      <c r="B297" s="6" t="s">
        <v>752</v>
      </c>
      <c r="C297" s="8" t="s">
        <v>708</v>
      </c>
      <c r="D297" s="8" t="s">
        <v>754</v>
      </c>
      <c r="E297" s="6"/>
      <c r="F297" s="6"/>
      <c r="G297" s="6"/>
    </row>
    <row r="298" ht="15.75" customHeight="1">
      <c r="A298" s="6" t="s">
        <v>435</v>
      </c>
      <c r="B298" s="6" t="s">
        <v>432</v>
      </c>
      <c r="C298" s="8" t="s">
        <v>708</v>
      </c>
      <c r="D298" s="8" t="s">
        <v>754</v>
      </c>
      <c r="E298" s="6"/>
      <c r="F298" s="6"/>
      <c r="G298" s="6"/>
    </row>
    <row r="299" ht="15.75" customHeight="1">
      <c r="A299" s="6" t="s">
        <v>757</v>
      </c>
      <c r="B299" s="6" t="s">
        <v>756</v>
      </c>
      <c r="C299" s="8" t="s">
        <v>708</v>
      </c>
      <c r="D299" s="8" t="s">
        <v>754</v>
      </c>
      <c r="E299" s="6"/>
      <c r="F299" s="6"/>
      <c r="G299" s="6"/>
    </row>
    <row r="300" ht="15.75" customHeight="1">
      <c r="A300" s="6" t="s">
        <v>759</v>
      </c>
      <c r="B300" s="6" t="s">
        <v>758</v>
      </c>
      <c r="C300" s="8" t="s">
        <v>708</v>
      </c>
      <c r="D300" s="8" t="s">
        <v>754</v>
      </c>
      <c r="E300" s="6"/>
      <c r="F300" s="6"/>
      <c r="G300" s="6"/>
    </row>
    <row r="301" ht="15.75" customHeight="1">
      <c r="A301" s="6" t="s">
        <v>761</v>
      </c>
      <c r="B301" s="6" t="s">
        <v>760</v>
      </c>
      <c r="C301" s="8" t="s">
        <v>708</v>
      </c>
      <c r="D301" s="8" t="s">
        <v>754</v>
      </c>
      <c r="E301" s="6"/>
      <c r="F301" s="6"/>
      <c r="G301" s="6"/>
    </row>
    <row r="302" ht="15.75" customHeight="1">
      <c r="A302" s="6" t="s">
        <v>764</v>
      </c>
      <c r="B302" s="6" t="s">
        <v>763</v>
      </c>
      <c r="C302" s="8" t="s">
        <v>708</v>
      </c>
      <c r="D302" s="8" t="s">
        <v>754</v>
      </c>
      <c r="E302" s="6"/>
      <c r="F302" s="6"/>
      <c r="G302" s="6"/>
    </row>
    <row r="303" ht="15.75" customHeight="1">
      <c r="A303" s="6" t="s">
        <v>766</v>
      </c>
      <c r="B303" s="6" t="s">
        <v>765</v>
      </c>
      <c r="C303" s="8" t="s">
        <v>708</v>
      </c>
      <c r="D303" s="8" t="s">
        <v>25</v>
      </c>
      <c r="E303" s="6"/>
      <c r="F303" s="6"/>
      <c r="G303" s="6"/>
    </row>
    <row r="304" ht="15.75" customHeight="1">
      <c r="A304" s="6" t="s">
        <v>768</v>
      </c>
      <c r="B304" s="6" t="s">
        <v>767</v>
      </c>
      <c r="C304" s="8" t="s">
        <v>708</v>
      </c>
      <c r="D304" s="8" t="s">
        <v>25</v>
      </c>
      <c r="E304" s="6"/>
      <c r="F304" s="6"/>
      <c r="G304" s="6"/>
    </row>
    <row r="305" ht="15.75" customHeight="1">
      <c r="A305" s="6" t="s">
        <v>771</v>
      </c>
      <c r="B305" s="6" t="s">
        <v>770</v>
      </c>
      <c r="C305" s="8" t="s">
        <v>708</v>
      </c>
      <c r="D305" s="8" t="s">
        <v>25</v>
      </c>
      <c r="E305" s="6"/>
      <c r="F305" s="6"/>
      <c r="G305" s="6"/>
    </row>
    <row r="306" ht="15.75" customHeight="1">
      <c r="A306" s="6" t="s">
        <v>773</v>
      </c>
      <c r="B306" s="6" t="s">
        <v>772</v>
      </c>
      <c r="C306" s="8" t="s">
        <v>708</v>
      </c>
      <c r="D306" s="8" t="s">
        <v>774</v>
      </c>
      <c r="E306" s="6"/>
      <c r="F306" s="6"/>
      <c r="G306" s="6"/>
    </row>
    <row r="307" ht="15.75" customHeight="1">
      <c r="A307" s="6" t="s">
        <v>776</v>
      </c>
      <c r="B307" s="6" t="s">
        <v>775</v>
      </c>
      <c r="C307" s="8" t="s">
        <v>708</v>
      </c>
      <c r="D307" s="8" t="s">
        <v>25</v>
      </c>
      <c r="E307" s="6"/>
      <c r="F307" s="6"/>
      <c r="G307" s="6"/>
    </row>
    <row r="308" ht="15.75" customHeight="1">
      <c r="A308" s="6" t="s">
        <v>778</v>
      </c>
      <c r="B308" s="6" t="s">
        <v>777</v>
      </c>
      <c r="C308" s="8" t="s">
        <v>708</v>
      </c>
      <c r="D308" s="8" t="s">
        <v>774</v>
      </c>
      <c r="E308" s="6"/>
      <c r="F308" s="6"/>
      <c r="G308" s="6"/>
    </row>
    <row r="309" ht="15.75" customHeight="1">
      <c r="A309" s="6" t="s">
        <v>781</v>
      </c>
      <c r="B309" s="6" t="s">
        <v>780</v>
      </c>
      <c r="C309" s="8" t="s">
        <v>708</v>
      </c>
      <c r="D309" s="8" t="s">
        <v>774</v>
      </c>
      <c r="E309" s="6"/>
      <c r="F309" s="6"/>
      <c r="G309" s="6"/>
    </row>
    <row r="310" ht="15.75" customHeight="1">
      <c r="A310" s="6" t="s">
        <v>783</v>
      </c>
      <c r="B310" s="6" t="s">
        <v>782</v>
      </c>
      <c r="C310" s="8" t="s">
        <v>708</v>
      </c>
      <c r="D310" s="8" t="s">
        <v>774</v>
      </c>
      <c r="E310" s="6"/>
      <c r="F310" s="6"/>
      <c r="G310" s="6"/>
    </row>
    <row r="311" ht="15.75" customHeight="1">
      <c r="A311" s="6" t="s">
        <v>785</v>
      </c>
      <c r="B311" s="6" t="s">
        <v>784</v>
      </c>
      <c r="C311" s="8" t="s">
        <v>708</v>
      </c>
      <c r="D311" s="8" t="s">
        <v>25</v>
      </c>
      <c r="E311" s="6"/>
      <c r="F311" s="6"/>
      <c r="G311" s="6"/>
    </row>
    <row r="312" ht="15.75" customHeight="1">
      <c r="B312" s="7" t="s">
        <v>823</v>
      </c>
      <c r="C312" s="18"/>
      <c r="D312" s="18"/>
      <c r="E312" s="19"/>
      <c r="F312" s="19"/>
      <c r="G312" s="19"/>
    </row>
    <row r="313" ht="15.75" customHeight="1">
      <c r="B313" s="7" t="s">
        <v>787</v>
      </c>
      <c r="C313" s="18"/>
      <c r="D313" s="18"/>
      <c r="E313" s="19"/>
      <c r="F313" s="19"/>
      <c r="G313" s="19"/>
    </row>
    <row r="314" ht="15.75" customHeight="1">
      <c r="C314" s="18"/>
      <c r="D314" s="18"/>
      <c r="E314" s="19"/>
      <c r="F314" s="19"/>
      <c r="G314" s="19"/>
    </row>
    <row r="315" ht="15.75" customHeight="1">
      <c r="C315" s="18"/>
      <c r="D315" s="18"/>
      <c r="E315" s="19"/>
      <c r="F315" s="19"/>
      <c r="G315" s="19"/>
    </row>
    <row r="316" ht="15.75" customHeight="1">
      <c r="C316" s="18"/>
      <c r="D316" s="18"/>
      <c r="E316" s="19"/>
      <c r="F316" s="19"/>
      <c r="G316" s="19"/>
    </row>
    <row r="317" ht="15.75" customHeight="1">
      <c r="C317" s="18"/>
      <c r="D317" s="18"/>
      <c r="E317" s="19"/>
      <c r="F317" s="19"/>
      <c r="G317" s="19"/>
    </row>
    <row r="318" ht="15.75" customHeight="1">
      <c r="C318" s="18"/>
      <c r="D318" s="18"/>
      <c r="E318" s="19"/>
      <c r="F318" s="19"/>
      <c r="G318" s="19"/>
    </row>
    <row r="319" ht="15.75" customHeight="1">
      <c r="C319" s="18"/>
      <c r="D319" s="18"/>
      <c r="E319" s="19"/>
      <c r="F319" s="19"/>
      <c r="G319" s="19"/>
    </row>
    <row r="320" ht="15.75" customHeight="1">
      <c r="C320" s="18"/>
      <c r="D320" s="18"/>
      <c r="E320" s="19"/>
      <c r="F320" s="19"/>
      <c r="G320" s="19"/>
    </row>
    <row r="321" ht="15.75" customHeight="1">
      <c r="C321" s="18"/>
      <c r="D321" s="18"/>
      <c r="E321" s="19"/>
      <c r="F321" s="19"/>
      <c r="G321" s="19"/>
    </row>
    <row r="322" ht="15.75" customHeight="1">
      <c r="C322" s="18"/>
      <c r="D322" s="18"/>
      <c r="E322" s="19"/>
      <c r="F322" s="19"/>
      <c r="G322" s="19"/>
    </row>
    <row r="323" ht="15.75" customHeight="1">
      <c r="C323" s="18"/>
      <c r="D323" s="18"/>
      <c r="E323" s="19"/>
      <c r="F323" s="19"/>
      <c r="G323" s="19"/>
    </row>
    <row r="324" ht="15.75" customHeight="1">
      <c r="C324" s="18"/>
      <c r="D324" s="18"/>
      <c r="E324" s="19"/>
      <c r="F324" s="19"/>
      <c r="G324" s="19"/>
    </row>
    <row r="325" ht="15.75" customHeight="1">
      <c r="C325" s="18"/>
      <c r="D325" s="18"/>
      <c r="E325" s="19"/>
      <c r="F325" s="19"/>
      <c r="G325" s="19"/>
    </row>
    <row r="326" ht="15.75" customHeight="1">
      <c r="C326" s="18"/>
      <c r="D326" s="18"/>
      <c r="E326" s="19"/>
      <c r="F326" s="19"/>
      <c r="G326" s="19"/>
    </row>
    <row r="327" ht="15.75" customHeight="1">
      <c r="C327" s="18"/>
      <c r="D327" s="18"/>
      <c r="E327" s="19"/>
      <c r="F327" s="19"/>
      <c r="G327" s="19"/>
    </row>
    <row r="328" ht="15.75" customHeight="1">
      <c r="C328" s="18"/>
      <c r="D328" s="18"/>
      <c r="E328" s="19"/>
      <c r="F328" s="19"/>
      <c r="G328" s="19"/>
    </row>
    <row r="329" ht="15.75" customHeight="1">
      <c r="C329" s="18"/>
      <c r="D329" s="18"/>
      <c r="E329" s="19"/>
      <c r="F329" s="19"/>
      <c r="G329" s="19"/>
    </row>
    <row r="330" ht="15.75" customHeight="1">
      <c r="C330" s="18"/>
      <c r="D330" s="18"/>
      <c r="E330" s="19"/>
      <c r="F330" s="19"/>
      <c r="G330" s="19"/>
    </row>
    <row r="331" ht="15.75" customHeight="1">
      <c r="C331" s="18"/>
      <c r="D331" s="18"/>
      <c r="E331" s="19"/>
      <c r="F331" s="19"/>
      <c r="G331" s="19"/>
    </row>
    <row r="332" ht="15.75" customHeight="1">
      <c r="C332" s="18"/>
      <c r="D332" s="18"/>
      <c r="E332" s="19"/>
      <c r="F332" s="19"/>
      <c r="G332" s="19"/>
    </row>
    <row r="333" ht="15.75" customHeight="1">
      <c r="C333" s="18"/>
      <c r="D333" s="18"/>
      <c r="E333" s="19"/>
      <c r="F333" s="19"/>
      <c r="G333" s="19"/>
    </row>
    <row r="334" ht="15.75" customHeight="1">
      <c r="C334" s="18"/>
      <c r="D334" s="18"/>
      <c r="E334" s="19"/>
      <c r="F334" s="19"/>
      <c r="G334" s="19"/>
    </row>
    <row r="335" ht="15.75" customHeight="1">
      <c r="C335" s="18"/>
      <c r="D335" s="18"/>
      <c r="E335" s="19"/>
      <c r="F335" s="19"/>
      <c r="G335" s="19"/>
    </row>
    <row r="336" ht="15.75" customHeight="1">
      <c r="C336" s="18"/>
      <c r="D336" s="18"/>
      <c r="E336" s="19"/>
      <c r="F336" s="19"/>
      <c r="G336" s="19"/>
    </row>
    <row r="337" ht="15.75" customHeight="1">
      <c r="C337" s="18"/>
      <c r="D337" s="18"/>
      <c r="E337" s="19"/>
      <c r="F337" s="19"/>
      <c r="G337" s="19"/>
    </row>
    <row r="338" ht="15.75" customHeight="1">
      <c r="C338" s="18"/>
      <c r="D338" s="18"/>
      <c r="E338" s="19"/>
      <c r="F338" s="19"/>
      <c r="G338" s="19"/>
    </row>
    <row r="339" ht="15.75" customHeight="1">
      <c r="C339" s="18"/>
      <c r="D339" s="18"/>
      <c r="E339" s="19"/>
      <c r="F339" s="19"/>
      <c r="G339" s="19"/>
    </row>
    <row r="340" ht="15.75" customHeight="1">
      <c r="C340" s="18"/>
      <c r="D340" s="18"/>
      <c r="E340" s="19"/>
      <c r="F340" s="19"/>
      <c r="G340" s="19"/>
    </row>
    <row r="341" ht="15.75" customHeight="1">
      <c r="C341" s="18"/>
      <c r="D341" s="18"/>
      <c r="E341" s="19"/>
      <c r="F341" s="19"/>
      <c r="G341" s="19"/>
    </row>
    <row r="342" ht="15.75" customHeight="1">
      <c r="C342" s="18"/>
      <c r="D342" s="18"/>
      <c r="E342" s="19"/>
      <c r="F342" s="19"/>
      <c r="G342" s="19"/>
    </row>
    <row r="343" ht="15.75" customHeight="1">
      <c r="C343" s="18"/>
      <c r="D343" s="18"/>
      <c r="E343" s="19"/>
      <c r="F343" s="19"/>
      <c r="G343" s="19"/>
    </row>
    <row r="344" ht="15.75" customHeight="1">
      <c r="C344" s="18"/>
      <c r="D344" s="18"/>
      <c r="E344" s="19"/>
      <c r="F344" s="19"/>
      <c r="G344" s="19"/>
    </row>
    <row r="345" ht="15.75" customHeight="1">
      <c r="C345" s="18"/>
      <c r="D345" s="18"/>
      <c r="E345" s="19"/>
      <c r="F345" s="19"/>
      <c r="G345" s="19"/>
    </row>
    <row r="346" ht="15.75" customHeight="1">
      <c r="C346" s="18"/>
      <c r="D346" s="18"/>
      <c r="E346" s="19"/>
      <c r="F346" s="19"/>
      <c r="G346" s="19"/>
    </row>
    <row r="347" ht="15.75" customHeight="1">
      <c r="C347" s="18"/>
      <c r="D347" s="18"/>
      <c r="E347" s="19"/>
      <c r="F347" s="19"/>
      <c r="G347" s="19"/>
    </row>
    <row r="348" ht="15.75" customHeight="1">
      <c r="C348" s="18"/>
      <c r="D348" s="18"/>
      <c r="E348" s="19"/>
      <c r="F348" s="19"/>
      <c r="G348" s="19"/>
    </row>
    <row r="349" ht="15.75" customHeight="1">
      <c r="C349" s="18"/>
      <c r="D349" s="18"/>
      <c r="E349" s="19"/>
      <c r="F349" s="19"/>
      <c r="G349" s="19"/>
    </row>
    <row r="350" ht="15.75" customHeight="1">
      <c r="C350" s="18"/>
      <c r="D350" s="18"/>
      <c r="E350" s="19"/>
      <c r="F350" s="19"/>
      <c r="G350" s="19"/>
    </row>
    <row r="351" ht="15.75" customHeight="1">
      <c r="C351" s="18"/>
      <c r="D351" s="18"/>
      <c r="E351" s="19"/>
      <c r="F351" s="19"/>
      <c r="G351" s="19"/>
    </row>
    <row r="352" ht="15.75" customHeight="1">
      <c r="C352" s="18"/>
      <c r="D352" s="18"/>
      <c r="E352" s="19"/>
      <c r="F352" s="19"/>
      <c r="G352" s="19"/>
    </row>
    <row r="353" ht="15.75" customHeight="1">
      <c r="C353" s="18"/>
      <c r="D353" s="18"/>
      <c r="E353" s="19"/>
      <c r="F353" s="19"/>
      <c r="G353" s="19"/>
    </row>
    <row r="354" ht="15.75" customHeight="1">
      <c r="C354" s="18"/>
      <c r="D354" s="18"/>
      <c r="E354" s="19"/>
      <c r="F354" s="19"/>
      <c r="G354" s="19"/>
    </row>
    <row r="355" ht="15.75" customHeight="1">
      <c r="C355" s="18"/>
      <c r="D355" s="18"/>
      <c r="E355" s="19"/>
      <c r="F355" s="19"/>
      <c r="G355" s="19"/>
    </row>
    <row r="356" ht="15.75" customHeight="1">
      <c r="C356" s="18"/>
      <c r="D356" s="18"/>
      <c r="E356" s="19"/>
      <c r="F356" s="19"/>
      <c r="G356" s="19"/>
    </row>
    <row r="357" ht="15.75" customHeight="1">
      <c r="C357" s="18"/>
      <c r="D357" s="18"/>
      <c r="E357" s="19"/>
      <c r="F357" s="19"/>
      <c r="G357" s="19"/>
    </row>
    <row r="358" ht="15.75" customHeight="1">
      <c r="C358" s="18"/>
      <c r="D358" s="18"/>
      <c r="E358" s="19"/>
      <c r="F358" s="19"/>
      <c r="G358" s="19"/>
    </row>
    <row r="359" ht="15.75" customHeight="1">
      <c r="C359" s="18"/>
      <c r="D359" s="18"/>
      <c r="E359" s="19"/>
      <c r="F359" s="19"/>
      <c r="G359" s="19"/>
    </row>
    <row r="360" ht="15.75" customHeight="1">
      <c r="C360" s="18"/>
      <c r="D360" s="18"/>
      <c r="E360" s="19"/>
      <c r="F360" s="19"/>
      <c r="G360" s="19"/>
    </row>
    <row r="361" ht="15.75" customHeight="1">
      <c r="C361" s="18"/>
      <c r="D361" s="18"/>
      <c r="E361" s="19"/>
      <c r="F361" s="19"/>
      <c r="G361" s="19"/>
    </row>
    <row r="362" ht="15.75" customHeight="1">
      <c r="C362" s="18"/>
      <c r="D362" s="18"/>
      <c r="E362" s="19"/>
      <c r="F362" s="19"/>
      <c r="G362" s="19"/>
    </row>
    <row r="363" ht="15.75" customHeight="1">
      <c r="C363" s="18"/>
      <c r="D363" s="18"/>
      <c r="E363" s="19"/>
      <c r="F363" s="19"/>
      <c r="G363" s="19"/>
    </row>
    <row r="364" ht="15.75" customHeight="1">
      <c r="C364" s="18"/>
      <c r="D364" s="18"/>
      <c r="E364" s="19"/>
      <c r="F364" s="19"/>
      <c r="G364" s="19"/>
    </row>
    <row r="365" ht="15.75" customHeight="1">
      <c r="C365" s="18"/>
      <c r="D365" s="18"/>
      <c r="E365" s="19"/>
      <c r="F365" s="19"/>
      <c r="G365" s="19"/>
    </row>
    <row r="366" ht="15.75" customHeight="1">
      <c r="C366" s="18"/>
      <c r="D366" s="18"/>
      <c r="E366" s="19"/>
      <c r="F366" s="19"/>
      <c r="G366" s="19"/>
    </row>
    <row r="367" ht="15.75" customHeight="1">
      <c r="C367" s="18"/>
      <c r="D367" s="18"/>
      <c r="E367" s="19"/>
      <c r="F367" s="19"/>
      <c r="G367" s="19"/>
    </row>
    <row r="368" ht="15.75" customHeight="1">
      <c r="C368" s="18"/>
      <c r="D368" s="18"/>
      <c r="E368" s="19"/>
      <c r="F368" s="19"/>
      <c r="G368" s="19"/>
    </row>
    <row r="369" ht="15.75" customHeight="1">
      <c r="C369" s="18"/>
      <c r="D369" s="18"/>
      <c r="E369" s="19"/>
      <c r="F369" s="19"/>
      <c r="G369" s="19"/>
    </row>
    <row r="370" ht="15.75" customHeight="1">
      <c r="C370" s="18"/>
      <c r="D370" s="18"/>
      <c r="E370" s="19"/>
      <c r="F370" s="19"/>
      <c r="G370" s="19"/>
    </row>
    <row r="371" ht="15.75" customHeight="1">
      <c r="C371" s="18"/>
      <c r="D371" s="18"/>
      <c r="E371" s="19"/>
      <c r="F371" s="19"/>
      <c r="G371" s="19"/>
    </row>
    <row r="372" ht="15.75" customHeight="1">
      <c r="C372" s="18"/>
      <c r="D372" s="18"/>
      <c r="E372" s="19"/>
      <c r="F372" s="19"/>
      <c r="G372" s="19"/>
    </row>
    <row r="373" ht="15.75" customHeight="1">
      <c r="C373" s="18"/>
      <c r="D373" s="18"/>
      <c r="E373" s="19"/>
      <c r="F373" s="19"/>
      <c r="G373" s="19"/>
    </row>
    <row r="374" ht="15.75" customHeight="1">
      <c r="C374" s="18"/>
      <c r="D374" s="18"/>
      <c r="E374" s="19"/>
      <c r="F374" s="19"/>
      <c r="G374" s="19"/>
    </row>
    <row r="375" ht="15.75" customHeight="1">
      <c r="C375" s="18"/>
      <c r="D375" s="18"/>
      <c r="E375" s="19"/>
      <c r="F375" s="19"/>
      <c r="G375" s="19"/>
    </row>
    <row r="376" ht="15.75" customHeight="1">
      <c r="C376" s="18"/>
      <c r="D376" s="18"/>
      <c r="E376" s="19"/>
      <c r="F376" s="19"/>
      <c r="G376" s="19"/>
    </row>
    <row r="377" ht="15.75" customHeight="1">
      <c r="C377" s="18"/>
      <c r="D377" s="18"/>
      <c r="E377" s="19"/>
      <c r="F377" s="19"/>
      <c r="G377" s="19"/>
    </row>
    <row r="378" ht="15.75" customHeight="1">
      <c r="C378" s="18"/>
      <c r="D378" s="18"/>
      <c r="E378" s="19"/>
      <c r="F378" s="19"/>
      <c r="G378" s="19"/>
    </row>
    <row r="379" ht="15.75" customHeight="1">
      <c r="C379" s="18"/>
      <c r="D379" s="18"/>
      <c r="E379" s="19"/>
      <c r="F379" s="19"/>
      <c r="G379" s="19"/>
    </row>
    <row r="380" ht="15.75" customHeight="1">
      <c r="C380" s="18"/>
      <c r="D380" s="18"/>
      <c r="E380" s="19"/>
      <c r="F380" s="19"/>
      <c r="G380" s="19"/>
    </row>
    <row r="381" ht="15.75" customHeight="1">
      <c r="C381" s="18"/>
      <c r="D381" s="18"/>
      <c r="E381" s="19"/>
      <c r="F381" s="19"/>
      <c r="G381" s="19"/>
    </row>
    <row r="382" ht="15.75" customHeight="1">
      <c r="C382" s="18"/>
      <c r="D382" s="18"/>
      <c r="E382" s="19"/>
      <c r="F382" s="19"/>
      <c r="G382" s="19"/>
    </row>
    <row r="383" ht="15.75" customHeight="1">
      <c r="C383" s="18"/>
      <c r="D383" s="18"/>
      <c r="E383" s="19"/>
      <c r="F383" s="19"/>
      <c r="G383" s="19"/>
    </row>
    <row r="384" ht="15.75" customHeight="1">
      <c r="C384" s="18"/>
      <c r="D384" s="18"/>
      <c r="E384" s="19"/>
      <c r="F384" s="19"/>
      <c r="G384" s="19"/>
    </row>
    <row r="385" ht="15.75" customHeight="1">
      <c r="C385" s="18"/>
      <c r="D385" s="18"/>
      <c r="E385" s="19"/>
      <c r="F385" s="19"/>
      <c r="G385" s="19"/>
    </row>
    <row r="386" ht="15.75" customHeight="1">
      <c r="C386" s="18"/>
      <c r="D386" s="18"/>
      <c r="E386" s="19"/>
      <c r="F386" s="19"/>
      <c r="G386" s="19"/>
    </row>
    <row r="387" ht="15.75" customHeight="1">
      <c r="C387" s="18"/>
      <c r="D387" s="18"/>
      <c r="E387" s="19"/>
      <c r="F387" s="19"/>
      <c r="G387" s="19"/>
    </row>
    <row r="388" ht="15.75" customHeight="1">
      <c r="C388" s="18"/>
      <c r="D388" s="18"/>
      <c r="E388" s="19"/>
      <c r="F388" s="19"/>
      <c r="G388" s="19"/>
    </row>
    <row r="389" ht="15.75" customHeight="1">
      <c r="C389" s="18"/>
      <c r="D389" s="18"/>
      <c r="E389" s="19"/>
      <c r="F389" s="19"/>
      <c r="G389" s="19"/>
    </row>
    <row r="390" ht="15.75" customHeight="1">
      <c r="C390" s="18"/>
      <c r="D390" s="18"/>
      <c r="E390" s="19"/>
      <c r="F390" s="19"/>
      <c r="G390" s="19"/>
    </row>
    <row r="391" ht="15.75" customHeight="1">
      <c r="C391" s="18"/>
      <c r="D391" s="18"/>
      <c r="E391" s="19"/>
      <c r="F391" s="19"/>
      <c r="G391" s="19"/>
    </row>
    <row r="392" ht="15.75" customHeight="1">
      <c r="C392" s="18"/>
      <c r="D392" s="18"/>
      <c r="E392" s="19"/>
      <c r="F392" s="19"/>
      <c r="G392" s="19"/>
    </row>
    <row r="393" ht="15.75" customHeight="1">
      <c r="C393" s="18"/>
      <c r="D393" s="18"/>
      <c r="E393" s="19"/>
      <c r="F393" s="19"/>
      <c r="G393" s="19"/>
    </row>
    <row r="394" ht="15.75" customHeight="1">
      <c r="C394" s="18"/>
      <c r="D394" s="18"/>
      <c r="E394" s="19"/>
      <c r="F394" s="19"/>
      <c r="G394" s="19"/>
    </row>
    <row r="395" ht="15.75" customHeight="1">
      <c r="C395" s="18"/>
      <c r="D395" s="18"/>
      <c r="E395" s="19"/>
      <c r="F395" s="19"/>
      <c r="G395" s="19"/>
    </row>
    <row r="396" ht="15.75" customHeight="1">
      <c r="C396" s="18"/>
      <c r="D396" s="18"/>
      <c r="E396" s="19"/>
      <c r="F396" s="19"/>
      <c r="G396" s="19"/>
    </row>
    <row r="397" ht="15.75" customHeight="1">
      <c r="C397" s="18"/>
      <c r="D397" s="18"/>
      <c r="E397" s="19"/>
      <c r="F397" s="19"/>
      <c r="G397" s="19"/>
    </row>
    <row r="398" ht="15.75" customHeight="1">
      <c r="C398" s="18"/>
      <c r="D398" s="18"/>
      <c r="E398" s="19"/>
      <c r="F398" s="19"/>
      <c r="G398" s="19"/>
    </row>
    <row r="399" ht="15.75" customHeight="1">
      <c r="C399" s="18"/>
      <c r="D399" s="18"/>
      <c r="E399" s="19"/>
      <c r="F399" s="19"/>
      <c r="G399" s="19"/>
    </row>
    <row r="400" ht="15.75" customHeight="1">
      <c r="C400" s="18"/>
      <c r="D400" s="18"/>
      <c r="E400" s="19"/>
      <c r="F400" s="19"/>
      <c r="G400" s="19"/>
    </row>
    <row r="401" ht="15.75" customHeight="1">
      <c r="C401" s="18"/>
      <c r="D401" s="18"/>
      <c r="E401" s="19"/>
      <c r="F401" s="19"/>
      <c r="G401" s="19"/>
    </row>
    <row r="402" ht="15.75" customHeight="1">
      <c r="C402" s="18"/>
      <c r="D402" s="18"/>
      <c r="E402" s="19"/>
      <c r="F402" s="19"/>
      <c r="G402" s="19"/>
    </row>
    <row r="403" ht="15.75" customHeight="1">
      <c r="C403" s="18"/>
      <c r="D403" s="18"/>
      <c r="E403" s="19"/>
      <c r="F403" s="19"/>
      <c r="G403" s="19"/>
    </row>
    <row r="404" ht="15.75" customHeight="1">
      <c r="C404" s="18"/>
      <c r="D404" s="18"/>
      <c r="E404" s="19"/>
      <c r="F404" s="19"/>
      <c r="G404" s="19"/>
    </row>
    <row r="405" ht="15.75" customHeight="1">
      <c r="C405" s="18"/>
      <c r="D405" s="18"/>
      <c r="E405" s="19"/>
      <c r="F405" s="19"/>
      <c r="G405" s="19"/>
    </row>
    <row r="406" ht="15.75" customHeight="1">
      <c r="C406" s="18"/>
      <c r="D406" s="18"/>
      <c r="E406" s="19"/>
      <c r="F406" s="19"/>
      <c r="G406" s="19"/>
    </row>
    <row r="407" ht="15.75" customHeight="1">
      <c r="C407" s="18"/>
      <c r="D407" s="18"/>
      <c r="E407" s="19"/>
      <c r="F407" s="19"/>
      <c r="G407" s="19"/>
    </row>
    <row r="408" ht="15.75" customHeight="1">
      <c r="C408" s="18"/>
      <c r="D408" s="18"/>
      <c r="E408" s="19"/>
      <c r="F408" s="19"/>
      <c r="G408" s="19"/>
    </row>
    <row r="409" ht="15.75" customHeight="1">
      <c r="C409" s="18"/>
      <c r="D409" s="18"/>
      <c r="E409" s="19"/>
      <c r="F409" s="19"/>
      <c r="G409" s="19"/>
    </row>
    <row r="410" ht="15.75" customHeight="1">
      <c r="C410" s="18"/>
      <c r="D410" s="18"/>
      <c r="E410" s="19"/>
      <c r="F410" s="19"/>
      <c r="G410" s="19"/>
    </row>
    <row r="411" ht="15.75" customHeight="1">
      <c r="C411" s="18"/>
      <c r="D411" s="18"/>
      <c r="E411" s="19"/>
      <c r="F411" s="19"/>
      <c r="G411" s="19"/>
    </row>
    <row r="412" ht="15.75" customHeight="1">
      <c r="C412" s="18"/>
      <c r="D412" s="18"/>
      <c r="E412" s="19"/>
      <c r="F412" s="19"/>
      <c r="G412" s="19"/>
    </row>
    <row r="413" ht="15.75" customHeight="1">
      <c r="C413" s="18"/>
      <c r="D413" s="18"/>
      <c r="E413" s="19"/>
      <c r="F413" s="19"/>
      <c r="G413" s="19"/>
    </row>
    <row r="414" ht="15.75" customHeight="1">
      <c r="C414" s="18"/>
      <c r="D414" s="18"/>
      <c r="E414" s="19"/>
      <c r="F414" s="19"/>
      <c r="G414" s="19"/>
    </row>
    <row r="415" ht="15.75" customHeight="1">
      <c r="C415" s="18"/>
      <c r="D415" s="18"/>
      <c r="E415" s="19"/>
      <c r="F415" s="19"/>
      <c r="G415" s="19"/>
    </row>
    <row r="416" ht="15.75" customHeight="1">
      <c r="C416" s="18"/>
      <c r="D416" s="18"/>
      <c r="E416" s="19"/>
      <c r="F416" s="19"/>
      <c r="G416" s="19"/>
    </row>
    <row r="417" ht="15.75" customHeight="1">
      <c r="C417" s="18"/>
      <c r="D417" s="18"/>
      <c r="E417" s="19"/>
      <c r="F417" s="19"/>
      <c r="G417" s="19"/>
    </row>
    <row r="418" ht="15.75" customHeight="1">
      <c r="C418" s="18"/>
      <c r="D418" s="18"/>
      <c r="E418" s="19"/>
      <c r="F418" s="19"/>
      <c r="G418" s="19"/>
    </row>
    <row r="419" ht="15.75" customHeight="1">
      <c r="C419" s="18"/>
      <c r="D419" s="18"/>
      <c r="E419" s="19"/>
      <c r="F419" s="19"/>
      <c r="G419" s="19"/>
    </row>
    <row r="420" ht="15.75" customHeight="1">
      <c r="C420" s="18"/>
      <c r="D420" s="18"/>
      <c r="E420" s="19"/>
      <c r="F420" s="19"/>
      <c r="G420" s="19"/>
    </row>
    <row r="421" ht="15.75" customHeight="1">
      <c r="C421" s="18"/>
      <c r="D421" s="18"/>
      <c r="E421" s="19"/>
      <c r="F421" s="19"/>
      <c r="G421" s="19"/>
    </row>
    <row r="422" ht="15.75" customHeight="1">
      <c r="C422" s="18"/>
      <c r="D422" s="18"/>
      <c r="E422" s="19"/>
      <c r="F422" s="19"/>
      <c r="G422" s="19"/>
    </row>
    <row r="423" ht="15.75" customHeight="1">
      <c r="C423" s="18"/>
      <c r="D423" s="18"/>
      <c r="E423" s="19"/>
      <c r="F423" s="19"/>
      <c r="G423" s="19"/>
    </row>
    <row r="424" ht="15.75" customHeight="1">
      <c r="C424" s="18"/>
      <c r="D424" s="18"/>
      <c r="E424" s="19"/>
      <c r="F424" s="19"/>
      <c r="G424" s="19"/>
    </row>
    <row r="425" ht="15.75" customHeight="1">
      <c r="C425" s="18"/>
      <c r="D425" s="18"/>
      <c r="E425" s="19"/>
      <c r="F425" s="19"/>
      <c r="G425" s="19"/>
    </row>
    <row r="426" ht="15.75" customHeight="1">
      <c r="C426" s="18"/>
      <c r="D426" s="18"/>
      <c r="E426" s="19"/>
      <c r="F426" s="19"/>
      <c r="G426" s="19"/>
    </row>
    <row r="427" ht="15.75" customHeight="1">
      <c r="C427" s="18"/>
      <c r="D427" s="18"/>
      <c r="E427" s="19"/>
      <c r="F427" s="19"/>
      <c r="G427" s="19"/>
    </row>
    <row r="428" ht="15.75" customHeight="1">
      <c r="C428" s="18"/>
      <c r="D428" s="18"/>
      <c r="E428" s="19"/>
      <c r="F428" s="19"/>
      <c r="G428" s="19"/>
    </row>
    <row r="429" ht="15.75" customHeight="1">
      <c r="C429" s="18"/>
      <c r="D429" s="18"/>
      <c r="E429" s="19"/>
      <c r="F429" s="19"/>
      <c r="G429" s="19"/>
    </row>
    <row r="430" ht="15.75" customHeight="1">
      <c r="C430" s="18"/>
      <c r="D430" s="18"/>
      <c r="E430" s="19"/>
      <c r="F430" s="19"/>
      <c r="G430" s="19"/>
    </row>
    <row r="431" ht="15.75" customHeight="1">
      <c r="C431" s="18"/>
      <c r="D431" s="18"/>
      <c r="E431" s="19"/>
      <c r="F431" s="19"/>
      <c r="G431" s="19"/>
    </row>
    <row r="432" ht="15.75" customHeight="1">
      <c r="C432" s="18"/>
      <c r="D432" s="18"/>
      <c r="E432" s="19"/>
      <c r="F432" s="19"/>
      <c r="G432" s="19"/>
    </row>
    <row r="433" ht="15.75" customHeight="1">
      <c r="C433" s="18"/>
      <c r="D433" s="18"/>
      <c r="E433" s="19"/>
      <c r="F433" s="19"/>
      <c r="G433" s="19"/>
    </row>
    <row r="434" ht="15.75" customHeight="1">
      <c r="C434" s="18"/>
      <c r="D434" s="18"/>
      <c r="E434" s="19"/>
      <c r="F434" s="19"/>
      <c r="G434" s="19"/>
    </row>
    <row r="435" ht="15.75" customHeight="1">
      <c r="C435" s="18"/>
      <c r="D435" s="18"/>
      <c r="E435" s="19"/>
      <c r="F435" s="19"/>
      <c r="G435" s="19"/>
    </row>
    <row r="436" ht="15.75" customHeight="1">
      <c r="C436" s="18"/>
      <c r="D436" s="18"/>
      <c r="E436" s="19"/>
      <c r="F436" s="19"/>
      <c r="G436" s="19"/>
    </row>
    <row r="437" ht="15.75" customHeight="1">
      <c r="C437" s="18"/>
      <c r="D437" s="18"/>
      <c r="E437" s="19"/>
      <c r="F437" s="19"/>
      <c r="G437" s="19"/>
    </row>
    <row r="438" ht="15.75" customHeight="1">
      <c r="C438" s="18"/>
      <c r="D438" s="18"/>
      <c r="E438" s="19"/>
      <c r="F438" s="19"/>
      <c r="G438" s="19"/>
    </row>
    <row r="439" ht="15.75" customHeight="1">
      <c r="C439" s="18"/>
      <c r="D439" s="18"/>
      <c r="E439" s="19"/>
      <c r="F439" s="19"/>
      <c r="G439" s="19"/>
    </row>
    <row r="440" ht="15.75" customHeight="1">
      <c r="C440" s="18"/>
      <c r="D440" s="18"/>
      <c r="E440" s="19"/>
      <c r="F440" s="19"/>
      <c r="G440" s="19"/>
    </row>
    <row r="441" ht="15.75" customHeight="1">
      <c r="C441" s="18"/>
      <c r="D441" s="18"/>
      <c r="E441" s="19"/>
      <c r="F441" s="19"/>
      <c r="G441" s="19"/>
    </row>
    <row r="442" ht="15.75" customHeight="1">
      <c r="C442" s="18"/>
      <c r="D442" s="18"/>
      <c r="E442" s="19"/>
      <c r="F442" s="19"/>
      <c r="G442" s="19"/>
    </row>
    <row r="443" ht="15.75" customHeight="1">
      <c r="C443" s="18"/>
      <c r="D443" s="18"/>
      <c r="E443" s="19"/>
      <c r="F443" s="19"/>
      <c r="G443" s="19"/>
    </row>
    <row r="444" ht="15.75" customHeight="1">
      <c r="C444" s="18"/>
      <c r="D444" s="18"/>
      <c r="E444" s="19"/>
      <c r="F444" s="19"/>
      <c r="G444" s="19"/>
    </row>
    <row r="445" ht="15.75" customHeight="1">
      <c r="C445" s="18"/>
      <c r="D445" s="18"/>
      <c r="E445" s="19"/>
      <c r="F445" s="19"/>
      <c r="G445" s="19"/>
    </row>
    <row r="446" ht="15.75" customHeight="1">
      <c r="C446" s="18"/>
      <c r="D446" s="18"/>
      <c r="E446" s="19"/>
      <c r="F446" s="19"/>
      <c r="G446" s="19"/>
    </row>
    <row r="447" ht="15.75" customHeight="1">
      <c r="C447" s="18"/>
      <c r="D447" s="18"/>
      <c r="E447" s="19"/>
      <c r="F447" s="19"/>
      <c r="G447" s="19"/>
    </row>
    <row r="448" ht="15.75" customHeight="1">
      <c r="C448" s="18"/>
      <c r="D448" s="18"/>
      <c r="E448" s="19"/>
      <c r="F448" s="19"/>
      <c r="G448" s="19"/>
    </row>
    <row r="449" ht="15.75" customHeight="1">
      <c r="C449" s="18"/>
      <c r="D449" s="18"/>
      <c r="E449" s="19"/>
      <c r="F449" s="19"/>
      <c r="G449" s="19"/>
    </row>
    <row r="450" ht="15.75" customHeight="1">
      <c r="C450" s="18"/>
      <c r="D450" s="18"/>
      <c r="E450" s="19"/>
      <c r="F450" s="19"/>
      <c r="G450" s="19"/>
    </row>
    <row r="451" ht="15.75" customHeight="1">
      <c r="C451" s="18"/>
      <c r="D451" s="18"/>
      <c r="E451" s="19"/>
      <c r="F451" s="19"/>
      <c r="G451" s="19"/>
    </row>
    <row r="452" ht="15.75" customHeight="1">
      <c r="C452" s="18"/>
      <c r="D452" s="18"/>
      <c r="E452" s="19"/>
      <c r="F452" s="19"/>
      <c r="G452" s="19"/>
    </row>
    <row r="453" ht="15.75" customHeight="1">
      <c r="C453" s="18"/>
      <c r="D453" s="18"/>
      <c r="E453" s="19"/>
      <c r="F453" s="19"/>
      <c r="G453" s="19"/>
    </row>
    <row r="454" ht="15.75" customHeight="1">
      <c r="C454" s="18"/>
      <c r="D454" s="18"/>
      <c r="E454" s="19"/>
      <c r="F454" s="19"/>
      <c r="G454" s="19"/>
    </row>
    <row r="455" ht="15.75" customHeight="1">
      <c r="C455" s="18"/>
      <c r="D455" s="18"/>
      <c r="E455" s="19"/>
      <c r="F455" s="19"/>
      <c r="G455" s="19"/>
    </row>
    <row r="456" ht="15.75" customHeight="1">
      <c r="C456" s="18"/>
      <c r="D456" s="18"/>
      <c r="E456" s="19"/>
      <c r="F456" s="19"/>
      <c r="G456" s="19"/>
    </row>
    <row r="457" ht="15.75" customHeight="1">
      <c r="C457" s="18"/>
      <c r="D457" s="18"/>
      <c r="E457" s="19"/>
      <c r="F457" s="19"/>
      <c r="G457" s="19"/>
    </row>
    <row r="458" ht="15.75" customHeight="1">
      <c r="C458" s="18"/>
      <c r="D458" s="18"/>
      <c r="E458" s="19"/>
      <c r="F458" s="19"/>
      <c r="G458" s="19"/>
    </row>
    <row r="459" ht="15.75" customHeight="1">
      <c r="C459" s="18"/>
      <c r="D459" s="18"/>
      <c r="E459" s="19"/>
      <c r="F459" s="19"/>
      <c r="G459" s="19"/>
    </row>
    <row r="460" ht="15.75" customHeight="1">
      <c r="C460" s="18"/>
      <c r="D460" s="18"/>
      <c r="E460" s="19"/>
      <c r="F460" s="19"/>
      <c r="G460" s="19"/>
    </row>
    <row r="461" ht="15.75" customHeight="1">
      <c r="C461" s="18"/>
      <c r="D461" s="18"/>
      <c r="E461" s="19"/>
      <c r="F461" s="19"/>
      <c r="G461" s="19"/>
    </row>
    <row r="462" ht="15.75" customHeight="1">
      <c r="C462" s="18"/>
      <c r="D462" s="18"/>
      <c r="E462" s="19"/>
      <c r="F462" s="19"/>
      <c r="G462" s="19"/>
    </row>
    <row r="463" ht="15.75" customHeight="1">
      <c r="C463" s="18"/>
      <c r="D463" s="18"/>
      <c r="E463" s="19"/>
      <c r="F463" s="19"/>
      <c r="G463" s="19"/>
    </row>
    <row r="464" ht="15.75" customHeight="1">
      <c r="C464" s="18"/>
      <c r="D464" s="18"/>
      <c r="E464" s="19"/>
      <c r="F464" s="19"/>
      <c r="G464" s="19"/>
    </row>
    <row r="465" ht="15.75" customHeight="1">
      <c r="C465" s="18"/>
      <c r="D465" s="18"/>
      <c r="E465" s="19"/>
      <c r="F465" s="19"/>
      <c r="G465" s="19"/>
    </row>
    <row r="466" ht="15.75" customHeight="1">
      <c r="C466" s="18"/>
      <c r="D466" s="18"/>
      <c r="E466" s="19"/>
      <c r="F466" s="19"/>
      <c r="G466" s="19"/>
    </row>
    <row r="467" ht="15.75" customHeight="1">
      <c r="C467" s="18"/>
      <c r="D467" s="18"/>
      <c r="E467" s="19"/>
      <c r="F467" s="19"/>
      <c r="G467" s="19"/>
    </row>
    <row r="468" ht="15.75" customHeight="1">
      <c r="C468" s="18"/>
      <c r="D468" s="18"/>
      <c r="E468" s="19"/>
      <c r="F468" s="19"/>
      <c r="G468" s="19"/>
    </row>
    <row r="469" ht="15.75" customHeight="1">
      <c r="C469" s="18"/>
      <c r="D469" s="18"/>
      <c r="E469" s="19"/>
      <c r="F469" s="19"/>
      <c r="G469" s="19"/>
    </row>
    <row r="470" ht="15.75" customHeight="1">
      <c r="C470" s="18"/>
      <c r="D470" s="18"/>
      <c r="E470" s="19"/>
      <c r="F470" s="19"/>
      <c r="G470" s="19"/>
    </row>
    <row r="471" ht="15.75" customHeight="1">
      <c r="C471" s="18"/>
      <c r="D471" s="18"/>
      <c r="E471" s="19"/>
      <c r="F471" s="19"/>
      <c r="G471" s="19"/>
    </row>
    <row r="472" ht="15.75" customHeight="1">
      <c r="C472" s="18"/>
      <c r="D472" s="18"/>
      <c r="E472" s="19"/>
      <c r="F472" s="19"/>
      <c r="G472" s="19"/>
    </row>
    <row r="473" ht="15.75" customHeight="1">
      <c r="C473" s="18"/>
      <c r="D473" s="18"/>
      <c r="E473" s="19"/>
      <c r="F473" s="19"/>
      <c r="G473" s="19"/>
    </row>
    <row r="474" ht="15.75" customHeight="1">
      <c r="C474" s="18"/>
      <c r="D474" s="18"/>
      <c r="E474" s="19"/>
      <c r="F474" s="19"/>
      <c r="G474" s="19"/>
    </row>
    <row r="475" ht="15.75" customHeight="1">
      <c r="C475" s="18"/>
      <c r="D475" s="18"/>
      <c r="E475" s="19"/>
      <c r="F475" s="19"/>
      <c r="G475" s="19"/>
    </row>
    <row r="476" ht="15.75" customHeight="1">
      <c r="C476" s="18"/>
      <c r="D476" s="18"/>
      <c r="E476" s="19"/>
      <c r="F476" s="19"/>
      <c r="G476" s="19"/>
    </row>
    <row r="477" ht="15.75" customHeight="1">
      <c r="C477" s="18"/>
      <c r="D477" s="18"/>
      <c r="E477" s="19"/>
      <c r="F477" s="19"/>
      <c r="G477" s="19"/>
    </row>
    <row r="478" ht="15.75" customHeight="1">
      <c r="C478" s="18"/>
      <c r="D478" s="18"/>
      <c r="E478" s="19"/>
      <c r="F478" s="19"/>
      <c r="G478" s="19"/>
    </row>
    <row r="479" ht="15.75" customHeight="1">
      <c r="C479" s="18"/>
      <c r="D479" s="18"/>
      <c r="E479" s="19"/>
      <c r="F479" s="19"/>
      <c r="G479" s="19"/>
    </row>
    <row r="480" ht="15.75" customHeight="1">
      <c r="C480" s="18"/>
      <c r="D480" s="18"/>
      <c r="E480" s="19"/>
      <c r="F480" s="19"/>
      <c r="G480" s="19"/>
    </row>
    <row r="481" ht="15.75" customHeight="1">
      <c r="C481" s="18"/>
      <c r="D481" s="18"/>
      <c r="E481" s="19"/>
      <c r="F481" s="19"/>
      <c r="G481" s="19"/>
    </row>
    <row r="482" ht="15.75" customHeight="1">
      <c r="C482" s="18"/>
      <c r="D482" s="18"/>
      <c r="E482" s="19"/>
      <c r="F482" s="19"/>
      <c r="G482" s="19"/>
    </row>
    <row r="483" ht="15.75" customHeight="1">
      <c r="C483" s="18"/>
      <c r="D483" s="18"/>
      <c r="E483" s="19"/>
      <c r="F483" s="19"/>
      <c r="G483" s="19"/>
    </row>
    <row r="484" ht="15.75" customHeight="1">
      <c r="C484" s="18"/>
      <c r="D484" s="18"/>
      <c r="E484" s="19"/>
      <c r="F484" s="19"/>
      <c r="G484" s="19"/>
    </row>
    <row r="485" ht="15.75" customHeight="1">
      <c r="C485" s="18"/>
      <c r="D485" s="18"/>
      <c r="E485" s="19"/>
      <c r="F485" s="19"/>
      <c r="G485" s="19"/>
    </row>
    <row r="486" ht="15.75" customHeight="1">
      <c r="C486" s="18"/>
      <c r="D486" s="18"/>
      <c r="E486" s="19"/>
      <c r="F486" s="19"/>
      <c r="G486" s="19"/>
    </row>
    <row r="487" ht="15.75" customHeight="1">
      <c r="C487" s="18"/>
      <c r="D487" s="18"/>
      <c r="E487" s="19"/>
      <c r="F487" s="19"/>
      <c r="G487" s="19"/>
    </row>
    <row r="488" ht="15.75" customHeight="1">
      <c r="C488" s="18"/>
      <c r="D488" s="18"/>
      <c r="E488" s="19"/>
      <c r="F488" s="19"/>
      <c r="G488" s="19"/>
    </row>
    <row r="489" ht="15.75" customHeight="1">
      <c r="C489" s="18"/>
      <c r="D489" s="18"/>
      <c r="E489" s="19"/>
      <c r="F489" s="19"/>
      <c r="G489" s="19"/>
    </row>
    <row r="490" ht="15.75" customHeight="1">
      <c r="C490" s="18"/>
      <c r="D490" s="18"/>
      <c r="E490" s="19"/>
      <c r="F490" s="19"/>
      <c r="G490" s="19"/>
    </row>
    <row r="491" ht="15.75" customHeight="1">
      <c r="C491" s="18"/>
      <c r="D491" s="18"/>
      <c r="E491" s="19"/>
      <c r="F491" s="19"/>
      <c r="G491" s="19"/>
    </row>
    <row r="492" ht="15.75" customHeight="1">
      <c r="C492" s="18"/>
      <c r="D492" s="18"/>
      <c r="E492" s="19"/>
      <c r="F492" s="19"/>
      <c r="G492" s="19"/>
    </row>
    <row r="493" ht="15.75" customHeight="1">
      <c r="C493" s="18"/>
      <c r="D493" s="18"/>
      <c r="E493" s="19"/>
      <c r="F493" s="19"/>
      <c r="G493" s="19"/>
    </row>
    <row r="494" ht="15.75" customHeight="1">
      <c r="C494" s="18"/>
      <c r="D494" s="18"/>
      <c r="E494" s="19"/>
      <c r="F494" s="19"/>
      <c r="G494" s="19"/>
    </row>
    <row r="495" ht="15.75" customHeight="1">
      <c r="C495" s="18"/>
      <c r="D495" s="18"/>
      <c r="E495" s="19"/>
      <c r="F495" s="19"/>
      <c r="G495" s="19"/>
    </row>
    <row r="496" ht="15.75" customHeight="1">
      <c r="C496" s="18"/>
      <c r="D496" s="18"/>
      <c r="E496" s="19"/>
      <c r="F496" s="19"/>
      <c r="G496" s="19"/>
    </row>
    <row r="497" ht="15.75" customHeight="1">
      <c r="C497" s="18"/>
      <c r="D497" s="18"/>
      <c r="E497" s="19"/>
      <c r="F497" s="19"/>
      <c r="G497" s="19"/>
    </row>
    <row r="498" ht="15.75" customHeight="1">
      <c r="C498" s="18"/>
      <c r="D498" s="18"/>
      <c r="E498" s="19"/>
      <c r="F498" s="19"/>
      <c r="G498" s="19"/>
    </row>
    <row r="499" ht="15.75" customHeight="1">
      <c r="C499" s="18"/>
      <c r="D499" s="18"/>
      <c r="E499" s="19"/>
      <c r="F499" s="19"/>
      <c r="G499" s="19"/>
    </row>
    <row r="500" ht="15.75" customHeight="1">
      <c r="C500" s="18"/>
      <c r="D500" s="18"/>
      <c r="E500" s="19"/>
      <c r="F500" s="19"/>
      <c r="G500" s="19"/>
    </row>
    <row r="501" ht="15.75" customHeight="1">
      <c r="C501" s="18"/>
      <c r="D501" s="18"/>
      <c r="E501" s="19"/>
      <c r="F501" s="19"/>
      <c r="G501" s="19"/>
    </row>
    <row r="502" ht="15.75" customHeight="1">
      <c r="C502" s="18"/>
      <c r="D502" s="18"/>
      <c r="E502" s="19"/>
      <c r="F502" s="19"/>
      <c r="G502" s="19"/>
    </row>
    <row r="503" ht="15.75" customHeight="1">
      <c r="C503" s="18"/>
      <c r="D503" s="18"/>
      <c r="E503" s="19"/>
      <c r="F503" s="19"/>
      <c r="G503" s="19"/>
    </row>
    <row r="504" ht="15.75" customHeight="1">
      <c r="C504" s="18"/>
      <c r="D504" s="18"/>
      <c r="E504" s="19"/>
      <c r="F504" s="19"/>
      <c r="G504" s="19"/>
    </row>
    <row r="505" ht="15.75" customHeight="1">
      <c r="C505" s="18"/>
      <c r="D505" s="18"/>
      <c r="E505" s="19"/>
      <c r="F505" s="19"/>
      <c r="G505" s="19"/>
    </row>
    <row r="506" ht="15.75" customHeight="1">
      <c r="C506" s="18"/>
      <c r="D506" s="18"/>
      <c r="E506" s="19"/>
      <c r="F506" s="19"/>
      <c r="G506" s="19"/>
    </row>
    <row r="507" ht="15.75" customHeight="1">
      <c r="C507" s="18"/>
      <c r="D507" s="18"/>
      <c r="E507" s="19"/>
      <c r="F507" s="19"/>
      <c r="G507" s="19"/>
    </row>
    <row r="508" ht="15.75" customHeight="1">
      <c r="C508" s="18"/>
      <c r="D508" s="18"/>
      <c r="E508" s="19"/>
      <c r="F508" s="19"/>
      <c r="G508" s="19"/>
    </row>
    <row r="509" ht="15.75" customHeight="1">
      <c r="C509" s="18"/>
      <c r="D509" s="18"/>
      <c r="E509" s="19"/>
      <c r="F509" s="19"/>
      <c r="G509" s="19"/>
    </row>
    <row r="510" ht="15.75" customHeight="1">
      <c r="C510" s="18"/>
      <c r="D510" s="18"/>
      <c r="E510" s="19"/>
      <c r="F510" s="19"/>
      <c r="G510" s="19"/>
    </row>
    <row r="511" ht="15.75" customHeight="1">
      <c r="C511" s="18"/>
      <c r="D511" s="18"/>
      <c r="E511" s="19"/>
      <c r="F511" s="19"/>
      <c r="G511" s="19"/>
    </row>
    <row r="512" ht="15.75" customHeight="1">
      <c r="C512" s="18"/>
      <c r="D512" s="18"/>
      <c r="E512" s="19"/>
      <c r="F512" s="19"/>
      <c r="G512" s="19"/>
    </row>
    <row r="513" ht="15.75" customHeight="1">
      <c r="C513" s="18"/>
      <c r="D513" s="18"/>
      <c r="E513" s="19"/>
      <c r="F513" s="19"/>
      <c r="G513" s="19"/>
    </row>
    <row r="514" ht="15.75" customHeight="1">
      <c r="C514" s="18"/>
      <c r="D514" s="18"/>
      <c r="E514" s="19"/>
      <c r="F514" s="19"/>
      <c r="G514" s="19"/>
    </row>
    <row r="515" ht="15.75" customHeight="1">
      <c r="C515" s="18"/>
      <c r="D515" s="18"/>
      <c r="E515" s="19"/>
      <c r="F515" s="19"/>
      <c r="G515" s="19"/>
    </row>
    <row r="516" ht="15.75" customHeight="1">
      <c r="C516" s="18"/>
      <c r="D516" s="18"/>
      <c r="E516" s="19"/>
      <c r="F516" s="19"/>
      <c r="G516" s="19"/>
    </row>
    <row r="517" ht="15.75" customHeight="1">
      <c r="C517" s="18"/>
      <c r="D517" s="18"/>
      <c r="E517" s="19"/>
      <c r="F517" s="19"/>
      <c r="G517" s="19"/>
    </row>
    <row r="518" ht="15.75" customHeight="1">
      <c r="C518" s="18"/>
      <c r="D518" s="18"/>
      <c r="E518" s="19"/>
      <c r="F518" s="19"/>
      <c r="G518" s="19"/>
    </row>
    <row r="519" ht="15.75" customHeight="1">
      <c r="C519" s="18"/>
      <c r="D519" s="18"/>
      <c r="E519" s="19"/>
      <c r="F519" s="19"/>
      <c r="G519" s="19"/>
    </row>
    <row r="520" ht="15.75" customHeight="1">
      <c r="C520" s="18"/>
      <c r="D520" s="18"/>
      <c r="E520" s="19"/>
      <c r="F520" s="19"/>
      <c r="G520" s="19"/>
    </row>
    <row r="521" ht="15.75" customHeight="1">
      <c r="C521" s="18"/>
      <c r="D521" s="18"/>
      <c r="E521" s="19"/>
      <c r="F521" s="19"/>
      <c r="G521" s="19"/>
    </row>
    <row r="522" ht="15.75" customHeight="1">
      <c r="C522" s="18"/>
      <c r="D522" s="18"/>
      <c r="E522" s="19"/>
      <c r="F522" s="19"/>
      <c r="G522" s="19"/>
    </row>
    <row r="523" ht="15.75" customHeight="1">
      <c r="C523" s="18"/>
      <c r="D523" s="18"/>
      <c r="E523" s="19"/>
      <c r="F523" s="19"/>
      <c r="G523" s="19"/>
    </row>
    <row r="524" ht="15.75" customHeight="1">
      <c r="C524" s="18"/>
      <c r="D524" s="18"/>
      <c r="E524" s="19"/>
      <c r="F524" s="19"/>
      <c r="G524" s="19"/>
    </row>
    <row r="525" ht="15.75" customHeight="1">
      <c r="C525" s="18"/>
      <c r="D525" s="18"/>
      <c r="E525" s="19"/>
      <c r="F525" s="19"/>
      <c r="G525" s="19"/>
    </row>
    <row r="526" ht="15.75" customHeight="1">
      <c r="C526" s="18"/>
      <c r="D526" s="18"/>
      <c r="E526" s="19"/>
      <c r="F526" s="19"/>
      <c r="G526" s="19"/>
    </row>
    <row r="527" ht="15.75" customHeight="1">
      <c r="C527" s="18"/>
      <c r="D527" s="18"/>
      <c r="E527" s="19"/>
      <c r="F527" s="19"/>
      <c r="G527" s="19"/>
    </row>
    <row r="528" ht="15.75" customHeight="1">
      <c r="C528" s="18"/>
      <c r="D528" s="18"/>
      <c r="E528" s="19"/>
      <c r="F528" s="19"/>
      <c r="G528" s="19"/>
    </row>
    <row r="529" ht="15.75" customHeight="1">
      <c r="C529" s="18"/>
      <c r="D529" s="18"/>
      <c r="E529" s="19"/>
      <c r="F529" s="19"/>
      <c r="G529" s="19"/>
    </row>
    <row r="530" ht="15.75" customHeight="1">
      <c r="C530" s="18"/>
      <c r="D530" s="18"/>
      <c r="E530" s="19"/>
      <c r="F530" s="19"/>
      <c r="G530" s="19"/>
    </row>
    <row r="531" ht="15.75" customHeight="1">
      <c r="C531" s="18"/>
      <c r="D531" s="18"/>
      <c r="E531" s="19"/>
      <c r="F531" s="19"/>
      <c r="G531" s="19"/>
    </row>
    <row r="532" ht="15.75" customHeight="1">
      <c r="C532" s="18"/>
      <c r="D532" s="18"/>
      <c r="E532" s="19"/>
      <c r="F532" s="19"/>
      <c r="G532" s="19"/>
    </row>
    <row r="533" ht="15.75" customHeight="1">
      <c r="C533" s="18"/>
      <c r="D533" s="18"/>
      <c r="E533" s="19"/>
      <c r="F533" s="19"/>
      <c r="G533" s="19"/>
    </row>
    <row r="534" ht="15.75" customHeight="1">
      <c r="C534" s="18"/>
      <c r="D534" s="18"/>
      <c r="E534" s="19"/>
      <c r="F534" s="19"/>
      <c r="G534" s="19"/>
    </row>
    <row r="535" ht="15.75" customHeight="1">
      <c r="C535" s="18"/>
      <c r="D535" s="18"/>
      <c r="E535" s="19"/>
      <c r="F535" s="19"/>
      <c r="G535" s="19"/>
    </row>
    <row r="536" ht="15.75" customHeight="1">
      <c r="C536" s="18"/>
      <c r="D536" s="18"/>
      <c r="E536" s="19"/>
      <c r="F536" s="19"/>
      <c r="G536" s="19"/>
    </row>
    <row r="537" ht="15.75" customHeight="1">
      <c r="C537" s="18"/>
      <c r="D537" s="18"/>
      <c r="E537" s="19"/>
      <c r="F537" s="19"/>
      <c r="G537" s="19"/>
    </row>
    <row r="538" ht="15.75" customHeight="1">
      <c r="C538" s="18"/>
      <c r="D538" s="18"/>
      <c r="E538" s="19"/>
      <c r="F538" s="19"/>
      <c r="G538" s="19"/>
    </row>
    <row r="539" ht="15.75" customHeight="1">
      <c r="C539" s="18"/>
      <c r="D539" s="18"/>
      <c r="E539" s="19"/>
      <c r="F539" s="19"/>
      <c r="G539" s="19"/>
    </row>
    <row r="540" ht="15.75" customHeight="1">
      <c r="C540" s="18"/>
      <c r="D540" s="18"/>
      <c r="E540" s="19"/>
      <c r="F540" s="19"/>
      <c r="G540" s="19"/>
    </row>
    <row r="541" ht="15.75" customHeight="1">
      <c r="C541" s="18"/>
      <c r="D541" s="18"/>
      <c r="E541" s="19"/>
      <c r="F541" s="19"/>
      <c r="G541" s="19"/>
    </row>
    <row r="542" ht="15.75" customHeight="1">
      <c r="C542" s="18"/>
      <c r="D542" s="18"/>
      <c r="E542" s="19"/>
      <c r="F542" s="19"/>
      <c r="G542" s="19"/>
    </row>
    <row r="543" ht="15.75" customHeight="1">
      <c r="C543" s="18"/>
      <c r="D543" s="18"/>
      <c r="E543" s="19"/>
      <c r="F543" s="19"/>
      <c r="G543" s="19"/>
    </row>
    <row r="544" ht="15.75" customHeight="1">
      <c r="C544" s="18"/>
      <c r="D544" s="18"/>
      <c r="E544" s="19"/>
      <c r="F544" s="19"/>
      <c r="G544" s="19"/>
    </row>
    <row r="545" ht="15.75" customHeight="1">
      <c r="C545" s="18"/>
      <c r="D545" s="18"/>
      <c r="E545" s="19"/>
      <c r="F545" s="19"/>
      <c r="G545" s="19"/>
    </row>
    <row r="546" ht="15.75" customHeight="1">
      <c r="C546" s="18"/>
      <c r="D546" s="18"/>
      <c r="E546" s="19"/>
      <c r="F546" s="19"/>
      <c r="G546" s="19"/>
    </row>
    <row r="547" ht="15.75" customHeight="1">
      <c r="C547" s="18"/>
      <c r="D547" s="18"/>
      <c r="E547" s="19"/>
      <c r="F547" s="19"/>
      <c r="G547" s="19"/>
    </row>
    <row r="548" ht="15.75" customHeight="1">
      <c r="C548" s="18"/>
      <c r="D548" s="18"/>
      <c r="E548" s="19"/>
      <c r="F548" s="19"/>
      <c r="G548" s="19"/>
    </row>
    <row r="549" ht="15.75" customHeight="1">
      <c r="C549" s="18"/>
      <c r="D549" s="18"/>
      <c r="E549" s="19"/>
      <c r="F549" s="19"/>
      <c r="G549" s="19"/>
    </row>
    <row r="550" ht="15.75" customHeight="1">
      <c r="C550" s="18"/>
      <c r="D550" s="18"/>
      <c r="E550" s="19"/>
      <c r="F550" s="19"/>
      <c r="G550" s="19"/>
    </row>
    <row r="551" ht="15.75" customHeight="1">
      <c r="C551" s="18"/>
      <c r="D551" s="18"/>
      <c r="E551" s="19"/>
      <c r="F551" s="19"/>
      <c r="G551" s="19"/>
    </row>
    <row r="552" ht="15.75" customHeight="1">
      <c r="C552" s="18"/>
      <c r="D552" s="18"/>
      <c r="E552" s="19"/>
      <c r="F552" s="19"/>
      <c r="G552" s="19"/>
    </row>
    <row r="553" ht="15.75" customHeight="1">
      <c r="C553" s="18"/>
      <c r="D553" s="18"/>
      <c r="E553" s="19"/>
      <c r="F553" s="19"/>
      <c r="G553" s="19"/>
    </row>
    <row r="554" ht="15.75" customHeight="1">
      <c r="C554" s="18"/>
      <c r="D554" s="18"/>
      <c r="E554" s="19"/>
      <c r="F554" s="19"/>
      <c r="G554" s="19"/>
    </row>
    <row r="555" ht="15.75" customHeight="1">
      <c r="C555" s="18"/>
      <c r="D555" s="18"/>
      <c r="E555" s="19"/>
      <c r="F555" s="19"/>
      <c r="G555" s="19"/>
    </row>
    <row r="556" ht="15.75" customHeight="1">
      <c r="C556" s="18"/>
      <c r="D556" s="18"/>
      <c r="E556" s="19"/>
      <c r="F556" s="19"/>
      <c r="G556" s="19"/>
    </row>
    <row r="557" ht="15.75" customHeight="1">
      <c r="C557" s="18"/>
      <c r="D557" s="18"/>
      <c r="E557" s="19"/>
      <c r="F557" s="19"/>
      <c r="G557" s="19"/>
    </row>
    <row r="558" ht="15.75" customHeight="1">
      <c r="C558" s="18"/>
      <c r="D558" s="18"/>
      <c r="E558" s="19"/>
      <c r="F558" s="19"/>
      <c r="G558" s="19"/>
    </row>
    <row r="559" ht="15.75" customHeight="1">
      <c r="C559" s="18"/>
      <c r="D559" s="18"/>
      <c r="E559" s="19"/>
      <c r="F559" s="19"/>
      <c r="G559" s="19"/>
    </row>
    <row r="560" ht="15.75" customHeight="1">
      <c r="C560" s="18"/>
      <c r="D560" s="18"/>
      <c r="E560" s="19"/>
      <c r="F560" s="19"/>
      <c r="G560" s="19"/>
    </row>
    <row r="561" ht="15.75" customHeight="1">
      <c r="C561" s="18"/>
      <c r="D561" s="18"/>
      <c r="E561" s="19"/>
      <c r="F561" s="19"/>
      <c r="G561" s="19"/>
    </row>
    <row r="562" ht="15.75" customHeight="1">
      <c r="C562" s="18"/>
      <c r="D562" s="18"/>
      <c r="E562" s="19"/>
      <c r="F562" s="19"/>
      <c r="G562" s="19"/>
    </row>
    <row r="563" ht="15.75" customHeight="1">
      <c r="C563" s="18"/>
      <c r="D563" s="18"/>
      <c r="E563" s="19"/>
      <c r="F563" s="19"/>
      <c r="G563" s="19"/>
    </row>
    <row r="564" ht="15.75" customHeight="1">
      <c r="C564" s="18"/>
      <c r="D564" s="18"/>
      <c r="E564" s="19"/>
      <c r="F564" s="19"/>
      <c r="G564" s="19"/>
    </row>
    <row r="565" ht="15.75" customHeight="1">
      <c r="C565" s="18"/>
      <c r="D565" s="18"/>
      <c r="E565" s="19"/>
      <c r="F565" s="19"/>
      <c r="G565" s="19"/>
    </row>
    <row r="566" ht="15.75" customHeight="1">
      <c r="C566" s="18"/>
      <c r="D566" s="18"/>
      <c r="E566" s="19"/>
      <c r="F566" s="19"/>
      <c r="G566" s="19"/>
    </row>
    <row r="567" ht="15.75" customHeight="1">
      <c r="C567" s="18"/>
      <c r="D567" s="18"/>
      <c r="E567" s="19"/>
      <c r="F567" s="19"/>
      <c r="G567" s="19"/>
    </row>
    <row r="568" ht="15.75" customHeight="1">
      <c r="C568" s="18"/>
      <c r="D568" s="18"/>
      <c r="E568" s="19"/>
      <c r="F568" s="19"/>
      <c r="G568" s="19"/>
    </row>
    <row r="569" ht="15.75" customHeight="1">
      <c r="C569" s="18"/>
      <c r="D569" s="18"/>
      <c r="E569" s="19"/>
      <c r="F569" s="19"/>
      <c r="G569" s="19"/>
    </row>
    <row r="570" ht="15.75" customHeight="1">
      <c r="C570" s="18"/>
      <c r="D570" s="18"/>
      <c r="E570" s="19"/>
      <c r="F570" s="19"/>
      <c r="G570" s="19"/>
    </row>
    <row r="571" ht="15.75" customHeight="1">
      <c r="C571" s="18"/>
      <c r="D571" s="18"/>
      <c r="E571" s="19"/>
      <c r="F571" s="19"/>
      <c r="G571" s="19"/>
    </row>
    <row r="572" ht="15.75" customHeight="1">
      <c r="C572" s="18"/>
      <c r="D572" s="18"/>
      <c r="E572" s="19"/>
      <c r="F572" s="19"/>
      <c r="G572" s="19"/>
    </row>
    <row r="573" ht="15.75" customHeight="1">
      <c r="C573" s="18"/>
      <c r="D573" s="18"/>
      <c r="E573" s="19"/>
      <c r="F573" s="19"/>
      <c r="G573" s="19"/>
    </row>
    <row r="574" ht="15.75" customHeight="1">
      <c r="C574" s="18"/>
      <c r="D574" s="18"/>
      <c r="E574" s="19"/>
      <c r="F574" s="19"/>
      <c r="G574" s="19"/>
    </row>
    <row r="575" ht="15.75" customHeight="1">
      <c r="C575" s="18"/>
      <c r="D575" s="18"/>
      <c r="E575" s="19"/>
      <c r="F575" s="19"/>
      <c r="G575" s="19"/>
    </row>
    <row r="576" ht="15.75" customHeight="1">
      <c r="C576" s="18"/>
      <c r="D576" s="18"/>
      <c r="E576" s="19"/>
      <c r="F576" s="19"/>
      <c r="G576" s="19"/>
    </row>
    <row r="577" ht="15.75" customHeight="1">
      <c r="C577" s="18"/>
      <c r="D577" s="18"/>
      <c r="E577" s="19"/>
      <c r="F577" s="19"/>
      <c r="G577" s="19"/>
    </row>
    <row r="578" ht="15.75" customHeight="1">
      <c r="C578" s="18"/>
      <c r="D578" s="18"/>
      <c r="E578" s="19"/>
      <c r="F578" s="19"/>
      <c r="G578" s="19"/>
    </row>
    <row r="579" ht="15.75" customHeight="1">
      <c r="C579" s="18"/>
      <c r="D579" s="18"/>
      <c r="E579" s="19"/>
      <c r="F579" s="19"/>
      <c r="G579" s="19"/>
    </row>
    <row r="580" ht="15.75" customHeight="1">
      <c r="C580" s="18"/>
      <c r="D580" s="18"/>
      <c r="E580" s="19"/>
      <c r="F580" s="19"/>
      <c r="G580" s="19"/>
    </row>
    <row r="581" ht="15.75" customHeight="1">
      <c r="C581" s="18"/>
      <c r="D581" s="18"/>
      <c r="E581" s="19"/>
      <c r="F581" s="19"/>
      <c r="G581" s="19"/>
    </row>
    <row r="582" ht="15.75" customHeight="1">
      <c r="C582" s="18"/>
      <c r="D582" s="18"/>
      <c r="E582" s="19"/>
      <c r="F582" s="19"/>
      <c r="G582" s="19"/>
    </row>
    <row r="583" ht="15.75" customHeight="1">
      <c r="C583" s="18"/>
      <c r="D583" s="18"/>
      <c r="E583" s="19"/>
      <c r="F583" s="19"/>
      <c r="G583" s="19"/>
    </row>
    <row r="584" ht="15.75" customHeight="1">
      <c r="C584" s="18"/>
      <c r="D584" s="18"/>
      <c r="E584" s="19"/>
      <c r="F584" s="19"/>
      <c r="G584" s="19"/>
    </row>
    <row r="585" ht="15.75" customHeight="1">
      <c r="C585" s="18"/>
      <c r="D585" s="18"/>
      <c r="E585" s="19"/>
      <c r="F585" s="19"/>
      <c r="G585" s="19"/>
    </row>
    <row r="586" ht="15.75" customHeight="1">
      <c r="C586" s="18"/>
      <c r="D586" s="18"/>
      <c r="E586" s="19"/>
      <c r="F586" s="19"/>
      <c r="G586" s="19"/>
    </row>
    <row r="587" ht="15.75" customHeight="1">
      <c r="C587" s="18"/>
      <c r="D587" s="18"/>
      <c r="E587" s="19"/>
      <c r="F587" s="19"/>
      <c r="G587" s="19"/>
    </row>
    <row r="588" ht="15.75" customHeight="1">
      <c r="C588" s="18"/>
      <c r="D588" s="18"/>
      <c r="E588" s="19"/>
      <c r="F588" s="19"/>
      <c r="G588" s="19"/>
    </row>
    <row r="589" ht="15.75" customHeight="1">
      <c r="C589" s="18"/>
      <c r="D589" s="18"/>
      <c r="E589" s="19"/>
      <c r="F589" s="19"/>
      <c r="G589" s="19"/>
    </row>
    <row r="590" ht="15.75" customHeight="1">
      <c r="C590" s="18"/>
      <c r="D590" s="18"/>
      <c r="E590" s="19"/>
      <c r="F590" s="19"/>
      <c r="G590" s="19"/>
    </row>
    <row r="591" ht="15.75" customHeight="1">
      <c r="C591" s="18"/>
      <c r="D591" s="18"/>
      <c r="E591" s="19"/>
      <c r="F591" s="19"/>
      <c r="G591" s="19"/>
    </row>
    <row r="592" ht="15.75" customHeight="1">
      <c r="C592" s="18"/>
      <c r="D592" s="18"/>
      <c r="E592" s="19"/>
      <c r="F592" s="19"/>
      <c r="G592" s="19"/>
    </row>
    <row r="593" ht="15.75" customHeight="1">
      <c r="C593" s="18"/>
      <c r="D593" s="18"/>
      <c r="E593" s="19"/>
      <c r="F593" s="19"/>
      <c r="G593" s="19"/>
    </row>
    <row r="594" ht="15.75" customHeight="1">
      <c r="C594" s="18"/>
      <c r="D594" s="18"/>
      <c r="E594" s="19"/>
      <c r="F594" s="19"/>
      <c r="G594" s="19"/>
    </row>
    <row r="595" ht="15.75" customHeight="1">
      <c r="C595" s="18"/>
      <c r="D595" s="18"/>
      <c r="E595" s="19"/>
      <c r="F595" s="19"/>
      <c r="G595" s="19"/>
    </row>
    <row r="596" ht="15.75" customHeight="1">
      <c r="C596" s="18"/>
      <c r="D596" s="18"/>
      <c r="E596" s="19"/>
      <c r="F596" s="19"/>
      <c r="G596" s="19"/>
    </row>
    <row r="597" ht="15.75" customHeight="1">
      <c r="C597" s="18"/>
      <c r="D597" s="18"/>
      <c r="E597" s="19"/>
      <c r="F597" s="19"/>
      <c r="G597" s="19"/>
    </row>
    <row r="598" ht="15.75" customHeight="1">
      <c r="C598" s="18"/>
      <c r="D598" s="18"/>
      <c r="E598" s="19"/>
      <c r="F598" s="19"/>
      <c r="G598" s="19"/>
    </row>
    <row r="599" ht="15.75" customHeight="1">
      <c r="C599" s="18"/>
      <c r="D599" s="18"/>
      <c r="E599" s="19"/>
      <c r="F599" s="19"/>
      <c r="G599" s="19"/>
    </row>
    <row r="600" ht="15.75" customHeight="1">
      <c r="C600" s="18"/>
      <c r="D600" s="18"/>
      <c r="E600" s="19"/>
      <c r="F600" s="19"/>
      <c r="G600" s="19"/>
    </row>
    <row r="601" ht="15.75" customHeight="1">
      <c r="C601" s="18"/>
      <c r="D601" s="18"/>
      <c r="E601" s="19"/>
      <c r="F601" s="19"/>
      <c r="G601" s="19"/>
    </row>
    <row r="602" ht="15.75" customHeight="1">
      <c r="C602" s="18"/>
      <c r="D602" s="18"/>
      <c r="E602" s="19"/>
      <c r="F602" s="19"/>
      <c r="G602" s="19"/>
    </row>
    <row r="603" ht="15.75" customHeight="1">
      <c r="C603" s="18"/>
      <c r="D603" s="18"/>
      <c r="E603" s="19"/>
      <c r="F603" s="19"/>
      <c r="G603" s="19"/>
    </row>
    <row r="604" ht="15.75" customHeight="1">
      <c r="C604" s="18"/>
      <c r="D604" s="18"/>
      <c r="E604" s="19"/>
      <c r="F604" s="19"/>
      <c r="G604" s="19"/>
    </row>
    <row r="605" ht="15.75" customHeight="1">
      <c r="C605" s="18"/>
      <c r="D605" s="18"/>
      <c r="E605" s="19"/>
      <c r="F605" s="19"/>
      <c r="G605" s="19"/>
    </row>
    <row r="606" ht="15.75" customHeight="1">
      <c r="C606" s="18"/>
      <c r="D606" s="18"/>
      <c r="E606" s="19"/>
      <c r="F606" s="19"/>
      <c r="G606" s="19"/>
    </row>
    <row r="607" ht="15.75" customHeight="1">
      <c r="C607" s="18"/>
      <c r="D607" s="18"/>
      <c r="E607" s="19"/>
      <c r="F607" s="19"/>
      <c r="G607" s="19"/>
    </row>
    <row r="608" ht="15.75" customHeight="1">
      <c r="C608" s="18"/>
      <c r="D608" s="18"/>
      <c r="E608" s="19"/>
      <c r="F608" s="19"/>
      <c r="G608" s="19"/>
    </row>
    <row r="609" ht="15.75" customHeight="1">
      <c r="C609" s="18"/>
      <c r="D609" s="18"/>
      <c r="E609" s="19"/>
      <c r="F609" s="19"/>
      <c r="G609" s="19"/>
    </row>
    <row r="610" ht="15.75" customHeight="1">
      <c r="C610" s="18"/>
      <c r="D610" s="18"/>
      <c r="E610" s="19"/>
      <c r="F610" s="19"/>
      <c r="G610" s="19"/>
    </row>
    <row r="611" ht="15.75" customHeight="1">
      <c r="C611" s="18"/>
      <c r="D611" s="18"/>
      <c r="E611" s="19"/>
      <c r="F611" s="19"/>
      <c r="G611" s="19"/>
    </row>
    <row r="612" ht="15.75" customHeight="1">
      <c r="C612" s="18"/>
      <c r="D612" s="18"/>
      <c r="E612" s="19"/>
      <c r="F612" s="19"/>
      <c r="G612" s="19"/>
    </row>
    <row r="613" ht="15.75" customHeight="1">
      <c r="C613" s="18"/>
      <c r="D613" s="18"/>
      <c r="E613" s="19"/>
      <c r="F613" s="19"/>
      <c r="G613" s="19"/>
    </row>
    <row r="614" ht="15.75" customHeight="1">
      <c r="C614" s="18"/>
      <c r="D614" s="18"/>
      <c r="E614" s="19"/>
      <c r="F614" s="19"/>
      <c r="G614" s="19"/>
    </row>
    <row r="615" ht="15.75" customHeight="1">
      <c r="C615" s="18"/>
      <c r="D615" s="18"/>
      <c r="E615" s="19"/>
      <c r="F615" s="19"/>
      <c r="G615" s="19"/>
    </row>
    <row r="616" ht="15.75" customHeight="1">
      <c r="C616" s="18"/>
      <c r="D616" s="18"/>
      <c r="E616" s="19"/>
      <c r="F616" s="19"/>
      <c r="G616" s="19"/>
    </row>
    <row r="617" ht="15.75" customHeight="1">
      <c r="C617" s="18"/>
      <c r="D617" s="18"/>
      <c r="E617" s="19"/>
      <c r="F617" s="19"/>
      <c r="G617" s="19"/>
    </row>
    <row r="618" ht="15.75" customHeight="1">
      <c r="C618" s="18"/>
      <c r="D618" s="18"/>
      <c r="E618" s="19"/>
      <c r="F618" s="19"/>
      <c r="G618" s="19"/>
    </row>
    <row r="619" ht="15.75" customHeight="1">
      <c r="C619" s="18"/>
      <c r="D619" s="18"/>
      <c r="E619" s="19"/>
      <c r="F619" s="19"/>
      <c r="G619" s="19"/>
    </row>
    <row r="620" ht="15.75" customHeight="1">
      <c r="C620" s="18"/>
      <c r="D620" s="18"/>
      <c r="E620" s="19"/>
      <c r="F620" s="19"/>
      <c r="G620" s="19"/>
    </row>
    <row r="621" ht="15.75" customHeight="1">
      <c r="C621" s="18"/>
      <c r="D621" s="18"/>
      <c r="E621" s="19"/>
      <c r="F621" s="19"/>
      <c r="G621" s="19"/>
    </row>
    <row r="622" ht="15.75" customHeight="1">
      <c r="C622" s="18"/>
      <c r="D622" s="18"/>
      <c r="E622" s="19"/>
      <c r="F622" s="19"/>
      <c r="G622" s="19"/>
    </row>
    <row r="623" ht="15.75" customHeight="1">
      <c r="C623" s="18"/>
      <c r="D623" s="18"/>
      <c r="E623" s="19"/>
      <c r="F623" s="19"/>
      <c r="G623" s="19"/>
    </row>
    <row r="624" ht="15.75" customHeight="1">
      <c r="C624" s="18"/>
      <c r="D624" s="18"/>
      <c r="E624" s="19"/>
      <c r="F624" s="19"/>
      <c r="G624" s="19"/>
    </row>
    <row r="625" ht="15.75" customHeight="1">
      <c r="C625" s="18"/>
      <c r="D625" s="18"/>
      <c r="E625" s="19"/>
      <c r="F625" s="19"/>
      <c r="G625" s="19"/>
    </row>
    <row r="626" ht="15.75" customHeight="1">
      <c r="C626" s="18"/>
      <c r="D626" s="18"/>
      <c r="E626" s="19"/>
      <c r="F626" s="19"/>
      <c r="G626" s="19"/>
    </row>
    <row r="627" ht="15.75" customHeight="1">
      <c r="C627" s="18"/>
      <c r="D627" s="18"/>
      <c r="E627" s="19"/>
      <c r="F627" s="19"/>
      <c r="G627" s="19"/>
    </row>
    <row r="628" ht="15.75" customHeight="1">
      <c r="C628" s="18"/>
      <c r="D628" s="18"/>
      <c r="E628" s="19"/>
      <c r="F628" s="19"/>
      <c r="G628" s="19"/>
    </row>
    <row r="629" ht="15.75" customHeight="1">
      <c r="C629" s="18"/>
      <c r="D629" s="18"/>
      <c r="E629" s="19"/>
      <c r="F629" s="19"/>
      <c r="G629" s="19"/>
    </row>
    <row r="630" ht="15.75" customHeight="1">
      <c r="C630" s="18"/>
      <c r="D630" s="18"/>
      <c r="E630" s="19"/>
      <c r="F630" s="19"/>
      <c r="G630" s="19"/>
    </row>
    <row r="631" ht="15.75" customHeight="1">
      <c r="C631" s="18"/>
      <c r="D631" s="18"/>
      <c r="E631" s="19"/>
      <c r="F631" s="19"/>
      <c r="G631" s="19"/>
    </row>
    <row r="632" ht="15.75" customHeight="1">
      <c r="C632" s="18"/>
      <c r="D632" s="18"/>
      <c r="E632" s="19"/>
      <c r="F632" s="19"/>
      <c r="G632" s="19"/>
    </row>
    <row r="633" ht="15.75" customHeight="1">
      <c r="C633" s="18"/>
      <c r="D633" s="18"/>
      <c r="E633" s="19"/>
      <c r="F633" s="19"/>
      <c r="G633" s="19"/>
    </row>
    <row r="634" ht="15.75" customHeight="1">
      <c r="C634" s="18"/>
      <c r="D634" s="18"/>
      <c r="E634" s="19"/>
      <c r="F634" s="19"/>
      <c r="G634" s="19"/>
    </row>
    <row r="635" ht="15.75" customHeight="1">
      <c r="C635" s="18"/>
      <c r="D635" s="18"/>
      <c r="E635" s="19"/>
      <c r="F635" s="19"/>
      <c r="G635" s="19"/>
    </row>
    <row r="636" ht="15.75" customHeight="1">
      <c r="C636" s="18"/>
      <c r="D636" s="18"/>
      <c r="E636" s="19"/>
      <c r="F636" s="19"/>
      <c r="G636" s="19"/>
    </row>
    <row r="637" ht="15.75" customHeight="1">
      <c r="C637" s="18"/>
      <c r="D637" s="18"/>
      <c r="E637" s="19"/>
      <c r="F637" s="19"/>
      <c r="G637" s="19"/>
    </row>
    <row r="638" ht="15.75" customHeight="1">
      <c r="C638" s="18"/>
      <c r="D638" s="18"/>
      <c r="E638" s="19"/>
      <c r="F638" s="19"/>
      <c r="G638" s="19"/>
    </row>
    <row r="639" ht="15.75" customHeight="1">
      <c r="C639" s="18"/>
      <c r="D639" s="18"/>
      <c r="E639" s="19"/>
      <c r="F639" s="19"/>
      <c r="G639" s="19"/>
    </row>
    <row r="640" ht="15.75" customHeight="1">
      <c r="C640" s="18"/>
      <c r="D640" s="18"/>
      <c r="E640" s="19"/>
      <c r="F640" s="19"/>
      <c r="G640" s="19"/>
    </row>
    <row r="641" ht="15.75" customHeight="1">
      <c r="C641" s="18"/>
      <c r="D641" s="18"/>
      <c r="E641" s="19"/>
      <c r="F641" s="19"/>
      <c r="G641" s="19"/>
    </row>
    <row r="642" ht="15.75" customHeight="1">
      <c r="C642" s="18"/>
      <c r="D642" s="18"/>
      <c r="E642" s="19"/>
      <c r="F642" s="19"/>
      <c r="G642" s="19"/>
    </row>
    <row r="643" ht="15.75" customHeight="1">
      <c r="C643" s="18"/>
      <c r="D643" s="18"/>
      <c r="E643" s="19"/>
      <c r="F643" s="19"/>
      <c r="G643" s="19"/>
    </row>
    <row r="644" ht="15.75" customHeight="1">
      <c r="C644" s="18"/>
      <c r="D644" s="18"/>
      <c r="E644" s="19"/>
      <c r="F644" s="19"/>
      <c r="G644" s="19"/>
    </row>
    <row r="645" ht="15.75" customHeight="1">
      <c r="C645" s="18"/>
      <c r="D645" s="18"/>
      <c r="E645" s="19"/>
      <c r="F645" s="19"/>
      <c r="G645" s="19"/>
    </row>
    <row r="646" ht="15.75" customHeight="1">
      <c r="C646" s="18"/>
      <c r="D646" s="18"/>
      <c r="E646" s="19"/>
      <c r="F646" s="19"/>
      <c r="G646" s="19"/>
    </row>
    <row r="647" ht="15.75" customHeight="1">
      <c r="C647" s="18"/>
      <c r="D647" s="18"/>
      <c r="E647" s="19"/>
      <c r="F647" s="19"/>
      <c r="G647" s="19"/>
    </row>
    <row r="648" ht="15.75" customHeight="1">
      <c r="C648" s="18"/>
      <c r="D648" s="18"/>
      <c r="E648" s="19"/>
      <c r="F648" s="19"/>
      <c r="G648" s="19"/>
    </row>
    <row r="649" ht="15.75" customHeight="1">
      <c r="C649" s="18"/>
      <c r="D649" s="18"/>
      <c r="E649" s="19"/>
      <c r="F649" s="19"/>
      <c r="G649" s="19"/>
    </row>
    <row r="650" ht="15.75" customHeight="1">
      <c r="C650" s="18"/>
      <c r="D650" s="18"/>
      <c r="E650" s="19"/>
      <c r="F650" s="19"/>
      <c r="G650" s="19"/>
    </row>
    <row r="651" ht="15.75" customHeight="1">
      <c r="C651" s="18"/>
      <c r="D651" s="18"/>
      <c r="E651" s="19"/>
      <c r="F651" s="19"/>
      <c r="G651" s="19"/>
    </row>
    <row r="652" ht="15.75" customHeight="1">
      <c r="C652" s="18"/>
      <c r="D652" s="18"/>
      <c r="E652" s="19"/>
      <c r="F652" s="19"/>
      <c r="G652" s="19"/>
    </row>
    <row r="653" ht="15.75" customHeight="1">
      <c r="C653" s="18"/>
      <c r="D653" s="18"/>
      <c r="E653" s="19"/>
      <c r="F653" s="19"/>
      <c r="G653" s="19"/>
    </row>
    <row r="654" ht="15.75" customHeight="1">
      <c r="C654" s="18"/>
      <c r="D654" s="18"/>
      <c r="E654" s="19"/>
      <c r="F654" s="19"/>
      <c r="G654" s="19"/>
    </row>
    <row r="655" ht="15.75" customHeight="1">
      <c r="C655" s="18"/>
      <c r="D655" s="18"/>
      <c r="E655" s="19"/>
      <c r="F655" s="19"/>
      <c r="G655" s="19"/>
    </row>
    <row r="656" ht="15.75" customHeight="1">
      <c r="C656" s="18"/>
      <c r="D656" s="18"/>
      <c r="E656" s="19"/>
      <c r="F656" s="19"/>
      <c r="G656" s="19"/>
    </row>
    <row r="657" ht="15.75" customHeight="1">
      <c r="C657" s="18"/>
      <c r="D657" s="18"/>
      <c r="E657" s="19"/>
      <c r="F657" s="19"/>
      <c r="G657" s="19"/>
    </row>
    <row r="658" ht="15.75" customHeight="1">
      <c r="C658" s="18"/>
      <c r="D658" s="18"/>
      <c r="E658" s="19"/>
      <c r="F658" s="19"/>
      <c r="G658" s="19"/>
    </row>
    <row r="659" ht="15.75" customHeight="1">
      <c r="C659" s="18"/>
      <c r="D659" s="18"/>
      <c r="E659" s="19"/>
      <c r="F659" s="19"/>
      <c r="G659" s="19"/>
    </row>
    <row r="660" ht="15.75" customHeight="1">
      <c r="C660" s="18"/>
      <c r="D660" s="18"/>
      <c r="E660" s="19"/>
      <c r="F660" s="19"/>
      <c r="G660" s="19"/>
    </row>
    <row r="661" ht="15.75" customHeight="1">
      <c r="C661" s="18"/>
      <c r="D661" s="18"/>
      <c r="E661" s="19"/>
      <c r="F661" s="19"/>
      <c r="G661" s="19"/>
    </row>
    <row r="662" ht="15.75" customHeight="1">
      <c r="C662" s="18"/>
      <c r="D662" s="18"/>
      <c r="E662" s="19"/>
      <c r="F662" s="19"/>
      <c r="G662" s="19"/>
    </row>
    <row r="663" ht="15.75" customHeight="1">
      <c r="C663" s="18"/>
      <c r="D663" s="18"/>
      <c r="E663" s="19"/>
      <c r="F663" s="19"/>
      <c r="G663" s="19"/>
    </row>
    <row r="664" ht="15.75" customHeight="1">
      <c r="C664" s="18"/>
      <c r="D664" s="18"/>
      <c r="E664" s="19"/>
      <c r="F664" s="19"/>
      <c r="G664" s="19"/>
    </row>
    <row r="665" ht="15.75" customHeight="1">
      <c r="C665" s="18"/>
      <c r="D665" s="18"/>
      <c r="E665" s="19"/>
      <c r="F665" s="19"/>
      <c r="G665" s="19"/>
    </row>
    <row r="666" ht="15.75" customHeight="1">
      <c r="C666" s="18"/>
      <c r="D666" s="18"/>
      <c r="E666" s="19"/>
      <c r="F666" s="19"/>
      <c r="G666" s="19"/>
    </row>
    <row r="667" ht="15.75" customHeight="1">
      <c r="C667" s="18"/>
      <c r="D667" s="18"/>
      <c r="E667" s="19"/>
      <c r="F667" s="19"/>
      <c r="G667" s="19"/>
    </row>
    <row r="668" ht="15.75" customHeight="1">
      <c r="C668" s="18"/>
      <c r="D668" s="18"/>
      <c r="E668" s="19"/>
      <c r="F668" s="19"/>
      <c r="G668" s="19"/>
    </row>
    <row r="669" ht="15.75" customHeight="1">
      <c r="C669" s="18"/>
      <c r="D669" s="18"/>
      <c r="E669" s="19"/>
      <c r="F669" s="19"/>
      <c r="G669" s="19"/>
    </row>
    <row r="670" ht="15.75" customHeight="1">
      <c r="C670" s="18"/>
      <c r="D670" s="18"/>
      <c r="E670" s="19"/>
      <c r="F670" s="19"/>
      <c r="G670" s="19"/>
    </row>
    <row r="671" ht="15.75" customHeight="1">
      <c r="C671" s="18"/>
      <c r="D671" s="18"/>
      <c r="E671" s="19"/>
      <c r="F671" s="19"/>
      <c r="G671" s="19"/>
    </row>
    <row r="672" ht="15.75" customHeight="1">
      <c r="C672" s="18"/>
      <c r="D672" s="18"/>
      <c r="E672" s="19"/>
      <c r="F672" s="19"/>
      <c r="G672" s="19"/>
    </row>
    <row r="673" ht="15.75" customHeight="1">
      <c r="C673" s="18"/>
      <c r="D673" s="18"/>
      <c r="E673" s="19"/>
      <c r="F673" s="19"/>
      <c r="G673" s="19"/>
    </row>
    <row r="674" ht="15.75" customHeight="1">
      <c r="C674" s="18"/>
      <c r="D674" s="18"/>
      <c r="E674" s="19"/>
      <c r="F674" s="19"/>
      <c r="G674" s="19"/>
    </row>
    <row r="675" ht="15.75" customHeight="1">
      <c r="C675" s="18"/>
      <c r="D675" s="18"/>
      <c r="E675" s="19"/>
      <c r="F675" s="19"/>
      <c r="G675" s="19"/>
    </row>
    <row r="676" ht="15.75" customHeight="1">
      <c r="C676" s="18"/>
      <c r="D676" s="18"/>
      <c r="E676" s="19"/>
      <c r="F676" s="19"/>
      <c r="G676" s="19"/>
    </row>
    <row r="677" ht="15.75" customHeight="1">
      <c r="C677" s="18"/>
      <c r="D677" s="18"/>
      <c r="E677" s="19"/>
      <c r="F677" s="19"/>
      <c r="G677" s="19"/>
    </row>
    <row r="678" ht="15.75" customHeight="1">
      <c r="C678" s="18"/>
      <c r="D678" s="18"/>
      <c r="E678" s="19"/>
      <c r="F678" s="19"/>
      <c r="G678" s="19"/>
    </row>
    <row r="679" ht="15.75" customHeight="1">
      <c r="C679" s="18"/>
      <c r="D679" s="18"/>
      <c r="E679" s="19"/>
      <c r="F679" s="19"/>
      <c r="G679" s="19"/>
    </row>
    <row r="680" ht="15.75" customHeight="1">
      <c r="C680" s="18"/>
      <c r="D680" s="18"/>
      <c r="E680" s="19"/>
      <c r="F680" s="19"/>
      <c r="G680" s="19"/>
    </row>
    <row r="681" ht="15.75" customHeight="1">
      <c r="C681" s="18"/>
      <c r="D681" s="18"/>
      <c r="E681" s="19"/>
      <c r="F681" s="19"/>
      <c r="G681" s="19"/>
    </row>
    <row r="682" ht="15.75" customHeight="1">
      <c r="C682" s="18"/>
      <c r="D682" s="18"/>
      <c r="E682" s="19"/>
      <c r="F682" s="19"/>
      <c r="G682" s="19"/>
    </row>
    <row r="683" ht="15.75" customHeight="1">
      <c r="C683" s="18"/>
      <c r="D683" s="18"/>
      <c r="E683" s="19"/>
      <c r="F683" s="19"/>
      <c r="G683" s="19"/>
    </row>
    <row r="684" ht="15.75" customHeight="1">
      <c r="C684" s="18"/>
      <c r="D684" s="18"/>
      <c r="E684" s="19"/>
      <c r="F684" s="19"/>
      <c r="G684" s="19"/>
    </row>
    <row r="685" ht="15.75" customHeight="1">
      <c r="C685" s="18"/>
      <c r="D685" s="18"/>
      <c r="E685" s="19"/>
      <c r="F685" s="19"/>
      <c r="G685" s="19"/>
    </row>
    <row r="686" ht="15.75" customHeight="1">
      <c r="C686" s="18"/>
      <c r="D686" s="18"/>
      <c r="E686" s="19"/>
      <c r="F686" s="19"/>
      <c r="G686" s="19"/>
    </row>
    <row r="687" ht="15.75" customHeight="1">
      <c r="C687" s="18"/>
      <c r="D687" s="18"/>
      <c r="E687" s="19"/>
      <c r="F687" s="19"/>
      <c r="G687" s="19"/>
    </row>
    <row r="688" ht="15.75" customHeight="1">
      <c r="C688" s="18"/>
      <c r="D688" s="18"/>
      <c r="E688" s="19"/>
      <c r="F688" s="19"/>
      <c r="G688" s="19"/>
    </row>
    <row r="689" ht="15.75" customHeight="1">
      <c r="C689" s="18"/>
      <c r="D689" s="18"/>
      <c r="E689" s="19"/>
      <c r="F689" s="19"/>
      <c r="G689" s="19"/>
    </row>
    <row r="690" ht="15.75" customHeight="1">
      <c r="C690" s="18"/>
      <c r="D690" s="18"/>
      <c r="E690" s="19"/>
      <c r="F690" s="19"/>
      <c r="G690" s="19"/>
    </row>
    <row r="691" ht="15.75" customHeight="1">
      <c r="C691" s="18"/>
      <c r="D691" s="18"/>
      <c r="E691" s="19"/>
      <c r="F691" s="19"/>
      <c r="G691" s="19"/>
    </row>
    <row r="692" ht="15.75" customHeight="1">
      <c r="C692" s="18"/>
      <c r="D692" s="18"/>
      <c r="E692" s="19"/>
      <c r="F692" s="19"/>
      <c r="G692" s="19"/>
    </row>
    <row r="693" ht="15.75" customHeight="1">
      <c r="C693" s="18"/>
      <c r="D693" s="18"/>
      <c r="E693" s="19"/>
      <c r="F693" s="19"/>
      <c r="G693" s="19"/>
    </row>
    <row r="694" ht="15.75" customHeight="1">
      <c r="C694" s="18"/>
      <c r="D694" s="18"/>
      <c r="E694" s="19"/>
      <c r="F694" s="19"/>
      <c r="G694" s="19"/>
    </row>
    <row r="695" ht="15.75" customHeight="1">
      <c r="C695" s="18"/>
      <c r="D695" s="18"/>
      <c r="E695" s="19"/>
      <c r="F695" s="19"/>
      <c r="G695" s="19"/>
    </row>
    <row r="696" ht="15.75" customHeight="1">
      <c r="C696" s="18"/>
      <c r="D696" s="18"/>
      <c r="E696" s="19"/>
      <c r="F696" s="19"/>
      <c r="G696" s="19"/>
    </row>
    <row r="697" ht="15.75" customHeight="1">
      <c r="C697" s="18"/>
      <c r="D697" s="18"/>
      <c r="E697" s="19"/>
      <c r="F697" s="19"/>
      <c r="G697" s="19"/>
    </row>
    <row r="698" ht="15.75" customHeight="1">
      <c r="C698" s="18"/>
      <c r="D698" s="18"/>
      <c r="E698" s="19"/>
      <c r="F698" s="19"/>
      <c r="G698" s="19"/>
    </row>
    <row r="699" ht="15.75" customHeight="1">
      <c r="C699" s="18"/>
      <c r="D699" s="18"/>
      <c r="E699" s="19"/>
      <c r="F699" s="19"/>
      <c r="G699" s="19"/>
    </row>
    <row r="700" ht="15.75" customHeight="1">
      <c r="C700" s="18"/>
      <c r="D700" s="18"/>
      <c r="E700" s="19"/>
      <c r="F700" s="19"/>
      <c r="G700" s="19"/>
    </row>
    <row r="701" ht="15.75" customHeight="1">
      <c r="C701" s="18"/>
      <c r="D701" s="18"/>
      <c r="E701" s="19"/>
      <c r="F701" s="19"/>
      <c r="G701" s="19"/>
    </row>
    <row r="702" ht="15.75" customHeight="1">
      <c r="C702" s="18"/>
      <c r="D702" s="18"/>
      <c r="E702" s="19"/>
      <c r="F702" s="19"/>
      <c r="G702" s="19"/>
    </row>
    <row r="703" ht="15.75" customHeight="1">
      <c r="C703" s="18"/>
      <c r="D703" s="18"/>
      <c r="E703" s="19"/>
      <c r="F703" s="19"/>
      <c r="G703" s="19"/>
    </row>
    <row r="704" ht="15.75" customHeight="1">
      <c r="C704" s="18"/>
      <c r="D704" s="18"/>
      <c r="E704" s="19"/>
      <c r="F704" s="19"/>
      <c r="G704" s="19"/>
    </row>
    <row r="705" ht="15.75" customHeight="1">
      <c r="C705" s="18"/>
      <c r="D705" s="18"/>
      <c r="E705" s="19"/>
      <c r="F705" s="19"/>
      <c r="G705" s="19"/>
    </row>
    <row r="706" ht="15.75" customHeight="1">
      <c r="C706" s="18"/>
      <c r="D706" s="18"/>
      <c r="E706" s="19"/>
      <c r="F706" s="19"/>
      <c r="G706" s="19"/>
    </row>
    <row r="707" ht="15.75" customHeight="1">
      <c r="C707" s="18"/>
      <c r="D707" s="18"/>
      <c r="E707" s="19"/>
      <c r="F707" s="19"/>
      <c r="G707" s="19"/>
    </row>
    <row r="708" ht="15.75" customHeight="1">
      <c r="C708" s="18"/>
      <c r="D708" s="18"/>
      <c r="E708" s="19"/>
      <c r="F708" s="19"/>
      <c r="G708" s="19"/>
    </row>
    <row r="709" ht="15.75" customHeight="1">
      <c r="C709" s="18"/>
      <c r="D709" s="18"/>
      <c r="E709" s="19"/>
      <c r="F709" s="19"/>
      <c r="G709" s="19"/>
    </row>
    <row r="710" ht="15.75" customHeight="1">
      <c r="C710" s="18"/>
      <c r="D710" s="18"/>
      <c r="E710" s="19"/>
      <c r="F710" s="19"/>
      <c r="G710" s="19"/>
    </row>
    <row r="711" ht="15.75" customHeight="1">
      <c r="C711" s="18"/>
      <c r="D711" s="18"/>
      <c r="E711" s="19"/>
      <c r="F711" s="19"/>
      <c r="G711" s="19"/>
    </row>
    <row r="712" ht="15.75" customHeight="1">
      <c r="C712" s="18"/>
      <c r="D712" s="18"/>
      <c r="E712" s="19"/>
      <c r="F712" s="19"/>
      <c r="G712" s="19"/>
    </row>
    <row r="713" ht="15.75" customHeight="1">
      <c r="C713" s="18"/>
      <c r="D713" s="18"/>
      <c r="E713" s="19"/>
      <c r="F713" s="19"/>
      <c r="G713" s="19"/>
    </row>
    <row r="714" ht="15.75" customHeight="1">
      <c r="C714" s="18"/>
      <c r="D714" s="18"/>
      <c r="E714" s="19"/>
      <c r="F714" s="19"/>
      <c r="G714" s="19"/>
    </row>
    <row r="715" ht="15.75" customHeight="1">
      <c r="C715" s="18"/>
      <c r="D715" s="18"/>
      <c r="E715" s="19"/>
      <c r="F715" s="19"/>
      <c r="G715" s="19"/>
    </row>
    <row r="716" ht="15.75" customHeight="1">
      <c r="C716" s="18"/>
      <c r="D716" s="18"/>
      <c r="E716" s="19"/>
      <c r="F716" s="19"/>
      <c r="G716" s="19"/>
    </row>
    <row r="717" ht="15.75" customHeight="1">
      <c r="C717" s="18"/>
      <c r="D717" s="18"/>
      <c r="E717" s="19"/>
      <c r="F717" s="19"/>
      <c r="G717" s="19"/>
    </row>
    <row r="718" ht="15.75" customHeight="1">
      <c r="C718" s="18"/>
      <c r="D718" s="18"/>
      <c r="E718" s="19"/>
      <c r="F718" s="19"/>
      <c r="G718" s="19"/>
    </row>
    <row r="719" ht="15.75" customHeight="1">
      <c r="C719" s="18"/>
      <c r="D719" s="18"/>
      <c r="E719" s="19"/>
      <c r="F719" s="19"/>
      <c r="G719" s="19"/>
    </row>
    <row r="720" ht="15.75" customHeight="1">
      <c r="C720" s="18"/>
      <c r="D720" s="18"/>
      <c r="E720" s="19"/>
      <c r="F720" s="19"/>
      <c r="G720" s="19"/>
    </row>
    <row r="721" ht="15.75" customHeight="1">
      <c r="C721" s="18"/>
      <c r="D721" s="18"/>
      <c r="E721" s="19"/>
      <c r="F721" s="19"/>
      <c r="G721" s="19"/>
    </row>
    <row r="722" ht="15.75" customHeight="1">
      <c r="C722" s="18"/>
      <c r="D722" s="18"/>
      <c r="E722" s="19"/>
      <c r="F722" s="19"/>
      <c r="G722" s="19"/>
    </row>
    <row r="723" ht="15.75" customHeight="1">
      <c r="C723" s="18"/>
      <c r="D723" s="18"/>
      <c r="E723" s="19"/>
      <c r="F723" s="19"/>
      <c r="G723" s="19"/>
    </row>
    <row r="724" ht="15.75" customHeight="1">
      <c r="C724" s="18"/>
      <c r="D724" s="18"/>
      <c r="E724" s="19"/>
      <c r="F724" s="19"/>
      <c r="G724" s="19"/>
    </row>
    <row r="725" ht="15.75" customHeight="1">
      <c r="C725" s="18"/>
      <c r="D725" s="18"/>
      <c r="E725" s="19"/>
      <c r="F725" s="19"/>
      <c r="G725" s="19"/>
    </row>
    <row r="726" ht="15.75" customHeight="1">
      <c r="C726" s="18"/>
      <c r="D726" s="18"/>
      <c r="E726" s="19"/>
      <c r="F726" s="19"/>
      <c r="G726" s="19"/>
    </row>
    <row r="727" ht="15.75" customHeight="1">
      <c r="C727" s="18"/>
      <c r="D727" s="18"/>
      <c r="E727" s="19"/>
      <c r="F727" s="19"/>
      <c r="G727" s="19"/>
    </row>
    <row r="728" ht="15.75" customHeight="1">
      <c r="C728" s="18"/>
      <c r="D728" s="18"/>
      <c r="E728" s="19"/>
      <c r="F728" s="19"/>
      <c r="G728" s="19"/>
    </row>
    <row r="729" ht="15.75" customHeight="1">
      <c r="C729" s="18"/>
      <c r="D729" s="18"/>
      <c r="E729" s="19"/>
      <c r="F729" s="19"/>
      <c r="G729" s="19"/>
    </row>
    <row r="730" ht="15.75" customHeight="1">
      <c r="C730" s="18"/>
      <c r="D730" s="18"/>
      <c r="E730" s="19"/>
      <c r="F730" s="19"/>
      <c r="G730" s="19"/>
    </row>
    <row r="731" ht="15.75" customHeight="1">
      <c r="C731" s="18"/>
      <c r="D731" s="18"/>
      <c r="E731" s="19"/>
      <c r="F731" s="19"/>
      <c r="G731" s="19"/>
    </row>
    <row r="732" ht="15.75" customHeight="1">
      <c r="C732" s="18"/>
      <c r="D732" s="18"/>
      <c r="E732" s="19"/>
      <c r="F732" s="19"/>
      <c r="G732" s="19"/>
    </row>
    <row r="733" ht="15.75" customHeight="1">
      <c r="C733" s="18"/>
      <c r="D733" s="18"/>
      <c r="E733" s="19"/>
      <c r="F733" s="19"/>
      <c r="G733" s="19"/>
    </row>
    <row r="734" ht="15.75" customHeight="1">
      <c r="C734" s="18"/>
      <c r="D734" s="18"/>
      <c r="E734" s="19"/>
      <c r="F734" s="19"/>
      <c r="G734" s="19"/>
    </row>
    <row r="735" ht="15.75" customHeight="1">
      <c r="C735" s="18"/>
      <c r="D735" s="18"/>
      <c r="E735" s="19"/>
      <c r="F735" s="19"/>
      <c r="G735" s="19"/>
    </row>
    <row r="736" ht="15.75" customHeight="1">
      <c r="C736" s="18"/>
      <c r="D736" s="18"/>
      <c r="E736" s="19"/>
      <c r="F736" s="19"/>
      <c r="G736" s="19"/>
    </row>
    <row r="737" ht="15.75" customHeight="1">
      <c r="C737" s="18"/>
      <c r="D737" s="18"/>
      <c r="E737" s="19"/>
      <c r="F737" s="19"/>
      <c r="G737" s="19"/>
    </row>
    <row r="738" ht="15.75" customHeight="1">
      <c r="C738" s="18"/>
      <c r="D738" s="18"/>
      <c r="E738" s="19"/>
      <c r="F738" s="19"/>
      <c r="G738" s="19"/>
    </row>
    <row r="739" ht="15.75" customHeight="1">
      <c r="C739" s="18"/>
      <c r="D739" s="18"/>
      <c r="E739" s="19"/>
      <c r="F739" s="19"/>
      <c r="G739" s="19"/>
    </row>
    <row r="740" ht="15.75" customHeight="1">
      <c r="C740" s="18"/>
      <c r="D740" s="18"/>
      <c r="E740" s="19"/>
      <c r="F740" s="19"/>
      <c r="G740" s="19"/>
    </row>
    <row r="741" ht="15.75" customHeight="1">
      <c r="C741" s="18"/>
      <c r="D741" s="18"/>
      <c r="E741" s="19"/>
      <c r="F741" s="19"/>
      <c r="G741" s="19"/>
    </row>
    <row r="742" ht="15.75" customHeight="1">
      <c r="C742" s="18"/>
      <c r="D742" s="18"/>
      <c r="E742" s="19"/>
      <c r="F742" s="19"/>
      <c r="G742" s="19"/>
    </row>
    <row r="743" ht="15.75" customHeight="1">
      <c r="C743" s="18"/>
      <c r="D743" s="18"/>
      <c r="E743" s="19"/>
      <c r="F743" s="19"/>
      <c r="G743" s="19"/>
    </row>
    <row r="744" ht="15.75" customHeight="1">
      <c r="C744" s="18"/>
      <c r="D744" s="18"/>
      <c r="E744" s="19"/>
      <c r="F744" s="19"/>
      <c r="G744" s="19"/>
    </row>
    <row r="745" ht="15.75" customHeight="1">
      <c r="C745" s="18"/>
      <c r="D745" s="18"/>
      <c r="E745" s="19"/>
      <c r="F745" s="19"/>
      <c r="G745" s="19"/>
    </row>
    <row r="746" ht="15.75" customHeight="1">
      <c r="C746" s="18"/>
      <c r="D746" s="18"/>
      <c r="E746" s="19"/>
      <c r="F746" s="19"/>
      <c r="G746" s="19"/>
    </row>
    <row r="747" ht="15.75" customHeight="1">
      <c r="C747" s="18"/>
      <c r="D747" s="18"/>
      <c r="E747" s="19"/>
      <c r="F747" s="19"/>
      <c r="G747" s="19"/>
    </row>
    <row r="748" ht="15.75" customHeight="1">
      <c r="C748" s="18"/>
      <c r="D748" s="18"/>
      <c r="E748" s="19"/>
      <c r="F748" s="19"/>
      <c r="G748" s="19"/>
    </row>
    <row r="749" ht="15.75" customHeight="1">
      <c r="C749" s="18"/>
      <c r="D749" s="18"/>
      <c r="E749" s="19"/>
      <c r="F749" s="19"/>
      <c r="G749" s="19"/>
    </row>
    <row r="750" ht="15.75" customHeight="1">
      <c r="C750" s="18"/>
      <c r="D750" s="18"/>
      <c r="E750" s="19"/>
      <c r="F750" s="19"/>
      <c r="G750" s="19"/>
    </row>
    <row r="751" ht="15.75" customHeight="1">
      <c r="C751" s="18"/>
      <c r="D751" s="18"/>
      <c r="E751" s="19"/>
      <c r="F751" s="19"/>
      <c r="G751" s="19"/>
    </row>
    <row r="752" ht="15.75" customHeight="1">
      <c r="C752" s="18"/>
      <c r="D752" s="18"/>
      <c r="E752" s="19"/>
      <c r="F752" s="19"/>
      <c r="G752" s="19"/>
    </row>
    <row r="753" ht="15.75" customHeight="1">
      <c r="C753" s="18"/>
      <c r="D753" s="18"/>
      <c r="E753" s="19"/>
      <c r="F753" s="19"/>
      <c r="G753" s="19"/>
    </row>
    <row r="754" ht="15.75" customHeight="1">
      <c r="C754" s="18"/>
      <c r="D754" s="18"/>
      <c r="E754" s="19"/>
      <c r="F754" s="19"/>
      <c r="G754" s="19"/>
    </row>
    <row r="755" ht="15.75" customHeight="1">
      <c r="C755" s="18"/>
      <c r="D755" s="18"/>
      <c r="E755" s="19"/>
      <c r="F755" s="19"/>
      <c r="G755" s="19"/>
    </row>
    <row r="756" ht="15.75" customHeight="1">
      <c r="C756" s="18"/>
      <c r="D756" s="18"/>
      <c r="E756" s="19"/>
      <c r="F756" s="19"/>
      <c r="G756" s="19"/>
    </row>
    <row r="757" ht="15.75" customHeight="1">
      <c r="C757" s="18"/>
      <c r="D757" s="18"/>
      <c r="E757" s="19"/>
      <c r="F757" s="19"/>
      <c r="G757" s="19"/>
    </row>
    <row r="758" ht="15.75" customHeight="1">
      <c r="C758" s="18"/>
      <c r="D758" s="18"/>
      <c r="E758" s="19"/>
      <c r="F758" s="19"/>
      <c r="G758" s="19"/>
    </row>
    <row r="759" ht="15.75" customHeight="1">
      <c r="C759" s="18"/>
      <c r="D759" s="18"/>
      <c r="E759" s="19"/>
      <c r="F759" s="19"/>
      <c r="G759" s="19"/>
    </row>
    <row r="760" ht="15.75" customHeight="1">
      <c r="C760" s="18"/>
      <c r="D760" s="18"/>
      <c r="E760" s="19"/>
      <c r="F760" s="19"/>
      <c r="G760" s="19"/>
    </row>
    <row r="761" ht="15.75" customHeight="1">
      <c r="C761" s="18"/>
      <c r="D761" s="18"/>
      <c r="E761" s="19"/>
      <c r="F761" s="19"/>
      <c r="G761" s="19"/>
    </row>
    <row r="762" ht="15.75" customHeight="1">
      <c r="C762" s="18"/>
      <c r="D762" s="18"/>
      <c r="E762" s="19"/>
      <c r="F762" s="19"/>
      <c r="G762" s="19"/>
    </row>
    <row r="763" ht="15.75" customHeight="1">
      <c r="C763" s="18"/>
      <c r="D763" s="18"/>
      <c r="E763" s="19"/>
      <c r="F763" s="19"/>
      <c r="G763" s="19"/>
    </row>
    <row r="764" ht="15.75" customHeight="1">
      <c r="C764" s="18"/>
      <c r="D764" s="18"/>
      <c r="E764" s="19"/>
      <c r="F764" s="19"/>
      <c r="G764" s="19"/>
    </row>
    <row r="765" ht="15.75" customHeight="1">
      <c r="C765" s="18"/>
      <c r="D765" s="18"/>
      <c r="E765" s="19"/>
      <c r="F765" s="19"/>
      <c r="G765" s="19"/>
    </row>
    <row r="766" ht="15.75" customHeight="1">
      <c r="C766" s="18"/>
      <c r="D766" s="18"/>
      <c r="E766" s="19"/>
      <c r="F766" s="19"/>
      <c r="G766" s="19"/>
    </row>
    <row r="767" ht="15.75" customHeight="1">
      <c r="C767" s="18"/>
      <c r="D767" s="18"/>
      <c r="E767" s="19"/>
      <c r="F767" s="19"/>
      <c r="G767" s="19"/>
    </row>
    <row r="768" ht="15.75" customHeight="1">
      <c r="C768" s="18"/>
      <c r="D768" s="18"/>
      <c r="E768" s="19"/>
      <c r="F768" s="19"/>
      <c r="G768" s="19"/>
    </row>
    <row r="769" ht="15.75" customHeight="1">
      <c r="C769" s="18"/>
      <c r="D769" s="18"/>
      <c r="E769" s="19"/>
      <c r="F769" s="19"/>
      <c r="G769" s="19"/>
    </row>
    <row r="770" ht="15.75" customHeight="1">
      <c r="C770" s="18"/>
      <c r="D770" s="18"/>
      <c r="E770" s="19"/>
      <c r="F770" s="19"/>
      <c r="G770" s="19"/>
    </row>
    <row r="771" ht="15.75" customHeight="1">
      <c r="C771" s="18"/>
      <c r="D771" s="18"/>
      <c r="E771" s="19"/>
      <c r="F771" s="19"/>
      <c r="G771" s="19"/>
    </row>
    <row r="772" ht="15.75" customHeight="1">
      <c r="C772" s="18"/>
      <c r="D772" s="18"/>
      <c r="E772" s="19"/>
      <c r="F772" s="19"/>
      <c r="G772" s="19"/>
    </row>
    <row r="773" ht="15.75" customHeight="1">
      <c r="C773" s="18"/>
      <c r="D773" s="18"/>
      <c r="E773" s="19"/>
      <c r="F773" s="19"/>
      <c r="G773" s="19"/>
    </row>
    <row r="774" ht="15.75" customHeight="1">
      <c r="C774" s="18"/>
      <c r="D774" s="18"/>
      <c r="E774" s="19"/>
      <c r="F774" s="19"/>
      <c r="G774" s="19"/>
    </row>
    <row r="775" ht="15.75" customHeight="1">
      <c r="C775" s="18"/>
      <c r="D775" s="18"/>
      <c r="E775" s="19"/>
      <c r="F775" s="19"/>
      <c r="G775" s="19"/>
    </row>
    <row r="776" ht="15.75" customHeight="1">
      <c r="C776" s="18"/>
      <c r="D776" s="18"/>
      <c r="E776" s="19"/>
      <c r="F776" s="19"/>
      <c r="G776" s="19"/>
    </row>
    <row r="777" ht="15.75" customHeight="1">
      <c r="C777" s="18"/>
      <c r="D777" s="18"/>
      <c r="E777" s="19"/>
      <c r="F777" s="19"/>
      <c r="G777" s="19"/>
    </row>
    <row r="778" ht="15.75" customHeight="1">
      <c r="C778" s="18"/>
      <c r="D778" s="18"/>
      <c r="E778" s="19"/>
      <c r="F778" s="19"/>
      <c r="G778" s="19"/>
    </row>
    <row r="779" ht="15.75" customHeight="1">
      <c r="C779" s="18"/>
      <c r="D779" s="18"/>
      <c r="E779" s="19"/>
      <c r="F779" s="19"/>
      <c r="G779" s="19"/>
    </row>
    <row r="780" ht="15.75" customHeight="1">
      <c r="C780" s="18"/>
      <c r="D780" s="18"/>
      <c r="E780" s="19"/>
      <c r="F780" s="19"/>
      <c r="G780" s="19"/>
    </row>
    <row r="781" ht="15.75" customHeight="1">
      <c r="C781" s="18"/>
      <c r="D781" s="18"/>
      <c r="E781" s="19"/>
      <c r="F781" s="19"/>
      <c r="G781" s="19"/>
    </row>
    <row r="782" ht="15.75" customHeight="1">
      <c r="C782" s="18"/>
      <c r="D782" s="18"/>
      <c r="E782" s="19"/>
      <c r="F782" s="19"/>
      <c r="G782" s="19"/>
    </row>
    <row r="783" ht="15.75" customHeight="1">
      <c r="C783" s="18"/>
      <c r="D783" s="18"/>
      <c r="E783" s="19"/>
      <c r="F783" s="19"/>
      <c r="G783" s="19"/>
    </row>
    <row r="784" ht="15.75" customHeight="1">
      <c r="C784" s="18"/>
      <c r="D784" s="18"/>
      <c r="E784" s="19"/>
      <c r="F784" s="19"/>
      <c r="G784" s="19"/>
    </row>
    <row r="785" ht="15.75" customHeight="1">
      <c r="C785" s="18"/>
      <c r="D785" s="18"/>
      <c r="E785" s="19"/>
      <c r="F785" s="19"/>
      <c r="G785" s="19"/>
    </row>
    <row r="786" ht="15.75" customHeight="1">
      <c r="C786" s="18"/>
      <c r="D786" s="18"/>
      <c r="E786" s="19"/>
      <c r="F786" s="19"/>
      <c r="G786" s="19"/>
    </row>
    <row r="787" ht="15.75" customHeight="1">
      <c r="C787" s="18"/>
      <c r="D787" s="18"/>
      <c r="E787" s="19"/>
      <c r="F787" s="19"/>
      <c r="G787" s="19"/>
    </row>
    <row r="788" ht="15.75" customHeight="1">
      <c r="C788" s="18"/>
      <c r="D788" s="18"/>
      <c r="E788" s="19"/>
      <c r="F788" s="19"/>
      <c r="G788" s="19"/>
    </row>
    <row r="789" ht="15.75" customHeight="1">
      <c r="C789" s="18"/>
      <c r="D789" s="18"/>
      <c r="E789" s="19"/>
      <c r="F789" s="19"/>
      <c r="G789" s="19"/>
    </row>
    <row r="790" ht="15.75" customHeight="1">
      <c r="C790" s="18"/>
      <c r="D790" s="18"/>
      <c r="E790" s="19"/>
      <c r="F790" s="19"/>
      <c r="G790" s="19"/>
    </row>
    <row r="791" ht="15.75" customHeight="1">
      <c r="C791" s="18"/>
      <c r="D791" s="18"/>
      <c r="E791" s="19"/>
      <c r="F791" s="19"/>
      <c r="G791" s="19"/>
    </row>
    <row r="792" ht="15.75" customHeight="1">
      <c r="C792" s="18"/>
      <c r="D792" s="18"/>
      <c r="E792" s="19"/>
      <c r="F792" s="19"/>
      <c r="G792" s="19"/>
    </row>
    <row r="793" ht="15.75" customHeight="1">
      <c r="C793" s="18"/>
      <c r="D793" s="18"/>
      <c r="E793" s="19"/>
      <c r="F793" s="19"/>
      <c r="G793" s="19"/>
    </row>
    <row r="794" ht="15.75" customHeight="1">
      <c r="C794" s="18"/>
      <c r="D794" s="18"/>
      <c r="E794" s="19"/>
      <c r="F794" s="19"/>
      <c r="G794" s="19"/>
    </row>
    <row r="795" ht="15.75" customHeight="1">
      <c r="C795" s="18"/>
      <c r="D795" s="18"/>
      <c r="E795" s="19"/>
      <c r="F795" s="19"/>
      <c r="G795" s="19"/>
    </row>
    <row r="796" ht="15.75" customHeight="1">
      <c r="C796" s="18"/>
      <c r="D796" s="18"/>
      <c r="E796" s="19"/>
      <c r="F796" s="19"/>
      <c r="G796" s="19"/>
    </row>
    <row r="797" ht="15.75" customHeight="1">
      <c r="C797" s="18"/>
      <c r="D797" s="18"/>
      <c r="E797" s="19"/>
      <c r="F797" s="19"/>
      <c r="G797" s="19"/>
    </row>
    <row r="798" ht="15.75" customHeight="1">
      <c r="C798" s="18"/>
      <c r="D798" s="18"/>
      <c r="E798" s="19"/>
      <c r="F798" s="19"/>
      <c r="G798" s="19"/>
    </row>
    <row r="799" ht="15.75" customHeight="1">
      <c r="C799" s="18"/>
      <c r="D799" s="18"/>
      <c r="E799" s="19"/>
      <c r="F799" s="19"/>
      <c r="G799" s="19"/>
    </row>
    <row r="800" ht="15.75" customHeight="1">
      <c r="C800" s="18"/>
      <c r="D800" s="18"/>
      <c r="E800" s="19"/>
      <c r="F800" s="19"/>
      <c r="G800" s="19"/>
    </row>
    <row r="801" ht="15.75" customHeight="1">
      <c r="C801" s="18"/>
      <c r="D801" s="18"/>
      <c r="E801" s="19"/>
      <c r="F801" s="19"/>
      <c r="G801" s="19"/>
    </row>
    <row r="802" ht="15.75" customHeight="1">
      <c r="C802" s="18"/>
      <c r="D802" s="18"/>
      <c r="E802" s="19"/>
      <c r="F802" s="19"/>
      <c r="G802" s="19"/>
    </row>
    <row r="803" ht="15.75" customHeight="1">
      <c r="C803" s="18"/>
      <c r="D803" s="18"/>
      <c r="E803" s="19"/>
      <c r="F803" s="19"/>
      <c r="G803" s="19"/>
    </row>
    <row r="804" ht="15.75" customHeight="1">
      <c r="C804" s="18"/>
      <c r="D804" s="18"/>
      <c r="E804" s="19"/>
      <c r="F804" s="19"/>
      <c r="G804" s="19"/>
    </row>
    <row r="805" ht="15.75" customHeight="1">
      <c r="C805" s="18"/>
      <c r="D805" s="18"/>
      <c r="E805" s="19"/>
      <c r="F805" s="19"/>
      <c r="G805" s="19"/>
    </row>
    <row r="806" ht="15.75" customHeight="1">
      <c r="C806" s="18"/>
      <c r="D806" s="18"/>
      <c r="E806" s="19"/>
      <c r="F806" s="19"/>
      <c r="G806" s="19"/>
    </row>
    <row r="807" ht="15.75" customHeight="1">
      <c r="C807" s="18"/>
      <c r="D807" s="18"/>
      <c r="E807" s="19"/>
      <c r="F807" s="19"/>
      <c r="G807" s="19"/>
    </row>
    <row r="808" ht="15.75" customHeight="1">
      <c r="C808" s="18"/>
      <c r="D808" s="18"/>
      <c r="E808" s="19"/>
      <c r="F808" s="19"/>
      <c r="G808" s="19"/>
    </row>
    <row r="809" ht="15.75" customHeight="1">
      <c r="C809" s="18"/>
      <c r="D809" s="18"/>
      <c r="E809" s="19"/>
      <c r="F809" s="19"/>
      <c r="G809" s="19"/>
    </row>
    <row r="810" ht="15.75" customHeight="1">
      <c r="C810" s="18"/>
      <c r="D810" s="18"/>
      <c r="E810" s="19"/>
      <c r="F810" s="19"/>
      <c r="G810" s="19"/>
    </row>
    <row r="811" ht="15.75" customHeight="1">
      <c r="C811" s="18"/>
      <c r="D811" s="18"/>
      <c r="E811" s="19"/>
      <c r="F811" s="19"/>
      <c r="G811" s="19"/>
    </row>
    <row r="812" ht="15.75" customHeight="1">
      <c r="C812" s="18"/>
      <c r="D812" s="18"/>
      <c r="E812" s="19"/>
      <c r="F812" s="19"/>
      <c r="G812" s="19"/>
    </row>
    <row r="813" ht="15.75" customHeight="1">
      <c r="C813" s="18"/>
      <c r="D813" s="18"/>
      <c r="E813" s="19"/>
      <c r="F813" s="19"/>
      <c r="G813" s="19"/>
    </row>
    <row r="814" ht="15.75" customHeight="1">
      <c r="C814" s="18"/>
      <c r="D814" s="18"/>
      <c r="E814" s="19"/>
      <c r="F814" s="19"/>
      <c r="G814" s="19"/>
    </row>
    <row r="815" ht="15.75" customHeight="1">
      <c r="C815" s="18"/>
      <c r="D815" s="18"/>
      <c r="E815" s="19"/>
      <c r="F815" s="19"/>
      <c r="G815" s="19"/>
    </row>
    <row r="816" ht="15.75" customHeight="1">
      <c r="C816" s="18"/>
      <c r="D816" s="18"/>
      <c r="E816" s="19"/>
      <c r="F816" s="19"/>
      <c r="G816" s="19"/>
    </row>
    <row r="817" ht="15.75" customHeight="1">
      <c r="C817" s="18"/>
      <c r="D817" s="18"/>
      <c r="E817" s="19"/>
      <c r="F817" s="19"/>
      <c r="G817" s="19"/>
    </row>
    <row r="818" ht="15.75" customHeight="1">
      <c r="C818" s="18"/>
      <c r="D818" s="18"/>
      <c r="E818" s="19"/>
      <c r="F818" s="19"/>
      <c r="G818" s="19"/>
    </row>
    <row r="819" ht="15.75" customHeight="1">
      <c r="C819" s="18"/>
      <c r="D819" s="18"/>
      <c r="E819" s="19"/>
      <c r="F819" s="19"/>
      <c r="G819" s="19"/>
    </row>
    <row r="820" ht="15.75" customHeight="1">
      <c r="C820" s="18"/>
      <c r="D820" s="18"/>
      <c r="E820" s="19"/>
      <c r="F820" s="19"/>
      <c r="G820" s="19"/>
    </row>
    <row r="821" ht="15.75" customHeight="1">
      <c r="C821" s="18"/>
      <c r="D821" s="18"/>
      <c r="E821" s="19"/>
      <c r="F821" s="19"/>
      <c r="G821" s="19"/>
    </row>
    <row r="822" ht="15.75" customHeight="1">
      <c r="C822" s="18"/>
      <c r="D822" s="18"/>
      <c r="E822" s="19"/>
      <c r="F822" s="19"/>
      <c r="G822" s="19"/>
    </row>
    <row r="823" ht="15.75" customHeight="1">
      <c r="C823" s="18"/>
      <c r="D823" s="18"/>
      <c r="E823" s="19"/>
      <c r="F823" s="19"/>
      <c r="G823" s="19"/>
    </row>
    <row r="824" ht="15.75" customHeight="1">
      <c r="C824" s="18"/>
      <c r="D824" s="18"/>
      <c r="E824" s="19"/>
      <c r="F824" s="19"/>
      <c r="G824" s="19"/>
    </row>
    <row r="825" ht="15.75" customHeight="1">
      <c r="C825" s="18"/>
      <c r="D825" s="18"/>
      <c r="E825" s="19"/>
      <c r="F825" s="19"/>
      <c r="G825" s="19"/>
    </row>
    <row r="826" ht="15.75" customHeight="1">
      <c r="C826" s="18"/>
      <c r="D826" s="18"/>
      <c r="E826" s="19"/>
      <c r="F826" s="19"/>
      <c r="G826" s="19"/>
    </row>
    <row r="827" ht="15.75" customHeight="1">
      <c r="C827" s="18"/>
      <c r="D827" s="18"/>
      <c r="E827" s="19"/>
      <c r="F827" s="19"/>
      <c r="G827" s="19"/>
    </row>
    <row r="828" ht="15.75" customHeight="1">
      <c r="C828" s="18"/>
      <c r="D828" s="18"/>
      <c r="E828" s="19"/>
      <c r="F828" s="19"/>
      <c r="G828" s="19"/>
    </row>
    <row r="829" ht="15.75" customHeight="1">
      <c r="C829" s="18"/>
      <c r="D829" s="18"/>
      <c r="E829" s="19"/>
      <c r="F829" s="19"/>
      <c r="G829" s="19"/>
    </row>
    <row r="830" ht="15.75" customHeight="1">
      <c r="C830" s="18"/>
      <c r="D830" s="18"/>
      <c r="E830" s="19"/>
      <c r="F830" s="19"/>
      <c r="G830" s="19"/>
    </row>
    <row r="831" ht="15.75" customHeight="1">
      <c r="C831" s="18"/>
      <c r="D831" s="18"/>
      <c r="E831" s="19"/>
      <c r="F831" s="19"/>
      <c r="G831" s="19"/>
    </row>
    <row r="832" ht="15.75" customHeight="1">
      <c r="C832" s="18"/>
      <c r="D832" s="18"/>
      <c r="E832" s="19"/>
      <c r="F832" s="19"/>
      <c r="G832" s="19"/>
    </row>
    <row r="833" ht="15.75" customHeight="1">
      <c r="C833" s="18"/>
      <c r="D833" s="18"/>
      <c r="E833" s="19"/>
      <c r="F833" s="19"/>
      <c r="G833" s="19"/>
    </row>
    <row r="834" ht="15.75" customHeight="1">
      <c r="C834" s="18"/>
      <c r="D834" s="18"/>
      <c r="E834" s="19"/>
      <c r="F834" s="19"/>
      <c r="G834" s="19"/>
    </row>
    <row r="835" ht="15.75" customHeight="1">
      <c r="C835" s="18"/>
      <c r="D835" s="18"/>
      <c r="E835" s="19"/>
      <c r="F835" s="19"/>
      <c r="G835" s="19"/>
    </row>
    <row r="836" ht="15.75" customHeight="1">
      <c r="C836" s="18"/>
      <c r="D836" s="18"/>
      <c r="E836" s="19"/>
      <c r="F836" s="19"/>
      <c r="G836" s="19"/>
    </row>
    <row r="837" ht="15.75" customHeight="1">
      <c r="C837" s="18"/>
      <c r="D837" s="18"/>
      <c r="E837" s="19"/>
      <c r="F837" s="19"/>
      <c r="G837" s="19"/>
    </row>
    <row r="838" ht="15.75" customHeight="1">
      <c r="C838" s="18"/>
      <c r="D838" s="18"/>
      <c r="E838" s="19"/>
      <c r="F838" s="19"/>
      <c r="G838" s="19"/>
    </row>
    <row r="839" ht="15.75" customHeight="1">
      <c r="C839" s="18"/>
      <c r="D839" s="18"/>
      <c r="E839" s="19"/>
      <c r="F839" s="19"/>
      <c r="G839" s="19"/>
    </row>
    <row r="840" ht="15.75" customHeight="1">
      <c r="C840" s="18"/>
      <c r="D840" s="18"/>
      <c r="E840" s="19"/>
      <c r="F840" s="19"/>
      <c r="G840" s="19"/>
    </row>
    <row r="841" ht="15.75" customHeight="1">
      <c r="C841" s="18"/>
      <c r="D841" s="18"/>
      <c r="E841" s="19"/>
      <c r="F841" s="19"/>
      <c r="G841" s="19"/>
    </row>
    <row r="842" ht="15.75" customHeight="1">
      <c r="C842" s="18"/>
      <c r="D842" s="18"/>
      <c r="E842" s="19"/>
      <c r="F842" s="19"/>
      <c r="G842" s="19"/>
    </row>
    <row r="843" ht="15.75" customHeight="1">
      <c r="C843" s="18"/>
      <c r="D843" s="18"/>
      <c r="E843" s="19"/>
      <c r="F843" s="19"/>
      <c r="G843" s="19"/>
    </row>
    <row r="844" ht="15.75" customHeight="1">
      <c r="C844" s="18"/>
      <c r="D844" s="18"/>
      <c r="E844" s="19"/>
      <c r="F844" s="19"/>
      <c r="G844" s="19"/>
    </row>
    <row r="845" ht="15.75" customHeight="1">
      <c r="C845" s="18"/>
      <c r="D845" s="18"/>
      <c r="E845" s="19"/>
      <c r="F845" s="19"/>
      <c r="G845" s="19"/>
    </row>
    <row r="846" ht="15.75" customHeight="1">
      <c r="C846" s="18"/>
      <c r="D846" s="18"/>
      <c r="E846" s="19"/>
      <c r="F846" s="19"/>
      <c r="G846" s="19"/>
    </row>
    <row r="847" ht="15.75" customHeight="1">
      <c r="C847" s="18"/>
      <c r="D847" s="18"/>
      <c r="E847" s="19"/>
      <c r="F847" s="19"/>
      <c r="G847" s="19"/>
    </row>
    <row r="848" ht="15.75" customHeight="1">
      <c r="C848" s="18"/>
      <c r="D848" s="18"/>
      <c r="E848" s="19"/>
      <c r="F848" s="19"/>
      <c r="G848" s="19"/>
    </row>
    <row r="849" ht="15.75" customHeight="1">
      <c r="C849" s="18"/>
      <c r="D849" s="18"/>
      <c r="E849" s="19"/>
      <c r="F849" s="19"/>
      <c r="G849" s="19"/>
    </row>
    <row r="850" ht="15.75" customHeight="1">
      <c r="C850" s="18"/>
      <c r="D850" s="18"/>
      <c r="E850" s="19"/>
      <c r="F850" s="19"/>
      <c r="G850" s="19"/>
    </row>
    <row r="851" ht="15.75" customHeight="1">
      <c r="C851" s="18"/>
      <c r="D851" s="18"/>
      <c r="E851" s="19"/>
      <c r="F851" s="19"/>
      <c r="G851" s="19"/>
    </row>
    <row r="852" ht="15.75" customHeight="1">
      <c r="C852" s="18"/>
      <c r="D852" s="18"/>
      <c r="E852" s="19"/>
      <c r="F852" s="19"/>
      <c r="G852" s="19"/>
    </row>
    <row r="853" ht="15.75" customHeight="1">
      <c r="C853" s="18"/>
      <c r="D853" s="18"/>
      <c r="E853" s="19"/>
      <c r="F853" s="19"/>
      <c r="G853" s="19"/>
    </row>
    <row r="854" ht="15.75" customHeight="1">
      <c r="C854" s="18"/>
      <c r="D854" s="18"/>
      <c r="E854" s="19"/>
      <c r="F854" s="19"/>
      <c r="G854" s="19"/>
    </row>
    <row r="855" ht="15.75" customHeight="1">
      <c r="C855" s="18"/>
      <c r="D855" s="18"/>
      <c r="E855" s="19"/>
      <c r="F855" s="19"/>
      <c r="G855" s="19"/>
    </row>
    <row r="856" ht="15.75" customHeight="1">
      <c r="C856" s="18"/>
      <c r="D856" s="18"/>
      <c r="E856" s="19"/>
      <c r="F856" s="19"/>
      <c r="G856" s="19"/>
    </row>
    <row r="857" ht="15.75" customHeight="1">
      <c r="C857" s="18"/>
      <c r="D857" s="18"/>
      <c r="E857" s="19"/>
      <c r="F857" s="19"/>
      <c r="G857" s="19"/>
    </row>
    <row r="858" ht="15.75" customHeight="1">
      <c r="C858" s="18"/>
      <c r="D858" s="18"/>
      <c r="E858" s="19"/>
      <c r="F858" s="19"/>
      <c r="G858" s="19"/>
    </row>
    <row r="859" ht="15.75" customHeight="1">
      <c r="C859" s="18"/>
      <c r="D859" s="18"/>
      <c r="E859" s="19"/>
      <c r="F859" s="19"/>
      <c r="G859" s="19"/>
    </row>
    <row r="860" ht="15.75" customHeight="1">
      <c r="C860" s="18"/>
      <c r="D860" s="18"/>
      <c r="E860" s="19"/>
      <c r="F860" s="19"/>
      <c r="G860" s="19"/>
    </row>
    <row r="861" ht="15.75" customHeight="1">
      <c r="C861" s="18"/>
      <c r="D861" s="18"/>
      <c r="E861" s="19"/>
      <c r="F861" s="19"/>
      <c r="G861" s="19"/>
    </row>
    <row r="862" ht="15.75" customHeight="1">
      <c r="C862" s="18"/>
      <c r="D862" s="18"/>
      <c r="E862" s="19"/>
      <c r="F862" s="19"/>
      <c r="G862" s="19"/>
    </row>
    <row r="863" ht="15.75" customHeight="1">
      <c r="C863" s="18"/>
      <c r="D863" s="18"/>
      <c r="E863" s="19"/>
      <c r="F863" s="19"/>
      <c r="G863" s="19"/>
    </row>
    <row r="864" ht="15.75" customHeight="1">
      <c r="C864" s="18"/>
      <c r="D864" s="18"/>
      <c r="E864" s="19"/>
      <c r="F864" s="19"/>
      <c r="G864" s="19"/>
    </row>
    <row r="865" ht="15.75" customHeight="1">
      <c r="C865" s="18"/>
      <c r="D865" s="18"/>
      <c r="E865" s="19"/>
      <c r="F865" s="19"/>
      <c r="G865" s="19"/>
    </row>
    <row r="866" ht="15.75" customHeight="1">
      <c r="C866" s="18"/>
      <c r="D866" s="18"/>
      <c r="E866" s="19"/>
      <c r="F866" s="19"/>
      <c r="G866" s="19"/>
    </row>
    <row r="867" ht="15.75" customHeight="1">
      <c r="C867" s="18"/>
      <c r="D867" s="18"/>
      <c r="E867" s="19"/>
      <c r="F867" s="19"/>
      <c r="G867" s="19"/>
    </row>
    <row r="868" ht="15.75" customHeight="1">
      <c r="C868" s="18"/>
      <c r="D868" s="18"/>
      <c r="E868" s="19"/>
      <c r="F868" s="19"/>
      <c r="G868" s="19"/>
    </row>
    <row r="869" ht="15.75" customHeight="1">
      <c r="C869" s="18"/>
      <c r="D869" s="18"/>
      <c r="E869" s="19"/>
      <c r="F869" s="19"/>
      <c r="G869" s="19"/>
    </row>
    <row r="870" ht="15.75" customHeight="1">
      <c r="C870" s="18"/>
      <c r="D870" s="18"/>
      <c r="E870" s="19"/>
      <c r="F870" s="19"/>
      <c r="G870" s="19"/>
    </row>
    <row r="871" ht="15.75" customHeight="1">
      <c r="C871" s="18"/>
      <c r="D871" s="18"/>
      <c r="E871" s="19"/>
      <c r="F871" s="19"/>
      <c r="G871" s="19"/>
    </row>
    <row r="872" ht="15.75" customHeight="1">
      <c r="C872" s="18"/>
      <c r="D872" s="18"/>
      <c r="E872" s="19"/>
      <c r="F872" s="19"/>
      <c r="G872" s="19"/>
    </row>
    <row r="873" ht="15.75" customHeight="1">
      <c r="C873" s="18"/>
      <c r="D873" s="18"/>
      <c r="E873" s="19"/>
      <c r="F873" s="19"/>
      <c r="G873" s="19"/>
    </row>
    <row r="874" ht="15.75" customHeight="1">
      <c r="C874" s="18"/>
      <c r="D874" s="18"/>
      <c r="E874" s="19"/>
      <c r="F874" s="19"/>
      <c r="G874" s="19"/>
    </row>
    <row r="875" ht="15.75" customHeight="1">
      <c r="C875" s="18"/>
      <c r="D875" s="18"/>
      <c r="E875" s="19"/>
      <c r="F875" s="19"/>
      <c r="G875" s="19"/>
    </row>
    <row r="876" ht="15.75" customHeight="1">
      <c r="C876" s="18"/>
      <c r="D876" s="18"/>
      <c r="E876" s="19"/>
      <c r="F876" s="19"/>
      <c r="G876" s="19"/>
    </row>
    <row r="877" ht="15.75" customHeight="1">
      <c r="C877" s="18"/>
      <c r="D877" s="18"/>
      <c r="E877" s="19"/>
      <c r="F877" s="19"/>
      <c r="G877" s="19"/>
    </row>
    <row r="878" ht="15.75" customHeight="1">
      <c r="C878" s="18"/>
      <c r="D878" s="18"/>
      <c r="E878" s="19"/>
      <c r="F878" s="19"/>
      <c r="G878" s="19"/>
    </row>
    <row r="879" ht="15.75" customHeight="1">
      <c r="C879" s="18"/>
      <c r="D879" s="18"/>
      <c r="E879" s="19"/>
      <c r="F879" s="19"/>
      <c r="G879" s="19"/>
    </row>
    <row r="880" ht="15.75" customHeight="1">
      <c r="C880" s="18"/>
      <c r="D880" s="18"/>
      <c r="E880" s="19"/>
      <c r="F880" s="19"/>
      <c r="G880" s="19"/>
    </row>
    <row r="881" ht="15.75" customHeight="1">
      <c r="C881" s="18"/>
      <c r="D881" s="18"/>
      <c r="E881" s="19"/>
      <c r="F881" s="19"/>
      <c r="G881" s="19"/>
    </row>
    <row r="882" ht="15.75" customHeight="1">
      <c r="C882" s="18"/>
      <c r="D882" s="18"/>
      <c r="E882" s="19"/>
      <c r="F882" s="19"/>
      <c r="G882" s="19"/>
    </row>
    <row r="883" ht="15.75" customHeight="1">
      <c r="C883" s="18"/>
      <c r="D883" s="18"/>
      <c r="E883" s="19"/>
      <c r="F883" s="19"/>
      <c r="G883" s="19"/>
    </row>
    <row r="884" ht="15.75" customHeight="1">
      <c r="C884" s="18"/>
      <c r="D884" s="18"/>
      <c r="E884" s="19"/>
      <c r="F884" s="19"/>
      <c r="G884" s="19"/>
    </row>
    <row r="885" ht="15.75" customHeight="1">
      <c r="C885" s="18"/>
      <c r="D885" s="18"/>
      <c r="E885" s="19"/>
      <c r="F885" s="19"/>
      <c r="G885" s="19"/>
    </row>
    <row r="886" ht="15.75" customHeight="1">
      <c r="C886" s="18"/>
      <c r="D886" s="18"/>
      <c r="E886" s="19"/>
      <c r="F886" s="19"/>
      <c r="G886" s="19"/>
    </row>
    <row r="887" ht="15.75" customHeight="1">
      <c r="C887" s="18"/>
      <c r="D887" s="18"/>
      <c r="E887" s="19"/>
      <c r="F887" s="19"/>
      <c r="G887" s="19"/>
    </row>
    <row r="888" ht="15.75" customHeight="1">
      <c r="C888" s="18"/>
      <c r="D888" s="18"/>
      <c r="E888" s="19"/>
      <c r="F888" s="19"/>
      <c r="G888" s="19"/>
    </row>
    <row r="889" ht="15.75" customHeight="1">
      <c r="C889" s="18"/>
      <c r="D889" s="18"/>
      <c r="E889" s="19"/>
      <c r="F889" s="19"/>
      <c r="G889" s="19"/>
    </row>
    <row r="890" ht="15.75" customHeight="1">
      <c r="C890" s="18"/>
      <c r="D890" s="18"/>
      <c r="E890" s="19"/>
      <c r="F890" s="19"/>
      <c r="G890" s="19"/>
    </row>
    <row r="891" ht="15.75" customHeight="1">
      <c r="C891" s="18"/>
      <c r="D891" s="18"/>
      <c r="E891" s="19"/>
      <c r="F891" s="19"/>
      <c r="G891" s="19"/>
    </row>
    <row r="892" ht="15.75" customHeight="1">
      <c r="C892" s="18"/>
      <c r="D892" s="18"/>
      <c r="E892" s="19"/>
      <c r="F892" s="19"/>
      <c r="G892" s="19"/>
    </row>
    <row r="893" ht="15.75" customHeight="1">
      <c r="C893" s="18"/>
      <c r="D893" s="18"/>
      <c r="E893" s="19"/>
      <c r="F893" s="19"/>
      <c r="G893" s="19"/>
    </row>
    <row r="894" ht="15.75" customHeight="1">
      <c r="C894" s="18"/>
      <c r="D894" s="18"/>
      <c r="E894" s="19"/>
      <c r="F894" s="19"/>
      <c r="G894" s="19"/>
    </row>
    <row r="895" ht="15.75" customHeight="1">
      <c r="C895" s="18"/>
      <c r="D895" s="18"/>
      <c r="E895" s="19"/>
      <c r="F895" s="19"/>
      <c r="G895" s="19"/>
    </row>
    <row r="896" ht="15.75" customHeight="1">
      <c r="C896" s="18"/>
      <c r="D896" s="18"/>
      <c r="E896" s="19"/>
      <c r="F896" s="19"/>
      <c r="G896" s="19"/>
    </row>
    <row r="897" ht="15.75" customHeight="1">
      <c r="C897" s="18"/>
      <c r="D897" s="18"/>
      <c r="E897" s="19"/>
      <c r="F897" s="19"/>
      <c r="G897" s="19"/>
    </row>
    <row r="898" ht="15.75" customHeight="1">
      <c r="C898" s="18"/>
      <c r="D898" s="18"/>
      <c r="E898" s="19"/>
      <c r="F898" s="19"/>
      <c r="G898" s="19"/>
    </row>
    <row r="899" ht="15.75" customHeight="1">
      <c r="C899" s="18"/>
      <c r="D899" s="18"/>
      <c r="E899" s="19"/>
      <c r="F899" s="19"/>
      <c r="G899" s="19"/>
    </row>
    <row r="900" ht="15.75" customHeight="1">
      <c r="C900" s="18"/>
      <c r="D900" s="18"/>
      <c r="E900" s="19"/>
      <c r="F900" s="19"/>
      <c r="G900" s="19"/>
    </row>
    <row r="901" ht="15.75" customHeight="1">
      <c r="C901" s="18"/>
      <c r="D901" s="18"/>
      <c r="E901" s="19"/>
      <c r="F901" s="19"/>
      <c r="G901" s="19"/>
    </row>
    <row r="902" ht="15.75" customHeight="1">
      <c r="C902" s="18"/>
      <c r="D902" s="18"/>
      <c r="E902" s="19"/>
      <c r="F902" s="19"/>
      <c r="G902" s="19"/>
    </row>
    <row r="903" ht="15.75" customHeight="1">
      <c r="C903" s="18"/>
      <c r="D903" s="18"/>
      <c r="E903" s="19"/>
      <c r="F903" s="19"/>
      <c r="G903" s="19"/>
    </row>
    <row r="904" ht="15.75" customHeight="1">
      <c r="C904" s="18"/>
      <c r="D904" s="18"/>
      <c r="E904" s="19"/>
      <c r="F904" s="19"/>
      <c r="G904" s="19"/>
    </row>
    <row r="905" ht="15.75" customHeight="1">
      <c r="C905" s="18"/>
      <c r="D905" s="18"/>
      <c r="E905" s="19"/>
      <c r="F905" s="19"/>
      <c r="G905" s="19"/>
    </row>
    <row r="906" ht="15.75" customHeight="1">
      <c r="C906" s="18"/>
      <c r="D906" s="18"/>
      <c r="E906" s="19"/>
      <c r="F906" s="19"/>
      <c r="G906" s="19"/>
    </row>
    <row r="907" ht="15.75" customHeight="1">
      <c r="C907" s="18"/>
      <c r="D907" s="18"/>
      <c r="E907" s="19"/>
      <c r="F907" s="19"/>
      <c r="G907" s="19"/>
    </row>
    <row r="908" ht="15.75" customHeight="1">
      <c r="C908" s="18"/>
      <c r="D908" s="18"/>
      <c r="E908" s="19"/>
      <c r="F908" s="19"/>
      <c r="G908" s="19"/>
    </row>
    <row r="909" ht="15.75" customHeight="1">
      <c r="C909" s="18"/>
      <c r="D909" s="18"/>
      <c r="E909" s="19"/>
      <c r="F909" s="19"/>
      <c r="G909" s="19"/>
    </row>
    <row r="910" ht="15.75" customHeight="1">
      <c r="C910" s="18"/>
      <c r="D910" s="18"/>
      <c r="E910" s="19"/>
      <c r="F910" s="19"/>
      <c r="G910" s="19"/>
    </row>
    <row r="911" ht="15.75" customHeight="1">
      <c r="C911" s="18"/>
      <c r="D911" s="18"/>
      <c r="E911" s="19"/>
      <c r="F911" s="19"/>
      <c r="G911" s="19"/>
    </row>
    <row r="912" ht="15.75" customHeight="1">
      <c r="C912" s="18"/>
      <c r="D912" s="18"/>
      <c r="E912" s="19"/>
      <c r="F912" s="19"/>
      <c r="G912" s="19"/>
    </row>
    <row r="913" ht="15.75" customHeight="1">
      <c r="C913" s="18"/>
      <c r="D913" s="18"/>
      <c r="E913" s="19"/>
      <c r="F913" s="19"/>
      <c r="G913" s="19"/>
    </row>
    <row r="914" ht="15.75" customHeight="1">
      <c r="C914" s="18"/>
      <c r="D914" s="18"/>
      <c r="E914" s="19"/>
      <c r="F914" s="19"/>
      <c r="G914" s="19"/>
    </row>
    <row r="915" ht="15.75" customHeight="1">
      <c r="C915" s="18"/>
      <c r="D915" s="18"/>
      <c r="E915" s="19"/>
      <c r="F915" s="19"/>
      <c r="G915" s="19"/>
    </row>
    <row r="916" ht="15.75" customHeight="1">
      <c r="C916" s="18"/>
      <c r="D916" s="18"/>
      <c r="E916" s="19"/>
      <c r="F916" s="19"/>
      <c r="G916" s="19"/>
    </row>
    <row r="917" ht="15.75" customHeight="1">
      <c r="C917" s="18"/>
      <c r="D917" s="18"/>
      <c r="E917" s="19"/>
      <c r="F917" s="19"/>
      <c r="G917" s="19"/>
    </row>
    <row r="918" ht="15.75" customHeight="1">
      <c r="C918" s="18"/>
      <c r="D918" s="18"/>
      <c r="E918" s="19"/>
      <c r="F918" s="19"/>
      <c r="G918" s="19"/>
    </row>
    <row r="919" ht="15.75" customHeight="1">
      <c r="C919" s="18"/>
      <c r="D919" s="18"/>
      <c r="E919" s="19"/>
      <c r="F919" s="19"/>
      <c r="G919" s="19"/>
    </row>
    <row r="920" ht="15.75" customHeight="1">
      <c r="C920" s="18"/>
      <c r="D920" s="18"/>
      <c r="E920" s="19"/>
      <c r="F920" s="19"/>
      <c r="G920" s="19"/>
    </row>
    <row r="921" ht="15.75" customHeight="1">
      <c r="C921" s="18"/>
      <c r="D921" s="18"/>
      <c r="E921" s="19"/>
      <c r="F921" s="19"/>
      <c r="G921" s="19"/>
    </row>
    <row r="922" ht="15.75" customHeight="1">
      <c r="C922" s="18"/>
      <c r="D922" s="18"/>
      <c r="E922" s="19"/>
      <c r="F922" s="19"/>
      <c r="G922" s="19"/>
    </row>
    <row r="923" ht="15.75" customHeight="1">
      <c r="C923" s="18"/>
      <c r="D923" s="18"/>
      <c r="E923" s="19"/>
      <c r="F923" s="19"/>
      <c r="G923" s="19"/>
    </row>
    <row r="924" ht="15.75" customHeight="1">
      <c r="C924" s="18"/>
      <c r="D924" s="18"/>
      <c r="E924" s="19"/>
      <c r="F924" s="19"/>
      <c r="G924" s="19"/>
    </row>
    <row r="925" ht="15.75" customHeight="1">
      <c r="C925" s="18"/>
      <c r="D925" s="18"/>
      <c r="E925" s="19"/>
      <c r="F925" s="19"/>
      <c r="G925" s="19"/>
    </row>
    <row r="926" ht="15.75" customHeight="1">
      <c r="C926" s="18"/>
      <c r="D926" s="18"/>
      <c r="E926" s="19"/>
      <c r="F926" s="19"/>
      <c r="G926" s="19"/>
    </row>
    <row r="927" ht="15.75" customHeight="1">
      <c r="C927" s="18"/>
      <c r="D927" s="18"/>
      <c r="E927" s="19"/>
      <c r="F927" s="19"/>
      <c r="G927" s="19"/>
    </row>
    <row r="928" ht="15.75" customHeight="1">
      <c r="C928" s="18"/>
      <c r="D928" s="18"/>
      <c r="E928" s="19"/>
      <c r="F928" s="19"/>
      <c r="G928" s="19"/>
    </row>
    <row r="929" ht="15.75" customHeight="1">
      <c r="C929" s="18"/>
      <c r="D929" s="18"/>
      <c r="E929" s="19"/>
      <c r="F929" s="19"/>
      <c r="G929" s="19"/>
    </row>
    <row r="930" ht="15.75" customHeight="1">
      <c r="C930" s="18"/>
      <c r="D930" s="18"/>
      <c r="E930" s="19"/>
      <c r="F930" s="19"/>
      <c r="G930" s="19"/>
    </row>
    <row r="931" ht="15.75" customHeight="1">
      <c r="C931" s="18"/>
      <c r="D931" s="18"/>
      <c r="E931" s="19"/>
      <c r="F931" s="19"/>
      <c r="G931" s="19"/>
    </row>
    <row r="932" ht="15.75" customHeight="1">
      <c r="C932" s="18"/>
      <c r="D932" s="18"/>
      <c r="E932" s="19"/>
      <c r="F932" s="19"/>
      <c r="G932" s="19"/>
    </row>
    <row r="933" ht="15.75" customHeight="1">
      <c r="C933" s="18"/>
      <c r="D933" s="18"/>
      <c r="E933" s="19"/>
      <c r="F933" s="19"/>
      <c r="G933" s="19"/>
    </row>
    <row r="934" ht="15.75" customHeight="1">
      <c r="C934" s="18"/>
      <c r="D934" s="18"/>
      <c r="E934" s="19"/>
      <c r="F934" s="19"/>
      <c r="G934" s="19"/>
    </row>
    <row r="935" ht="15.75" customHeight="1">
      <c r="C935" s="18"/>
      <c r="D935" s="18"/>
      <c r="E935" s="19"/>
      <c r="F935" s="19"/>
      <c r="G935" s="19"/>
    </row>
    <row r="936" ht="15.75" customHeight="1">
      <c r="C936" s="18"/>
      <c r="D936" s="18"/>
      <c r="E936" s="19"/>
      <c r="F936" s="19"/>
      <c r="G936" s="19"/>
    </row>
    <row r="937" ht="15.75" customHeight="1">
      <c r="C937" s="18"/>
      <c r="D937" s="18"/>
      <c r="E937" s="19"/>
      <c r="F937" s="19"/>
      <c r="G937" s="19"/>
    </row>
    <row r="938" ht="15.75" customHeight="1">
      <c r="C938" s="18"/>
      <c r="D938" s="18"/>
      <c r="E938" s="19"/>
      <c r="F938" s="19"/>
      <c r="G938" s="19"/>
    </row>
    <row r="939" ht="15.75" customHeight="1">
      <c r="C939" s="18"/>
      <c r="D939" s="18"/>
      <c r="E939" s="19"/>
      <c r="F939" s="19"/>
      <c r="G939" s="19"/>
    </row>
    <row r="940" ht="15.75" customHeight="1">
      <c r="C940" s="18"/>
      <c r="D940" s="18"/>
      <c r="E940" s="19"/>
      <c r="F940" s="19"/>
      <c r="G940" s="19"/>
    </row>
    <row r="941" ht="15.75" customHeight="1">
      <c r="C941" s="18"/>
      <c r="D941" s="18"/>
      <c r="E941" s="19"/>
      <c r="F941" s="19"/>
      <c r="G941" s="19"/>
    </row>
    <row r="942" ht="15.75" customHeight="1">
      <c r="C942" s="18"/>
      <c r="D942" s="18"/>
      <c r="E942" s="19"/>
      <c r="F942" s="19"/>
      <c r="G942" s="19"/>
    </row>
    <row r="943" ht="15.75" customHeight="1">
      <c r="C943" s="18"/>
      <c r="D943" s="18"/>
      <c r="E943" s="19"/>
      <c r="F943" s="19"/>
      <c r="G943" s="19"/>
    </row>
    <row r="944" ht="15.75" customHeight="1">
      <c r="C944" s="18"/>
      <c r="D944" s="18"/>
      <c r="E944" s="19"/>
      <c r="F944" s="19"/>
      <c r="G944" s="19"/>
    </row>
    <row r="945" ht="15.75" customHeight="1">
      <c r="C945" s="18"/>
      <c r="D945" s="18"/>
      <c r="E945" s="19"/>
      <c r="F945" s="19"/>
      <c r="G945" s="19"/>
    </row>
    <row r="946" ht="15.75" customHeight="1">
      <c r="C946" s="18"/>
      <c r="D946" s="18"/>
      <c r="E946" s="19"/>
      <c r="F946" s="19"/>
      <c r="G946" s="19"/>
    </row>
    <row r="947" ht="15.75" customHeight="1">
      <c r="C947" s="18"/>
      <c r="D947" s="18"/>
      <c r="E947" s="19"/>
      <c r="F947" s="19"/>
      <c r="G947" s="19"/>
    </row>
    <row r="948" ht="15.75" customHeight="1">
      <c r="C948" s="18"/>
      <c r="D948" s="18"/>
      <c r="E948" s="19"/>
      <c r="F948" s="19"/>
      <c r="G948" s="19"/>
    </row>
    <row r="949" ht="15.75" customHeight="1">
      <c r="C949" s="18"/>
      <c r="D949" s="18"/>
      <c r="E949" s="19"/>
      <c r="F949" s="19"/>
      <c r="G949" s="19"/>
    </row>
    <row r="950" ht="15.75" customHeight="1">
      <c r="C950" s="18"/>
      <c r="D950" s="18"/>
      <c r="E950" s="19"/>
      <c r="F950" s="19"/>
      <c r="G950" s="19"/>
    </row>
    <row r="951" ht="15.75" customHeight="1">
      <c r="C951" s="18"/>
      <c r="D951" s="18"/>
      <c r="E951" s="19"/>
      <c r="F951" s="19"/>
      <c r="G951" s="19"/>
    </row>
    <row r="952" ht="15.75" customHeight="1">
      <c r="C952" s="18"/>
      <c r="D952" s="18"/>
      <c r="E952" s="19"/>
      <c r="F952" s="19"/>
      <c r="G952" s="19"/>
    </row>
    <row r="953" ht="15.75" customHeight="1">
      <c r="C953" s="18"/>
      <c r="D953" s="18"/>
      <c r="E953" s="19"/>
      <c r="F953" s="19"/>
      <c r="G953" s="19"/>
    </row>
    <row r="954" ht="15.75" customHeight="1">
      <c r="C954" s="18"/>
      <c r="D954" s="18"/>
      <c r="E954" s="19"/>
      <c r="F954" s="19"/>
      <c r="G954" s="19"/>
    </row>
    <row r="955" ht="15.75" customHeight="1">
      <c r="C955" s="18"/>
      <c r="D955" s="18"/>
      <c r="E955" s="19"/>
      <c r="F955" s="19"/>
      <c r="G955" s="19"/>
    </row>
    <row r="956" ht="15.75" customHeight="1">
      <c r="C956" s="18"/>
      <c r="D956" s="18"/>
      <c r="E956" s="19"/>
      <c r="F956" s="19"/>
      <c r="G956" s="19"/>
    </row>
    <row r="957" ht="15.75" customHeight="1">
      <c r="C957" s="18"/>
      <c r="D957" s="18"/>
      <c r="E957" s="19"/>
      <c r="F957" s="19"/>
      <c r="G957" s="19"/>
    </row>
    <row r="958" ht="15.75" customHeight="1">
      <c r="C958" s="18"/>
      <c r="D958" s="18"/>
      <c r="E958" s="19"/>
      <c r="F958" s="19"/>
      <c r="G958" s="19"/>
    </row>
    <row r="959" ht="15.75" customHeight="1">
      <c r="C959" s="18"/>
      <c r="D959" s="18"/>
      <c r="E959" s="19"/>
      <c r="F959" s="19"/>
      <c r="G959" s="19"/>
    </row>
    <row r="960" ht="15.75" customHeight="1">
      <c r="C960" s="18"/>
      <c r="D960" s="18"/>
      <c r="E960" s="19"/>
      <c r="F960" s="19"/>
      <c r="G960" s="19"/>
    </row>
    <row r="961" ht="15.75" customHeight="1">
      <c r="C961" s="18"/>
      <c r="D961" s="18"/>
      <c r="E961" s="19"/>
      <c r="F961" s="19"/>
      <c r="G961" s="19"/>
    </row>
    <row r="962" ht="15.75" customHeight="1">
      <c r="C962" s="18"/>
      <c r="D962" s="18"/>
      <c r="E962" s="19"/>
      <c r="F962" s="19"/>
      <c r="G962" s="19"/>
    </row>
    <row r="963" ht="15.75" customHeight="1">
      <c r="C963" s="18"/>
      <c r="D963" s="18"/>
      <c r="E963" s="19"/>
      <c r="F963" s="19"/>
      <c r="G963" s="19"/>
    </row>
    <row r="964" ht="15.75" customHeight="1">
      <c r="C964" s="18"/>
      <c r="D964" s="18"/>
      <c r="E964" s="19"/>
      <c r="F964" s="19"/>
      <c r="G964" s="19"/>
    </row>
    <row r="965" ht="15.75" customHeight="1">
      <c r="C965" s="18"/>
      <c r="D965" s="18"/>
      <c r="E965" s="19"/>
      <c r="F965" s="19"/>
      <c r="G965" s="19"/>
    </row>
    <row r="966" ht="15.75" customHeight="1">
      <c r="C966" s="18"/>
      <c r="D966" s="18"/>
      <c r="E966" s="19"/>
      <c r="F966" s="19"/>
      <c r="G966" s="19"/>
    </row>
    <row r="967" ht="15.75" customHeight="1">
      <c r="C967" s="18"/>
      <c r="D967" s="18"/>
      <c r="E967" s="19"/>
      <c r="F967" s="19"/>
      <c r="G967" s="19"/>
    </row>
    <row r="968" ht="15.75" customHeight="1">
      <c r="C968" s="18"/>
      <c r="D968" s="18"/>
      <c r="E968" s="19"/>
      <c r="F968" s="19"/>
      <c r="G968" s="19"/>
    </row>
    <row r="969" ht="15.75" customHeight="1">
      <c r="C969" s="18"/>
      <c r="D969" s="18"/>
      <c r="E969" s="19"/>
      <c r="F969" s="19"/>
      <c r="G969" s="19"/>
    </row>
    <row r="970" ht="15.75" customHeight="1">
      <c r="C970" s="18"/>
      <c r="D970" s="18"/>
      <c r="E970" s="19"/>
      <c r="F970" s="19"/>
      <c r="G970" s="19"/>
    </row>
    <row r="971" ht="15.75" customHeight="1">
      <c r="C971" s="18"/>
      <c r="D971" s="18"/>
      <c r="E971" s="19"/>
      <c r="F971" s="19"/>
      <c r="G971" s="19"/>
    </row>
    <row r="972" ht="15.75" customHeight="1">
      <c r="C972" s="18"/>
      <c r="D972" s="18"/>
      <c r="E972" s="19"/>
      <c r="F972" s="19"/>
      <c r="G972" s="19"/>
    </row>
    <row r="973" ht="15.75" customHeight="1">
      <c r="C973" s="18"/>
      <c r="D973" s="18"/>
      <c r="E973" s="19"/>
      <c r="F973" s="19"/>
      <c r="G973" s="19"/>
    </row>
    <row r="974" ht="15.75" customHeight="1">
      <c r="C974" s="18"/>
      <c r="D974" s="18"/>
      <c r="E974" s="19"/>
      <c r="F974" s="19"/>
      <c r="G974" s="19"/>
    </row>
    <row r="975" ht="15.75" customHeight="1">
      <c r="C975" s="18"/>
      <c r="D975" s="18"/>
      <c r="E975" s="19"/>
      <c r="F975" s="19"/>
      <c r="G975" s="19"/>
    </row>
    <row r="976" ht="15.75" customHeight="1">
      <c r="C976" s="18"/>
      <c r="D976" s="18"/>
      <c r="E976" s="19"/>
      <c r="F976" s="19"/>
      <c r="G976" s="19"/>
    </row>
    <row r="977" ht="15.75" customHeight="1">
      <c r="C977" s="18"/>
      <c r="D977" s="18"/>
      <c r="E977" s="19"/>
      <c r="F977" s="19"/>
      <c r="G977" s="19"/>
    </row>
    <row r="978" ht="15.75" customHeight="1">
      <c r="C978" s="18"/>
      <c r="D978" s="18"/>
      <c r="E978" s="19"/>
      <c r="F978" s="19"/>
      <c r="G978" s="19"/>
    </row>
    <row r="979" ht="15.75" customHeight="1">
      <c r="C979" s="18"/>
      <c r="D979" s="18"/>
      <c r="E979" s="19"/>
      <c r="F979" s="19"/>
      <c r="G979" s="19"/>
    </row>
    <row r="980" ht="15.75" customHeight="1">
      <c r="C980" s="18"/>
      <c r="D980" s="18"/>
      <c r="E980" s="19"/>
      <c r="F980" s="19"/>
      <c r="G980" s="19"/>
    </row>
    <row r="981" ht="15.75" customHeight="1">
      <c r="C981" s="18"/>
      <c r="D981" s="18"/>
      <c r="E981" s="19"/>
      <c r="F981" s="19"/>
      <c r="G981" s="19"/>
    </row>
    <row r="982" ht="15.75" customHeight="1">
      <c r="C982" s="18"/>
      <c r="D982" s="18"/>
      <c r="E982" s="19"/>
      <c r="F982" s="19"/>
      <c r="G982" s="19"/>
    </row>
    <row r="983" ht="15.75" customHeight="1">
      <c r="C983" s="18"/>
      <c r="D983" s="18"/>
      <c r="E983" s="19"/>
      <c r="F983" s="19"/>
      <c r="G983" s="19"/>
    </row>
    <row r="984" ht="15.75" customHeight="1">
      <c r="C984" s="18"/>
      <c r="D984" s="18"/>
      <c r="E984" s="19"/>
      <c r="F984" s="19"/>
      <c r="G984" s="19"/>
    </row>
    <row r="985" ht="15.75" customHeight="1">
      <c r="C985" s="18"/>
      <c r="D985" s="18"/>
      <c r="E985" s="19"/>
      <c r="F985" s="19"/>
      <c r="G985" s="19"/>
    </row>
    <row r="986" ht="15.75" customHeight="1">
      <c r="C986" s="18"/>
      <c r="D986" s="18"/>
      <c r="E986" s="19"/>
      <c r="F986" s="19"/>
      <c r="G986" s="19"/>
    </row>
    <row r="987" ht="15.75" customHeight="1">
      <c r="C987" s="18"/>
      <c r="D987" s="18"/>
      <c r="E987" s="19"/>
      <c r="F987" s="19"/>
      <c r="G987" s="19"/>
    </row>
    <row r="988" ht="15.75" customHeight="1">
      <c r="C988" s="18"/>
      <c r="D988" s="18"/>
      <c r="E988" s="19"/>
      <c r="F988" s="19"/>
      <c r="G988" s="19"/>
    </row>
    <row r="989" ht="15.75" customHeight="1">
      <c r="C989" s="18"/>
      <c r="D989" s="18"/>
      <c r="E989" s="19"/>
      <c r="F989" s="19"/>
      <c r="G989" s="19"/>
    </row>
    <row r="990" ht="15.75" customHeight="1">
      <c r="C990" s="18"/>
      <c r="D990" s="18"/>
      <c r="E990" s="19"/>
      <c r="F990" s="19"/>
      <c r="G990" s="19"/>
    </row>
    <row r="991" ht="15.75" customHeight="1">
      <c r="C991" s="18"/>
      <c r="D991" s="18"/>
      <c r="E991" s="19"/>
      <c r="F991" s="19"/>
      <c r="G991" s="19"/>
    </row>
    <row r="992" ht="15.75" customHeight="1">
      <c r="C992" s="18"/>
      <c r="D992" s="18"/>
      <c r="E992" s="19"/>
      <c r="F992" s="19"/>
      <c r="G992" s="19"/>
    </row>
    <row r="993" ht="15.75" customHeight="1">
      <c r="C993" s="18"/>
      <c r="D993" s="18"/>
      <c r="E993" s="19"/>
      <c r="F993" s="19"/>
      <c r="G993" s="19"/>
    </row>
    <row r="994" ht="15.75" customHeight="1">
      <c r="C994" s="18"/>
      <c r="D994" s="18"/>
      <c r="E994" s="19"/>
      <c r="F994" s="19"/>
      <c r="G994" s="19"/>
    </row>
    <row r="995" ht="15.75" customHeight="1">
      <c r="C995" s="18"/>
      <c r="D995" s="18"/>
      <c r="E995" s="19"/>
      <c r="F995" s="19"/>
      <c r="G995" s="19"/>
    </row>
    <row r="996" ht="15.75" customHeight="1">
      <c r="C996" s="18"/>
      <c r="D996" s="18"/>
      <c r="E996" s="19"/>
      <c r="F996" s="19"/>
      <c r="G996" s="19"/>
    </row>
    <row r="997" ht="15.75" customHeight="1">
      <c r="C997" s="18"/>
      <c r="D997" s="18"/>
      <c r="E997" s="19"/>
      <c r="F997" s="19"/>
      <c r="G997" s="19"/>
    </row>
    <row r="998" ht="15.75" customHeight="1">
      <c r="C998" s="18"/>
      <c r="D998" s="18"/>
      <c r="E998" s="19"/>
      <c r="F998" s="19"/>
      <c r="G998" s="19"/>
    </row>
    <row r="999" ht="15.75" customHeight="1">
      <c r="C999" s="18"/>
      <c r="D999" s="18"/>
      <c r="E999" s="19"/>
      <c r="F999" s="19"/>
      <c r="G999" s="19"/>
    </row>
    <row r="1000" ht="15.75" customHeight="1">
      <c r="C1000" s="18"/>
      <c r="D1000" s="18"/>
      <c r="E1000" s="19"/>
      <c r="F1000" s="19"/>
      <c r="G1000" s="1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86"/>
    <col customWidth="1" min="2" max="2" width="13.43"/>
    <col customWidth="1" min="3" max="3" width="7.43"/>
    <col customWidth="1" min="6" max="6" width="28.86"/>
  </cols>
  <sheetData>
    <row r="1">
      <c r="A1" s="2" t="s">
        <v>1</v>
      </c>
      <c r="B1" s="2" t="s">
        <v>8</v>
      </c>
      <c r="C1" s="5" t="s">
        <v>9</v>
      </c>
      <c r="D1" s="5" t="s">
        <v>16</v>
      </c>
      <c r="E1" s="7" t="s">
        <v>17</v>
      </c>
      <c r="F1" s="7" t="s">
        <v>3</v>
      </c>
    </row>
    <row r="2">
      <c r="A2" s="10" t="s">
        <v>18</v>
      </c>
      <c r="B2" s="10" t="s">
        <v>15</v>
      </c>
      <c r="C2" s="10" t="s">
        <v>20</v>
      </c>
      <c r="D2" s="11" t="s">
        <v>32</v>
      </c>
      <c r="E2" s="10" t="s">
        <v>35</v>
      </c>
      <c r="F2" s="16" t="str">
        <f>IFERROR(VLOOKUP(A2,Sheet3!$B$1:$E$313,3,FALSE),"")</f>
        <v>bahan baku</v>
      </c>
      <c r="G2" s="7" t="s">
        <v>35</v>
      </c>
    </row>
    <row r="3">
      <c r="A3" s="10" t="s">
        <v>21</v>
      </c>
      <c r="B3" s="10" t="s">
        <v>22</v>
      </c>
      <c r="C3" s="10" t="s">
        <v>20</v>
      </c>
      <c r="D3" s="11" t="s">
        <v>73</v>
      </c>
      <c r="E3" s="10" t="s">
        <v>35</v>
      </c>
      <c r="F3" s="16" t="str">
        <f>IFERROR(VLOOKUP(A3,Sheet3!$B$1:$E$313,3,FALSE),"")</f>
        <v>bahan baku</v>
      </c>
      <c r="G3" s="7" t="s">
        <v>85</v>
      </c>
    </row>
    <row r="4">
      <c r="A4" s="10" t="s">
        <v>23</v>
      </c>
      <c r="B4" s="10" t="s">
        <v>24</v>
      </c>
      <c r="C4" s="10" t="s">
        <v>25</v>
      </c>
      <c r="D4" s="11" t="s">
        <v>90</v>
      </c>
      <c r="E4" s="10" t="s">
        <v>35</v>
      </c>
      <c r="F4" s="16" t="str">
        <f>IFERROR(VLOOKUP(A4,Sheet3!$B$1:$E$313,3,FALSE),"")</f>
        <v>bahan baku</v>
      </c>
      <c r="G4" s="7" t="s">
        <v>97</v>
      </c>
    </row>
    <row r="5">
      <c r="A5" s="10" t="s">
        <v>26</v>
      </c>
      <c r="B5" s="10" t="s">
        <v>27</v>
      </c>
      <c r="C5" s="10" t="s">
        <v>25</v>
      </c>
      <c r="D5" s="11" t="s">
        <v>100</v>
      </c>
      <c r="E5" s="10" t="s">
        <v>35</v>
      </c>
      <c r="F5" s="16" t="str">
        <f>IFERROR(VLOOKUP(A5,Sheet3!$B$1:$E$313,3,FALSE),"")</f>
        <v>bahan baku</v>
      </c>
      <c r="G5" s="7" t="s">
        <v>107</v>
      </c>
    </row>
    <row r="6">
      <c r="A6" s="10" t="s">
        <v>28</v>
      </c>
      <c r="B6" s="10" t="s">
        <v>29</v>
      </c>
      <c r="C6" s="10" t="s">
        <v>20</v>
      </c>
      <c r="D6" s="11" t="s">
        <v>109</v>
      </c>
      <c r="E6" s="10" t="s">
        <v>35</v>
      </c>
      <c r="F6" s="16" t="str">
        <f>IFERROR(VLOOKUP(A6,Sheet3!$B$1:$E$313,3,FALSE),"")</f>
        <v>bahan baku</v>
      </c>
      <c r="G6" s="7" t="s">
        <v>115</v>
      </c>
    </row>
    <row r="7">
      <c r="A7" s="10" t="s">
        <v>118</v>
      </c>
      <c r="B7" s="10" t="s">
        <v>31</v>
      </c>
      <c r="C7" s="10" t="s">
        <v>20</v>
      </c>
      <c r="D7" s="11" t="s">
        <v>119</v>
      </c>
      <c r="E7" s="10" t="s">
        <v>35</v>
      </c>
      <c r="F7" s="7" t="s">
        <v>19</v>
      </c>
      <c r="G7" s="7" t="s">
        <v>122</v>
      </c>
    </row>
    <row r="8">
      <c r="A8" s="10" t="s">
        <v>33</v>
      </c>
      <c r="B8" s="10" t="s">
        <v>34</v>
      </c>
      <c r="C8" s="10" t="s">
        <v>20</v>
      </c>
      <c r="D8" s="11" t="s">
        <v>125</v>
      </c>
      <c r="E8" s="10" t="s">
        <v>35</v>
      </c>
      <c r="F8" s="16" t="str">
        <f>IFERROR(VLOOKUP(A8,Sheet3!$B$1:$E$313,3,FALSE),"")</f>
        <v>bahan baku</v>
      </c>
      <c r="G8" s="7" t="s">
        <v>131</v>
      </c>
    </row>
    <row r="9">
      <c r="A9" s="10" t="s">
        <v>36</v>
      </c>
      <c r="B9" s="10" t="s">
        <v>37</v>
      </c>
      <c r="C9" s="10" t="s">
        <v>20</v>
      </c>
      <c r="D9" s="11" t="s">
        <v>134</v>
      </c>
      <c r="E9" s="10" t="s">
        <v>35</v>
      </c>
      <c r="F9" s="16" t="str">
        <f>IFERROR(VLOOKUP(A9,Sheet3!$B$1:$E$313,3,FALSE),"")</f>
        <v>bahan baku</v>
      </c>
      <c r="G9" s="7" t="s">
        <v>145</v>
      </c>
    </row>
    <row r="10">
      <c r="A10" s="10" t="s">
        <v>38</v>
      </c>
      <c r="B10" s="10" t="s">
        <v>39</v>
      </c>
      <c r="C10" s="10" t="s">
        <v>20</v>
      </c>
      <c r="D10" s="11">
        <v>0.0</v>
      </c>
      <c r="E10" s="10" t="s">
        <v>35</v>
      </c>
      <c r="F10" s="16" t="str">
        <f>IFERROR(VLOOKUP(A10,Sheet3!$B$1:$E$313,3,FALSE),"")</f>
        <v>bahan baku</v>
      </c>
      <c r="G10" s="7" t="s">
        <v>152</v>
      </c>
    </row>
    <row r="11">
      <c r="A11" s="10" t="s">
        <v>40</v>
      </c>
      <c r="B11" s="10" t="s">
        <v>41</v>
      </c>
      <c r="C11" s="10" t="s">
        <v>20</v>
      </c>
      <c r="D11" s="11" t="s">
        <v>155</v>
      </c>
      <c r="E11" s="10" t="s">
        <v>35</v>
      </c>
      <c r="F11" s="16" t="str">
        <f>IFERROR(VLOOKUP(A11,Sheet3!$B$1:$E$313,3,FALSE),"")</f>
        <v>bahan baku</v>
      </c>
      <c r="G11" s="7" t="s">
        <v>160</v>
      </c>
    </row>
    <row r="12">
      <c r="A12" s="10" t="s">
        <v>42</v>
      </c>
      <c r="B12" s="10" t="s">
        <v>43</v>
      </c>
      <c r="C12" s="10" t="s">
        <v>20</v>
      </c>
      <c r="D12" s="11" t="s">
        <v>163</v>
      </c>
      <c r="E12" s="10" t="s">
        <v>35</v>
      </c>
      <c r="F12" s="16" t="str">
        <f>IFERROR(VLOOKUP(A12,Sheet3!$B$1:$E$313,3,FALSE),"")</f>
        <v>bahan baku</v>
      </c>
      <c r="G12" s="7" t="s">
        <v>169</v>
      </c>
    </row>
    <row r="13">
      <c r="A13" s="10" t="s">
        <v>170</v>
      </c>
      <c r="B13" s="10" t="s">
        <v>45</v>
      </c>
      <c r="C13" s="10" t="s">
        <v>20</v>
      </c>
      <c r="D13" s="11" t="s">
        <v>171</v>
      </c>
      <c r="E13" s="10" t="s">
        <v>35</v>
      </c>
      <c r="F13" s="7" t="s">
        <v>19</v>
      </c>
      <c r="G13" s="7" t="s">
        <v>175</v>
      </c>
    </row>
    <row r="14">
      <c r="A14" s="10" t="s">
        <v>176</v>
      </c>
      <c r="B14" s="10" t="s">
        <v>177</v>
      </c>
      <c r="C14" s="10" t="s">
        <v>20</v>
      </c>
      <c r="D14" s="11">
        <v>0.0</v>
      </c>
      <c r="E14" s="10" t="s">
        <v>35</v>
      </c>
      <c r="F14" s="7" t="s">
        <v>19</v>
      </c>
      <c r="G14" s="7" t="s">
        <v>180</v>
      </c>
    </row>
    <row r="15">
      <c r="A15" s="10" t="s">
        <v>46</v>
      </c>
      <c r="B15" s="10" t="s">
        <v>47</v>
      </c>
      <c r="C15" s="10" t="s">
        <v>20</v>
      </c>
      <c r="D15" s="11" t="s">
        <v>181</v>
      </c>
      <c r="E15" s="10" t="s">
        <v>35</v>
      </c>
      <c r="F15" s="16" t="str">
        <f>IFERROR(VLOOKUP(A15,Sheet3!$B$1:$E$313,3,FALSE),"")</f>
        <v>bahan baku</v>
      </c>
      <c r="G15" s="7" t="s">
        <v>188</v>
      </c>
    </row>
    <row r="16">
      <c r="A16" s="10" t="s">
        <v>48</v>
      </c>
      <c r="B16" s="10" t="s">
        <v>49</v>
      </c>
      <c r="C16" s="10" t="s">
        <v>20</v>
      </c>
      <c r="D16" s="11" t="s">
        <v>191</v>
      </c>
      <c r="E16" s="10" t="s">
        <v>35</v>
      </c>
      <c r="F16" s="16" t="str">
        <f>IFERROR(VLOOKUP(A16,Sheet3!$B$1:$E$313,3,FALSE),"")</f>
        <v>bahan baku</v>
      </c>
      <c r="G16" s="7" t="s">
        <v>194</v>
      </c>
    </row>
    <row r="17">
      <c r="A17" s="10" t="s">
        <v>50</v>
      </c>
      <c r="B17" s="10" t="s">
        <v>51</v>
      </c>
      <c r="C17" s="10" t="s">
        <v>20</v>
      </c>
      <c r="D17" s="11">
        <v>70.0</v>
      </c>
      <c r="E17" s="10" t="s">
        <v>35</v>
      </c>
      <c r="F17" s="16" t="str">
        <f>IFERROR(VLOOKUP(A17,Sheet3!$B$1:$E$313,3,FALSE),"")</f>
        <v>bahan baku</v>
      </c>
      <c r="G17" s="7" t="s">
        <v>200</v>
      </c>
    </row>
    <row r="18">
      <c r="A18" s="10" t="s">
        <v>52</v>
      </c>
      <c r="B18" s="10" t="s">
        <v>53</v>
      </c>
      <c r="C18" s="10" t="s">
        <v>20</v>
      </c>
      <c r="D18" s="11" t="s">
        <v>203</v>
      </c>
      <c r="E18" s="10" t="s">
        <v>35</v>
      </c>
      <c r="F18" s="16" t="str">
        <f>IFERROR(VLOOKUP(A18,Sheet3!$B$1:$E$313,3,FALSE),"")</f>
        <v>bahan baku</v>
      </c>
      <c r="G18" s="7" t="s">
        <v>210</v>
      </c>
    </row>
    <row r="19">
      <c r="A19" s="10" t="s">
        <v>54</v>
      </c>
      <c r="B19" s="10" t="s">
        <v>55</v>
      </c>
      <c r="C19" s="10" t="s">
        <v>20</v>
      </c>
      <c r="D19" s="11" t="s">
        <v>212</v>
      </c>
      <c r="E19" s="10" t="s">
        <v>35</v>
      </c>
      <c r="F19" s="16" t="str">
        <f>IFERROR(VLOOKUP(A19,Sheet3!$B$1:$E$313,3,FALSE),"")</f>
        <v>bahan baku</v>
      </c>
    </row>
    <row r="20">
      <c r="A20" s="10" t="s">
        <v>58</v>
      </c>
      <c r="B20" s="10" t="s">
        <v>59</v>
      </c>
      <c r="C20" s="10" t="s">
        <v>20</v>
      </c>
      <c r="D20" s="11" t="s">
        <v>219</v>
      </c>
      <c r="E20" s="10" t="s">
        <v>35</v>
      </c>
      <c r="F20" s="16" t="str">
        <f>IFERROR(VLOOKUP(A20,Sheet3!$B$1:$E$313,3,FALSE),"")</f>
        <v>bahan baku</v>
      </c>
    </row>
    <row r="21">
      <c r="A21" s="10" t="s">
        <v>225</v>
      </c>
      <c r="B21" s="10" t="s">
        <v>226</v>
      </c>
      <c r="C21" s="10" t="s">
        <v>20</v>
      </c>
      <c r="D21" s="11">
        <v>0.0</v>
      </c>
      <c r="E21" s="10" t="s">
        <v>35</v>
      </c>
      <c r="F21" s="16" t="str">
        <f>IFERROR(VLOOKUP(A21,Sheet3!$B$1:$E$313,3,FALSE),"")</f>
        <v>others</v>
      </c>
    </row>
    <row r="22">
      <c r="A22" s="10" t="s">
        <v>62</v>
      </c>
      <c r="B22" s="10" t="s">
        <v>64</v>
      </c>
      <c r="C22" s="10" t="s">
        <v>20</v>
      </c>
      <c r="D22" s="11" t="s">
        <v>233</v>
      </c>
      <c r="E22" s="10" t="s">
        <v>35</v>
      </c>
      <c r="F22" s="16" t="str">
        <f>IFERROR(VLOOKUP(A22,Sheet3!$B$1:$E$313,3,FALSE),"")</f>
        <v>bahan baku</v>
      </c>
    </row>
    <row r="23">
      <c r="A23" s="10" t="s">
        <v>65</v>
      </c>
      <c r="B23" s="10" t="s">
        <v>66</v>
      </c>
      <c r="C23" s="10" t="s">
        <v>20</v>
      </c>
      <c r="D23" s="11" t="s">
        <v>237</v>
      </c>
      <c r="E23" s="10" t="s">
        <v>35</v>
      </c>
      <c r="F23" s="16" t="str">
        <f>IFERROR(VLOOKUP(A23,Sheet3!$B$1:$E$313,3,FALSE),"")</f>
        <v>bahan baku</v>
      </c>
    </row>
    <row r="24">
      <c r="A24" s="10" t="s">
        <v>67</v>
      </c>
      <c r="B24" s="10" t="s">
        <v>68</v>
      </c>
      <c r="C24" s="10" t="s">
        <v>25</v>
      </c>
      <c r="D24" s="11" t="s">
        <v>244</v>
      </c>
      <c r="E24" s="10" t="s">
        <v>35</v>
      </c>
      <c r="F24" s="16" t="str">
        <f>IFERROR(VLOOKUP(A24,Sheet3!$B$1:$E$313,3,FALSE),"")</f>
        <v>bahan baku</v>
      </c>
    </row>
    <row r="25">
      <c r="A25" s="10" t="s">
        <v>247</v>
      </c>
      <c r="B25" s="10" t="s">
        <v>248</v>
      </c>
      <c r="C25" s="10" t="s">
        <v>20</v>
      </c>
      <c r="D25" s="11" t="s">
        <v>249</v>
      </c>
      <c r="E25" s="10" t="s">
        <v>35</v>
      </c>
      <c r="F25" s="16" t="str">
        <f>IFERROR(VLOOKUP(A25,Sheet3!$B$1:$E$313,3,FALSE),"")</f>
        <v>barang jadi</v>
      </c>
    </row>
    <row r="26">
      <c r="A26" s="10" t="s">
        <v>69</v>
      </c>
      <c r="B26" s="10" t="s">
        <v>70</v>
      </c>
      <c r="C26" s="10" t="s">
        <v>20</v>
      </c>
      <c r="D26" s="11" t="s">
        <v>259</v>
      </c>
      <c r="E26" s="10" t="s">
        <v>35</v>
      </c>
      <c r="F26" s="16" t="str">
        <f>IFERROR(VLOOKUP(A26,Sheet3!$B$1:$E$313,3,FALSE),"")</f>
        <v>bahan baku</v>
      </c>
    </row>
    <row r="27">
      <c r="A27" s="10" t="s">
        <v>71</v>
      </c>
      <c r="B27" s="10" t="s">
        <v>72</v>
      </c>
      <c r="C27" s="10" t="s">
        <v>20</v>
      </c>
      <c r="D27" s="11" t="s">
        <v>249</v>
      </c>
      <c r="E27" s="10" t="s">
        <v>35</v>
      </c>
      <c r="F27" s="16" t="str">
        <f>IFERROR(VLOOKUP(A27,Sheet3!$B$1:$E$313,3,FALSE),"")</f>
        <v>bahan baku</v>
      </c>
    </row>
    <row r="28">
      <c r="A28" s="10" t="s">
        <v>277</v>
      </c>
      <c r="B28" s="10" t="s">
        <v>279</v>
      </c>
      <c r="C28" s="10" t="s">
        <v>20</v>
      </c>
      <c r="D28" s="11" t="s">
        <v>281</v>
      </c>
      <c r="E28" s="10" t="s">
        <v>35</v>
      </c>
      <c r="F28" s="16" t="str">
        <f>IFERROR(VLOOKUP(A28,Sheet3!$B$1:$E$313,3,FALSE),"")</f>
        <v>others</v>
      </c>
    </row>
    <row r="29">
      <c r="A29" s="10" t="s">
        <v>290</v>
      </c>
      <c r="B29" s="10" t="s">
        <v>291</v>
      </c>
      <c r="C29" s="10" t="s">
        <v>20</v>
      </c>
      <c r="D29" s="11">
        <v>0.0</v>
      </c>
      <c r="E29" s="10" t="s">
        <v>35</v>
      </c>
      <c r="F29" s="16" t="str">
        <f>IFERROR(VLOOKUP(A29,Sheet3!$B$1:$E$313,3,FALSE),"")</f>
        <v/>
      </c>
    </row>
    <row r="30">
      <c r="A30" s="10" t="s">
        <v>301</v>
      </c>
      <c r="B30" s="10" t="s">
        <v>303</v>
      </c>
      <c r="C30" s="10" t="s">
        <v>304</v>
      </c>
      <c r="D30" s="11" t="s">
        <v>305</v>
      </c>
      <c r="E30" s="10" t="s">
        <v>35</v>
      </c>
      <c r="F30" s="16" t="str">
        <f>IFERROR(VLOOKUP(A30,Sheet3!$B$1:$E$313,3,FALSE),"")</f>
        <v>others</v>
      </c>
    </row>
    <row r="31">
      <c r="A31" s="10" t="s">
        <v>74</v>
      </c>
      <c r="B31" s="10" t="s">
        <v>75</v>
      </c>
      <c r="C31" s="10" t="s">
        <v>25</v>
      </c>
      <c r="D31" s="11" t="s">
        <v>317</v>
      </c>
      <c r="E31" s="10" t="s">
        <v>35</v>
      </c>
      <c r="F31" s="16" t="str">
        <f>IFERROR(VLOOKUP(A31,Sheet3!$B$1:$E$313,3,FALSE),"")</f>
        <v>bahan baku</v>
      </c>
    </row>
    <row r="32">
      <c r="A32" s="10" t="s">
        <v>76</v>
      </c>
      <c r="B32" s="10" t="s">
        <v>77</v>
      </c>
      <c r="C32" s="10" t="s">
        <v>78</v>
      </c>
      <c r="D32" s="11" t="s">
        <v>328</v>
      </c>
      <c r="E32" s="10" t="s">
        <v>35</v>
      </c>
      <c r="F32" s="16" t="str">
        <f>IFERROR(VLOOKUP(A32,Sheet3!$B$1:$E$313,3,FALSE),"")</f>
        <v>bahan baku</v>
      </c>
    </row>
    <row r="33">
      <c r="A33" s="10" t="s">
        <v>338</v>
      </c>
      <c r="B33" s="10" t="s">
        <v>80</v>
      </c>
      <c r="C33" s="10" t="s">
        <v>25</v>
      </c>
      <c r="D33" s="11" t="s">
        <v>341</v>
      </c>
      <c r="E33" s="10" t="s">
        <v>35</v>
      </c>
      <c r="F33" s="7" t="s">
        <v>19</v>
      </c>
    </row>
    <row r="34">
      <c r="A34" s="10" t="s">
        <v>81</v>
      </c>
      <c r="B34" s="10" t="s">
        <v>82</v>
      </c>
      <c r="C34" s="10" t="s">
        <v>20</v>
      </c>
      <c r="D34" s="11" t="s">
        <v>346</v>
      </c>
      <c r="E34" s="10" t="s">
        <v>35</v>
      </c>
      <c r="F34" s="16" t="str">
        <f>IFERROR(VLOOKUP(A34,Sheet3!$B$1:$E$313,3,FALSE),"")</f>
        <v>bahan baku</v>
      </c>
    </row>
    <row r="35">
      <c r="A35" s="10" t="s">
        <v>83</v>
      </c>
      <c r="B35" s="10" t="s">
        <v>84</v>
      </c>
      <c r="C35" s="10" t="s">
        <v>20</v>
      </c>
      <c r="D35" s="11" t="s">
        <v>357</v>
      </c>
      <c r="E35" s="10" t="s">
        <v>35</v>
      </c>
      <c r="F35" s="16" t="str">
        <f>IFERROR(VLOOKUP(A35,Sheet3!$B$1:$E$313,3,FALSE),"")</f>
        <v>bahan baku</v>
      </c>
    </row>
    <row r="36">
      <c r="A36" s="10" t="s">
        <v>86</v>
      </c>
      <c r="B36" s="10" t="s">
        <v>87</v>
      </c>
      <c r="C36" s="10" t="s">
        <v>20</v>
      </c>
      <c r="D36" s="11" t="s">
        <v>366</v>
      </c>
      <c r="E36" s="10" t="s">
        <v>35</v>
      </c>
      <c r="F36" s="16" t="str">
        <f>IFERROR(VLOOKUP(A36,Sheet3!$B$1:$E$313,3,FALSE),"")</f>
        <v>bahan baku</v>
      </c>
    </row>
    <row r="37">
      <c r="A37" s="10" t="s">
        <v>375</v>
      </c>
      <c r="B37" s="10" t="s">
        <v>89</v>
      </c>
      <c r="C37" s="10" t="s">
        <v>25</v>
      </c>
      <c r="D37" s="11" t="s">
        <v>376</v>
      </c>
      <c r="E37" s="10" t="s">
        <v>35</v>
      </c>
      <c r="F37" s="7" t="s">
        <v>19</v>
      </c>
    </row>
    <row r="38">
      <c r="A38" s="10" t="s">
        <v>379</v>
      </c>
      <c r="B38" s="10" t="s">
        <v>92</v>
      </c>
      <c r="C38" s="10" t="s">
        <v>25</v>
      </c>
      <c r="D38" s="11" t="s">
        <v>381</v>
      </c>
      <c r="E38" s="10" t="s">
        <v>35</v>
      </c>
      <c r="F38" s="7" t="s">
        <v>19</v>
      </c>
    </row>
    <row r="39">
      <c r="A39" s="10" t="s">
        <v>93</v>
      </c>
      <c r="B39" s="10" t="s">
        <v>94</v>
      </c>
      <c r="C39" s="10" t="s">
        <v>25</v>
      </c>
      <c r="D39" s="11" t="s">
        <v>397</v>
      </c>
      <c r="E39" s="10" t="s">
        <v>35</v>
      </c>
      <c r="F39" s="16" t="str">
        <f>IFERROR(VLOOKUP(A39,Sheet3!$B$1:$E$313,3,FALSE),"")</f>
        <v>bahan baku</v>
      </c>
    </row>
    <row r="40">
      <c r="A40" s="10" t="s">
        <v>432</v>
      </c>
      <c r="B40" s="10" t="s">
        <v>435</v>
      </c>
      <c r="C40" s="10" t="s">
        <v>436</v>
      </c>
      <c r="D40" s="11" t="s">
        <v>438</v>
      </c>
      <c r="E40" s="10" t="s">
        <v>35</v>
      </c>
      <c r="F40" s="16" t="str">
        <f>IFERROR(VLOOKUP(A40,Sheet3!$B$1:$E$313,3,FALSE),"")</f>
        <v>others</v>
      </c>
    </row>
    <row r="41">
      <c r="A41" s="10" t="s">
        <v>95</v>
      </c>
      <c r="B41" s="10" t="s">
        <v>96</v>
      </c>
      <c r="C41" s="10" t="s">
        <v>20</v>
      </c>
      <c r="D41" s="11">
        <v>0.0</v>
      </c>
      <c r="E41" s="10" t="s">
        <v>35</v>
      </c>
      <c r="F41" s="16" t="str">
        <f>IFERROR(VLOOKUP(A41,Sheet3!$B$1:$E$313,3,FALSE),"")</f>
        <v>bahan baku</v>
      </c>
    </row>
    <row r="42">
      <c r="A42" s="10" t="s">
        <v>98</v>
      </c>
      <c r="B42" s="10" t="s">
        <v>99</v>
      </c>
      <c r="C42" s="10" t="s">
        <v>20</v>
      </c>
      <c r="D42" s="11" t="s">
        <v>460</v>
      </c>
      <c r="E42" s="10" t="s">
        <v>35</v>
      </c>
      <c r="F42" s="16" t="str">
        <f>IFERROR(VLOOKUP(A42,Sheet3!$B$1:$E$313,3,FALSE),"")</f>
        <v>bahan baku</v>
      </c>
    </row>
    <row r="43">
      <c r="A43" s="10" t="s">
        <v>101</v>
      </c>
      <c r="B43" s="10" t="s">
        <v>102</v>
      </c>
      <c r="C43" s="10" t="s">
        <v>20</v>
      </c>
      <c r="D43" s="11" t="s">
        <v>475</v>
      </c>
      <c r="E43" s="10" t="s">
        <v>35</v>
      </c>
      <c r="F43" s="16" t="str">
        <f>IFERROR(VLOOKUP(A43,Sheet3!$B$1:$E$313,3,FALSE),"")</f>
        <v>bahan baku</v>
      </c>
    </row>
    <row r="44">
      <c r="A44" s="10" t="s">
        <v>483</v>
      </c>
      <c r="B44" s="10" t="s">
        <v>485</v>
      </c>
      <c r="C44" s="10" t="s">
        <v>20</v>
      </c>
      <c r="D44" s="11">
        <v>0.0</v>
      </c>
      <c r="E44" s="10" t="s">
        <v>35</v>
      </c>
      <c r="F44" s="7" t="s">
        <v>19</v>
      </c>
    </row>
    <row r="45">
      <c r="A45" s="10" t="s">
        <v>105</v>
      </c>
      <c r="B45" s="10" t="s">
        <v>106</v>
      </c>
      <c r="C45" s="10" t="s">
        <v>20</v>
      </c>
      <c r="D45" s="11">
        <v>0.0</v>
      </c>
      <c r="E45" s="10" t="s">
        <v>35</v>
      </c>
      <c r="F45" s="16" t="str">
        <f>IFERROR(VLOOKUP(A45,Sheet3!$B$1:$E$313,3,FALSE),"")</f>
        <v>bahan baku</v>
      </c>
    </row>
    <row r="46">
      <c r="A46" s="10" t="s">
        <v>108</v>
      </c>
      <c r="B46" s="10" t="s">
        <v>110</v>
      </c>
      <c r="C46" s="10" t="s">
        <v>20</v>
      </c>
      <c r="D46" s="11">
        <v>0.0</v>
      </c>
      <c r="E46" s="10" t="s">
        <v>35</v>
      </c>
      <c r="F46" s="16" t="str">
        <f>IFERROR(VLOOKUP(A46,Sheet3!$B$1:$E$313,3,FALSE),"")</f>
        <v>bahan baku</v>
      </c>
    </row>
    <row r="47">
      <c r="A47" s="10" t="s">
        <v>111</v>
      </c>
      <c r="B47" s="10" t="s">
        <v>112</v>
      </c>
      <c r="C47" s="10" t="s">
        <v>20</v>
      </c>
      <c r="D47" s="11" t="s">
        <v>509</v>
      </c>
      <c r="E47" s="10" t="s">
        <v>35</v>
      </c>
      <c r="F47" s="16" t="str">
        <f>IFERROR(VLOOKUP(A47,Sheet3!$B$1:$E$313,3,FALSE),"")</f>
        <v>bahan baku</v>
      </c>
    </row>
    <row r="48">
      <c r="A48" s="10" t="s">
        <v>113</v>
      </c>
      <c r="B48" s="10" t="s">
        <v>114</v>
      </c>
      <c r="C48" s="10" t="s">
        <v>78</v>
      </c>
      <c r="D48" s="11" t="s">
        <v>519</v>
      </c>
      <c r="E48" s="10" t="s">
        <v>35</v>
      </c>
      <c r="F48" s="16" t="str">
        <f>IFERROR(VLOOKUP(A48,Sheet3!$B$1:$E$313,3,FALSE),"")</f>
        <v>bahan baku</v>
      </c>
    </row>
    <row r="49">
      <c r="A49" s="10" t="s">
        <v>116</v>
      </c>
      <c r="B49" s="10" t="s">
        <v>117</v>
      </c>
      <c r="C49" s="10" t="s">
        <v>20</v>
      </c>
      <c r="D49" s="11">
        <v>0.0</v>
      </c>
      <c r="E49" s="10" t="s">
        <v>35</v>
      </c>
      <c r="F49" s="16" t="str">
        <f>IFERROR(VLOOKUP(A49,Sheet3!$B$1:$E$313,3,FALSE),"")</f>
        <v>bahan baku</v>
      </c>
    </row>
    <row r="50">
      <c r="A50" s="10" t="s">
        <v>536</v>
      </c>
      <c r="B50" s="10" t="s">
        <v>121</v>
      </c>
      <c r="C50" s="10" t="s">
        <v>20</v>
      </c>
      <c r="D50" s="11" t="s">
        <v>537</v>
      </c>
      <c r="E50" s="10" t="s">
        <v>35</v>
      </c>
      <c r="F50" s="16" t="str">
        <f>IFERROR(VLOOKUP(A50,Sheet3!$B$1:$E$313,3,FALSE),"")</f>
        <v>bahan baku</v>
      </c>
    </row>
    <row r="51">
      <c r="A51" s="10" t="s">
        <v>544</v>
      </c>
      <c r="B51" s="10" t="s">
        <v>545</v>
      </c>
      <c r="C51" s="10" t="s">
        <v>20</v>
      </c>
      <c r="D51" s="11" t="s">
        <v>548</v>
      </c>
      <c r="E51" s="10" t="s">
        <v>35</v>
      </c>
      <c r="F51" s="16" t="str">
        <f>IFERROR(VLOOKUP(A51,Sheet3!$B$1:$E$313,3,FALSE),"")</f>
        <v/>
      </c>
    </row>
    <row r="52">
      <c r="A52" s="10" t="s">
        <v>123</v>
      </c>
      <c r="B52" s="10" t="s">
        <v>124</v>
      </c>
      <c r="C52" s="10" t="s">
        <v>20</v>
      </c>
      <c r="D52" s="11">
        <v>52.0</v>
      </c>
      <c r="E52" s="10" t="s">
        <v>35</v>
      </c>
      <c r="F52" s="16" t="str">
        <f>IFERROR(VLOOKUP(A52,Sheet3!$B$1:$E$313,3,FALSE),"")</f>
        <v>bahan baku</v>
      </c>
    </row>
    <row r="53">
      <c r="A53" s="10" t="s">
        <v>127</v>
      </c>
      <c r="B53" s="10" t="s">
        <v>128</v>
      </c>
      <c r="C53" s="10" t="s">
        <v>20</v>
      </c>
      <c r="D53" s="11">
        <v>0.0</v>
      </c>
      <c r="E53" s="10" t="s">
        <v>35</v>
      </c>
      <c r="F53" s="16" t="str">
        <f>IFERROR(VLOOKUP(A53,Sheet3!$B$1:$E$313,3,FALSE),"")</f>
        <v>bahan baku</v>
      </c>
    </row>
    <row r="54">
      <c r="A54" s="10" t="s">
        <v>570</v>
      </c>
      <c r="B54" s="10" t="s">
        <v>571</v>
      </c>
      <c r="C54" s="10" t="s">
        <v>20</v>
      </c>
      <c r="D54" s="11" t="s">
        <v>572</v>
      </c>
      <c r="E54" s="10" t="s">
        <v>35</v>
      </c>
      <c r="F54" s="7" t="s">
        <v>19</v>
      </c>
    </row>
    <row r="55">
      <c r="A55" s="10" t="s">
        <v>575</v>
      </c>
      <c r="B55" s="10" t="s">
        <v>576</v>
      </c>
      <c r="C55" s="10" t="s">
        <v>78</v>
      </c>
      <c r="D55" s="11">
        <v>0.0</v>
      </c>
      <c r="E55" s="10" t="s">
        <v>35</v>
      </c>
      <c r="F55" s="7" t="s">
        <v>19</v>
      </c>
    </row>
    <row r="56">
      <c r="A56" s="10" t="s">
        <v>129</v>
      </c>
      <c r="B56" s="10" t="s">
        <v>130</v>
      </c>
      <c r="C56" s="10" t="s">
        <v>78</v>
      </c>
      <c r="D56" s="11" t="s">
        <v>580</v>
      </c>
      <c r="E56" s="10" t="s">
        <v>35</v>
      </c>
      <c r="F56" s="16" t="str">
        <f>IFERROR(VLOOKUP(A56,Sheet3!$B$1:$E$313,3,FALSE),"")</f>
        <v>bahan baku</v>
      </c>
    </row>
    <row r="57">
      <c r="A57" s="10" t="s">
        <v>132</v>
      </c>
      <c r="B57" s="10" t="s">
        <v>133</v>
      </c>
      <c r="C57" s="10" t="s">
        <v>20</v>
      </c>
      <c r="D57" s="11" t="s">
        <v>586</v>
      </c>
      <c r="E57" s="10" t="s">
        <v>35</v>
      </c>
      <c r="F57" s="16" t="str">
        <f>IFERROR(VLOOKUP(A57,Sheet3!$B$1:$E$313,3,FALSE),"")</f>
        <v>bahan baku</v>
      </c>
    </row>
    <row r="58">
      <c r="A58" s="10" t="s">
        <v>135</v>
      </c>
      <c r="B58" s="10" t="s">
        <v>136</v>
      </c>
      <c r="C58" s="10" t="s">
        <v>20</v>
      </c>
      <c r="D58" s="11" t="s">
        <v>594</v>
      </c>
      <c r="E58" s="10" t="s">
        <v>35</v>
      </c>
      <c r="F58" s="16" t="str">
        <f>IFERROR(VLOOKUP(A58,Sheet3!$B$1:$E$313,3,FALSE),"")</f>
        <v>bahan baku</v>
      </c>
    </row>
    <row r="59">
      <c r="A59" s="10" t="s">
        <v>598</v>
      </c>
      <c r="B59" s="10" t="s">
        <v>599</v>
      </c>
      <c r="C59" s="10" t="s">
        <v>20</v>
      </c>
      <c r="D59" s="11">
        <v>0.0</v>
      </c>
      <c r="E59" s="10" t="s">
        <v>35</v>
      </c>
      <c r="F59" s="7" t="s">
        <v>19</v>
      </c>
    </row>
    <row r="60">
      <c r="A60" s="10" t="s">
        <v>137</v>
      </c>
      <c r="B60" s="10" t="s">
        <v>138</v>
      </c>
      <c r="C60" s="10" t="s">
        <v>20</v>
      </c>
      <c r="D60" s="11" t="s">
        <v>603</v>
      </c>
      <c r="E60" s="10" t="s">
        <v>35</v>
      </c>
      <c r="F60" s="16" t="str">
        <f>IFERROR(VLOOKUP(A60,Sheet3!$B$1:$E$313,3,FALSE),"")</f>
        <v>bahan baku</v>
      </c>
    </row>
    <row r="61">
      <c r="A61" s="10" t="s">
        <v>139</v>
      </c>
      <c r="B61" s="10" t="s">
        <v>140</v>
      </c>
      <c r="C61" s="10" t="s">
        <v>20</v>
      </c>
      <c r="D61" s="11" t="s">
        <v>609</v>
      </c>
      <c r="E61" s="10" t="s">
        <v>35</v>
      </c>
      <c r="F61" s="16" t="str">
        <f>IFERROR(VLOOKUP(A61,Sheet3!$B$1:$E$313,3,FALSE),"")</f>
        <v>bahan baku</v>
      </c>
    </row>
    <row r="62">
      <c r="A62" s="10" t="s">
        <v>615</v>
      </c>
      <c r="B62" s="10" t="s">
        <v>144</v>
      </c>
      <c r="C62" s="10" t="s">
        <v>20</v>
      </c>
      <c r="D62" s="11" t="s">
        <v>617</v>
      </c>
      <c r="E62" s="10" t="s">
        <v>35</v>
      </c>
      <c r="F62" s="7" t="s">
        <v>19</v>
      </c>
    </row>
    <row r="63">
      <c r="A63" s="10" t="s">
        <v>146</v>
      </c>
      <c r="B63" s="10" t="s">
        <v>147</v>
      </c>
      <c r="C63" s="10" t="s">
        <v>20</v>
      </c>
      <c r="D63" s="11" t="s">
        <v>619</v>
      </c>
      <c r="E63" s="10" t="s">
        <v>35</v>
      </c>
      <c r="F63" s="16" t="str">
        <f>IFERROR(VLOOKUP(A63,Sheet3!$B$1:$E$313,3,FALSE),"")</f>
        <v>bahan baku</v>
      </c>
    </row>
    <row r="64">
      <c r="A64" s="10" t="s">
        <v>148</v>
      </c>
      <c r="B64" s="10" t="s">
        <v>149</v>
      </c>
      <c r="C64" s="10" t="s">
        <v>20</v>
      </c>
      <c r="D64" s="11" t="s">
        <v>622</v>
      </c>
      <c r="E64" s="10" t="s">
        <v>35</v>
      </c>
      <c r="F64" s="16" t="str">
        <f>IFERROR(VLOOKUP(A64,Sheet3!$B$1:$E$313,3,FALSE),"")</f>
        <v>bahan baku</v>
      </c>
    </row>
    <row r="65">
      <c r="A65" s="10" t="s">
        <v>627</v>
      </c>
      <c r="B65" s="10" t="s">
        <v>628</v>
      </c>
      <c r="C65" s="10" t="s">
        <v>25</v>
      </c>
      <c r="D65" s="11">
        <v>0.0</v>
      </c>
      <c r="E65" s="10" t="s">
        <v>35</v>
      </c>
      <c r="F65" s="7" t="s">
        <v>19</v>
      </c>
    </row>
    <row r="66">
      <c r="A66" s="10" t="s">
        <v>150</v>
      </c>
      <c r="B66" s="10" t="s">
        <v>151</v>
      </c>
      <c r="C66" s="10" t="s">
        <v>25</v>
      </c>
      <c r="D66" s="11" t="s">
        <v>631</v>
      </c>
      <c r="E66" s="10" t="s">
        <v>35</v>
      </c>
      <c r="F66" s="16" t="str">
        <f>IFERROR(VLOOKUP(A66,Sheet3!$B$1:$E$313,3,FALSE),"")</f>
        <v>bahan baku</v>
      </c>
    </row>
    <row r="67">
      <c r="A67" s="10" t="s">
        <v>637</v>
      </c>
      <c r="B67" s="10" t="s">
        <v>154</v>
      </c>
      <c r="C67" s="10" t="s">
        <v>20</v>
      </c>
      <c r="D67" s="11" t="s">
        <v>639</v>
      </c>
      <c r="E67" s="10" t="s">
        <v>35</v>
      </c>
      <c r="F67" s="7" t="s">
        <v>19</v>
      </c>
    </row>
    <row r="68">
      <c r="A68" s="10" t="s">
        <v>156</v>
      </c>
      <c r="B68" s="10" t="s">
        <v>157</v>
      </c>
      <c r="C68" s="10" t="s">
        <v>20</v>
      </c>
      <c r="D68" s="11" t="s">
        <v>642</v>
      </c>
      <c r="E68" s="10" t="s">
        <v>35</v>
      </c>
      <c r="F68" s="16" t="str">
        <f>IFERROR(VLOOKUP(A68,Sheet3!$B$1:$E$313,3,FALSE),"")</f>
        <v>bahan baku</v>
      </c>
    </row>
    <row r="69">
      <c r="A69" s="10" t="s">
        <v>158</v>
      </c>
      <c r="B69" s="10" t="s">
        <v>159</v>
      </c>
      <c r="C69" s="10" t="s">
        <v>647</v>
      </c>
      <c r="D69" s="11" t="s">
        <v>650</v>
      </c>
      <c r="E69" s="10" t="s">
        <v>35</v>
      </c>
      <c r="F69" s="16" t="str">
        <f>IFERROR(VLOOKUP(A69,Sheet3!$B$1:$E$313,3,FALSE),"")</f>
        <v>bahan baku</v>
      </c>
    </row>
    <row r="70">
      <c r="A70" s="10" t="s">
        <v>162</v>
      </c>
      <c r="B70" s="10" t="s">
        <v>164</v>
      </c>
      <c r="C70" s="10" t="s">
        <v>20</v>
      </c>
      <c r="D70" s="11" t="s">
        <v>656</v>
      </c>
      <c r="E70" s="10" t="s">
        <v>35</v>
      </c>
      <c r="F70" s="16" t="str">
        <f>IFERROR(VLOOKUP(A70,Sheet3!$B$1:$E$313,3,FALSE),"")</f>
        <v>bahan baku</v>
      </c>
    </row>
    <row r="71">
      <c r="A71" s="10" t="s">
        <v>165</v>
      </c>
      <c r="B71" s="10" t="s">
        <v>166</v>
      </c>
      <c r="C71" s="10" t="s">
        <v>20</v>
      </c>
      <c r="D71" s="11" t="s">
        <v>659</v>
      </c>
      <c r="E71" s="10" t="s">
        <v>35</v>
      </c>
      <c r="F71" s="16" t="str">
        <f>IFERROR(VLOOKUP(A71,Sheet3!$B$1:$E$313,3,FALSE),"")</f>
        <v>bahan baku</v>
      </c>
    </row>
    <row r="72">
      <c r="A72" s="10" t="s">
        <v>167</v>
      </c>
      <c r="B72" s="10" t="s">
        <v>168</v>
      </c>
      <c r="C72" s="10" t="s">
        <v>20</v>
      </c>
      <c r="D72" s="11" t="s">
        <v>662</v>
      </c>
      <c r="E72" s="10" t="s">
        <v>35</v>
      </c>
      <c r="F72" s="16" t="str">
        <f>IFERROR(VLOOKUP(A72,Sheet3!$B$1:$E$313,3,FALSE),"")</f>
        <v>bahan baku</v>
      </c>
    </row>
    <row r="73">
      <c r="A73" s="10" t="s">
        <v>172</v>
      </c>
      <c r="B73" s="10" t="s">
        <v>174</v>
      </c>
      <c r="C73" s="10" t="s">
        <v>78</v>
      </c>
      <c r="D73" s="11" t="s">
        <v>665</v>
      </c>
      <c r="E73" s="10" t="s">
        <v>35</v>
      </c>
      <c r="F73" s="16" t="str">
        <f>IFERROR(VLOOKUP(A73,Sheet3!$B$1:$E$313,3,FALSE),"")</f>
        <v>bahan baku</v>
      </c>
    </row>
    <row r="74">
      <c r="A74" s="10" t="s">
        <v>178</v>
      </c>
      <c r="B74" s="10" t="s">
        <v>179</v>
      </c>
      <c r="C74" s="10" t="s">
        <v>78</v>
      </c>
      <c r="D74" s="11" t="s">
        <v>671</v>
      </c>
      <c r="E74" s="10" t="s">
        <v>35</v>
      </c>
      <c r="F74" s="16" t="str">
        <f>IFERROR(VLOOKUP(A74,Sheet3!$B$1:$E$313,3,FALSE),"")</f>
        <v>bahan baku</v>
      </c>
    </row>
    <row r="75">
      <c r="A75" s="10" t="s">
        <v>182</v>
      </c>
      <c r="B75" s="10" t="s">
        <v>183</v>
      </c>
      <c r="C75" s="10" t="s">
        <v>78</v>
      </c>
      <c r="D75" s="11" t="s">
        <v>676</v>
      </c>
      <c r="E75" s="10" t="s">
        <v>35</v>
      </c>
      <c r="F75" s="16" t="str">
        <f>IFERROR(VLOOKUP(A75,Sheet3!$B$1:$E$313,3,FALSE),"")</f>
        <v>bahan baku</v>
      </c>
    </row>
    <row r="76">
      <c r="A76" s="10" t="s">
        <v>184</v>
      </c>
      <c r="B76" s="10" t="s">
        <v>185</v>
      </c>
      <c r="C76" s="10" t="s">
        <v>78</v>
      </c>
      <c r="D76" s="11" t="s">
        <v>682</v>
      </c>
      <c r="E76" s="10" t="s">
        <v>35</v>
      </c>
      <c r="F76" s="16" t="str">
        <f>IFERROR(VLOOKUP(A76,Sheet3!$B$1:$E$313,3,FALSE),"")</f>
        <v>bahan baku</v>
      </c>
    </row>
    <row r="77">
      <c r="A77" s="10" t="s">
        <v>686</v>
      </c>
      <c r="B77" s="10" t="s">
        <v>688</v>
      </c>
      <c r="C77" s="10" t="s">
        <v>78</v>
      </c>
      <c r="D77" s="11">
        <v>0.0</v>
      </c>
      <c r="E77" s="10" t="s">
        <v>35</v>
      </c>
      <c r="F77" s="7" t="s">
        <v>19</v>
      </c>
    </row>
    <row r="78">
      <c r="A78" s="10" t="s">
        <v>186</v>
      </c>
      <c r="B78" s="10" t="s">
        <v>187</v>
      </c>
      <c r="C78" s="10" t="s">
        <v>20</v>
      </c>
      <c r="D78" s="11" t="s">
        <v>690</v>
      </c>
      <c r="E78" s="10" t="s">
        <v>35</v>
      </c>
      <c r="F78" s="16" t="str">
        <f>IFERROR(VLOOKUP(A78,Sheet3!$B$1:$E$313,3,FALSE),"")</f>
        <v>bahan baku</v>
      </c>
    </row>
    <row r="79">
      <c r="A79" s="10" t="s">
        <v>189</v>
      </c>
      <c r="B79" s="10" t="s">
        <v>190</v>
      </c>
      <c r="C79" s="10" t="s">
        <v>20</v>
      </c>
      <c r="D79" s="11" t="s">
        <v>697</v>
      </c>
      <c r="E79" s="10" t="s">
        <v>35</v>
      </c>
      <c r="F79" s="16" t="str">
        <f>IFERROR(VLOOKUP(A79,Sheet3!$B$1:$E$313,3,FALSE),"")</f>
        <v>bahan baku</v>
      </c>
    </row>
    <row r="80">
      <c r="A80" s="10" t="s">
        <v>192</v>
      </c>
      <c r="B80" s="10" t="s">
        <v>193</v>
      </c>
      <c r="C80" s="10" t="s">
        <v>647</v>
      </c>
      <c r="D80" s="11">
        <v>0.0</v>
      </c>
      <c r="E80" s="10" t="s">
        <v>35</v>
      </c>
      <c r="F80" s="16" t="str">
        <f>IFERROR(VLOOKUP(A80,Sheet3!$B$1:$E$313,3,FALSE),"")</f>
        <v>bahan baku</v>
      </c>
    </row>
    <row r="81">
      <c r="A81" s="10" t="s">
        <v>195</v>
      </c>
      <c r="B81" s="10" t="s">
        <v>196</v>
      </c>
      <c r="C81" s="10" t="s">
        <v>20</v>
      </c>
      <c r="D81" s="11" t="s">
        <v>711</v>
      </c>
      <c r="E81" s="10" t="s">
        <v>35</v>
      </c>
      <c r="F81" s="16" t="str">
        <f>IFERROR(VLOOKUP(A81,Sheet3!$B$1:$E$313,3,FALSE),"")</f>
        <v>bahan baku</v>
      </c>
    </row>
    <row r="82">
      <c r="A82" s="10" t="s">
        <v>197</v>
      </c>
      <c r="B82" s="10" t="s">
        <v>198</v>
      </c>
      <c r="C82" s="10" t="s">
        <v>78</v>
      </c>
      <c r="D82" s="11" t="s">
        <v>719</v>
      </c>
      <c r="E82" s="10" t="s">
        <v>35</v>
      </c>
      <c r="F82" s="16" t="str">
        <f>IFERROR(VLOOKUP(A82,Sheet3!$B$1:$E$313,3,FALSE),"")</f>
        <v>bahan baku</v>
      </c>
    </row>
    <row r="83">
      <c r="A83" s="10" t="s">
        <v>199</v>
      </c>
      <c r="B83" s="10" t="s">
        <v>201</v>
      </c>
      <c r="C83" s="10" t="s">
        <v>25</v>
      </c>
      <c r="D83" s="11">
        <v>3.034</v>
      </c>
      <c r="E83" s="10" t="s">
        <v>35</v>
      </c>
      <c r="F83" s="16" t="str">
        <f>IFERROR(VLOOKUP(A83,Sheet3!$B$1:$E$313,3,FALSE),"")</f>
        <v>bahan baku</v>
      </c>
    </row>
    <row r="84">
      <c r="A84" s="10" t="s">
        <v>736</v>
      </c>
      <c r="B84" s="10" t="s">
        <v>737</v>
      </c>
      <c r="C84" s="10" t="s">
        <v>20</v>
      </c>
      <c r="D84" s="11">
        <v>0.0</v>
      </c>
      <c r="E84" s="10" t="s">
        <v>35</v>
      </c>
      <c r="F84" s="7" t="s">
        <v>19</v>
      </c>
    </row>
    <row r="85">
      <c r="A85" s="10" t="s">
        <v>740</v>
      </c>
      <c r="B85" s="10" t="s">
        <v>205</v>
      </c>
      <c r="C85" s="10" t="s">
        <v>20</v>
      </c>
      <c r="D85" s="11" t="s">
        <v>742</v>
      </c>
      <c r="E85" s="10" t="s">
        <v>35</v>
      </c>
      <c r="F85" s="7" t="s">
        <v>19</v>
      </c>
    </row>
    <row r="86">
      <c r="A86" s="10" t="s">
        <v>206</v>
      </c>
      <c r="B86" s="10" t="s">
        <v>207</v>
      </c>
      <c r="C86" s="10" t="s">
        <v>20</v>
      </c>
      <c r="D86" s="11" t="s">
        <v>746</v>
      </c>
      <c r="E86" s="10" t="s">
        <v>35</v>
      </c>
      <c r="F86" s="16" t="str">
        <f>IFERROR(VLOOKUP(A86,Sheet3!$B$1:$E$313,3,FALSE),"")</f>
        <v>bahan baku</v>
      </c>
    </row>
    <row r="87">
      <c r="A87" s="10" t="s">
        <v>208</v>
      </c>
      <c r="B87" s="10" t="s">
        <v>209</v>
      </c>
      <c r="C87" s="10" t="s">
        <v>25</v>
      </c>
      <c r="D87" s="11" t="s">
        <v>751</v>
      </c>
      <c r="E87" s="10" t="s">
        <v>35</v>
      </c>
      <c r="F87" s="16" t="str">
        <f>IFERROR(VLOOKUP(A87,Sheet3!$B$1:$E$313,3,FALSE),"")</f>
        <v>bahan baku</v>
      </c>
    </row>
    <row r="88">
      <c r="A88" s="10" t="s">
        <v>211</v>
      </c>
      <c r="B88" s="10" t="s">
        <v>213</v>
      </c>
      <c r="C88" s="10" t="s">
        <v>20</v>
      </c>
      <c r="D88" s="11" t="s">
        <v>755</v>
      </c>
      <c r="E88" s="10" t="s">
        <v>35</v>
      </c>
      <c r="F88" s="16" t="str">
        <f>IFERROR(VLOOKUP(A88,Sheet3!$B$1:$E$313,3,FALSE),"")</f>
        <v>bahan baku</v>
      </c>
    </row>
    <row r="89">
      <c r="A89" s="10" t="s">
        <v>726</v>
      </c>
      <c r="B89" s="10" t="s">
        <v>727</v>
      </c>
      <c r="C89" s="10" t="s">
        <v>25</v>
      </c>
      <c r="D89" s="11" t="s">
        <v>762</v>
      </c>
      <c r="E89" s="10" t="s">
        <v>35</v>
      </c>
      <c r="F89" s="16" t="str">
        <f>IFERROR(VLOOKUP(A89,Sheet3!$B$1:$E$313,3,FALSE),"")</f>
        <v>others</v>
      </c>
    </row>
    <row r="90">
      <c r="A90" s="10" t="s">
        <v>728</v>
      </c>
      <c r="B90" s="10" t="s">
        <v>729</v>
      </c>
      <c r="C90" s="10" t="s">
        <v>25</v>
      </c>
      <c r="D90" s="11" t="s">
        <v>769</v>
      </c>
      <c r="E90" s="10" t="s">
        <v>35</v>
      </c>
      <c r="F90" s="16" t="str">
        <f>IFERROR(VLOOKUP(A90,Sheet3!$B$1:$E$313,3,FALSE),"")</f>
        <v>others</v>
      </c>
    </row>
    <row r="91">
      <c r="A91" s="10" t="s">
        <v>214</v>
      </c>
      <c r="B91" s="10" t="s">
        <v>215</v>
      </c>
      <c r="C91" s="10" t="s">
        <v>20</v>
      </c>
      <c r="D91" s="11" t="s">
        <v>779</v>
      </c>
      <c r="E91" s="10" t="s">
        <v>35</v>
      </c>
      <c r="F91" s="16" t="str">
        <f>IFERROR(VLOOKUP(A91,Sheet3!$B$1:$E$313,3,FALSE),"")</f>
        <v>bahan baku</v>
      </c>
    </row>
    <row r="92">
      <c r="A92" s="10" t="s">
        <v>743</v>
      </c>
      <c r="B92" s="10" t="s">
        <v>744</v>
      </c>
      <c r="C92" s="10" t="s">
        <v>304</v>
      </c>
      <c r="D92" s="11" t="s">
        <v>786</v>
      </c>
      <c r="E92" s="10" t="s">
        <v>35</v>
      </c>
      <c r="F92" s="16" t="str">
        <f>IFERROR(VLOOKUP(A92,Sheet3!$B$1:$E$313,3,FALSE),"")</f>
        <v>others</v>
      </c>
    </row>
    <row r="93">
      <c r="A93" s="10" t="s">
        <v>216</v>
      </c>
      <c r="B93" s="10" t="s">
        <v>217</v>
      </c>
      <c r="C93" s="10" t="s">
        <v>78</v>
      </c>
      <c r="D93" s="11" t="s">
        <v>788</v>
      </c>
      <c r="E93" s="10" t="s">
        <v>35</v>
      </c>
      <c r="F93" s="16" t="str">
        <f>IFERROR(VLOOKUP(A93,Sheet3!$B$1:$E$313,3,FALSE),"")</f>
        <v>bahan baku</v>
      </c>
    </row>
    <row r="94">
      <c r="A94" s="10" t="s">
        <v>789</v>
      </c>
      <c r="B94" s="10" t="s">
        <v>790</v>
      </c>
      <c r="C94" s="10" t="s">
        <v>25</v>
      </c>
      <c r="D94" s="11">
        <v>0.0</v>
      </c>
      <c r="E94" s="10" t="s">
        <v>35</v>
      </c>
      <c r="F94" s="16" t="str">
        <f>IFERROR(VLOOKUP(A94,Sheet3!$B$1:$E$313,3,FALSE),"")</f>
        <v/>
      </c>
    </row>
    <row r="95">
      <c r="A95" s="10" t="s">
        <v>218</v>
      </c>
      <c r="B95" s="10" t="s">
        <v>220</v>
      </c>
      <c r="C95" s="10" t="s">
        <v>20</v>
      </c>
      <c r="D95" s="11" t="s">
        <v>791</v>
      </c>
      <c r="E95" s="10" t="s">
        <v>35</v>
      </c>
      <c r="F95" s="16" t="str">
        <f>IFERROR(VLOOKUP(A95,Sheet3!$B$1:$E$313,3,FALSE),"")</f>
        <v>bahan baku</v>
      </c>
    </row>
    <row r="96">
      <c r="A96" s="10" t="s">
        <v>792</v>
      </c>
      <c r="B96" s="10" t="s">
        <v>793</v>
      </c>
      <c r="C96" s="10" t="s">
        <v>25</v>
      </c>
      <c r="D96" s="11">
        <v>0.0</v>
      </c>
      <c r="E96" s="10" t="s">
        <v>35</v>
      </c>
      <c r="F96" s="16" t="str">
        <f>IFERROR(VLOOKUP(A96,Sheet3!$B$1:$E$313,3,FALSE),"")</f>
        <v/>
      </c>
    </row>
    <row r="97">
      <c r="A97" s="10" t="s">
        <v>794</v>
      </c>
      <c r="B97" s="10" t="s">
        <v>795</v>
      </c>
      <c r="C97" s="10" t="s">
        <v>655</v>
      </c>
      <c r="D97" s="11">
        <v>0.0</v>
      </c>
      <c r="E97" s="10" t="s">
        <v>35</v>
      </c>
      <c r="F97" s="16" t="str">
        <f>IFERROR(VLOOKUP(A97,Sheet3!$B$1:$E$313,3,FALSE),"")</f>
        <v/>
      </c>
    </row>
    <row r="98">
      <c r="A98" s="10" t="s">
        <v>221</v>
      </c>
      <c r="B98" s="10" t="s">
        <v>222</v>
      </c>
      <c r="C98" s="10" t="s">
        <v>20</v>
      </c>
      <c r="D98" s="11" t="s">
        <v>796</v>
      </c>
      <c r="E98" s="10" t="s">
        <v>35</v>
      </c>
      <c r="F98" s="16" t="str">
        <f>IFERROR(VLOOKUP(A98,Sheet3!$B$1:$E$313,3,FALSE),"")</f>
        <v>bahan baku</v>
      </c>
    </row>
    <row r="99">
      <c r="A99" s="10" t="s">
        <v>797</v>
      </c>
      <c r="B99" s="10" t="s">
        <v>798</v>
      </c>
      <c r="C99" s="10" t="s">
        <v>655</v>
      </c>
      <c r="D99" s="11">
        <v>0.0</v>
      </c>
      <c r="E99" s="10" t="s">
        <v>35</v>
      </c>
      <c r="F99" s="16" t="str">
        <f>IFERROR(VLOOKUP(A99,Sheet3!$B$1:$E$313,3,FALSE),"")</f>
        <v/>
      </c>
    </row>
    <row r="100">
      <c r="A100" s="10" t="s">
        <v>799</v>
      </c>
      <c r="B100" s="10" t="s">
        <v>800</v>
      </c>
      <c r="C100" s="10" t="s">
        <v>78</v>
      </c>
      <c r="D100" s="11">
        <v>0.0</v>
      </c>
      <c r="E100" s="10" t="s">
        <v>35</v>
      </c>
      <c r="F100" s="16" t="str">
        <f>IFERROR(VLOOKUP(A100,Sheet3!$B$1:$E$313,3,FALSE),"")</f>
        <v/>
      </c>
    </row>
    <row r="101">
      <c r="A101" s="10" t="s">
        <v>223</v>
      </c>
      <c r="B101" s="10" t="s">
        <v>224</v>
      </c>
      <c r="C101" s="10" t="s">
        <v>20</v>
      </c>
      <c r="D101" s="11" t="s">
        <v>801</v>
      </c>
      <c r="E101" s="10" t="s">
        <v>35</v>
      </c>
      <c r="F101" s="16" t="str">
        <f>IFERROR(VLOOKUP(A101,Sheet3!$B$1:$E$313,3,FALSE),"")</f>
        <v>bahan baku</v>
      </c>
    </row>
    <row r="102">
      <c r="A102" s="10" t="s">
        <v>227</v>
      </c>
      <c r="B102" s="10" t="s">
        <v>228</v>
      </c>
      <c r="C102" s="10" t="s">
        <v>20</v>
      </c>
      <c r="D102" s="11" t="s">
        <v>802</v>
      </c>
      <c r="E102" s="10" t="s">
        <v>35</v>
      </c>
      <c r="F102" s="16" t="str">
        <f>IFERROR(VLOOKUP(A102,Sheet3!$B$1:$E$313,3,FALSE),"")</f>
        <v>bahan baku</v>
      </c>
    </row>
    <row r="103">
      <c r="A103" s="10" t="s">
        <v>229</v>
      </c>
      <c r="B103" s="10" t="s">
        <v>230</v>
      </c>
      <c r="C103" s="10" t="s">
        <v>20</v>
      </c>
      <c r="D103" s="11" t="s">
        <v>803</v>
      </c>
      <c r="E103" s="10" t="s">
        <v>35</v>
      </c>
      <c r="F103" s="16" t="str">
        <f>IFERROR(VLOOKUP(A103,Sheet3!$B$1:$E$313,3,FALSE),"")</f>
        <v>bahan baku</v>
      </c>
    </row>
    <row r="104">
      <c r="A104" s="10" t="s">
        <v>231</v>
      </c>
      <c r="B104" s="10" t="s">
        <v>232</v>
      </c>
      <c r="C104" s="10" t="s">
        <v>20</v>
      </c>
      <c r="D104" s="11" t="s">
        <v>804</v>
      </c>
      <c r="E104" s="10" t="s">
        <v>35</v>
      </c>
      <c r="F104" s="16" t="str">
        <f>IFERROR(VLOOKUP(A104,Sheet3!$B$1:$E$313,3,FALSE),"")</f>
        <v>bahan baku</v>
      </c>
    </row>
    <row r="105">
      <c r="A105" s="10" t="s">
        <v>235</v>
      </c>
      <c r="B105" s="10" t="s">
        <v>236</v>
      </c>
      <c r="C105" s="10" t="s">
        <v>20</v>
      </c>
      <c r="D105" s="11" t="s">
        <v>806</v>
      </c>
      <c r="E105" s="10" t="s">
        <v>35</v>
      </c>
      <c r="F105" s="16" t="str">
        <f>IFERROR(VLOOKUP(A105,Sheet3!$B$1:$E$313,3,FALSE),"")</f>
        <v>bahan baku</v>
      </c>
    </row>
    <row r="106">
      <c r="A106" s="10" t="s">
        <v>238</v>
      </c>
      <c r="B106" s="10" t="s">
        <v>239</v>
      </c>
      <c r="C106" s="10" t="s">
        <v>20</v>
      </c>
      <c r="D106" s="11" t="s">
        <v>807</v>
      </c>
      <c r="E106" s="10" t="s">
        <v>35</v>
      </c>
      <c r="F106" s="16" t="str">
        <f>IFERROR(VLOOKUP(A106,Sheet3!$B$1:$E$313,3,FALSE),"")</f>
        <v>bahan baku</v>
      </c>
    </row>
    <row r="107">
      <c r="A107" s="10" t="s">
        <v>240</v>
      </c>
      <c r="B107" s="10" t="s">
        <v>241</v>
      </c>
      <c r="C107" s="10" t="s">
        <v>20</v>
      </c>
      <c r="D107" s="11" t="s">
        <v>808</v>
      </c>
      <c r="E107" s="10" t="s">
        <v>35</v>
      </c>
      <c r="F107" s="16" t="str">
        <f>IFERROR(VLOOKUP(A107,Sheet3!$B$1:$E$313,3,FALSE),"")</f>
        <v>bahan baku</v>
      </c>
    </row>
    <row r="108">
      <c r="A108" s="10" t="s">
        <v>242</v>
      </c>
      <c r="B108" s="10" t="s">
        <v>243</v>
      </c>
      <c r="C108" s="10" t="s">
        <v>20</v>
      </c>
      <c r="D108" s="11" t="s">
        <v>809</v>
      </c>
      <c r="E108" s="10" t="s">
        <v>35</v>
      </c>
      <c r="F108" s="16" t="str">
        <f>IFERROR(VLOOKUP(A108,Sheet3!$B$1:$E$313,3,FALSE),"")</f>
        <v>bahan baku</v>
      </c>
    </row>
    <row r="109">
      <c r="A109" s="10" t="s">
        <v>245</v>
      </c>
      <c r="B109" s="10" t="s">
        <v>246</v>
      </c>
      <c r="C109" s="10" t="s">
        <v>20</v>
      </c>
      <c r="D109" s="11">
        <v>45.0</v>
      </c>
      <c r="E109" s="10" t="s">
        <v>35</v>
      </c>
      <c r="F109" s="16" t="str">
        <f>IFERROR(VLOOKUP(A109,Sheet3!$B$1:$E$313,3,FALSE),"")</f>
        <v>bahan baku</v>
      </c>
    </row>
    <row r="110">
      <c r="A110" s="10" t="s">
        <v>252</v>
      </c>
      <c r="B110" s="10" t="s">
        <v>253</v>
      </c>
      <c r="C110" s="10" t="s">
        <v>20</v>
      </c>
      <c r="D110" s="11" t="s">
        <v>810</v>
      </c>
      <c r="E110" s="10" t="s">
        <v>35</v>
      </c>
      <c r="F110" s="16" t="str">
        <f>IFERROR(VLOOKUP(A110,Sheet3!$B$1:$E$313,3,FALSE),"")</f>
        <v>bahan baku</v>
      </c>
    </row>
    <row r="111">
      <c r="A111" s="10" t="s">
        <v>254</v>
      </c>
      <c r="B111" s="10" t="s">
        <v>255</v>
      </c>
      <c r="C111" s="10" t="s">
        <v>20</v>
      </c>
      <c r="D111" s="11" t="s">
        <v>811</v>
      </c>
      <c r="E111" s="10" t="s">
        <v>35</v>
      </c>
      <c r="F111" s="16" t="str">
        <f>IFERROR(VLOOKUP(A111,Sheet3!$B$1:$E$313,3,FALSE),"")</f>
        <v>bahan baku</v>
      </c>
    </row>
    <row r="112">
      <c r="A112" s="10" t="s">
        <v>256</v>
      </c>
      <c r="B112" s="10" t="s">
        <v>257</v>
      </c>
      <c r="C112" s="10" t="s">
        <v>20</v>
      </c>
      <c r="D112" s="11" t="s">
        <v>812</v>
      </c>
      <c r="E112" s="10" t="s">
        <v>35</v>
      </c>
      <c r="F112" s="16" t="str">
        <f>IFERROR(VLOOKUP(A112,Sheet3!$B$1:$E$313,3,FALSE),"")</f>
        <v>bahan baku</v>
      </c>
    </row>
    <row r="113">
      <c r="A113" s="10" t="s">
        <v>258</v>
      </c>
      <c r="B113" s="10" t="s">
        <v>260</v>
      </c>
      <c r="C113" s="10" t="s">
        <v>20</v>
      </c>
      <c r="D113" s="11" t="s">
        <v>813</v>
      </c>
      <c r="E113" s="10" t="s">
        <v>35</v>
      </c>
      <c r="F113" s="16" t="str">
        <f>IFERROR(VLOOKUP(A113,Sheet3!$B$1:$E$313,3,FALSE),"")</f>
        <v>bahan baku</v>
      </c>
    </row>
    <row r="114">
      <c r="A114" s="10" t="s">
        <v>261</v>
      </c>
      <c r="B114" s="10" t="s">
        <v>262</v>
      </c>
      <c r="C114" s="10" t="s">
        <v>20</v>
      </c>
      <c r="D114" s="11" t="s">
        <v>814</v>
      </c>
      <c r="E114" s="10" t="s">
        <v>35</v>
      </c>
      <c r="F114" s="16" t="str">
        <f>IFERROR(VLOOKUP(A114,Sheet3!$B$1:$E$313,3,FALSE),"")</f>
        <v>bahan baku</v>
      </c>
    </row>
    <row r="115">
      <c r="A115" s="10" t="s">
        <v>263</v>
      </c>
      <c r="B115" s="10" t="s">
        <v>264</v>
      </c>
      <c r="C115" s="10" t="s">
        <v>20</v>
      </c>
      <c r="D115" s="11" t="s">
        <v>815</v>
      </c>
      <c r="E115" s="10" t="s">
        <v>35</v>
      </c>
      <c r="F115" s="16" t="str">
        <f>IFERROR(VLOOKUP(A115,Sheet3!$B$1:$E$313,3,FALSE),"")</f>
        <v>bahan baku</v>
      </c>
    </row>
    <row r="116">
      <c r="A116" s="10" t="s">
        <v>265</v>
      </c>
      <c r="B116" s="10" t="s">
        <v>266</v>
      </c>
      <c r="C116" s="10" t="s">
        <v>25</v>
      </c>
      <c r="D116" s="11" t="s">
        <v>816</v>
      </c>
      <c r="E116" s="10" t="s">
        <v>35</v>
      </c>
      <c r="F116" s="16" t="str">
        <f>IFERROR(VLOOKUP(A116,Sheet3!$B$1:$E$313,3,FALSE),"")</f>
        <v>bahan baku</v>
      </c>
    </row>
    <row r="117">
      <c r="A117" s="10" t="s">
        <v>267</v>
      </c>
      <c r="B117" s="10" t="s">
        <v>268</v>
      </c>
      <c r="C117" s="10" t="s">
        <v>20</v>
      </c>
      <c r="D117" s="11">
        <v>15.0</v>
      </c>
      <c r="E117" s="10" t="s">
        <v>35</v>
      </c>
      <c r="F117" s="16" t="str">
        <f>IFERROR(VLOOKUP(A117,Sheet3!$B$1:$E$313,3,FALSE),"")</f>
        <v>bahan baku</v>
      </c>
    </row>
    <row r="118">
      <c r="A118" s="10" t="s">
        <v>269</v>
      </c>
      <c r="B118" s="10" t="s">
        <v>270</v>
      </c>
      <c r="C118" s="10" t="s">
        <v>20</v>
      </c>
      <c r="D118" s="11">
        <v>45.0</v>
      </c>
      <c r="E118" s="10" t="s">
        <v>35</v>
      </c>
      <c r="F118" s="16" t="str">
        <f>IFERROR(VLOOKUP(A118,Sheet3!$B$1:$E$313,3,FALSE),"")</f>
        <v>bahan baku</v>
      </c>
    </row>
    <row r="119">
      <c r="A119" s="10" t="s">
        <v>271</v>
      </c>
      <c r="B119" s="10" t="s">
        <v>272</v>
      </c>
      <c r="C119" s="10" t="s">
        <v>20</v>
      </c>
      <c r="D119" s="11" t="s">
        <v>819</v>
      </c>
      <c r="E119" s="10" t="s">
        <v>35</v>
      </c>
      <c r="F119" s="16" t="str">
        <f>IFERROR(VLOOKUP(A119,Sheet3!$B$1:$E$313,3,FALSE),"")</f>
        <v>bahan baku</v>
      </c>
    </row>
    <row r="120">
      <c r="A120" s="10" t="s">
        <v>273</v>
      </c>
      <c r="B120" s="10" t="s">
        <v>274</v>
      </c>
      <c r="C120" s="10" t="s">
        <v>20</v>
      </c>
      <c r="D120" s="11" t="s">
        <v>820</v>
      </c>
      <c r="E120" s="10" t="s">
        <v>35</v>
      </c>
      <c r="F120" s="16" t="str">
        <f>IFERROR(VLOOKUP(A120,Sheet3!$B$1:$E$313,3,FALSE),"")</f>
        <v>bahan baku</v>
      </c>
    </row>
    <row r="121">
      <c r="A121" s="10" t="s">
        <v>275</v>
      </c>
      <c r="B121" s="10" t="s">
        <v>276</v>
      </c>
      <c r="C121" s="10" t="s">
        <v>78</v>
      </c>
      <c r="D121" s="11">
        <v>0.0</v>
      </c>
      <c r="E121" s="10" t="s">
        <v>35</v>
      </c>
      <c r="F121" s="16" t="str">
        <f>IFERROR(VLOOKUP(A121,Sheet3!$B$1:$E$313,3,FALSE),"")</f>
        <v>bahan baku</v>
      </c>
    </row>
    <row r="122">
      <c r="A122" s="10" t="s">
        <v>821</v>
      </c>
      <c r="B122" s="10" t="s">
        <v>295</v>
      </c>
      <c r="C122" s="10" t="s">
        <v>25</v>
      </c>
      <c r="D122" s="11" t="s">
        <v>822</v>
      </c>
      <c r="E122" s="10" t="s">
        <v>35</v>
      </c>
      <c r="F122" s="16" t="str">
        <f>IFERROR(VLOOKUP(A122,Sheet3!$B$1:$E$313,3,FALSE),"")</f>
        <v/>
      </c>
    </row>
    <row r="123">
      <c r="A123" s="10" t="s">
        <v>296</v>
      </c>
      <c r="B123" s="10" t="s">
        <v>297</v>
      </c>
      <c r="C123" s="10" t="s">
        <v>20</v>
      </c>
      <c r="D123" s="11" t="s">
        <v>824</v>
      </c>
      <c r="E123" s="10" t="s">
        <v>35</v>
      </c>
      <c r="F123" s="16" t="str">
        <f>IFERROR(VLOOKUP(A123,Sheet3!$B$1:$E$313,3,FALSE),"")</f>
        <v>bahan baku</v>
      </c>
    </row>
    <row r="124">
      <c r="A124" s="10" t="s">
        <v>298</v>
      </c>
      <c r="B124" s="10" t="s">
        <v>299</v>
      </c>
      <c r="C124" s="10" t="s">
        <v>20</v>
      </c>
      <c r="D124" s="11">
        <v>40.0</v>
      </c>
      <c r="E124" s="10" t="s">
        <v>35</v>
      </c>
      <c r="F124" s="16" t="str">
        <f>IFERROR(VLOOKUP(A124,Sheet3!$B$1:$E$313,3,FALSE),"")</f>
        <v>bahan baku</v>
      </c>
    </row>
    <row r="125">
      <c r="A125" s="10" t="s">
        <v>300</v>
      </c>
      <c r="B125" s="10" t="s">
        <v>302</v>
      </c>
      <c r="C125" s="10" t="s">
        <v>20</v>
      </c>
      <c r="D125" s="11" t="s">
        <v>825</v>
      </c>
      <c r="E125" s="10" t="s">
        <v>35</v>
      </c>
      <c r="F125" s="16" t="str">
        <f>IFERROR(VLOOKUP(A125,Sheet3!$B$1:$E$313,3,FALSE),"")</f>
        <v>bahan baku</v>
      </c>
    </row>
    <row r="126">
      <c r="A126" s="10" t="s">
        <v>826</v>
      </c>
      <c r="B126" s="10" t="s">
        <v>307</v>
      </c>
      <c r="C126" s="10" t="s">
        <v>25</v>
      </c>
      <c r="D126" s="11" t="s">
        <v>827</v>
      </c>
      <c r="E126" s="10" t="s">
        <v>35</v>
      </c>
      <c r="F126" s="16" t="str">
        <f>IFERROR(VLOOKUP(A126,Sheet3!$B$1:$E$313,3,FALSE),"")</f>
        <v/>
      </c>
    </row>
    <row r="127">
      <c r="A127" s="10" t="s">
        <v>308</v>
      </c>
      <c r="B127" s="10" t="s">
        <v>309</v>
      </c>
      <c r="C127" s="10" t="s">
        <v>20</v>
      </c>
      <c r="D127" s="11" t="s">
        <v>828</v>
      </c>
      <c r="E127" s="10" t="s">
        <v>35</v>
      </c>
      <c r="F127" s="16" t="str">
        <f>IFERROR(VLOOKUP(A127,Sheet3!$B$1:$E$313,3,FALSE),"")</f>
        <v>bahan baku</v>
      </c>
    </row>
    <row r="128">
      <c r="A128" s="10" t="s">
        <v>310</v>
      </c>
      <c r="B128" s="10" t="s">
        <v>311</v>
      </c>
      <c r="C128" s="10" t="s">
        <v>20</v>
      </c>
      <c r="D128" s="11" t="s">
        <v>828</v>
      </c>
      <c r="E128" s="10" t="s">
        <v>35</v>
      </c>
      <c r="F128" s="16" t="str">
        <f>IFERROR(VLOOKUP(A128,Sheet3!$B$1:$E$313,3,FALSE),"")</f>
        <v>bahan baku</v>
      </c>
    </row>
    <row r="129">
      <c r="A129" s="10" t="s">
        <v>829</v>
      </c>
      <c r="B129" s="10" t="s">
        <v>831</v>
      </c>
      <c r="C129" s="10" t="s">
        <v>20</v>
      </c>
      <c r="D129" s="11" t="s">
        <v>833</v>
      </c>
      <c r="E129" s="10" t="s">
        <v>35</v>
      </c>
      <c r="F129" s="7" t="s">
        <v>19</v>
      </c>
    </row>
    <row r="130">
      <c r="A130" s="10" t="s">
        <v>834</v>
      </c>
      <c r="B130" s="10" t="s">
        <v>835</v>
      </c>
      <c r="C130" s="10" t="s">
        <v>20</v>
      </c>
      <c r="D130" s="11">
        <v>0.0</v>
      </c>
      <c r="E130" s="10" t="s">
        <v>35</v>
      </c>
      <c r="F130" s="16" t="str">
        <f>IFERROR(VLOOKUP(A130,Sheet3!$B$1:$E$313,3,FALSE),"")</f>
        <v/>
      </c>
    </row>
    <row r="131">
      <c r="A131" s="10" t="s">
        <v>836</v>
      </c>
      <c r="B131" s="10" t="s">
        <v>838</v>
      </c>
      <c r="C131" s="10" t="s">
        <v>25</v>
      </c>
      <c r="D131" s="11" t="s">
        <v>839</v>
      </c>
      <c r="E131" s="10" t="s">
        <v>35</v>
      </c>
      <c r="F131" s="7" t="s">
        <v>19</v>
      </c>
    </row>
    <row r="132">
      <c r="A132" s="10" t="s">
        <v>840</v>
      </c>
      <c r="B132" s="10" t="s">
        <v>841</v>
      </c>
      <c r="C132" s="10" t="s">
        <v>20</v>
      </c>
      <c r="D132" s="11" t="s">
        <v>842</v>
      </c>
      <c r="E132" s="10" t="s">
        <v>35</v>
      </c>
      <c r="F132" s="7" t="s">
        <v>19</v>
      </c>
    </row>
    <row r="133">
      <c r="A133" s="10" t="s">
        <v>843</v>
      </c>
      <c r="B133" s="10" t="s">
        <v>844</v>
      </c>
      <c r="C133" s="10" t="s">
        <v>78</v>
      </c>
      <c r="D133" s="11" t="s">
        <v>845</v>
      </c>
      <c r="E133" s="10" t="s">
        <v>35</v>
      </c>
      <c r="F133" s="7" t="s">
        <v>19</v>
      </c>
    </row>
    <row r="134">
      <c r="A134" s="10" t="s">
        <v>846</v>
      </c>
      <c r="B134" s="10" t="s">
        <v>847</v>
      </c>
      <c r="C134" s="10" t="s">
        <v>78</v>
      </c>
      <c r="D134" s="11">
        <v>55.0</v>
      </c>
      <c r="E134" s="10" t="s">
        <v>35</v>
      </c>
      <c r="F134" s="7" t="s">
        <v>19</v>
      </c>
    </row>
    <row r="135">
      <c r="A135" s="10" t="s">
        <v>848</v>
      </c>
      <c r="B135" s="10" t="s">
        <v>849</v>
      </c>
      <c r="C135" s="10" t="s">
        <v>20</v>
      </c>
      <c r="D135" s="11" t="s">
        <v>850</v>
      </c>
      <c r="E135" s="10" t="s">
        <v>35</v>
      </c>
      <c r="F135" s="7" t="s">
        <v>19</v>
      </c>
    </row>
    <row r="136">
      <c r="A136" s="10" t="s">
        <v>851</v>
      </c>
      <c r="B136" s="10" t="s">
        <v>852</v>
      </c>
      <c r="C136" s="10" t="s">
        <v>25</v>
      </c>
      <c r="D136" s="11" t="s">
        <v>853</v>
      </c>
      <c r="E136" s="10" t="s">
        <v>35</v>
      </c>
      <c r="F136" s="7" t="s">
        <v>19</v>
      </c>
    </row>
    <row r="137">
      <c r="A137" s="10" t="s">
        <v>854</v>
      </c>
      <c r="B137" s="10" t="s">
        <v>855</v>
      </c>
      <c r="C137" s="10" t="s">
        <v>78</v>
      </c>
      <c r="D137" s="11" t="s">
        <v>856</v>
      </c>
      <c r="E137" s="10" t="s">
        <v>35</v>
      </c>
      <c r="F137" s="7" t="s">
        <v>19</v>
      </c>
    </row>
    <row r="138">
      <c r="A138" s="10" t="s">
        <v>858</v>
      </c>
      <c r="B138" s="10" t="s">
        <v>859</v>
      </c>
      <c r="C138" s="10" t="s">
        <v>20</v>
      </c>
      <c r="D138" s="11" t="s">
        <v>860</v>
      </c>
      <c r="E138" s="10" t="s">
        <v>35</v>
      </c>
      <c r="F138" s="7" t="s">
        <v>19</v>
      </c>
    </row>
    <row r="139">
      <c r="A139" s="10" t="s">
        <v>861</v>
      </c>
      <c r="B139" s="10" t="s">
        <v>862</v>
      </c>
      <c r="C139" s="10" t="s">
        <v>863</v>
      </c>
      <c r="D139" s="11" t="s">
        <v>864</v>
      </c>
      <c r="E139" s="10" t="s">
        <v>35</v>
      </c>
      <c r="F139" s="7" t="s">
        <v>19</v>
      </c>
    </row>
    <row r="140">
      <c r="A140" s="10" t="s">
        <v>865</v>
      </c>
      <c r="B140" s="10" t="s">
        <v>866</v>
      </c>
      <c r="C140" s="10" t="s">
        <v>20</v>
      </c>
      <c r="D140" s="11">
        <v>0.0</v>
      </c>
      <c r="E140" s="10" t="s">
        <v>35</v>
      </c>
      <c r="F140" s="7" t="s">
        <v>19</v>
      </c>
    </row>
    <row r="141">
      <c r="A141" s="10" t="s">
        <v>867</v>
      </c>
      <c r="B141" s="10" t="s">
        <v>868</v>
      </c>
      <c r="C141" s="10" t="s">
        <v>20</v>
      </c>
      <c r="D141" s="11" t="s">
        <v>869</v>
      </c>
      <c r="E141" s="10" t="s">
        <v>35</v>
      </c>
      <c r="F141" s="7" t="s">
        <v>19</v>
      </c>
    </row>
    <row r="142">
      <c r="A142" s="10" t="s">
        <v>870</v>
      </c>
      <c r="B142" s="10" t="s">
        <v>871</v>
      </c>
      <c r="C142" s="10" t="s">
        <v>20</v>
      </c>
      <c r="D142" s="11" t="s">
        <v>872</v>
      </c>
      <c r="E142" s="10" t="s">
        <v>35</v>
      </c>
      <c r="F142" s="7" t="s">
        <v>19</v>
      </c>
    </row>
    <row r="143">
      <c r="A143" s="10" t="s">
        <v>873</v>
      </c>
      <c r="B143" s="10" t="s">
        <v>874</v>
      </c>
      <c r="C143" s="10" t="s">
        <v>20</v>
      </c>
      <c r="D143" s="11" t="s">
        <v>875</v>
      </c>
      <c r="E143" s="10" t="s">
        <v>35</v>
      </c>
      <c r="F143" s="7" t="s">
        <v>19</v>
      </c>
    </row>
    <row r="144">
      <c r="A144" s="10" t="s">
        <v>877</v>
      </c>
      <c r="B144" s="10" t="s">
        <v>878</v>
      </c>
      <c r="C144" s="10" t="s">
        <v>20</v>
      </c>
      <c r="D144" s="11" t="s">
        <v>879</v>
      </c>
      <c r="E144" s="10" t="s">
        <v>35</v>
      </c>
      <c r="F144" s="7" t="s">
        <v>19</v>
      </c>
    </row>
    <row r="145">
      <c r="A145" s="10" t="s">
        <v>880</v>
      </c>
      <c r="B145" s="10" t="s">
        <v>881</v>
      </c>
      <c r="C145" s="10" t="s">
        <v>20</v>
      </c>
      <c r="D145" s="11" t="s">
        <v>882</v>
      </c>
      <c r="E145" s="10" t="s">
        <v>35</v>
      </c>
      <c r="F145" s="7" t="s">
        <v>19</v>
      </c>
    </row>
    <row r="146">
      <c r="A146" s="10" t="s">
        <v>883</v>
      </c>
      <c r="B146" s="10" t="s">
        <v>884</v>
      </c>
      <c r="C146" s="10" t="s">
        <v>20</v>
      </c>
      <c r="D146" s="11" t="s">
        <v>885</v>
      </c>
      <c r="E146" s="10" t="s">
        <v>35</v>
      </c>
      <c r="F146" s="7" t="s">
        <v>19</v>
      </c>
    </row>
    <row r="147">
      <c r="A147" s="10" t="s">
        <v>886</v>
      </c>
      <c r="B147" s="10" t="s">
        <v>887</v>
      </c>
      <c r="C147" s="10" t="s">
        <v>20</v>
      </c>
      <c r="D147" s="11" t="s">
        <v>888</v>
      </c>
      <c r="E147" s="10" t="s">
        <v>35</v>
      </c>
      <c r="F147" s="7" t="s">
        <v>19</v>
      </c>
    </row>
    <row r="148">
      <c r="A148" s="10" t="s">
        <v>889</v>
      </c>
      <c r="B148" s="10" t="s">
        <v>890</v>
      </c>
      <c r="C148" s="10" t="s">
        <v>20</v>
      </c>
      <c r="D148" s="11" t="s">
        <v>891</v>
      </c>
      <c r="E148" s="10" t="s">
        <v>35</v>
      </c>
      <c r="F148" s="7" t="s">
        <v>19</v>
      </c>
    </row>
    <row r="149">
      <c r="A149" s="10" t="s">
        <v>892</v>
      </c>
      <c r="B149" s="10" t="s">
        <v>893</v>
      </c>
      <c r="C149" s="10" t="s">
        <v>20</v>
      </c>
      <c r="D149" s="11">
        <v>50.0</v>
      </c>
      <c r="E149" s="10" t="s">
        <v>35</v>
      </c>
      <c r="F149" s="7" t="s">
        <v>19</v>
      </c>
    </row>
    <row r="150">
      <c r="A150" s="10" t="s">
        <v>894</v>
      </c>
      <c r="B150" s="10" t="s">
        <v>895</v>
      </c>
      <c r="C150" s="10" t="s">
        <v>20</v>
      </c>
      <c r="D150" s="11">
        <v>0.0</v>
      </c>
      <c r="E150" s="10" t="s">
        <v>35</v>
      </c>
      <c r="F150" s="7" t="s">
        <v>19</v>
      </c>
    </row>
    <row r="151">
      <c r="A151" s="10" t="s">
        <v>896</v>
      </c>
      <c r="B151" s="10" t="s">
        <v>897</v>
      </c>
      <c r="C151" s="10" t="s">
        <v>20</v>
      </c>
      <c r="D151" s="11" t="s">
        <v>898</v>
      </c>
      <c r="E151" s="10" t="s">
        <v>35</v>
      </c>
      <c r="F151" s="7" t="s">
        <v>19</v>
      </c>
    </row>
    <row r="152">
      <c r="A152" s="10" t="s">
        <v>899</v>
      </c>
      <c r="B152" s="10" t="s">
        <v>900</v>
      </c>
      <c r="C152" s="10" t="s">
        <v>20</v>
      </c>
      <c r="D152" s="11">
        <v>165.0</v>
      </c>
      <c r="E152" s="10" t="s">
        <v>35</v>
      </c>
      <c r="F152" s="7" t="s">
        <v>19</v>
      </c>
    </row>
    <row r="153">
      <c r="A153" s="10" t="s">
        <v>901</v>
      </c>
      <c r="B153" s="10" t="s">
        <v>902</v>
      </c>
      <c r="C153" s="10" t="s">
        <v>25</v>
      </c>
      <c r="D153" s="11">
        <v>0.0</v>
      </c>
      <c r="E153" s="10" t="s">
        <v>35</v>
      </c>
      <c r="F153" s="7" t="s">
        <v>19</v>
      </c>
    </row>
    <row r="154">
      <c r="A154" s="10" t="s">
        <v>903</v>
      </c>
      <c r="B154" s="10" t="s">
        <v>904</v>
      </c>
      <c r="C154" s="10" t="s">
        <v>25</v>
      </c>
      <c r="D154" s="11" t="s">
        <v>905</v>
      </c>
      <c r="E154" s="10" t="s">
        <v>35</v>
      </c>
      <c r="F154" s="7" t="s">
        <v>19</v>
      </c>
    </row>
    <row r="155">
      <c r="A155" s="10" t="s">
        <v>906</v>
      </c>
      <c r="B155" s="10" t="s">
        <v>907</v>
      </c>
      <c r="C155" s="10" t="s">
        <v>25</v>
      </c>
      <c r="D155" s="11" t="s">
        <v>908</v>
      </c>
      <c r="E155" s="10" t="s">
        <v>35</v>
      </c>
      <c r="F155" s="7" t="s">
        <v>19</v>
      </c>
    </row>
    <row r="156">
      <c r="A156" s="10" t="s">
        <v>909</v>
      </c>
      <c r="B156" s="10" t="s">
        <v>910</v>
      </c>
      <c r="C156" s="10" t="s">
        <v>25</v>
      </c>
      <c r="D156" s="11" t="s">
        <v>911</v>
      </c>
      <c r="E156" s="10" t="s">
        <v>35</v>
      </c>
      <c r="F156" s="7" t="s">
        <v>19</v>
      </c>
    </row>
    <row r="157">
      <c r="A157" s="10" t="s">
        <v>912</v>
      </c>
      <c r="B157" s="10" t="s">
        <v>913</v>
      </c>
      <c r="C157" s="10" t="s">
        <v>25</v>
      </c>
      <c r="D157" s="11" t="s">
        <v>914</v>
      </c>
      <c r="E157" s="10" t="s">
        <v>35</v>
      </c>
      <c r="F157" s="7" t="s">
        <v>19</v>
      </c>
    </row>
    <row r="158">
      <c r="A158" s="10" t="s">
        <v>915</v>
      </c>
      <c r="B158" s="10" t="s">
        <v>916</v>
      </c>
      <c r="C158" s="10" t="s">
        <v>25</v>
      </c>
      <c r="D158" s="11" t="s">
        <v>917</v>
      </c>
      <c r="E158" s="10" t="s">
        <v>35</v>
      </c>
      <c r="F158" s="7" t="s">
        <v>19</v>
      </c>
    </row>
    <row r="159">
      <c r="A159" s="10" t="s">
        <v>918</v>
      </c>
      <c r="B159" s="10" t="s">
        <v>919</v>
      </c>
      <c r="C159" s="10" t="s">
        <v>25</v>
      </c>
      <c r="D159" s="11" t="s">
        <v>920</v>
      </c>
      <c r="E159" s="10" t="s">
        <v>35</v>
      </c>
      <c r="F159" s="7" t="s">
        <v>19</v>
      </c>
    </row>
    <row r="160">
      <c r="A160" s="10" t="s">
        <v>921</v>
      </c>
      <c r="B160" s="10" t="s">
        <v>922</v>
      </c>
      <c r="C160" s="10" t="s">
        <v>25</v>
      </c>
      <c r="D160" s="11">
        <v>0.0</v>
      </c>
      <c r="E160" s="10" t="s">
        <v>35</v>
      </c>
      <c r="F160" s="7" t="s">
        <v>19</v>
      </c>
    </row>
    <row r="161">
      <c r="A161" s="10" t="s">
        <v>923</v>
      </c>
      <c r="B161" s="10" t="s">
        <v>924</v>
      </c>
      <c r="C161" s="10" t="s">
        <v>25</v>
      </c>
      <c r="D161" s="11" t="s">
        <v>925</v>
      </c>
      <c r="E161" s="10" t="s">
        <v>35</v>
      </c>
      <c r="F161" s="7" t="s">
        <v>19</v>
      </c>
    </row>
    <row r="162">
      <c r="A162" s="10" t="s">
        <v>926</v>
      </c>
      <c r="B162" s="10" t="s">
        <v>927</v>
      </c>
      <c r="C162" s="10" t="s">
        <v>928</v>
      </c>
      <c r="D162" s="11" t="s">
        <v>929</v>
      </c>
      <c r="E162" s="10" t="s">
        <v>35</v>
      </c>
      <c r="F162" s="7" t="s">
        <v>19</v>
      </c>
    </row>
    <row r="163">
      <c r="A163" s="10" t="s">
        <v>930</v>
      </c>
      <c r="B163" s="10" t="s">
        <v>931</v>
      </c>
      <c r="C163" s="10" t="s">
        <v>25</v>
      </c>
      <c r="D163" s="11" t="s">
        <v>932</v>
      </c>
      <c r="E163" s="10" t="s">
        <v>35</v>
      </c>
      <c r="F163" s="7" t="s">
        <v>19</v>
      </c>
    </row>
    <row r="164">
      <c r="A164" s="10" t="s">
        <v>933</v>
      </c>
      <c r="B164" s="10" t="s">
        <v>934</v>
      </c>
      <c r="C164" s="10" t="s">
        <v>25</v>
      </c>
      <c r="D164" s="11">
        <v>0.0</v>
      </c>
      <c r="E164" s="10" t="s">
        <v>35</v>
      </c>
      <c r="F164" s="7" t="s">
        <v>19</v>
      </c>
    </row>
    <row r="165">
      <c r="A165" s="10" t="s">
        <v>935</v>
      </c>
      <c r="B165" s="10" t="s">
        <v>936</v>
      </c>
      <c r="C165" s="10" t="s">
        <v>25</v>
      </c>
      <c r="D165" s="11">
        <v>0.0</v>
      </c>
      <c r="E165" s="10" t="s">
        <v>35</v>
      </c>
      <c r="F165" s="7" t="s">
        <v>19</v>
      </c>
    </row>
    <row r="166">
      <c r="A166" s="10" t="s">
        <v>937</v>
      </c>
      <c r="B166" s="10" t="s">
        <v>938</v>
      </c>
      <c r="C166" s="10" t="s">
        <v>709</v>
      </c>
      <c r="D166" s="11">
        <v>0.0</v>
      </c>
      <c r="E166" s="10" t="s">
        <v>35</v>
      </c>
      <c r="F166" s="7" t="s">
        <v>19</v>
      </c>
    </row>
    <row r="167">
      <c r="A167" s="10" t="s">
        <v>939</v>
      </c>
      <c r="B167" s="10" t="s">
        <v>940</v>
      </c>
      <c r="C167" s="10" t="s">
        <v>709</v>
      </c>
      <c r="D167" s="11">
        <v>0.0</v>
      </c>
      <c r="E167" s="10" t="s">
        <v>35</v>
      </c>
      <c r="F167" s="7" t="s">
        <v>19</v>
      </c>
    </row>
    <row r="168">
      <c r="A168" s="10" t="s">
        <v>278</v>
      </c>
      <c r="B168" s="10" t="s">
        <v>280</v>
      </c>
      <c r="C168" s="10" t="s">
        <v>25</v>
      </c>
      <c r="D168" s="11" t="s">
        <v>941</v>
      </c>
      <c r="E168" s="10" t="s">
        <v>85</v>
      </c>
      <c r="F168" s="16" t="str">
        <f>IFERROR(VLOOKUP(A168,Sheet3!$B$1:$E$313,3,FALSE),"")</f>
        <v>bahan baku</v>
      </c>
    </row>
    <row r="169">
      <c r="A169" s="10" t="s">
        <v>282</v>
      </c>
      <c r="B169" s="10" t="s">
        <v>283</v>
      </c>
      <c r="C169" s="10" t="s">
        <v>25</v>
      </c>
      <c r="D169" s="11" t="s">
        <v>942</v>
      </c>
      <c r="E169" s="10" t="s">
        <v>85</v>
      </c>
      <c r="F169" s="16" t="str">
        <f>IFERROR(VLOOKUP(A169,Sheet3!$B$1:$E$313,3,FALSE),"")</f>
        <v>bahan baku</v>
      </c>
    </row>
    <row r="170">
      <c r="A170" s="10" t="s">
        <v>717</v>
      </c>
      <c r="B170" s="10" t="s">
        <v>718</v>
      </c>
      <c r="C170" s="10" t="s">
        <v>25</v>
      </c>
      <c r="D170" s="11" t="s">
        <v>943</v>
      </c>
      <c r="E170" s="10" t="s">
        <v>85</v>
      </c>
      <c r="F170" s="16" t="str">
        <f>IFERROR(VLOOKUP(A170,Sheet3!$B$1:$E$313,3,FALSE),"")</f>
        <v>others</v>
      </c>
    </row>
    <row r="171">
      <c r="A171" s="10" t="s">
        <v>944</v>
      </c>
      <c r="B171" s="10" t="s">
        <v>731</v>
      </c>
      <c r="C171" s="10" t="s">
        <v>25</v>
      </c>
      <c r="D171" s="11" t="s">
        <v>945</v>
      </c>
      <c r="E171" s="10" t="s">
        <v>85</v>
      </c>
      <c r="F171" s="7" t="s">
        <v>708</v>
      </c>
    </row>
    <row r="172">
      <c r="A172" s="10" t="s">
        <v>720</v>
      </c>
      <c r="B172" s="10" t="s">
        <v>721</v>
      </c>
      <c r="C172" s="10" t="s">
        <v>25</v>
      </c>
      <c r="D172" s="11" t="s">
        <v>947</v>
      </c>
      <c r="E172" s="10" t="s">
        <v>85</v>
      </c>
      <c r="F172" s="16" t="str">
        <f>IFERROR(VLOOKUP(A172,Sheet3!$B$1:$E$313,3,FALSE),"")</f>
        <v>others</v>
      </c>
    </row>
    <row r="173">
      <c r="A173" s="10" t="s">
        <v>948</v>
      </c>
      <c r="B173" s="10" t="s">
        <v>285</v>
      </c>
      <c r="C173" s="10" t="s">
        <v>25</v>
      </c>
      <c r="D173" s="11" t="s">
        <v>949</v>
      </c>
      <c r="E173" s="10" t="s">
        <v>85</v>
      </c>
      <c r="F173" s="7" t="s">
        <v>708</v>
      </c>
    </row>
    <row r="174">
      <c r="A174" s="10" t="s">
        <v>950</v>
      </c>
      <c r="B174" s="10" t="s">
        <v>951</v>
      </c>
      <c r="C174" s="10" t="s">
        <v>25</v>
      </c>
      <c r="D174" s="11" t="s">
        <v>952</v>
      </c>
      <c r="E174" s="10" t="s">
        <v>85</v>
      </c>
      <c r="F174" s="7" t="s">
        <v>708</v>
      </c>
    </row>
    <row r="175">
      <c r="A175" s="10" t="s">
        <v>770</v>
      </c>
      <c r="B175" s="10" t="s">
        <v>771</v>
      </c>
      <c r="C175" s="10" t="s">
        <v>25</v>
      </c>
      <c r="D175" s="11">
        <v>0.0</v>
      </c>
      <c r="E175" s="10" t="s">
        <v>85</v>
      </c>
      <c r="F175" s="16" t="str">
        <f>IFERROR(VLOOKUP(A175,Sheet3!$B$1:$E$313,3,FALSE),"")</f>
        <v>others</v>
      </c>
    </row>
    <row r="176">
      <c r="A176" s="10" t="s">
        <v>710</v>
      </c>
      <c r="B176" s="10" t="s">
        <v>712</v>
      </c>
      <c r="C176" s="10" t="s">
        <v>25</v>
      </c>
      <c r="D176" s="11">
        <v>0.0</v>
      </c>
      <c r="E176" s="10" t="s">
        <v>85</v>
      </c>
      <c r="F176" s="16" t="str">
        <f>IFERROR(VLOOKUP(A176,Sheet3!$B$1:$E$313,3,FALSE),"")</f>
        <v>others</v>
      </c>
    </row>
    <row r="177">
      <c r="A177" s="10" t="s">
        <v>765</v>
      </c>
      <c r="B177" s="10" t="s">
        <v>766</v>
      </c>
      <c r="C177" s="10" t="s">
        <v>25</v>
      </c>
      <c r="D177" s="11" t="s">
        <v>954</v>
      </c>
      <c r="E177" s="10" t="s">
        <v>85</v>
      </c>
      <c r="F177" s="16" t="str">
        <f>IFERROR(VLOOKUP(A177,Sheet3!$B$1:$E$313,3,FALSE),"")</f>
        <v>others</v>
      </c>
    </row>
    <row r="178">
      <c r="A178" s="10" t="s">
        <v>955</v>
      </c>
      <c r="B178" s="10" t="s">
        <v>956</v>
      </c>
      <c r="C178" s="10" t="s">
        <v>25</v>
      </c>
      <c r="D178" s="11" t="s">
        <v>957</v>
      </c>
      <c r="E178" s="10" t="s">
        <v>85</v>
      </c>
      <c r="F178" s="7" t="s">
        <v>708</v>
      </c>
    </row>
    <row r="179">
      <c r="A179" s="10" t="s">
        <v>958</v>
      </c>
      <c r="B179" s="10" t="s">
        <v>959</v>
      </c>
      <c r="C179" s="10" t="s">
        <v>25</v>
      </c>
      <c r="D179" s="11" t="s">
        <v>960</v>
      </c>
      <c r="E179" s="10" t="s">
        <v>85</v>
      </c>
      <c r="F179" s="7" t="s">
        <v>708</v>
      </c>
    </row>
    <row r="180">
      <c r="A180" s="10" t="s">
        <v>706</v>
      </c>
      <c r="B180" s="10" t="s">
        <v>707</v>
      </c>
      <c r="C180" s="10" t="s">
        <v>25</v>
      </c>
      <c r="D180" s="11" t="s">
        <v>961</v>
      </c>
      <c r="E180" s="10" t="s">
        <v>85</v>
      </c>
      <c r="F180" s="16" t="str">
        <f>IFERROR(VLOOKUP(A180,Sheet3!$B$1:$E$313,3,FALSE),"")</f>
        <v>others</v>
      </c>
    </row>
    <row r="181">
      <c r="A181" s="10" t="s">
        <v>715</v>
      </c>
      <c r="B181" s="10" t="s">
        <v>716</v>
      </c>
      <c r="C181" s="10" t="s">
        <v>25</v>
      </c>
      <c r="D181" s="11" t="s">
        <v>962</v>
      </c>
      <c r="E181" s="10" t="s">
        <v>85</v>
      </c>
      <c r="F181" s="16" t="str">
        <f>IFERROR(VLOOKUP(A181,Sheet3!$B$1:$E$313,3,FALSE),"")</f>
        <v>others</v>
      </c>
    </row>
    <row r="182">
      <c r="A182" s="10" t="s">
        <v>767</v>
      </c>
      <c r="B182" s="10" t="s">
        <v>768</v>
      </c>
      <c r="C182" s="10" t="s">
        <v>25</v>
      </c>
      <c r="D182" s="11" t="s">
        <v>963</v>
      </c>
      <c r="E182" s="10" t="s">
        <v>85</v>
      </c>
      <c r="F182" s="16" t="str">
        <f>IFERROR(VLOOKUP(A182,Sheet3!$B$1:$E$313,3,FALSE),"")</f>
        <v>others</v>
      </c>
    </row>
    <row r="183">
      <c r="A183" s="10" t="s">
        <v>722</v>
      </c>
      <c r="B183" s="10" t="s">
        <v>723</v>
      </c>
      <c r="C183" s="10" t="s">
        <v>25</v>
      </c>
      <c r="D183" s="11">
        <v>0.0</v>
      </c>
      <c r="E183" s="10" t="s">
        <v>85</v>
      </c>
      <c r="F183" s="16" t="str">
        <f>IFERROR(VLOOKUP(A183,Sheet3!$B$1:$E$313,3,FALSE),"")</f>
        <v>others</v>
      </c>
    </row>
    <row r="184">
      <c r="A184" s="10" t="s">
        <v>286</v>
      </c>
      <c r="B184" s="10" t="s">
        <v>287</v>
      </c>
      <c r="C184" s="10" t="s">
        <v>25</v>
      </c>
      <c r="D184" s="11">
        <v>0.0</v>
      </c>
      <c r="E184" s="10" t="s">
        <v>85</v>
      </c>
      <c r="F184" s="16" t="str">
        <f>IFERROR(VLOOKUP(A184,Sheet3!$B$1:$E$313,3,FALSE),"")</f>
        <v>bahan baku</v>
      </c>
    </row>
    <row r="185">
      <c r="A185" s="10" t="s">
        <v>732</v>
      </c>
      <c r="B185" s="10" t="s">
        <v>733</v>
      </c>
      <c r="C185" s="10" t="s">
        <v>25</v>
      </c>
      <c r="D185" s="11">
        <v>0.0</v>
      </c>
      <c r="E185" s="10" t="s">
        <v>85</v>
      </c>
      <c r="F185" s="16" t="str">
        <f>IFERROR(VLOOKUP(A185,Sheet3!$B$1:$E$313,3,FALSE),"")</f>
        <v>others</v>
      </c>
    </row>
    <row r="186">
      <c r="A186" s="10" t="s">
        <v>734</v>
      </c>
      <c r="B186" s="10" t="s">
        <v>735</v>
      </c>
      <c r="C186" s="10" t="s">
        <v>25</v>
      </c>
      <c r="D186" s="11">
        <v>0.0</v>
      </c>
      <c r="E186" s="10" t="s">
        <v>85</v>
      </c>
      <c r="F186" s="16" t="str">
        <f>IFERROR(VLOOKUP(A186,Sheet3!$B$1:$E$313,3,FALSE),"")</f>
        <v>others</v>
      </c>
    </row>
    <row r="187">
      <c r="A187" s="10" t="s">
        <v>964</v>
      </c>
      <c r="B187" s="10" t="s">
        <v>725</v>
      </c>
      <c r="C187" s="10" t="s">
        <v>25</v>
      </c>
      <c r="D187" s="11">
        <v>0.0</v>
      </c>
      <c r="E187" s="10" t="s">
        <v>85</v>
      </c>
      <c r="F187" s="7" t="s">
        <v>708</v>
      </c>
    </row>
    <row r="188">
      <c r="A188" s="10" t="s">
        <v>738</v>
      </c>
      <c r="B188" s="10" t="s">
        <v>739</v>
      </c>
      <c r="C188" s="10" t="s">
        <v>25</v>
      </c>
      <c r="D188" s="11">
        <v>0.0</v>
      </c>
      <c r="E188" s="10" t="s">
        <v>85</v>
      </c>
      <c r="F188" s="16" t="str">
        <f>IFERROR(VLOOKUP(A188,Sheet3!$B$1:$E$313,3,FALSE),"")</f>
        <v>others</v>
      </c>
    </row>
    <row r="189">
      <c r="A189" s="10" t="s">
        <v>965</v>
      </c>
      <c r="B189" s="10" t="s">
        <v>966</v>
      </c>
      <c r="C189" s="10" t="s">
        <v>863</v>
      </c>
      <c r="D189" s="11" t="s">
        <v>967</v>
      </c>
      <c r="E189" s="10" t="s">
        <v>85</v>
      </c>
      <c r="F189" s="7" t="s">
        <v>708</v>
      </c>
    </row>
    <row r="190">
      <c r="A190" s="10" t="s">
        <v>312</v>
      </c>
      <c r="B190" s="10" t="s">
        <v>313</v>
      </c>
      <c r="C190" s="10" t="s">
        <v>863</v>
      </c>
      <c r="D190" s="11" t="s">
        <v>968</v>
      </c>
      <c r="E190" s="10" t="s">
        <v>85</v>
      </c>
      <c r="F190" s="16" t="str">
        <f>IFERROR(VLOOKUP(A190,Sheet3!$B$1:$E$313,3,FALSE),"")</f>
        <v>bahan baku</v>
      </c>
    </row>
    <row r="191">
      <c r="A191" s="10" t="s">
        <v>288</v>
      </c>
      <c r="B191" s="10" t="s">
        <v>289</v>
      </c>
      <c r="C191" s="10" t="s">
        <v>863</v>
      </c>
      <c r="D191" s="11">
        <v>0.0</v>
      </c>
      <c r="E191" s="10" t="s">
        <v>85</v>
      </c>
      <c r="F191" s="16" t="str">
        <f>IFERROR(VLOOKUP(A191,Sheet3!$B$1:$E$313,3,FALSE),"")</f>
        <v>bahan baku</v>
      </c>
    </row>
    <row r="192">
      <c r="A192" s="10" t="s">
        <v>292</v>
      </c>
      <c r="B192" s="10" t="s">
        <v>293</v>
      </c>
      <c r="C192" s="10" t="s">
        <v>863</v>
      </c>
      <c r="D192" s="11" t="s">
        <v>970</v>
      </c>
      <c r="E192" s="10" t="s">
        <v>85</v>
      </c>
      <c r="F192" s="16" t="str">
        <f>IFERROR(VLOOKUP(A192,Sheet3!$B$1:$E$313,3,FALSE),"")</f>
        <v>bahan baku</v>
      </c>
    </row>
    <row r="193">
      <c r="A193" s="10" t="s">
        <v>971</v>
      </c>
      <c r="B193" s="10" t="s">
        <v>972</v>
      </c>
      <c r="C193" s="10" t="s">
        <v>863</v>
      </c>
      <c r="D193" s="11">
        <v>0.0</v>
      </c>
      <c r="E193" s="10" t="s">
        <v>85</v>
      </c>
      <c r="F193" s="7" t="s">
        <v>708</v>
      </c>
    </row>
    <row r="194">
      <c r="A194" s="10" t="s">
        <v>973</v>
      </c>
      <c r="B194" s="10" t="s">
        <v>974</v>
      </c>
      <c r="C194" s="10" t="s">
        <v>863</v>
      </c>
      <c r="D194" s="11" t="s">
        <v>975</v>
      </c>
      <c r="E194" s="10" t="s">
        <v>85</v>
      </c>
      <c r="F194" s="7" t="s">
        <v>708</v>
      </c>
    </row>
    <row r="195">
      <c r="A195" s="10" t="s">
        <v>976</v>
      </c>
      <c r="B195" s="10" t="s">
        <v>977</v>
      </c>
      <c r="C195" s="10" t="s">
        <v>863</v>
      </c>
      <c r="D195" s="11" t="s">
        <v>970</v>
      </c>
      <c r="E195" s="10" t="s">
        <v>85</v>
      </c>
      <c r="F195" s="7" t="s">
        <v>708</v>
      </c>
    </row>
    <row r="196">
      <c r="A196" s="10" t="s">
        <v>978</v>
      </c>
      <c r="B196" s="10" t="s">
        <v>979</v>
      </c>
      <c r="C196" s="10" t="s">
        <v>863</v>
      </c>
      <c r="D196" s="11" t="s">
        <v>980</v>
      </c>
      <c r="E196" s="10" t="s">
        <v>85</v>
      </c>
      <c r="F196" s="7" t="s">
        <v>708</v>
      </c>
    </row>
    <row r="197">
      <c r="A197" s="10" t="s">
        <v>981</v>
      </c>
      <c r="B197" s="10" t="s">
        <v>982</v>
      </c>
      <c r="C197" s="10" t="s">
        <v>863</v>
      </c>
      <c r="D197" s="11" t="s">
        <v>983</v>
      </c>
      <c r="E197" s="10" t="s">
        <v>85</v>
      </c>
      <c r="F197" s="7" t="s">
        <v>708</v>
      </c>
    </row>
    <row r="198">
      <c r="A198" s="10" t="s">
        <v>984</v>
      </c>
      <c r="B198" s="10" t="s">
        <v>985</v>
      </c>
      <c r="C198" s="10" t="s">
        <v>863</v>
      </c>
      <c r="D198" s="11" t="s">
        <v>986</v>
      </c>
      <c r="E198" s="10" t="s">
        <v>85</v>
      </c>
      <c r="F198" s="7" t="s">
        <v>708</v>
      </c>
    </row>
    <row r="199">
      <c r="A199" s="10" t="s">
        <v>987</v>
      </c>
      <c r="B199" s="10" t="s">
        <v>988</v>
      </c>
      <c r="C199" s="10" t="s">
        <v>863</v>
      </c>
      <c r="D199" s="11" t="s">
        <v>989</v>
      </c>
      <c r="E199" s="10" t="s">
        <v>85</v>
      </c>
      <c r="F199" s="7" t="s">
        <v>708</v>
      </c>
    </row>
    <row r="200">
      <c r="A200" s="10" t="s">
        <v>990</v>
      </c>
      <c r="B200" s="10" t="s">
        <v>991</v>
      </c>
      <c r="C200" s="10" t="s">
        <v>863</v>
      </c>
      <c r="D200" s="11" t="s">
        <v>992</v>
      </c>
      <c r="E200" s="10" t="s">
        <v>85</v>
      </c>
      <c r="F200" s="7" t="s">
        <v>708</v>
      </c>
    </row>
    <row r="201">
      <c r="A201" s="10" t="s">
        <v>993</v>
      </c>
      <c r="B201" s="10" t="s">
        <v>994</v>
      </c>
      <c r="C201" s="10" t="s">
        <v>863</v>
      </c>
      <c r="D201" s="11" t="s">
        <v>995</v>
      </c>
      <c r="E201" s="10" t="s">
        <v>85</v>
      </c>
      <c r="F201" s="7" t="s">
        <v>708</v>
      </c>
    </row>
    <row r="202">
      <c r="A202" s="10" t="s">
        <v>996</v>
      </c>
      <c r="B202" s="10" t="s">
        <v>997</v>
      </c>
      <c r="C202" s="10" t="s">
        <v>863</v>
      </c>
      <c r="D202" s="11" t="s">
        <v>998</v>
      </c>
      <c r="E202" s="10" t="s">
        <v>85</v>
      </c>
      <c r="F202" s="7" t="s">
        <v>708</v>
      </c>
    </row>
    <row r="203">
      <c r="A203" s="10" t="s">
        <v>999</v>
      </c>
      <c r="B203" s="10" t="s">
        <v>564</v>
      </c>
      <c r="C203" s="10" t="s">
        <v>863</v>
      </c>
      <c r="D203" s="11">
        <v>0.0</v>
      </c>
      <c r="E203" s="10" t="s">
        <v>97</v>
      </c>
      <c r="F203" s="7" t="s">
        <v>316</v>
      </c>
    </row>
    <row r="204">
      <c r="A204" s="10" t="s">
        <v>1000</v>
      </c>
      <c r="B204" s="10" t="s">
        <v>566</v>
      </c>
      <c r="C204" s="10" t="s">
        <v>863</v>
      </c>
      <c r="D204" s="11" t="s">
        <v>1001</v>
      </c>
      <c r="E204" s="10" t="s">
        <v>97</v>
      </c>
      <c r="F204" s="7" t="s">
        <v>316</v>
      </c>
    </row>
    <row r="205">
      <c r="A205" s="10" t="s">
        <v>1002</v>
      </c>
      <c r="B205" s="10" t="s">
        <v>1003</v>
      </c>
      <c r="C205" s="10" t="s">
        <v>863</v>
      </c>
      <c r="D205" s="11">
        <v>0.0</v>
      </c>
      <c r="E205" s="10" t="s">
        <v>97</v>
      </c>
      <c r="F205" s="7" t="s">
        <v>316</v>
      </c>
    </row>
    <row r="206">
      <c r="A206" s="10" t="s">
        <v>1004</v>
      </c>
      <c r="B206" s="10" t="s">
        <v>1005</v>
      </c>
      <c r="C206" s="10" t="s">
        <v>25</v>
      </c>
      <c r="D206" s="11">
        <v>0.0</v>
      </c>
      <c r="E206" s="10" t="s">
        <v>97</v>
      </c>
      <c r="F206" s="7" t="s">
        <v>316</v>
      </c>
    </row>
    <row r="207">
      <c r="A207" s="10" t="s">
        <v>1006</v>
      </c>
      <c r="B207" s="10" t="s">
        <v>1007</v>
      </c>
      <c r="C207" s="10" t="s">
        <v>863</v>
      </c>
      <c r="D207" s="11" t="s">
        <v>1008</v>
      </c>
      <c r="E207" s="10" t="s">
        <v>97</v>
      </c>
      <c r="F207" s="7" t="s">
        <v>316</v>
      </c>
    </row>
    <row r="208">
      <c r="A208" s="10" t="s">
        <v>1009</v>
      </c>
      <c r="B208" s="10" t="s">
        <v>1010</v>
      </c>
      <c r="C208" s="10" t="s">
        <v>863</v>
      </c>
      <c r="D208" s="11" t="s">
        <v>1011</v>
      </c>
      <c r="E208" s="10" t="s">
        <v>97</v>
      </c>
      <c r="F208" s="7" t="s">
        <v>316</v>
      </c>
    </row>
    <row r="209">
      <c r="A209" s="10" t="s">
        <v>1012</v>
      </c>
      <c r="B209" s="10" t="s">
        <v>1013</v>
      </c>
      <c r="C209" s="10" t="s">
        <v>863</v>
      </c>
      <c r="D209" s="11">
        <v>0.0</v>
      </c>
      <c r="E209" s="10" t="s">
        <v>97</v>
      </c>
      <c r="F209" s="7" t="s">
        <v>316</v>
      </c>
    </row>
    <row r="210">
      <c r="A210" s="10" t="s">
        <v>1014</v>
      </c>
      <c r="B210" s="10" t="s">
        <v>1015</v>
      </c>
      <c r="C210" s="10" t="s">
        <v>863</v>
      </c>
      <c r="D210" s="11" t="s">
        <v>1016</v>
      </c>
      <c r="E210" s="10" t="s">
        <v>97</v>
      </c>
      <c r="F210" s="7" t="s">
        <v>316</v>
      </c>
    </row>
    <row r="211">
      <c r="A211" s="10" t="s">
        <v>1017</v>
      </c>
      <c r="B211" s="10" t="s">
        <v>1018</v>
      </c>
      <c r="C211" s="10" t="s">
        <v>863</v>
      </c>
      <c r="D211" s="11" t="s">
        <v>1019</v>
      </c>
      <c r="E211" s="10" t="s">
        <v>97</v>
      </c>
      <c r="F211" s="7" t="s">
        <v>316</v>
      </c>
    </row>
    <row r="212">
      <c r="A212" s="10" t="s">
        <v>1020</v>
      </c>
      <c r="B212" s="10" t="s">
        <v>1021</v>
      </c>
      <c r="C212" s="10" t="s">
        <v>863</v>
      </c>
      <c r="D212" s="11" t="s">
        <v>1022</v>
      </c>
      <c r="E212" s="10" t="s">
        <v>97</v>
      </c>
      <c r="F212" s="7" t="s">
        <v>316</v>
      </c>
    </row>
    <row r="213">
      <c r="A213" s="10" t="s">
        <v>1023</v>
      </c>
      <c r="B213" s="10" t="s">
        <v>1024</v>
      </c>
      <c r="C213" s="10" t="s">
        <v>863</v>
      </c>
      <c r="D213" s="11">
        <v>0.0</v>
      </c>
      <c r="E213" s="10" t="s">
        <v>97</v>
      </c>
      <c r="F213" s="7" t="s">
        <v>316</v>
      </c>
    </row>
    <row r="214">
      <c r="A214" s="10" t="s">
        <v>1025</v>
      </c>
      <c r="B214" s="10" t="s">
        <v>1026</v>
      </c>
      <c r="C214" s="10" t="s">
        <v>863</v>
      </c>
      <c r="D214" s="11" t="s">
        <v>1027</v>
      </c>
      <c r="E214" s="10" t="s">
        <v>97</v>
      </c>
      <c r="F214" s="7" t="s">
        <v>316</v>
      </c>
    </row>
    <row r="215">
      <c r="A215" s="10" t="s">
        <v>1028</v>
      </c>
      <c r="B215" s="10" t="s">
        <v>1029</v>
      </c>
      <c r="C215" s="10" t="s">
        <v>863</v>
      </c>
      <c r="D215" s="11">
        <v>0.0</v>
      </c>
      <c r="E215" s="10" t="s">
        <v>97</v>
      </c>
      <c r="F215" s="7" t="s">
        <v>316</v>
      </c>
    </row>
    <row r="216">
      <c r="A216" s="10" t="s">
        <v>314</v>
      </c>
      <c r="B216" s="10" t="s">
        <v>315</v>
      </c>
      <c r="C216" s="10" t="s">
        <v>863</v>
      </c>
      <c r="D216" s="11" t="s">
        <v>1030</v>
      </c>
      <c r="E216" s="10" t="s">
        <v>107</v>
      </c>
      <c r="F216" s="16" t="str">
        <f>IFERROR(VLOOKUP(A216,Sheet3!$B$1:$E$313,3,FALSE),"")</f>
        <v>barang jadi</v>
      </c>
    </row>
    <row r="217">
      <c r="A217" s="10" t="s">
        <v>319</v>
      </c>
      <c r="B217" s="10" t="s">
        <v>320</v>
      </c>
      <c r="C217" s="10" t="s">
        <v>863</v>
      </c>
      <c r="D217" s="11" t="s">
        <v>1031</v>
      </c>
      <c r="E217" s="10" t="s">
        <v>107</v>
      </c>
      <c r="F217" s="16" t="str">
        <f>IFERROR(VLOOKUP(A217,Sheet3!$B$1:$E$313,3,FALSE),"")</f>
        <v>barang jadi</v>
      </c>
    </row>
    <row r="218">
      <c r="A218" s="10" t="s">
        <v>321</v>
      </c>
      <c r="B218" s="10" t="s">
        <v>322</v>
      </c>
      <c r="C218" s="10" t="s">
        <v>25</v>
      </c>
      <c r="D218" s="11" t="s">
        <v>1032</v>
      </c>
      <c r="E218" s="10" t="s">
        <v>107</v>
      </c>
      <c r="F218" s="16" t="str">
        <f>IFERROR(VLOOKUP(A218,Sheet3!$B$1:$E$313,3,FALSE),"")</f>
        <v>barang jadi</v>
      </c>
    </row>
    <row r="219">
      <c r="A219" s="10" t="s">
        <v>323</v>
      </c>
      <c r="B219" s="10" t="s">
        <v>324</v>
      </c>
      <c r="C219" s="10" t="s">
        <v>863</v>
      </c>
      <c r="D219" s="11">
        <v>0.0</v>
      </c>
      <c r="E219" s="10" t="s">
        <v>107</v>
      </c>
      <c r="F219" s="16" t="str">
        <f>IFERROR(VLOOKUP(A219,Sheet3!$B$1:$E$313,3,FALSE),"")</f>
        <v>barang jadi</v>
      </c>
    </row>
    <row r="220">
      <c r="A220" s="10" t="s">
        <v>325</v>
      </c>
      <c r="B220" s="10" t="s">
        <v>326</v>
      </c>
      <c r="C220" s="10" t="s">
        <v>863</v>
      </c>
      <c r="D220" s="11">
        <v>0.0</v>
      </c>
      <c r="E220" s="10" t="s">
        <v>107</v>
      </c>
      <c r="F220" s="16" t="str">
        <f>IFERROR(VLOOKUP(A220,Sheet3!$B$1:$E$313,3,FALSE),"")</f>
        <v>barang jadi</v>
      </c>
    </row>
    <row r="221">
      <c r="A221" s="10" t="s">
        <v>327</v>
      </c>
      <c r="B221" s="10" t="s">
        <v>329</v>
      </c>
      <c r="C221" s="10" t="s">
        <v>863</v>
      </c>
      <c r="D221" s="11">
        <v>0.0</v>
      </c>
      <c r="E221" s="10" t="s">
        <v>107</v>
      </c>
      <c r="F221" s="16" t="str">
        <f>IFERROR(VLOOKUP(A221,Sheet3!$B$1:$E$313,3,FALSE),"")</f>
        <v>barang jadi</v>
      </c>
    </row>
    <row r="222">
      <c r="A222" s="10" t="s">
        <v>330</v>
      </c>
      <c r="B222" s="10" t="s">
        <v>331</v>
      </c>
      <c r="C222" s="10" t="s">
        <v>863</v>
      </c>
      <c r="D222" s="11">
        <v>0.0</v>
      </c>
      <c r="E222" s="10" t="s">
        <v>107</v>
      </c>
      <c r="F222" s="16" t="str">
        <f>IFERROR(VLOOKUP(A222,Sheet3!$B$1:$E$313,3,FALSE),"")</f>
        <v>barang jadi</v>
      </c>
    </row>
    <row r="223">
      <c r="A223" s="10" t="s">
        <v>332</v>
      </c>
      <c r="B223" s="10" t="s">
        <v>333</v>
      </c>
      <c r="C223" s="10" t="s">
        <v>863</v>
      </c>
      <c r="D223" s="11" t="s">
        <v>1033</v>
      </c>
      <c r="E223" s="10" t="s">
        <v>107</v>
      </c>
      <c r="F223" s="16" t="str">
        <f>IFERROR(VLOOKUP(A223,Sheet3!$B$1:$E$313,3,FALSE),"")</f>
        <v>barang jadi</v>
      </c>
    </row>
    <row r="224">
      <c r="A224" s="10" t="s">
        <v>334</v>
      </c>
      <c r="B224" s="10" t="s">
        <v>335</v>
      </c>
      <c r="C224" s="10" t="s">
        <v>863</v>
      </c>
      <c r="D224" s="11">
        <v>0.0</v>
      </c>
      <c r="E224" s="10" t="s">
        <v>107</v>
      </c>
      <c r="F224" s="16" t="str">
        <f>IFERROR(VLOOKUP(A224,Sheet3!$B$1:$E$313,3,FALSE),"")</f>
        <v>barang jadi</v>
      </c>
    </row>
    <row r="225">
      <c r="A225" s="10" t="s">
        <v>336</v>
      </c>
      <c r="B225" s="10" t="s">
        <v>337</v>
      </c>
      <c r="C225" s="10" t="s">
        <v>863</v>
      </c>
      <c r="D225" s="11" t="s">
        <v>1034</v>
      </c>
      <c r="E225" s="10" t="s">
        <v>107</v>
      </c>
      <c r="F225" s="7" t="s">
        <v>316</v>
      </c>
    </row>
    <row r="226">
      <c r="A226" s="10" t="s">
        <v>1035</v>
      </c>
      <c r="B226" s="10" t="s">
        <v>340</v>
      </c>
      <c r="C226" s="10" t="s">
        <v>863</v>
      </c>
      <c r="D226" s="7" t="s">
        <v>1036</v>
      </c>
      <c r="E226" s="10" t="s">
        <v>107</v>
      </c>
      <c r="F226" s="7" t="s">
        <v>316</v>
      </c>
    </row>
    <row r="227">
      <c r="A227" s="10" t="s">
        <v>1037</v>
      </c>
      <c r="B227" s="10" t="s">
        <v>1038</v>
      </c>
      <c r="C227" s="10" t="s">
        <v>863</v>
      </c>
      <c r="D227" s="7" t="s">
        <v>1039</v>
      </c>
      <c r="E227" s="10" t="s">
        <v>107</v>
      </c>
      <c r="F227" s="7" t="s">
        <v>316</v>
      </c>
    </row>
    <row r="228">
      <c r="A228" s="10" t="s">
        <v>1040</v>
      </c>
      <c r="B228" s="10" t="s">
        <v>1041</v>
      </c>
      <c r="C228" s="10" t="s">
        <v>863</v>
      </c>
      <c r="D228" s="7" t="s">
        <v>1042</v>
      </c>
      <c r="E228" s="10" t="s">
        <v>107</v>
      </c>
      <c r="F228" s="7" t="s">
        <v>316</v>
      </c>
    </row>
    <row r="229">
      <c r="A229" s="10" t="s">
        <v>1043</v>
      </c>
      <c r="B229" s="10" t="s">
        <v>1044</v>
      </c>
      <c r="C229" s="10" t="s">
        <v>863</v>
      </c>
      <c r="D229" s="7" t="s">
        <v>1045</v>
      </c>
      <c r="E229" s="10" t="s">
        <v>107</v>
      </c>
      <c r="F229" s="7" t="s">
        <v>316</v>
      </c>
    </row>
    <row r="230">
      <c r="A230" s="10" t="s">
        <v>1046</v>
      </c>
      <c r="B230" s="10" t="s">
        <v>1047</v>
      </c>
      <c r="C230" s="10" t="s">
        <v>863</v>
      </c>
      <c r="D230" s="7" t="s">
        <v>1048</v>
      </c>
      <c r="E230" s="10" t="s">
        <v>107</v>
      </c>
      <c r="F230" s="7" t="s">
        <v>316</v>
      </c>
    </row>
    <row r="231">
      <c r="A231" s="10" t="s">
        <v>1049</v>
      </c>
      <c r="B231" s="10" t="s">
        <v>1050</v>
      </c>
      <c r="C231" s="10" t="s">
        <v>863</v>
      </c>
      <c r="D231" s="7" t="s">
        <v>1051</v>
      </c>
      <c r="E231" s="10" t="s">
        <v>107</v>
      </c>
      <c r="F231" s="7" t="s">
        <v>316</v>
      </c>
    </row>
    <row r="232">
      <c r="A232" s="10" t="s">
        <v>1052</v>
      </c>
      <c r="B232" s="10" t="s">
        <v>1053</v>
      </c>
      <c r="C232" s="10" t="s">
        <v>25</v>
      </c>
      <c r="D232" s="7">
        <v>0.0</v>
      </c>
      <c r="E232" s="10" t="s">
        <v>107</v>
      </c>
      <c r="F232" s="7" t="s">
        <v>316</v>
      </c>
    </row>
    <row r="233">
      <c r="A233" s="10" t="s">
        <v>1054</v>
      </c>
      <c r="B233" s="10" t="s">
        <v>1055</v>
      </c>
      <c r="C233" s="10" t="s">
        <v>863</v>
      </c>
      <c r="D233" s="7">
        <v>0.0</v>
      </c>
      <c r="E233" s="10" t="s">
        <v>107</v>
      </c>
      <c r="F233" s="7" t="s">
        <v>316</v>
      </c>
    </row>
    <row r="234">
      <c r="A234" s="10" t="s">
        <v>342</v>
      </c>
      <c r="B234" s="10" t="s">
        <v>343</v>
      </c>
      <c r="C234" s="10" t="s">
        <v>863</v>
      </c>
      <c r="D234" s="7" t="s">
        <v>1057</v>
      </c>
      <c r="E234" s="10" t="s">
        <v>115</v>
      </c>
      <c r="F234" s="16" t="str">
        <f>IFERROR(VLOOKUP(A234,Sheet3!$B$1:$E$313,3,FALSE),"")</f>
        <v>barang jadi</v>
      </c>
    </row>
    <row r="235">
      <c r="A235" s="10" t="s">
        <v>1058</v>
      </c>
      <c r="B235" s="10" t="s">
        <v>1059</v>
      </c>
      <c r="C235" s="10" t="s">
        <v>863</v>
      </c>
      <c r="D235" s="7">
        <v>0.0</v>
      </c>
      <c r="E235" s="10" t="s">
        <v>115</v>
      </c>
      <c r="F235" s="7" t="s">
        <v>316</v>
      </c>
    </row>
    <row r="236">
      <c r="A236" s="10" t="s">
        <v>344</v>
      </c>
      <c r="B236" s="10" t="s">
        <v>345</v>
      </c>
      <c r="C236" s="10" t="s">
        <v>863</v>
      </c>
      <c r="D236" s="7">
        <v>0.0</v>
      </c>
      <c r="E236" s="10" t="s">
        <v>115</v>
      </c>
      <c r="F236" s="16" t="str">
        <f>IFERROR(VLOOKUP(A236,Sheet3!$B$1:$E$313,3,FALSE),"")</f>
        <v>barang jadi</v>
      </c>
    </row>
    <row r="237">
      <c r="A237" s="10" t="s">
        <v>347</v>
      </c>
      <c r="B237" s="10" t="s">
        <v>348</v>
      </c>
      <c r="C237" s="10" t="s">
        <v>863</v>
      </c>
      <c r="D237" s="7">
        <v>0.0</v>
      </c>
      <c r="E237" s="10" t="s">
        <v>115</v>
      </c>
      <c r="F237" s="16" t="str">
        <f>IFERROR(VLOOKUP(A237,Sheet3!$B$1:$E$313,3,FALSE),"")</f>
        <v>barang jadi</v>
      </c>
    </row>
    <row r="238">
      <c r="A238" s="10" t="s">
        <v>349</v>
      </c>
      <c r="B238" s="10" t="s">
        <v>350</v>
      </c>
      <c r="C238" s="10" t="s">
        <v>863</v>
      </c>
      <c r="D238" s="7">
        <v>0.0</v>
      </c>
      <c r="E238" s="10" t="s">
        <v>115</v>
      </c>
      <c r="F238" s="16" t="str">
        <f>IFERROR(VLOOKUP(A238,Sheet3!$B$1:$E$313,3,FALSE),"")</f>
        <v>barang jadi</v>
      </c>
    </row>
    <row r="239">
      <c r="A239" s="10" t="s">
        <v>351</v>
      </c>
      <c r="B239" s="10" t="s">
        <v>352</v>
      </c>
      <c r="C239" s="10" t="s">
        <v>863</v>
      </c>
      <c r="D239" s="7" t="s">
        <v>1061</v>
      </c>
      <c r="E239" s="10" t="s">
        <v>115</v>
      </c>
      <c r="F239" s="16" t="str">
        <f>IFERROR(VLOOKUP(A239,Sheet3!$B$1:$E$313,3,FALSE),"")</f>
        <v>barang jadi</v>
      </c>
    </row>
    <row r="240">
      <c r="A240" s="10" t="s">
        <v>353</v>
      </c>
      <c r="B240" s="10" t="s">
        <v>354</v>
      </c>
      <c r="C240" s="10" t="s">
        <v>863</v>
      </c>
      <c r="D240" s="11" t="s">
        <v>1062</v>
      </c>
      <c r="E240" s="10" t="s">
        <v>115</v>
      </c>
      <c r="F240" s="16" t="str">
        <f>IFERROR(VLOOKUP(A240,Sheet3!$B$1:$E$313,3,FALSE),"")</f>
        <v>barang jadi</v>
      </c>
    </row>
    <row r="241">
      <c r="A241" s="10" t="s">
        <v>355</v>
      </c>
      <c r="B241" s="10" t="s">
        <v>356</v>
      </c>
      <c r="C241" s="10" t="s">
        <v>863</v>
      </c>
      <c r="D241" s="11">
        <v>0.0</v>
      </c>
      <c r="E241" s="10" t="s">
        <v>115</v>
      </c>
      <c r="F241" s="16" t="str">
        <f>IFERROR(VLOOKUP(A241,Sheet3!$B$1:$E$313,3,FALSE),"")</f>
        <v>barang jadi</v>
      </c>
    </row>
    <row r="242">
      <c r="A242" s="10" t="s">
        <v>358</v>
      </c>
      <c r="B242" s="10" t="s">
        <v>359</v>
      </c>
      <c r="C242" s="10" t="s">
        <v>863</v>
      </c>
      <c r="D242" s="11" t="s">
        <v>1063</v>
      </c>
      <c r="E242" s="10" t="s">
        <v>115</v>
      </c>
      <c r="F242" s="16" t="str">
        <f>IFERROR(VLOOKUP(A242,Sheet3!$B$1:$E$313,3,FALSE),"")</f>
        <v>barang jadi</v>
      </c>
    </row>
    <row r="243">
      <c r="A243" s="10" t="s">
        <v>1065</v>
      </c>
      <c r="B243" s="10" t="s">
        <v>1066</v>
      </c>
      <c r="C243" s="10" t="s">
        <v>863</v>
      </c>
      <c r="D243" s="11" t="s">
        <v>1067</v>
      </c>
      <c r="E243" s="10" t="s">
        <v>115</v>
      </c>
      <c r="F243" s="7" t="s">
        <v>316</v>
      </c>
    </row>
    <row r="244">
      <c r="A244" s="10" t="s">
        <v>1068</v>
      </c>
      <c r="B244" s="10" t="s">
        <v>1069</v>
      </c>
      <c r="C244" s="10" t="s">
        <v>863</v>
      </c>
      <c r="D244" s="11" t="s">
        <v>1070</v>
      </c>
      <c r="E244" s="10" t="s">
        <v>115</v>
      </c>
      <c r="F244" s="7" t="s">
        <v>316</v>
      </c>
    </row>
    <row r="245">
      <c r="A245" s="10" t="s">
        <v>1071</v>
      </c>
      <c r="B245" s="10" t="s">
        <v>1072</v>
      </c>
      <c r="C245" s="10" t="s">
        <v>863</v>
      </c>
      <c r="D245" s="11">
        <v>0.0</v>
      </c>
      <c r="E245" s="10" t="s">
        <v>115</v>
      </c>
      <c r="F245" s="7" t="s">
        <v>316</v>
      </c>
    </row>
    <row r="246">
      <c r="A246" s="10" t="s">
        <v>360</v>
      </c>
      <c r="B246" s="10" t="s">
        <v>361</v>
      </c>
      <c r="C246" s="10" t="s">
        <v>863</v>
      </c>
      <c r="D246" s="11">
        <v>0.0</v>
      </c>
      <c r="E246" s="10" t="s">
        <v>122</v>
      </c>
      <c r="F246" s="16" t="str">
        <f>IFERROR(VLOOKUP(A246,Sheet3!$B$1:$E$313,3,FALSE),"")</f>
        <v>barang jadi</v>
      </c>
    </row>
    <row r="247">
      <c r="A247" s="10" t="s">
        <v>1074</v>
      </c>
      <c r="B247" s="10" t="s">
        <v>1075</v>
      </c>
      <c r="C247" s="10" t="s">
        <v>863</v>
      </c>
      <c r="D247" s="11" t="s">
        <v>1076</v>
      </c>
      <c r="E247" s="10" t="s">
        <v>122</v>
      </c>
      <c r="F247" s="7" t="s">
        <v>316</v>
      </c>
    </row>
    <row r="248">
      <c r="A248" s="10" t="s">
        <v>362</v>
      </c>
      <c r="B248" s="10" t="s">
        <v>363</v>
      </c>
      <c r="C248" s="10" t="s">
        <v>863</v>
      </c>
      <c r="D248" s="11">
        <v>0.0</v>
      </c>
      <c r="E248" s="10" t="s">
        <v>122</v>
      </c>
      <c r="F248" s="16" t="str">
        <f>IFERROR(VLOOKUP(A248,Sheet3!$B$1:$E$313,3,FALSE),"")</f>
        <v>barang jadi</v>
      </c>
    </row>
    <row r="249">
      <c r="A249" s="10" t="s">
        <v>601</v>
      </c>
      <c r="B249" s="10" t="s">
        <v>602</v>
      </c>
      <c r="C249" s="10" t="s">
        <v>863</v>
      </c>
      <c r="D249" s="11">
        <v>0.0</v>
      </c>
      <c r="E249" s="10" t="s">
        <v>122</v>
      </c>
      <c r="F249" s="16" t="str">
        <f>IFERROR(VLOOKUP(A249,Sheet3!$B$1:$E$313,3,FALSE),"")</f>
        <v>barang jadi &amp; bahan baku</v>
      </c>
    </row>
    <row r="250">
      <c r="A250" s="10" t="s">
        <v>364</v>
      </c>
      <c r="B250" s="10" t="s">
        <v>365</v>
      </c>
      <c r="C250" s="10" t="s">
        <v>863</v>
      </c>
      <c r="D250" s="11">
        <v>0.0</v>
      </c>
      <c r="E250" s="10" t="s">
        <v>122</v>
      </c>
      <c r="F250" s="16" t="str">
        <f>IFERROR(VLOOKUP(A250,Sheet3!$B$1:$E$313,3,FALSE),"")</f>
        <v>barang jadi</v>
      </c>
    </row>
    <row r="251">
      <c r="A251" s="10" t="s">
        <v>367</v>
      </c>
      <c r="B251" s="10" t="s">
        <v>368</v>
      </c>
      <c r="C251" s="10" t="s">
        <v>863</v>
      </c>
      <c r="D251" s="11" t="s">
        <v>1078</v>
      </c>
      <c r="E251" s="10" t="s">
        <v>122</v>
      </c>
      <c r="F251" s="16" t="str">
        <f>IFERROR(VLOOKUP(A251,Sheet3!$B$1:$E$313,3,FALSE),"")</f>
        <v>barang jadi</v>
      </c>
    </row>
    <row r="252">
      <c r="A252" s="10" t="s">
        <v>369</v>
      </c>
      <c r="B252" s="10" t="s">
        <v>370</v>
      </c>
      <c r="C252" s="10" t="s">
        <v>863</v>
      </c>
      <c r="D252" s="11" t="s">
        <v>1078</v>
      </c>
      <c r="E252" s="10" t="s">
        <v>122</v>
      </c>
      <c r="F252" s="16" t="str">
        <f>IFERROR(VLOOKUP(A252,Sheet3!$B$1:$E$313,3,FALSE),"")</f>
        <v>barang jadi</v>
      </c>
    </row>
    <row r="253">
      <c r="A253" s="10" t="s">
        <v>371</v>
      </c>
      <c r="B253" s="10" t="s">
        <v>372</v>
      </c>
      <c r="C253" s="10" t="s">
        <v>863</v>
      </c>
      <c r="D253" s="11" t="s">
        <v>1079</v>
      </c>
      <c r="E253" s="10" t="s">
        <v>122</v>
      </c>
      <c r="F253" s="16" t="str">
        <f>IFERROR(VLOOKUP(A253,Sheet3!$B$1:$E$313,3,FALSE),"")</f>
        <v>barang jadi</v>
      </c>
    </row>
    <row r="254">
      <c r="A254" s="10" t="s">
        <v>373</v>
      </c>
      <c r="B254" s="10" t="s">
        <v>374</v>
      </c>
      <c r="C254" s="10" t="s">
        <v>863</v>
      </c>
      <c r="D254" s="11" t="s">
        <v>1078</v>
      </c>
      <c r="E254" s="10" t="s">
        <v>122</v>
      </c>
      <c r="F254" s="16" t="str">
        <f>IFERROR(VLOOKUP(A254,Sheet3!$B$1:$E$313,3,FALSE),"")</f>
        <v>barang jadi</v>
      </c>
    </row>
    <row r="255">
      <c r="A255" s="10" t="s">
        <v>377</v>
      </c>
      <c r="B255" s="10" t="s">
        <v>378</v>
      </c>
      <c r="C255" s="10" t="s">
        <v>863</v>
      </c>
      <c r="D255" s="11" t="s">
        <v>1080</v>
      </c>
      <c r="E255" s="10" t="s">
        <v>122</v>
      </c>
      <c r="F255" s="16" t="str">
        <f>IFERROR(VLOOKUP(A255,Sheet3!$B$1:$E$313,3,FALSE),"")</f>
        <v>barang jadi</v>
      </c>
    </row>
    <row r="256">
      <c r="A256" s="10" t="s">
        <v>380</v>
      </c>
      <c r="B256" s="10" t="s">
        <v>382</v>
      </c>
      <c r="C256" s="10" t="s">
        <v>863</v>
      </c>
      <c r="D256" s="11" t="s">
        <v>1081</v>
      </c>
      <c r="E256" s="10" t="s">
        <v>122</v>
      </c>
      <c r="F256" s="16" t="str">
        <f>IFERROR(VLOOKUP(A256,Sheet3!$B$1:$E$313,3,FALSE),"")</f>
        <v>barang jadi</v>
      </c>
    </row>
    <row r="257">
      <c r="A257" s="10" t="s">
        <v>383</v>
      </c>
      <c r="B257" s="10" t="s">
        <v>384</v>
      </c>
      <c r="C257" s="10" t="s">
        <v>863</v>
      </c>
      <c r="D257" s="11" t="s">
        <v>1083</v>
      </c>
      <c r="E257" s="10" t="s">
        <v>122</v>
      </c>
      <c r="F257" s="16" t="str">
        <f>IFERROR(VLOOKUP(A257,Sheet3!$B$1:$E$313,3,FALSE),"")</f>
        <v>barang jadi</v>
      </c>
    </row>
    <row r="258">
      <c r="A258" s="10" t="s">
        <v>385</v>
      </c>
      <c r="B258" s="10" t="s">
        <v>386</v>
      </c>
      <c r="C258" s="10" t="s">
        <v>863</v>
      </c>
      <c r="D258" s="11" t="s">
        <v>1084</v>
      </c>
      <c r="E258" s="10" t="s">
        <v>122</v>
      </c>
      <c r="F258" s="16" t="str">
        <f>IFERROR(VLOOKUP(A258,Sheet3!$B$1:$E$313,3,FALSE),"")</f>
        <v>barang jadi</v>
      </c>
    </row>
    <row r="259">
      <c r="A259" s="10" t="s">
        <v>1085</v>
      </c>
      <c r="B259" s="10" t="s">
        <v>1086</v>
      </c>
      <c r="C259" s="10" t="s">
        <v>863</v>
      </c>
      <c r="D259" s="11">
        <v>0.0</v>
      </c>
      <c r="E259" s="10" t="s">
        <v>122</v>
      </c>
      <c r="F259" s="7" t="s">
        <v>316</v>
      </c>
    </row>
    <row r="260">
      <c r="A260" s="10" t="s">
        <v>604</v>
      </c>
      <c r="B260" s="10" t="s">
        <v>605</v>
      </c>
      <c r="C260" s="10" t="s">
        <v>863</v>
      </c>
      <c r="D260" s="11" t="s">
        <v>1087</v>
      </c>
      <c r="E260" s="10" t="s">
        <v>131</v>
      </c>
      <c r="F260" s="16" t="str">
        <f>IFERROR(VLOOKUP(A260,Sheet3!$B$1:$E$313,3,FALSE),"")</f>
        <v>barang jadi &amp; bahan baku</v>
      </c>
    </row>
    <row r="261">
      <c r="A261" s="10" t="s">
        <v>395</v>
      </c>
      <c r="B261" s="10" t="s">
        <v>396</v>
      </c>
      <c r="C261" s="10" t="s">
        <v>25</v>
      </c>
      <c r="D261" s="11">
        <v>0.0</v>
      </c>
      <c r="E261" s="10" t="s">
        <v>131</v>
      </c>
      <c r="F261" s="16" t="str">
        <f>IFERROR(VLOOKUP(A261,Sheet3!$B$1:$E$313,3,FALSE),"")</f>
        <v>barang jadi</v>
      </c>
    </row>
    <row r="262">
      <c r="A262" s="10" t="s">
        <v>1088</v>
      </c>
      <c r="B262" s="10" t="s">
        <v>399</v>
      </c>
      <c r="C262" s="10" t="s">
        <v>25</v>
      </c>
      <c r="D262" s="11">
        <v>0.0</v>
      </c>
      <c r="E262" s="10" t="s">
        <v>131</v>
      </c>
      <c r="F262" s="7" t="s">
        <v>316</v>
      </c>
    </row>
    <row r="263">
      <c r="A263" s="10" t="s">
        <v>400</v>
      </c>
      <c r="B263" s="10" t="s">
        <v>401</v>
      </c>
      <c r="C263" s="10" t="s">
        <v>25</v>
      </c>
      <c r="D263" s="11">
        <v>0.0</v>
      </c>
      <c r="E263" s="10" t="s">
        <v>131</v>
      </c>
      <c r="F263" s="16" t="str">
        <f>IFERROR(VLOOKUP(A263,Sheet3!$B$1:$E$313,3,FALSE),"")</f>
        <v>barang jadi</v>
      </c>
    </row>
    <row r="264">
      <c r="A264" s="10" t="s">
        <v>606</v>
      </c>
      <c r="B264" s="10" t="s">
        <v>607</v>
      </c>
      <c r="C264" s="10" t="s">
        <v>25</v>
      </c>
      <c r="D264" s="11">
        <v>0.0</v>
      </c>
      <c r="E264" s="10" t="s">
        <v>131</v>
      </c>
      <c r="F264" s="16" t="str">
        <f>IFERROR(VLOOKUP(A264,Sheet3!$B$1:$E$313,3,FALSE),"")</f>
        <v>barang jadi &amp; bahan baku</v>
      </c>
    </row>
    <row r="265">
      <c r="A265" s="10" t="s">
        <v>402</v>
      </c>
      <c r="B265" s="10" t="s">
        <v>403</v>
      </c>
      <c r="C265" s="10" t="s">
        <v>750</v>
      </c>
      <c r="D265" s="11">
        <v>0.0</v>
      </c>
      <c r="E265" s="10" t="s">
        <v>131</v>
      </c>
      <c r="F265" s="16" t="str">
        <f>IFERROR(VLOOKUP(A265,Sheet3!$B$1:$E$313,3,FALSE),"")</f>
        <v>barang jadi</v>
      </c>
    </row>
    <row r="266">
      <c r="A266" s="10" t="s">
        <v>404</v>
      </c>
      <c r="B266" s="10" t="s">
        <v>405</v>
      </c>
      <c r="C266" s="10" t="s">
        <v>25</v>
      </c>
      <c r="D266" s="11">
        <v>0.0</v>
      </c>
      <c r="E266" s="10" t="s">
        <v>131</v>
      </c>
      <c r="F266" s="16" t="str">
        <f>IFERROR(VLOOKUP(A266,Sheet3!$B$1:$E$313,3,FALSE),"")</f>
        <v>barang jadi</v>
      </c>
    </row>
    <row r="267">
      <c r="A267" s="10" t="s">
        <v>406</v>
      </c>
      <c r="B267" s="10" t="s">
        <v>407</v>
      </c>
      <c r="C267" s="10" t="s">
        <v>25</v>
      </c>
      <c r="D267" s="11">
        <v>0.0</v>
      </c>
      <c r="E267" s="10" t="s">
        <v>131</v>
      </c>
      <c r="F267" s="16" t="str">
        <f>IFERROR(VLOOKUP(A267,Sheet3!$B$1:$E$313,3,FALSE),"")</f>
        <v>barang jadi</v>
      </c>
    </row>
    <row r="268">
      <c r="A268" s="10" t="s">
        <v>393</v>
      </c>
      <c r="B268" s="10" t="s">
        <v>567</v>
      </c>
      <c r="C268" s="10" t="s">
        <v>863</v>
      </c>
      <c r="D268" s="11" t="s">
        <v>1089</v>
      </c>
      <c r="E268" s="10" t="s">
        <v>131</v>
      </c>
      <c r="F268" s="16" t="str">
        <f>IFERROR(VLOOKUP(A268,Sheet3!$B$1:$E$313,3,FALSE),"")</f>
        <v>barang jadi</v>
      </c>
    </row>
    <row r="269">
      <c r="A269" s="10" t="s">
        <v>408</v>
      </c>
      <c r="B269" s="10" t="s">
        <v>409</v>
      </c>
      <c r="C269" s="10" t="s">
        <v>863</v>
      </c>
      <c r="D269" s="11" t="s">
        <v>1090</v>
      </c>
      <c r="E269" s="10" t="s">
        <v>131</v>
      </c>
      <c r="F269" s="16" t="str">
        <f>IFERROR(VLOOKUP(A269,Sheet3!$B$1:$E$313,3,FALSE),"")</f>
        <v>barang jadi</v>
      </c>
    </row>
    <row r="270">
      <c r="A270" s="10" t="s">
        <v>1091</v>
      </c>
      <c r="B270" s="10" t="s">
        <v>1092</v>
      </c>
      <c r="C270" s="10" t="s">
        <v>863</v>
      </c>
      <c r="D270" s="11" t="s">
        <v>1093</v>
      </c>
      <c r="E270" s="10" t="s">
        <v>131</v>
      </c>
      <c r="F270" s="7" t="s">
        <v>316</v>
      </c>
    </row>
    <row r="271">
      <c r="A271" s="10" t="s">
        <v>1094</v>
      </c>
      <c r="B271" s="10" t="s">
        <v>1095</v>
      </c>
      <c r="C271" s="10" t="s">
        <v>863</v>
      </c>
      <c r="D271" s="11" t="s">
        <v>1096</v>
      </c>
      <c r="E271" s="10" t="s">
        <v>131</v>
      </c>
      <c r="F271" s="7" t="s">
        <v>316</v>
      </c>
    </row>
    <row r="272">
      <c r="A272" s="10" t="s">
        <v>1097</v>
      </c>
      <c r="B272" s="10" t="s">
        <v>1098</v>
      </c>
      <c r="C272" s="10" t="s">
        <v>863</v>
      </c>
      <c r="D272" s="11" t="s">
        <v>1099</v>
      </c>
      <c r="E272" s="10" t="s">
        <v>131</v>
      </c>
      <c r="F272" s="7" t="s">
        <v>316</v>
      </c>
    </row>
    <row r="273">
      <c r="A273" s="10" t="s">
        <v>1100</v>
      </c>
      <c r="B273" s="10" t="s">
        <v>1101</v>
      </c>
      <c r="C273" s="10" t="s">
        <v>863</v>
      </c>
      <c r="D273" s="11" t="s">
        <v>1102</v>
      </c>
      <c r="E273" s="10" t="s">
        <v>131</v>
      </c>
      <c r="F273" s="7" t="s">
        <v>316</v>
      </c>
    </row>
    <row r="274">
      <c r="A274" s="10" t="s">
        <v>1103</v>
      </c>
      <c r="B274" s="10" t="s">
        <v>1104</v>
      </c>
      <c r="C274" s="10" t="s">
        <v>863</v>
      </c>
      <c r="D274" s="11" t="s">
        <v>1105</v>
      </c>
      <c r="E274" s="10" t="s">
        <v>131</v>
      </c>
      <c r="F274" s="7" t="s">
        <v>316</v>
      </c>
    </row>
    <row r="275">
      <c r="A275" s="10" t="s">
        <v>1106</v>
      </c>
      <c r="B275" s="10" t="s">
        <v>1107</v>
      </c>
      <c r="C275" s="10" t="s">
        <v>863</v>
      </c>
      <c r="D275" s="11" t="s">
        <v>1108</v>
      </c>
      <c r="E275" s="10" t="s">
        <v>131</v>
      </c>
      <c r="F275" s="7" t="s">
        <v>316</v>
      </c>
    </row>
    <row r="276">
      <c r="A276" s="10" t="s">
        <v>1109</v>
      </c>
      <c r="B276" s="10" t="s">
        <v>1110</v>
      </c>
      <c r="C276" s="10" t="s">
        <v>863</v>
      </c>
      <c r="D276" s="11" t="s">
        <v>1111</v>
      </c>
      <c r="E276" s="10" t="s">
        <v>131</v>
      </c>
      <c r="F276" s="7" t="s">
        <v>316</v>
      </c>
    </row>
    <row r="277">
      <c r="A277" s="10" t="s">
        <v>1112</v>
      </c>
      <c r="B277" s="10" t="s">
        <v>1113</v>
      </c>
      <c r="C277" s="10" t="s">
        <v>863</v>
      </c>
      <c r="D277" s="11" t="s">
        <v>1114</v>
      </c>
      <c r="E277" s="10" t="s">
        <v>131</v>
      </c>
      <c r="F277" s="7" t="s">
        <v>316</v>
      </c>
    </row>
    <row r="278">
      <c r="A278" s="10" t="s">
        <v>1115</v>
      </c>
      <c r="B278" s="10" t="s">
        <v>1116</v>
      </c>
      <c r="C278" s="10" t="s">
        <v>863</v>
      </c>
      <c r="D278" s="11" t="s">
        <v>1117</v>
      </c>
      <c r="E278" s="10" t="s">
        <v>131</v>
      </c>
      <c r="F278" s="7" t="s">
        <v>316</v>
      </c>
    </row>
    <row r="279">
      <c r="A279" s="10" t="s">
        <v>1118</v>
      </c>
      <c r="B279" s="10" t="s">
        <v>1119</v>
      </c>
      <c r="C279" s="10" t="s">
        <v>863</v>
      </c>
      <c r="D279" s="11" t="s">
        <v>1120</v>
      </c>
      <c r="E279" s="10" t="s">
        <v>131</v>
      </c>
      <c r="F279" s="7" t="s">
        <v>316</v>
      </c>
    </row>
    <row r="280">
      <c r="A280" s="10" t="s">
        <v>1121</v>
      </c>
      <c r="B280" s="10" t="s">
        <v>1122</v>
      </c>
      <c r="C280" s="10" t="s">
        <v>436</v>
      </c>
      <c r="D280" s="11" t="s">
        <v>1123</v>
      </c>
      <c r="E280" s="10" t="s">
        <v>145</v>
      </c>
      <c r="F280" s="16" t="str">
        <f>IFERROR(VLOOKUP(A280,Sheet3!$B$1:$E$313,3,FALSE),"")</f>
        <v/>
      </c>
    </row>
    <row r="281">
      <c r="A281" s="10" t="s">
        <v>1124</v>
      </c>
      <c r="B281" s="10" t="s">
        <v>1125</v>
      </c>
      <c r="C281" s="10" t="s">
        <v>25</v>
      </c>
      <c r="D281" s="11">
        <v>0.0</v>
      </c>
      <c r="E281" s="10" t="s">
        <v>145</v>
      </c>
      <c r="F281" s="16" t="str">
        <f>IFERROR(VLOOKUP(A281,Sheet3!$B$1:$E$313,3,FALSE),"")</f>
        <v/>
      </c>
    </row>
    <row r="282">
      <c r="A282" s="10" t="s">
        <v>1126</v>
      </c>
      <c r="B282" s="10" t="s">
        <v>1127</v>
      </c>
      <c r="C282" s="10" t="s">
        <v>25</v>
      </c>
      <c r="D282" s="11">
        <v>0.0</v>
      </c>
      <c r="E282" s="10" t="s">
        <v>145</v>
      </c>
      <c r="F282" s="16" t="str">
        <f>IFERROR(VLOOKUP(A282,Sheet3!$B$1:$E$313,3,FALSE),"")</f>
        <v/>
      </c>
    </row>
    <row r="283">
      <c r="A283" s="10" t="s">
        <v>1128</v>
      </c>
      <c r="B283" s="10" t="s">
        <v>1129</v>
      </c>
      <c r="C283" s="10" t="s">
        <v>436</v>
      </c>
      <c r="D283" s="11" t="s">
        <v>1130</v>
      </c>
      <c r="E283" s="10" t="s">
        <v>145</v>
      </c>
      <c r="F283" s="16" t="str">
        <f>IFERROR(VLOOKUP(A283,Sheet3!$B$1:$E$313,3,FALSE),"")</f>
        <v/>
      </c>
    </row>
    <row r="284">
      <c r="A284" s="10" t="s">
        <v>1131</v>
      </c>
      <c r="B284" s="10" t="s">
        <v>1132</v>
      </c>
      <c r="C284" s="10" t="s">
        <v>436</v>
      </c>
      <c r="D284" s="11">
        <v>0.0</v>
      </c>
      <c r="E284" s="10" t="s">
        <v>145</v>
      </c>
      <c r="F284" s="16" t="str">
        <f>IFERROR(VLOOKUP(A284,Sheet3!$B$1:$E$313,3,FALSE),"")</f>
        <v/>
      </c>
    </row>
    <row r="285">
      <c r="A285" s="10" t="s">
        <v>1133</v>
      </c>
      <c r="B285" s="10" t="s">
        <v>1134</v>
      </c>
      <c r="C285" s="10" t="s">
        <v>928</v>
      </c>
      <c r="D285" s="11">
        <v>0.0</v>
      </c>
      <c r="E285" s="10" t="s">
        <v>145</v>
      </c>
      <c r="F285" s="16" t="str">
        <f>IFERROR(VLOOKUP(A285,Sheet3!$B$1:$E$313,3,FALSE),"")</f>
        <v/>
      </c>
    </row>
    <row r="286">
      <c r="A286" s="10" t="s">
        <v>1135</v>
      </c>
      <c r="B286" s="10" t="s">
        <v>1136</v>
      </c>
      <c r="C286" s="10" t="s">
        <v>750</v>
      </c>
      <c r="D286" s="11">
        <v>0.0</v>
      </c>
      <c r="E286" s="10" t="s">
        <v>145</v>
      </c>
      <c r="F286" s="16" t="str">
        <f>IFERROR(VLOOKUP(A286,Sheet3!$B$1:$E$313,3,FALSE),"")</f>
        <v/>
      </c>
    </row>
    <row r="287">
      <c r="A287" s="10" t="s">
        <v>1137</v>
      </c>
      <c r="B287" s="10" t="s">
        <v>1138</v>
      </c>
      <c r="C287" s="10" t="s">
        <v>25</v>
      </c>
      <c r="D287" s="11">
        <v>0.0</v>
      </c>
      <c r="E287" s="10" t="s">
        <v>131</v>
      </c>
      <c r="F287" s="16" t="str">
        <f>IFERROR(VLOOKUP(A287,Sheet3!$B$1:$E$313,3,FALSE),"")</f>
        <v/>
      </c>
    </row>
    <row r="288">
      <c r="A288" s="10" t="s">
        <v>471</v>
      </c>
      <c r="B288" s="10" t="s">
        <v>472</v>
      </c>
      <c r="C288" s="10" t="s">
        <v>25</v>
      </c>
      <c r="D288" s="11">
        <v>0.0</v>
      </c>
      <c r="E288" s="10" t="s">
        <v>152</v>
      </c>
      <c r="F288" s="16" t="str">
        <f>IFERROR(VLOOKUP(A288,Sheet3!$B$1:$E$313,3,FALSE),"")</f>
        <v>barang jadi</v>
      </c>
    </row>
    <row r="289">
      <c r="A289" s="10" t="s">
        <v>473</v>
      </c>
      <c r="B289" s="10" t="s">
        <v>474</v>
      </c>
      <c r="C289" s="10" t="s">
        <v>709</v>
      </c>
      <c r="D289" s="11">
        <v>0.0</v>
      </c>
      <c r="E289" s="10" t="s">
        <v>152</v>
      </c>
      <c r="F289" s="16" t="str">
        <f>IFERROR(VLOOKUP(A289,Sheet3!$B$1:$E$313,3,FALSE),"")</f>
        <v>barang jadi</v>
      </c>
    </row>
    <row r="290">
      <c r="A290" s="10" t="s">
        <v>1140</v>
      </c>
      <c r="B290" s="10" t="s">
        <v>477</v>
      </c>
      <c r="C290" s="10" t="s">
        <v>928</v>
      </c>
      <c r="D290" s="11">
        <v>0.0</v>
      </c>
      <c r="E290" s="10" t="s">
        <v>152</v>
      </c>
      <c r="F290" s="16" t="str">
        <f>IFERROR(VLOOKUP(A290,Sheet3!$B$1:$E$313,3,FALSE),"")</f>
        <v/>
      </c>
    </row>
    <row r="291">
      <c r="A291" s="10" t="s">
        <v>478</v>
      </c>
      <c r="B291" s="10" t="s">
        <v>479</v>
      </c>
      <c r="C291" s="10" t="s">
        <v>1141</v>
      </c>
      <c r="D291" s="11">
        <v>0.0</v>
      </c>
      <c r="E291" s="10" t="s">
        <v>152</v>
      </c>
      <c r="F291" s="16" t="str">
        <f>IFERROR(VLOOKUP(A291,Sheet3!$B$1:$E$313,3,FALSE),"")</f>
        <v>barang jadi</v>
      </c>
    </row>
    <row r="292">
      <c r="A292" s="10" t="s">
        <v>1142</v>
      </c>
      <c r="B292" s="10" t="s">
        <v>481</v>
      </c>
      <c r="C292" s="10" t="s">
        <v>436</v>
      </c>
      <c r="D292" s="11" t="s">
        <v>1143</v>
      </c>
      <c r="E292" s="10" t="s">
        <v>152</v>
      </c>
      <c r="F292" s="16" t="str">
        <f>IFERROR(VLOOKUP(A292,Sheet3!$B$1:$E$313,3,FALSE),"")</f>
        <v/>
      </c>
    </row>
    <row r="293">
      <c r="A293" s="10" t="s">
        <v>482</v>
      </c>
      <c r="B293" s="10" t="s">
        <v>484</v>
      </c>
      <c r="C293" s="10" t="s">
        <v>436</v>
      </c>
      <c r="D293" s="11" t="s">
        <v>1144</v>
      </c>
      <c r="E293" s="10" t="s">
        <v>160</v>
      </c>
      <c r="F293" s="16" t="str">
        <f>IFERROR(VLOOKUP(A293,Sheet3!$B$1:$E$313,3,FALSE),"")</f>
        <v>barang jadi</v>
      </c>
    </row>
    <row r="294">
      <c r="A294" s="10" t="s">
        <v>486</v>
      </c>
      <c r="B294" s="10" t="s">
        <v>487</v>
      </c>
      <c r="C294" s="10" t="s">
        <v>1145</v>
      </c>
      <c r="D294" s="11">
        <v>0.0</v>
      </c>
      <c r="E294" s="10" t="s">
        <v>160</v>
      </c>
      <c r="F294" s="16" t="str">
        <f>IFERROR(VLOOKUP(A294,Sheet3!$B$1:$E$313,3,FALSE),"")</f>
        <v>barang jadi</v>
      </c>
    </row>
    <row r="295">
      <c r="A295" s="10" t="s">
        <v>488</v>
      </c>
      <c r="B295" s="10" t="s">
        <v>489</v>
      </c>
      <c r="C295" s="10" t="s">
        <v>1145</v>
      </c>
      <c r="D295" s="11">
        <v>0.0</v>
      </c>
      <c r="E295" s="10" t="s">
        <v>160</v>
      </c>
      <c r="F295" s="16" t="str">
        <f>IFERROR(VLOOKUP(A295,Sheet3!$B$1:$E$313,3,FALSE),"")</f>
        <v>barang jadi</v>
      </c>
    </row>
    <row r="296">
      <c r="A296" s="10" t="s">
        <v>490</v>
      </c>
      <c r="B296" s="10" t="s">
        <v>491</v>
      </c>
      <c r="C296" s="10" t="s">
        <v>25</v>
      </c>
      <c r="D296" s="11">
        <v>0.0</v>
      </c>
      <c r="E296" s="10" t="s">
        <v>160</v>
      </c>
      <c r="F296" s="16" t="str">
        <f>IFERROR(VLOOKUP(A296,Sheet3!$B$1:$E$313,3,FALSE),"")</f>
        <v>barang jadi</v>
      </c>
    </row>
    <row r="297">
      <c r="A297" s="10" t="s">
        <v>492</v>
      </c>
      <c r="B297" s="10" t="s">
        <v>493</v>
      </c>
      <c r="C297" s="10" t="s">
        <v>25</v>
      </c>
      <c r="D297" s="11">
        <v>0.0</v>
      </c>
      <c r="E297" s="10" t="s">
        <v>160</v>
      </c>
      <c r="F297" s="16" t="str">
        <f>IFERROR(VLOOKUP(A297,Sheet3!$B$1:$E$313,3,FALSE),"")</f>
        <v>barang jadi</v>
      </c>
    </row>
    <row r="298">
      <c r="A298" s="10" t="s">
        <v>1147</v>
      </c>
      <c r="B298" s="10" t="s">
        <v>1148</v>
      </c>
      <c r="C298" s="10" t="s">
        <v>25</v>
      </c>
      <c r="D298" s="11">
        <v>0.0</v>
      </c>
      <c r="E298" s="10" t="s">
        <v>160</v>
      </c>
      <c r="F298" s="16" t="str">
        <f>IFERROR(VLOOKUP(A298,Sheet3!$B$1:$E$313,3,FALSE),"")</f>
        <v/>
      </c>
    </row>
    <row r="299">
      <c r="A299" s="10" t="s">
        <v>1149</v>
      </c>
      <c r="B299" s="10" t="s">
        <v>1150</v>
      </c>
      <c r="C299" s="10" t="s">
        <v>709</v>
      </c>
      <c r="D299" s="11">
        <v>0.0</v>
      </c>
      <c r="E299" s="10" t="s">
        <v>160</v>
      </c>
      <c r="F299" s="16" t="str">
        <f>IFERROR(VLOOKUP(A299,Sheet3!$B$1:$E$313,3,FALSE),"")</f>
        <v/>
      </c>
    </row>
    <row r="300">
      <c r="A300" s="10" t="s">
        <v>760</v>
      </c>
      <c r="B300" s="10" t="s">
        <v>761</v>
      </c>
      <c r="C300" s="10" t="s">
        <v>25</v>
      </c>
      <c r="D300" s="11">
        <v>0.0</v>
      </c>
      <c r="E300" s="10" t="s">
        <v>169</v>
      </c>
      <c r="F300" s="16" t="str">
        <f>IFERROR(VLOOKUP(A300,Sheet3!$B$1:$E$313,3,FALSE),"")</f>
        <v>others</v>
      </c>
    </row>
    <row r="301">
      <c r="A301" s="10" t="s">
        <v>1151</v>
      </c>
      <c r="B301" s="10" t="s">
        <v>1152</v>
      </c>
      <c r="C301" s="10" t="s">
        <v>928</v>
      </c>
      <c r="D301" s="11">
        <v>0.0</v>
      </c>
      <c r="E301" s="10" t="s">
        <v>169</v>
      </c>
      <c r="F301" s="16" t="str">
        <f>IFERROR(VLOOKUP(A301,Sheet3!$B$1:$E$313,3,FALSE),"")</f>
        <v/>
      </c>
    </row>
    <row r="302">
      <c r="A302" s="10" t="s">
        <v>1154</v>
      </c>
      <c r="B302" s="10" t="s">
        <v>1155</v>
      </c>
      <c r="C302" s="10" t="s">
        <v>709</v>
      </c>
      <c r="D302" s="11">
        <v>0.0</v>
      </c>
      <c r="E302" s="10" t="s">
        <v>169</v>
      </c>
      <c r="F302" s="16" t="str">
        <f>IFERROR(VLOOKUP(A302,Sheet3!$B$1:$E$313,3,FALSE),"")</f>
        <v/>
      </c>
    </row>
    <row r="303">
      <c r="A303" s="10" t="s">
        <v>756</v>
      </c>
      <c r="B303" s="10" t="s">
        <v>757</v>
      </c>
      <c r="C303" s="10" t="s">
        <v>25</v>
      </c>
      <c r="D303" s="11">
        <v>0.0</v>
      </c>
      <c r="E303" s="10" t="s">
        <v>169</v>
      </c>
      <c r="F303" s="16" t="str">
        <f>IFERROR(VLOOKUP(A303,Sheet3!$B$1:$E$313,3,FALSE),"")</f>
        <v>others</v>
      </c>
    </row>
    <row r="304">
      <c r="A304" s="10" t="s">
        <v>763</v>
      </c>
      <c r="B304" s="10" t="s">
        <v>764</v>
      </c>
      <c r="C304" s="10" t="s">
        <v>25</v>
      </c>
      <c r="D304" s="11" t="s">
        <v>1156</v>
      </c>
      <c r="E304" s="10" t="s">
        <v>169</v>
      </c>
      <c r="F304" s="16" t="str">
        <f>IFERROR(VLOOKUP(A304,Sheet3!$B$1:$E$313,3,FALSE),"")</f>
        <v>others</v>
      </c>
    </row>
    <row r="305">
      <c r="A305" s="10" t="s">
        <v>1157</v>
      </c>
      <c r="B305" s="10" t="s">
        <v>1158</v>
      </c>
      <c r="C305" s="10" t="s">
        <v>25</v>
      </c>
      <c r="D305" s="11" t="s">
        <v>1159</v>
      </c>
      <c r="E305" s="10" t="s">
        <v>169</v>
      </c>
      <c r="F305" s="16" t="str">
        <f>IFERROR(VLOOKUP(A305,Sheet3!$B$1:$E$313,3,FALSE),"")</f>
        <v/>
      </c>
    </row>
    <row r="306">
      <c r="A306" s="10" t="s">
        <v>748</v>
      </c>
      <c r="B306" s="10" t="s">
        <v>749</v>
      </c>
      <c r="C306" s="10" t="s">
        <v>25</v>
      </c>
      <c r="D306" s="11" t="s">
        <v>1160</v>
      </c>
      <c r="E306" s="10" t="s">
        <v>169</v>
      </c>
      <c r="F306" s="16" t="str">
        <f>IFERROR(VLOOKUP(A306,Sheet3!$B$1:$E$313,3,FALSE),"")</f>
        <v>others</v>
      </c>
    </row>
    <row r="307">
      <c r="A307" s="10" t="s">
        <v>1161</v>
      </c>
      <c r="B307" s="10" t="s">
        <v>1162</v>
      </c>
      <c r="C307" s="10" t="s">
        <v>25</v>
      </c>
      <c r="D307" s="11" t="s">
        <v>1163</v>
      </c>
      <c r="E307" s="10" t="s">
        <v>169</v>
      </c>
      <c r="F307" s="16" t="str">
        <f>IFERROR(VLOOKUP(A307,Sheet3!$B$1:$E$313,3,FALSE),"")</f>
        <v/>
      </c>
    </row>
    <row r="308">
      <c r="A308" s="10" t="s">
        <v>1166</v>
      </c>
      <c r="B308" s="10" t="s">
        <v>1167</v>
      </c>
      <c r="C308" s="10" t="s">
        <v>25</v>
      </c>
      <c r="D308" s="11">
        <v>0.0</v>
      </c>
      <c r="E308" s="10" t="s">
        <v>169</v>
      </c>
      <c r="F308" s="16" t="str">
        <f>IFERROR(VLOOKUP(A308,Sheet3!$B$1:$E$313,3,FALSE),"")</f>
        <v/>
      </c>
    </row>
    <row r="309">
      <c r="A309" s="10" t="s">
        <v>1168</v>
      </c>
      <c r="B309" s="10" t="s">
        <v>1169</v>
      </c>
      <c r="C309" s="10" t="s">
        <v>25</v>
      </c>
      <c r="D309" s="11">
        <v>0.0</v>
      </c>
      <c r="E309" s="10" t="s">
        <v>169</v>
      </c>
      <c r="F309" s="16" t="str">
        <f>IFERROR(VLOOKUP(A309,Sheet3!$B$1:$E$313,3,FALSE),"")</f>
        <v/>
      </c>
    </row>
    <row r="310">
      <c r="A310" s="10" t="s">
        <v>1170</v>
      </c>
      <c r="B310" s="10" t="s">
        <v>1171</v>
      </c>
      <c r="C310" s="10" t="s">
        <v>20</v>
      </c>
      <c r="D310" s="11" t="s">
        <v>1172</v>
      </c>
      <c r="E310" s="10" t="s">
        <v>169</v>
      </c>
      <c r="F310" s="16" t="str">
        <f>IFERROR(VLOOKUP(A310,Sheet3!$B$1:$E$313,3,FALSE),"")</f>
        <v/>
      </c>
    </row>
    <row r="311">
      <c r="A311" s="10" t="s">
        <v>1174</v>
      </c>
      <c r="B311" s="10" t="s">
        <v>1175</v>
      </c>
      <c r="C311" s="10" t="s">
        <v>20</v>
      </c>
      <c r="D311" s="11">
        <v>0.0</v>
      </c>
      <c r="E311" s="10" t="s">
        <v>169</v>
      </c>
      <c r="F311" s="16" t="str">
        <f>IFERROR(VLOOKUP(A311,Sheet3!$B$1:$E$313,3,FALSE),"")</f>
        <v/>
      </c>
    </row>
    <row r="312">
      <c r="A312" s="10" t="s">
        <v>752</v>
      </c>
      <c r="B312" s="10" t="s">
        <v>753</v>
      </c>
      <c r="C312" s="10" t="s">
        <v>20</v>
      </c>
      <c r="D312" s="11" t="s">
        <v>1176</v>
      </c>
      <c r="E312" s="10" t="s">
        <v>169</v>
      </c>
      <c r="F312" s="16" t="str">
        <f>IFERROR(VLOOKUP(A312,Sheet3!$B$1:$E$313,3,FALSE),"")</f>
        <v>others</v>
      </c>
    </row>
    <row r="313">
      <c r="A313" s="10" t="s">
        <v>758</v>
      </c>
      <c r="B313" s="10" t="s">
        <v>759</v>
      </c>
      <c r="C313" s="10" t="s">
        <v>20</v>
      </c>
      <c r="D313" s="11" t="s">
        <v>1177</v>
      </c>
      <c r="E313" s="10" t="s">
        <v>169</v>
      </c>
      <c r="F313" s="16" t="str">
        <f>IFERROR(VLOOKUP(A313,Sheet3!$B$1:$E$313,3,FALSE),"")</f>
        <v>others</v>
      </c>
    </row>
    <row r="314">
      <c r="A314" s="10" t="s">
        <v>1178</v>
      </c>
      <c r="B314" s="10" t="s">
        <v>1179</v>
      </c>
      <c r="C314" s="10" t="s">
        <v>25</v>
      </c>
      <c r="D314" s="11" t="s">
        <v>1180</v>
      </c>
      <c r="E314" s="10" t="s">
        <v>169</v>
      </c>
      <c r="F314" s="16" t="str">
        <f>IFERROR(VLOOKUP(A314,Sheet3!$B$1:$E$313,3,FALSE),"")</f>
        <v/>
      </c>
    </row>
    <row r="315">
      <c r="A315" s="10" t="s">
        <v>1181</v>
      </c>
      <c r="B315" s="10" t="s">
        <v>1182</v>
      </c>
      <c r="C315" s="10" t="s">
        <v>20</v>
      </c>
      <c r="D315" s="11" t="s">
        <v>1183</v>
      </c>
      <c r="E315" s="10" t="s">
        <v>169</v>
      </c>
      <c r="F315" s="16" t="str">
        <f>IFERROR(VLOOKUP(A315,Sheet3!$B$1:$E$313,3,FALSE),"")</f>
        <v/>
      </c>
    </row>
    <row r="316">
      <c r="A316" s="10" t="s">
        <v>1184</v>
      </c>
      <c r="B316" s="10" t="s">
        <v>1185</v>
      </c>
      <c r="C316" s="10" t="s">
        <v>20</v>
      </c>
      <c r="D316" s="11" t="s">
        <v>1187</v>
      </c>
      <c r="E316" s="10" t="s">
        <v>169</v>
      </c>
      <c r="F316" s="16" t="str">
        <f>IFERROR(VLOOKUP(A316,Sheet3!$B$1:$E$313,3,FALSE),"")</f>
        <v/>
      </c>
    </row>
    <row r="317">
      <c r="A317" s="10" t="s">
        <v>1189</v>
      </c>
      <c r="B317" s="10" t="s">
        <v>1190</v>
      </c>
      <c r="C317" s="10" t="s">
        <v>20</v>
      </c>
      <c r="D317" s="11" t="s">
        <v>1191</v>
      </c>
      <c r="E317" s="10" t="s">
        <v>169</v>
      </c>
      <c r="F317" s="16" t="str">
        <f>IFERROR(VLOOKUP(A317,Sheet3!$B$1:$E$313,3,FALSE),"")</f>
        <v/>
      </c>
    </row>
    <row r="318">
      <c r="A318" s="10" t="s">
        <v>1192</v>
      </c>
      <c r="B318" s="10" t="s">
        <v>1193</v>
      </c>
      <c r="C318" s="10" t="s">
        <v>20</v>
      </c>
      <c r="D318" s="11" t="s">
        <v>1194</v>
      </c>
      <c r="E318" s="10" t="s">
        <v>169</v>
      </c>
      <c r="F318" s="16" t="str">
        <f>IFERROR(VLOOKUP(A318,Sheet3!$B$1:$E$313,3,FALSE),"")</f>
        <v/>
      </c>
    </row>
    <row r="319">
      <c r="A319" s="10" t="s">
        <v>1197</v>
      </c>
      <c r="B319" s="10" t="s">
        <v>1198</v>
      </c>
      <c r="C319" s="10" t="s">
        <v>20</v>
      </c>
      <c r="D319" s="11" t="s">
        <v>1199</v>
      </c>
      <c r="E319" s="10" t="s">
        <v>169</v>
      </c>
      <c r="F319" s="16" t="str">
        <f>IFERROR(VLOOKUP(A319,Sheet3!$B$1:$E$313,3,FALSE),"")</f>
        <v/>
      </c>
    </row>
    <row r="320">
      <c r="A320" s="10" t="s">
        <v>1201</v>
      </c>
      <c r="B320" s="10" t="s">
        <v>1202</v>
      </c>
      <c r="C320" s="10" t="s">
        <v>20</v>
      </c>
      <c r="D320" s="11" t="s">
        <v>119</v>
      </c>
      <c r="E320" s="10" t="s">
        <v>169</v>
      </c>
      <c r="F320" s="16" t="str">
        <f>IFERROR(VLOOKUP(A320,Sheet3!$B$1:$E$313,3,FALSE),"")</f>
        <v/>
      </c>
    </row>
    <row r="321">
      <c r="A321" s="10" t="s">
        <v>1203</v>
      </c>
      <c r="B321" s="10" t="s">
        <v>1204</v>
      </c>
      <c r="C321" s="10" t="s">
        <v>20</v>
      </c>
      <c r="D321" s="11" t="s">
        <v>1205</v>
      </c>
      <c r="E321" s="10" t="s">
        <v>169</v>
      </c>
      <c r="F321" s="16" t="str">
        <f>IFERROR(VLOOKUP(A321,Sheet3!$B$1:$E$313,3,FALSE),"")</f>
        <v/>
      </c>
    </row>
    <row r="322">
      <c r="A322" s="10" t="s">
        <v>1207</v>
      </c>
      <c r="B322" s="10" t="s">
        <v>1208</v>
      </c>
      <c r="C322" s="10" t="s">
        <v>655</v>
      </c>
      <c r="D322" s="11" t="s">
        <v>1209</v>
      </c>
      <c r="E322" s="10" t="s">
        <v>169</v>
      </c>
      <c r="F322" s="16" t="str">
        <f>IFERROR(VLOOKUP(A322,Sheet3!$B$1:$E$313,3,FALSE),"")</f>
        <v/>
      </c>
    </row>
    <row r="323">
      <c r="A323" s="10" t="s">
        <v>1212</v>
      </c>
      <c r="B323" s="10" t="s">
        <v>1213</v>
      </c>
      <c r="C323" s="10" t="s">
        <v>655</v>
      </c>
      <c r="D323" s="11" t="s">
        <v>1214</v>
      </c>
      <c r="E323" s="10" t="s">
        <v>169</v>
      </c>
      <c r="F323" s="16" t="str">
        <f>IFERROR(VLOOKUP(A323,Sheet3!$B$1:$E$313,3,FALSE),"")</f>
        <v/>
      </c>
    </row>
    <row r="324">
      <c r="A324" s="24" t="s">
        <v>784</v>
      </c>
      <c r="B324" s="24" t="s">
        <v>785</v>
      </c>
      <c r="C324" s="10" t="s">
        <v>78</v>
      </c>
      <c r="D324" s="11" t="s">
        <v>1218</v>
      </c>
      <c r="E324" s="10" t="s">
        <v>169</v>
      </c>
      <c r="F324" s="16" t="str">
        <f>IFERROR(VLOOKUP(A324,Sheet3!$B$1:$E$313,3,FALSE),"")</f>
        <v>others</v>
      </c>
    </row>
    <row r="325">
      <c r="A325" s="10" t="s">
        <v>1219</v>
      </c>
      <c r="B325" s="10" t="s">
        <v>1220</v>
      </c>
      <c r="C325" s="10" t="s">
        <v>78</v>
      </c>
      <c r="D325" s="11" t="s">
        <v>1221</v>
      </c>
      <c r="E325" s="10" t="s">
        <v>169</v>
      </c>
      <c r="F325" s="16" t="str">
        <f>IFERROR(VLOOKUP(A325,Sheet3!$B$1:$E$313,3,FALSE),"")</f>
        <v/>
      </c>
    </row>
    <row r="326">
      <c r="A326" s="10" t="s">
        <v>608</v>
      </c>
      <c r="B326" s="10" t="s">
        <v>610</v>
      </c>
      <c r="C326" s="10" t="s">
        <v>20</v>
      </c>
      <c r="D326" s="11" t="s">
        <v>1222</v>
      </c>
      <c r="E326" s="10" t="s">
        <v>175</v>
      </c>
      <c r="F326" s="16" t="str">
        <f>IFERROR(VLOOKUP(A326,Sheet3!$B$1:$E$313,3,FALSE),"")</f>
        <v>barang jadi &amp; bahan baku</v>
      </c>
    </row>
    <row r="327">
      <c r="A327" s="10" t="s">
        <v>611</v>
      </c>
      <c r="B327" s="10" t="s">
        <v>612</v>
      </c>
      <c r="C327" s="10" t="s">
        <v>25</v>
      </c>
      <c r="D327" s="11">
        <v>0.0</v>
      </c>
      <c r="E327" s="10" t="s">
        <v>175</v>
      </c>
      <c r="F327" s="16" t="str">
        <f>IFERROR(VLOOKUP(A327,Sheet3!$B$1:$E$313,3,FALSE),"")</f>
        <v>barang jadi &amp; bahan baku</v>
      </c>
    </row>
    <row r="328">
      <c r="A328" s="10" t="s">
        <v>613</v>
      </c>
      <c r="B328" s="10" t="s">
        <v>614</v>
      </c>
      <c r="C328" s="10" t="s">
        <v>20</v>
      </c>
      <c r="D328" s="11" t="s">
        <v>1223</v>
      </c>
      <c r="E328" s="10" t="s">
        <v>175</v>
      </c>
      <c r="F328" s="16" t="str">
        <f>IFERROR(VLOOKUP(A328,Sheet3!$B$1:$E$313,3,FALSE),"")</f>
        <v>barang jadi &amp; bahan baku</v>
      </c>
    </row>
    <row r="329">
      <c r="A329" s="10" t="s">
        <v>616</v>
      </c>
      <c r="B329" s="10" t="s">
        <v>618</v>
      </c>
      <c r="C329" s="10" t="s">
        <v>20</v>
      </c>
      <c r="D329" s="11" t="s">
        <v>1226</v>
      </c>
      <c r="E329" s="10" t="s">
        <v>175</v>
      </c>
      <c r="F329" s="16" t="str">
        <f>IFERROR(VLOOKUP(A329,Sheet3!$B$1:$E$313,3,FALSE),"")</f>
        <v>barang jadi &amp; bahan baku</v>
      </c>
    </row>
    <row r="330">
      <c r="A330" s="10" t="s">
        <v>620</v>
      </c>
      <c r="B330" s="10" t="s">
        <v>621</v>
      </c>
      <c r="C330" s="10" t="s">
        <v>20</v>
      </c>
      <c r="D330" s="11" t="s">
        <v>1227</v>
      </c>
      <c r="E330" s="10" t="s">
        <v>175</v>
      </c>
      <c r="F330" s="16" t="str">
        <f>IFERROR(VLOOKUP(A330,Sheet3!$B$1:$E$313,3,FALSE),"")</f>
        <v>barang jadi &amp; bahan baku</v>
      </c>
    </row>
    <row r="331">
      <c r="A331" s="10" t="s">
        <v>623</v>
      </c>
      <c r="B331" s="10" t="s">
        <v>624</v>
      </c>
      <c r="C331" s="10" t="s">
        <v>20</v>
      </c>
      <c r="D331" s="11">
        <v>0.0</v>
      </c>
      <c r="E331" s="10" t="s">
        <v>175</v>
      </c>
      <c r="F331" s="16" t="str">
        <f>IFERROR(VLOOKUP(A331,Sheet3!$B$1:$E$313,3,FALSE),"")</f>
        <v>barang jadi &amp; bahan baku</v>
      </c>
    </row>
    <row r="332">
      <c r="A332" s="10" t="s">
        <v>625</v>
      </c>
      <c r="B332" s="10" t="s">
        <v>626</v>
      </c>
      <c r="C332" s="10" t="s">
        <v>20</v>
      </c>
      <c r="D332" s="11">
        <v>0.0</v>
      </c>
      <c r="E332" s="10" t="s">
        <v>175</v>
      </c>
      <c r="F332" s="16" t="str">
        <f>IFERROR(VLOOKUP(A332,Sheet3!$B$1:$E$313,3,FALSE),"")</f>
        <v>barang jadi &amp; bahan baku</v>
      </c>
    </row>
    <row r="333">
      <c r="A333" s="10" t="s">
        <v>629</v>
      </c>
      <c r="B333" s="10" t="s">
        <v>630</v>
      </c>
      <c r="C333" s="10" t="s">
        <v>20</v>
      </c>
      <c r="D333" s="11" t="s">
        <v>1229</v>
      </c>
      <c r="E333" s="10" t="s">
        <v>175</v>
      </c>
      <c r="F333" s="16" t="str">
        <f>IFERROR(VLOOKUP(A333,Sheet3!$B$1:$E$313,3,FALSE),"")</f>
        <v>barang jadi &amp; bahan baku</v>
      </c>
    </row>
    <row r="334">
      <c r="A334" s="10" t="s">
        <v>632</v>
      </c>
      <c r="B334" s="10" t="s">
        <v>633</v>
      </c>
      <c r="C334" s="10" t="s">
        <v>20</v>
      </c>
      <c r="D334" s="11" t="s">
        <v>1230</v>
      </c>
      <c r="E334" s="10" t="s">
        <v>175</v>
      </c>
      <c r="F334" s="16" t="str">
        <f>IFERROR(VLOOKUP(A334,Sheet3!$B$1:$E$313,3,FALSE),"")</f>
        <v>barang jadi &amp; bahan baku</v>
      </c>
    </row>
    <row r="335">
      <c r="A335" s="10" t="s">
        <v>634</v>
      </c>
      <c r="B335" s="10" t="s">
        <v>635</v>
      </c>
      <c r="C335" s="10" t="s">
        <v>20</v>
      </c>
      <c r="D335" s="11" t="s">
        <v>1231</v>
      </c>
      <c r="E335" s="10" t="s">
        <v>175</v>
      </c>
      <c r="F335" s="16" t="str">
        <f>IFERROR(VLOOKUP(A335,Sheet3!$B$1:$E$313,3,FALSE),"")</f>
        <v>barang jadi &amp; bahan baku</v>
      </c>
    </row>
    <row r="336">
      <c r="A336" s="10" t="s">
        <v>636</v>
      </c>
      <c r="B336" s="10" t="s">
        <v>638</v>
      </c>
      <c r="C336" s="10" t="s">
        <v>863</v>
      </c>
      <c r="D336" s="11">
        <v>0.0</v>
      </c>
      <c r="E336" s="10" t="s">
        <v>175</v>
      </c>
      <c r="F336" s="16" t="str">
        <f>IFERROR(VLOOKUP(A336,Sheet3!$B$1:$E$313,3,FALSE),"")</f>
        <v>barang jadi &amp; bahan baku</v>
      </c>
    </row>
    <row r="337">
      <c r="A337" s="10" t="s">
        <v>640</v>
      </c>
      <c r="B337" s="10" t="s">
        <v>641</v>
      </c>
      <c r="C337" s="10" t="s">
        <v>863</v>
      </c>
      <c r="D337" s="11" t="s">
        <v>1233</v>
      </c>
      <c r="E337" s="10" t="s">
        <v>175</v>
      </c>
      <c r="F337" s="16" t="str">
        <f>IFERROR(VLOOKUP(A337,Sheet3!$B$1:$E$313,3,FALSE),"")</f>
        <v>barang jadi &amp; bahan baku</v>
      </c>
    </row>
    <row r="338">
      <c r="A338" s="10" t="s">
        <v>643</v>
      </c>
      <c r="B338" s="10" t="s">
        <v>644</v>
      </c>
      <c r="C338" s="10" t="s">
        <v>25</v>
      </c>
      <c r="D338" s="11">
        <v>0.0</v>
      </c>
      <c r="E338" s="10" t="s">
        <v>175</v>
      </c>
      <c r="F338" s="16" t="str">
        <f>IFERROR(VLOOKUP(A338,Sheet3!$B$1:$E$313,3,FALSE),"")</f>
        <v>barang jadi &amp; bahan baku</v>
      </c>
    </row>
    <row r="339">
      <c r="A339" s="10" t="s">
        <v>645</v>
      </c>
      <c r="B339" s="10" t="s">
        <v>646</v>
      </c>
      <c r="C339" s="10" t="s">
        <v>20</v>
      </c>
      <c r="D339" s="11">
        <v>0.0</v>
      </c>
      <c r="E339" s="10" t="s">
        <v>175</v>
      </c>
      <c r="F339" s="16" t="str">
        <f>IFERROR(VLOOKUP(A339,Sheet3!$B$1:$E$313,3,FALSE),"")</f>
        <v>barang jadi &amp; bahan baku</v>
      </c>
    </row>
    <row r="340">
      <c r="A340" s="10" t="s">
        <v>648</v>
      </c>
      <c r="B340" s="10" t="s">
        <v>649</v>
      </c>
      <c r="C340" s="10" t="s">
        <v>25</v>
      </c>
      <c r="D340" s="11">
        <v>0.0</v>
      </c>
      <c r="E340" s="10" t="s">
        <v>175</v>
      </c>
      <c r="F340" s="16" t="str">
        <f>IFERROR(VLOOKUP(A340,Sheet3!$B$1:$E$313,3,FALSE),"")</f>
        <v>barang jadi &amp; bahan baku</v>
      </c>
    </row>
    <row r="341">
      <c r="A341" s="10" t="s">
        <v>651</v>
      </c>
      <c r="B341" s="10" t="s">
        <v>652</v>
      </c>
      <c r="C341" s="10" t="s">
        <v>863</v>
      </c>
      <c r="D341" s="11" t="s">
        <v>1237</v>
      </c>
      <c r="E341" s="10" t="s">
        <v>175</v>
      </c>
      <c r="F341" s="16" t="str">
        <f>IFERROR(VLOOKUP(A341,Sheet3!$B$1:$E$313,3,FALSE),"")</f>
        <v>barang jadi &amp; bahan baku</v>
      </c>
    </row>
    <row r="342">
      <c r="A342" s="10" t="s">
        <v>653</v>
      </c>
      <c r="B342" s="10" t="s">
        <v>654</v>
      </c>
      <c r="C342" s="10" t="s">
        <v>20</v>
      </c>
      <c r="D342" s="11" t="s">
        <v>1238</v>
      </c>
      <c r="E342" s="10" t="s">
        <v>175</v>
      </c>
      <c r="F342" s="16" t="str">
        <f>IFERROR(VLOOKUP(A342,Sheet3!$B$1:$E$313,3,FALSE),"")</f>
        <v>barang jadi &amp; bahan baku</v>
      </c>
    </row>
    <row r="343">
      <c r="A343" s="10" t="s">
        <v>657</v>
      </c>
      <c r="B343" s="10" t="s">
        <v>658</v>
      </c>
      <c r="C343" s="10" t="s">
        <v>20</v>
      </c>
      <c r="D343" s="11">
        <v>0.0</v>
      </c>
      <c r="E343" s="10" t="s">
        <v>175</v>
      </c>
      <c r="F343" s="16" t="str">
        <f>IFERROR(VLOOKUP(A343,Sheet3!$B$1:$E$313,3,FALSE),"")</f>
        <v>barang jadi &amp; bahan baku</v>
      </c>
    </row>
    <row r="344">
      <c r="A344" s="10" t="s">
        <v>660</v>
      </c>
      <c r="B344" s="10" t="s">
        <v>661</v>
      </c>
      <c r="C344" s="10" t="s">
        <v>78</v>
      </c>
      <c r="D344" s="11" t="s">
        <v>1239</v>
      </c>
      <c r="E344" s="10" t="s">
        <v>175</v>
      </c>
      <c r="F344" s="16" t="str">
        <f>IFERROR(VLOOKUP(A344,Sheet3!$B$1:$E$313,3,FALSE),"")</f>
        <v>barang jadi &amp; bahan baku</v>
      </c>
    </row>
    <row r="345">
      <c r="A345" s="10" t="s">
        <v>664</v>
      </c>
      <c r="B345" s="10" t="s">
        <v>666</v>
      </c>
      <c r="C345" s="10" t="s">
        <v>863</v>
      </c>
      <c r="D345" s="11">
        <v>0.0</v>
      </c>
      <c r="E345" s="10" t="s">
        <v>175</v>
      </c>
      <c r="F345" s="16" t="str">
        <f>IFERROR(VLOOKUP(A345,Sheet3!$B$1:$E$313,3,FALSE),"")</f>
        <v>barang jadi &amp; bahan baku</v>
      </c>
    </row>
    <row r="346">
      <c r="A346" s="10" t="s">
        <v>667</v>
      </c>
      <c r="B346" s="10" t="s">
        <v>668</v>
      </c>
      <c r="C346" s="10" t="s">
        <v>863</v>
      </c>
      <c r="D346" s="11" t="s">
        <v>1240</v>
      </c>
      <c r="E346" s="10" t="s">
        <v>175</v>
      </c>
      <c r="F346" s="16" t="str">
        <f>IFERROR(VLOOKUP(A346,Sheet3!$B$1:$E$313,3,FALSE),"")</f>
        <v>barang jadi &amp; bahan baku</v>
      </c>
    </row>
    <row r="347">
      <c r="A347" s="10" t="s">
        <v>669</v>
      </c>
      <c r="B347" s="10" t="s">
        <v>670</v>
      </c>
      <c r="C347" s="10" t="s">
        <v>863</v>
      </c>
      <c r="D347" s="11" t="s">
        <v>1241</v>
      </c>
      <c r="E347" s="10" t="s">
        <v>175</v>
      </c>
      <c r="F347" s="16" t="str">
        <f>IFERROR(VLOOKUP(A347,Sheet3!$B$1:$E$313,3,FALSE),"")</f>
        <v>barang jadi &amp; bahan baku</v>
      </c>
    </row>
    <row r="348">
      <c r="A348" s="10" t="s">
        <v>672</v>
      </c>
      <c r="B348" s="10" t="s">
        <v>673</v>
      </c>
      <c r="C348" s="10" t="s">
        <v>863</v>
      </c>
      <c r="D348" s="11" t="s">
        <v>1242</v>
      </c>
      <c r="E348" s="10" t="s">
        <v>175</v>
      </c>
      <c r="F348" s="16" t="str">
        <f>IFERROR(VLOOKUP(A348,Sheet3!$B$1:$E$313,3,FALSE),"")</f>
        <v>barang jadi &amp; bahan baku</v>
      </c>
    </row>
    <row r="349">
      <c r="A349" s="10" t="s">
        <v>674</v>
      </c>
      <c r="B349" s="10" t="s">
        <v>675</v>
      </c>
      <c r="C349" s="10" t="s">
        <v>863</v>
      </c>
      <c r="D349" s="11">
        <v>0.0</v>
      </c>
      <c r="E349" s="10" t="s">
        <v>175</v>
      </c>
      <c r="F349" s="16" t="str">
        <f>IFERROR(VLOOKUP(A349,Sheet3!$B$1:$E$313,3,FALSE),"")</f>
        <v>barang jadi &amp; bahan baku</v>
      </c>
    </row>
    <row r="350">
      <c r="A350" s="10" t="s">
        <v>677</v>
      </c>
      <c r="B350" s="10" t="s">
        <v>678</v>
      </c>
      <c r="C350" s="10" t="s">
        <v>863</v>
      </c>
      <c r="D350" s="11" t="s">
        <v>1243</v>
      </c>
      <c r="E350" s="10" t="s">
        <v>175</v>
      </c>
      <c r="F350" s="16" t="str">
        <f>IFERROR(VLOOKUP(A350,Sheet3!$B$1:$E$313,3,FALSE),"")</f>
        <v>barang jadi &amp; bahan baku</v>
      </c>
    </row>
    <row r="351">
      <c r="A351" s="10" t="s">
        <v>679</v>
      </c>
      <c r="B351" s="10" t="s">
        <v>680</v>
      </c>
      <c r="C351" s="10" t="s">
        <v>863</v>
      </c>
      <c r="D351" s="11">
        <v>0.0</v>
      </c>
      <c r="E351" s="10" t="s">
        <v>175</v>
      </c>
      <c r="F351" s="16" t="str">
        <f>IFERROR(VLOOKUP(A351,Sheet3!$B$1:$E$313,3,FALSE),"")</f>
        <v>barang jadi &amp; bahan baku</v>
      </c>
    </row>
    <row r="352">
      <c r="A352" s="10" t="s">
        <v>681</v>
      </c>
      <c r="B352" s="10" t="s">
        <v>683</v>
      </c>
      <c r="C352" s="10" t="s">
        <v>863</v>
      </c>
      <c r="D352" s="11" t="s">
        <v>1244</v>
      </c>
      <c r="E352" s="10" t="s">
        <v>175</v>
      </c>
      <c r="F352" s="16" t="str">
        <f>IFERROR(VLOOKUP(A352,Sheet3!$B$1:$E$313,3,FALSE),"")</f>
        <v>barang jadi &amp; bahan baku</v>
      </c>
    </row>
    <row r="353">
      <c r="A353" s="10" t="s">
        <v>684</v>
      </c>
      <c r="B353" s="10" t="s">
        <v>685</v>
      </c>
      <c r="C353" s="10" t="s">
        <v>863</v>
      </c>
      <c r="D353" s="11" t="s">
        <v>1246</v>
      </c>
      <c r="E353" s="10" t="s">
        <v>175</v>
      </c>
      <c r="F353" s="16" t="str">
        <f>IFERROR(VLOOKUP(A353,Sheet3!$B$1:$E$313,3,FALSE),"")</f>
        <v>barang jadi &amp; bahan baku</v>
      </c>
    </row>
    <row r="354">
      <c r="A354" s="10" t="s">
        <v>687</v>
      </c>
      <c r="B354" s="10" t="s">
        <v>689</v>
      </c>
      <c r="C354" s="10" t="s">
        <v>863</v>
      </c>
      <c r="D354" s="11" t="s">
        <v>1242</v>
      </c>
      <c r="E354" s="10" t="s">
        <v>175</v>
      </c>
      <c r="F354" s="16" t="str">
        <f>IFERROR(VLOOKUP(A354,Sheet3!$B$1:$E$313,3,FALSE),"")</f>
        <v>barang jadi &amp; bahan baku</v>
      </c>
    </row>
    <row r="355">
      <c r="A355" s="10" t="s">
        <v>691</v>
      </c>
      <c r="B355" s="10" t="s">
        <v>692</v>
      </c>
      <c r="C355" s="10" t="s">
        <v>863</v>
      </c>
      <c r="D355" s="11" t="s">
        <v>1249</v>
      </c>
      <c r="E355" s="10" t="s">
        <v>175</v>
      </c>
      <c r="F355" s="16" t="str">
        <f>IFERROR(VLOOKUP(A355,Sheet3!$B$1:$E$313,3,FALSE),"")</f>
        <v>barang jadi &amp; bahan baku</v>
      </c>
    </row>
    <row r="356">
      <c r="A356" s="10" t="s">
        <v>693</v>
      </c>
      <c r="B356" s="10" t="s">
        <v>694</v>
      </c>
      <c r="C356" s="10" t="s">
        <v>863</v>
      </c>
      <c r="D356" s="11" t="s">
        <v>1250</v>
      </c>
      <c r="E356" s="10" t="s">
        <v>175</v>
      </c>
      <c r="F356" s="16" t="str">
        <f>IFERROR(VLOOKUP(A356,Sheet3!$B$1:$E$313,3,FALSE),"")</f>
        <v>barang jadi &amp; bahan baku</v>
      </c>
    </row>
    <row r="357">
      <c r="A357" s="10" t="s">
        <v>698</v>
      </c>
      <c r="B357" s="10" t="s">
        <v>699</v>
      </c>
      <c r="C357" s="10" t="s">
        <v>863</v>
      </c>
      <c r="D357" s="11">
        <v>0.0</v>
      </c>
      <c r="E357" s="10" t="s">
        <v>175</v>
      </c>
      <c r="F357" s="16" t="str">
        <f>IFERROR(VLOOKUP(A357,Sheet3!$B$1:$E$313,3,FALSE),"")</f>
        <v>barang jadi &amp; bahan baku</v>
      </c>
    </row>
    <row r="358">
      <c r="A358" s="10" t="s">
        <v>1252</v>
      </c>
      <c r="B358" s="10" t="s">
        <v>701</v>
      </c>
      <c r="C358" s="10" t="s">
        <v>863</v>
      </c>
      <c r="D358" s="11">
        <v>0.0</v>
      </c>
      <c r="E358" s="10" t="s">
        <v>175</v>
      </c>
      <c r="F358" s="7" t="s">
        <v>600</v>
      </c>
    </row>
    <row r="359">
      <c r="A359" s="10" t="s">
        <v>702</v>
      </c>
      <c r="B359" s="10" t="s">
        <v>703</v>
      </c>
      <c r="C359" s="10" t="s">
        <v>863</v>
      </c>
      <c r="D359" s="11" t="s">
        <v>1242</v>
      </c>
      <c r="E359" s="10" t="s">
        <v>175</v>
      </c>
      <c r="F359" s="16" t="str">
        <f>IFERROR(VLOOKUP(A359,Sheet3!$B$1:$E$313,3,FALSE),"")</f>
        <v>barang jadi &amp; bahan baku</v>
      </c>
    </row>
    <row r="360">
      <c r="A360" s="10" t="s">
        <v>704</v>
      </c>
      <c r="B360" s="10" t="s">
        <v>705</v>
      </c>
      <c r="C360" s="10" t="s">
        <v>863</v>
      </c>
      <c r="D360" s="11" t="s">
        <v>1253</v>
      </c>
      <c r="E360" s="10" t="s">
        <v>175</v>
      </c>
      <c r="F360" s="16" t="str">
        <f>IFERROR(VLOOKUP(A360,Sheet3!$B$1:$E$313,3,FALSE),"")</f>
        <v>barang jadi &amp; bahan baku</v>
      </c>
    </row>
    <row r="361">
      <c r="A361" s="10" t="s">
        <v>1254</v>
      </c>
      <c r="B361" s="10" t="s">
        <v>1255</v>
      </c>
      <c r="C361" s="10" t="s">
        <v>863</v>
      </c>
      <c r="D361" s="11" t="s">
        <v>1256</v>
      </c>
      <c r="E361" s="10" t="s">
        <v>175</v>
      </c>
      <c r="F361" s="7" t="s">
        <v>600</v>
      </c>
    </row>
    <row r="362">
      <c r="A362" s="10" t="s">
        <v>1257</v>
      </c>
      <c r="B362" s="10" t="s">
        <v>1258</v>
      </c>
      <c r="C362" s="10" t="s">
        <v>863</v>
      </c>
      <c r="D362" s="11" t="s">
        <v>1259</v>
      </c>
      <c r="E362" s="10" t="s">
        <v>175</v>
      </c>
      <c r="F362" s="7" t="s">
        <v>600</v>
      </c>
    </row>
    <row r="363">
      <c r="A363" s="10" t="s">
        <v>1260</v>
      </c>
      <c r="B363" s="10" t="s">
        <v>1261</v>
      </c>
      <c r="C363" s="10" t="s">
        <v>20</v>
      </c>
      <c r="D363" s="11" t="s">
        <v>1262</v>
      </c>
      <c r="E363" s="10" t="s">
        <v>175</v>
      </c>
      <c r="F363" s="7" t="s">
        <v>600</v>
      </c>
    </row>
    <row r="364">
      <c r="A364" s="10" t="s">
        <v>663</v>
      </c>
      <c r="B364" s="10" t="s">
        <v>1263</v>
      </c>
      <c r="C364" s="10" t="s">
        <v>863</v>
      </c>
      <c r="D364" s="11" t="s">
        <v>1264</v>
      </c>
      <c r="E364" s="10" t="s">
        <v>175</v>
      </c>
      <c r="F364" s="16" t="str">
        <f>IFERROR(VLOOKUP(A364,Sheet3!$B$1:$E$313,3,FALSE),"")</f>
        <v>barang jadi &amp; bahan baku</v>
      </c>
    </row>
    <row r="365">
      <c r="A365" s="10" t="s">
        <v>1265</v>
      </c>
      <c r="B365" s="10" t="s">
        <v>1266</v>
      </c>
      <c r="C365" s="10" t="s">
        <v>863</v>
      </c>
      <c r="D365" s="11" t="s">
        <v>1268</v>
      </c>
      <c r="E365" s="10" t="s">
        <v>175</v>
      </c>
      <c r="F365" s="7" t="s">
        <v>600</v>
      </c>
    </row>
    <row r="366">
      <c r="A366" s="10" t="s">
        <v>1269</v>
      </c>
      <c r="B366" s="10" t="s">
        <v>1270</v>
      </c>
      <c r="C366" s="10" t="s">
        <v>863</v>
      </c>
      <c r="D366" s="11" t="s">
        <v>1271</v>
      </c>
      <c r="E366" s="10" t="s">
        <v>175</v>
      </c>
      <c r="F366" s="7" t="s">
        <v>600</v>
      </c>
    </row>
    <row r="367">
      <c r="A367" s="10" t="s">
        <v>1272</v>
      </c>
      <c r="B367" s="10" t="s">
        <v>1273</v>
      </c>
      <c r="C367" s="10" t="s">
        <v>863</v>
      </c>
      <c r="D367" s="11" t="s">
        <v>1271</v>
      </c>
      <c r="E367" s="10" t="s">
        <v>175</v>
      </c>
      <c r="F367" s="7" t="s">
        <v>600</v>
      </c>
    </row>
    <row r="368">
      <c r="A368" s="10" t="s">
        <v>1274</v>
      </c>
      <c r="B368" s="10" t="s">
        <v>1275</v>
      </c>
      <c r="C368" s="10" t="s">
        <v>863</v>
      </c>
      <c r="D368" s="11" t="s">
        <v>1276</v>
      </c>
      <c r="E368" s="10" t="s">
        <v>175</v>
      </c>
      <c r="F368" s="7" t="s">
        <v>600</v>
      </c>
    </row>
    <row r="369">
      <c r="A369" s="10" t="s">
        <v>1277</v>
      </c>
      <c r="B369" s="10" t="s">
        <v>1278</v>
      </c>
      <c r="C369" s="10" t="s">
        <v>863</v>
      </c>
      <c r="D369" s="11" t="s">
        <v>1279</v>
      </c>
      <c r="E369" s="10" t="s">
        <v>175</v>
      </c>
      <c r="F369" s="7" t="s">
        <v>600</v>
      </c>
    </row>
    <row r="370">
      <c r="A370" s="10" t="s">
        <v>1280</v>
      </c>
      <c r="B370" s="10" t="s">
        <v>1281</v>
      </c>
      <c r="C370" s="10" t="s">
        <v>863</v>
      </c>
      <c r="D370" s="11" t="s">
        <v>1282</v>
      </c>
      <c r="E370" s="10" t="s">
        <v>175</v>
      </c>
      <c r="F370" s="7" t="s">
        <v>600</v>
      </c>
    </row>
    <row r="371">
      <c r="A371" s="10" t="s">
        <v>912</v>
      </c>
      <c r="B371" s="10" t="s">
        <v>1283</v>
      </c>
      <c r="C371" s="10" t="s">
        <v>863</v>
      </c>
      <c r="D371" s="11" t="s">
        <v>1284</v>
      </c>
      <c r="E371" s="10" t="s">
        <v>175</v>
      </c>
      <c r="F371" s="7" t="s">
        <v>600</v>
      </c>
    </row>
    <row r="372">
      <c r="A372" s="10" t="s">
        <v>1285</v>
      </c>
      <c r="B372" s="10" t="s">
        <v>1286</v>
      </c>
      <c r="C372" s="10" t="s">
        <v>863</v>
      </c>
      <c r="D372" s="11">
        <v>0.0</v>
      </c>
      <c r="E372" s="10" t="s">
        <v>175</v>
      </c>
      <c r="F372" s="7" t="s">
        <v>600</v>
      </c>
    </row>
    <row r="373">
      <c r="A373" s="10" t="s">
        <v>1287</v>
      </c>
      <c r="B373" s="10" t="s">
        <v>1288</v>
      </c>
      <c r="C373" s="10" t="s">
        <v>863</v>
      </c>
      <c r="D373" s="11" t="s">
        <v>1289</v>
      </c>
      <c r="E373" s="10" t="s">
        <v>175</v>
      </c>
      <c r="F373" s="7" t="s">
        <v>600</v>
      </c>
    </row>
    <row r="374">
      <c r="A374" s="10" t="s">
        <v>1291</v>
      </c>
      <c r="B374" s="10" t="s">
        <v>1292</v>
      </c>
      <c r="C374" s="10" t="s">
        <v>25</v>
      </c>
      <c r="D374" s="11">
        <v>0.0</v>
      </c>
      <c r="E374" s="10" t="s">
        <v>175</v>
      </c>
      <c r="F374" s="7" t="s">
        <v>600</v>
      </c>
    </row>
    <row r="375">
      <c r="A375" s="10" t="s">
        <v>1293</v>
      </c>
      <c r="B375" s="10" t="s">
        <v>1294</v>
      </c>
      <c r="C375" s="10" t="s">
        <v>25</v>
      </c>
      <c r="D375" s="11">
        <v>0.0</v>
      </c>
      <c r="E375" s="10" t="s">
        <v>175</v>
      </c>
      <c r="F375" s="7" t="s">
        <v>600</v>
      </c>
    </row>
    <row r="376">
      <c r="A376" s="10" t="s">
        <v>500</v>
      </c>
      <c r="B376" s="10" t="s">
        <v>501</v>
      </c>
      <c r="C376" s="10" t="s">
        <v>25</v>
      </c>
      <c r="D376" s="11">
        <v>0.0</v>
      </c>
      <c r="E376" s="10" t="s">
        <v>180</v>
      </c>
      <c r="F376" s="7" t="s">
        <v>600</v>
      </c>
    </row>
    <row r="377">
      <c r="A377" s="10" t="s">
        <v>502</v>
      </c>
      <c r="B377" s="10" t="s">
        <v>503</v>
      </c>
      <c r="C377" s="10" t="s">
        <v>25</v>
      </c>
      <c r="D377" s="11">
        <v>0.0</v>
      </c>
      <c r="E377" s="10" t="s">
        <v>180</v>
      </c>
      <c r="F377" s="7" t="s">
        <v>600</v>
      </c>
    </row>
    <row r="378">
      <c r="A378" s="10" t="s">
        <v>504</v>
      </c>
      <c r="B378" s="10" t="s">
        <v>505</v>
      </c>
      <c r="C378" s="10" t="s">
        <v>25</v>
      </c>
      <c r="D378" s="11">
        <v>0.0</v>
      </c>
      <c r="E378" s="10" t="s">
        <v>180</v>
      </c>
      <c r="F378" s="16" t="str">
        <f>IFERROR(VLOOKUP(A378,Sheet3!$B$1:$E$313,3,FALSE),"")</f>
        <v>barang jadi</v>
      </c>
    </row>
    <row r="379">
      <c r="A379" s="10" t="s">
        <v>506</v>
      </c>
      <c r="B379" s="10" t="s">
        <v>507</v>
      </c>
      <c r="C379" s="10" t="s">
        <v>25</v>
      </c>
      <c r="D379" s="11" t="s">
        <v>1295</v>
      </c>
      <c r="E379" s="10" t="s">
        <v>180</v>
      </c>
      <c r="F379" s="16" t="str">
        <f>IFERROR(VLOOKUP(A379,Sheet3!$B$1:$E$313,3,FALSE),"")</f>
        <v>barang jadi</v>
      </c>
    </row>
    <row r="380">
      <c r="A380" s="10" t="s">
        <v>508</v>
      </c>
      <c r="B380" s="10" t="s">
        <v>510</v>
      </c>
      <c r="C380" s="10" t="s">
        <v>25</v>
      </c>
      <c r="D380" s="11" t="s">
        <v>1296</v>
      </c>
      <c r="E380" s="10" t="s">
        <v>180</v>
      </c>
      <c r="F380" s="16" t="str">
        <f>IFERROR(VLOOKUP(A380,Sheet3!$B$1:$E$313,3,FALSE),"")</f>
        <v>barang jadi</v>
      </c>
    </row>
    <row r="381">
      <c r="A381" s="10" t="s">
        <v>511</v>
      </c>
      <c r="B381" s="10" t="s">
        <v>512</v>
      </c>
      <c r="C381" s="10" t="s">
        <v>25</v>
      </c>
      <c r="D381" s="11" t="s">
        <v>1297</v>
      </c>
      <c r="E381" s="10" t="s">
        <v>180</v>
      </c>
      <c r="F381" s="16" t="str">
        <f>IFERROR(VLOOKUP(A381,Sheet3!$B$1:$E$313,3,FALSE),"")</f>
        <v>barang jadi</v>
      </c>
    </row>
    <row r="382">
      <c r="A382" s="10" t="s">
        <v>513</v>
      </c>
      <c r="B382" s="10" t="s">
        <v>514</v>
      </c>
      <c r="C382" s="10" t="s">
        <v>25</v>
      </c>
      <c r="D382" s="11" t="s">
        <v>1298</v>
      </c>
      <c r="E382" s="10" t="s">
        <v>180</v>
      </c>
      <c r="F382" s="16" t="str">
        <f>IFERROR(VLOOKUP(A382,Sheet3!$B$1:$E$313,3,FALSE),"")</f>
        <v>barang jadi</v>
      </c>
    </row>
    <row r="383">
      <c r="A383" s="10" t="s">
        <v>515</v>
      </c>
      <c r="B383" s="10" t="s">
        <v>516</v>
      </c>
      <c r="C383" s="10" t="s">
        <v>25</v>
      </c>
      <c r="D383" s="11" t="s">
        <v>1299</v>
      </c>
      <c r="E383" s="10" t="s">
        <v>180</v>
      </c>
      <c r="F383" s="16" t="str">
        <f>IFERROR(VLOOKUP(A383,Sheet3!$B$1:$E$313,3,FALSE),"")</f>
        <v>barang jadi</v>
      </c>
    </row>
    <row r="384">
      <c r="A384" s="10" t="s">
        <v>517</v>
      </c>
      <c r="B384" s="10" t="s">
        <v>518</v>
      </c>
      <c r="C384" s="10" t="s">
        <v>25</v>
      </c>
      <c r="D384" s="11" t="s">
        <v>1300</v>
      </c>
      <c r="E384" s="10" t="s">
        <v>180</v>
      </c>
      <c r="F384" s="16" t="str">
        <f>IFERROR(VLOOKUP(A384,Sheet3!$B$1:$E$313,3,FALSE),"")</f>
        <v>barang jadi</v>
      </c>
    </row>
    <row r="385">
      <c r="A385" s="10" t="s">
        <v>520</v>
      </c>
      <c r="B385" s="10" t="s">
        <v>521</v>
      </c>
      <c r="C385" s="10" t="s">
        <v>25</v>
      </c>
      <c r="D385" s="11" t="s">
        <v>1301</v>
      </c>
      <c r="E385" s="10" t="s">
        <v>180</v>
      </c>
      <c r="F385" s="16" t="str">
        <f>IFERROR(VLOOKUP(A385,Sheet3!$B$1:$E$313,3,FALSE),"")</f>
        <v>barang jadi</v>
      </c>
    </row>
    <row r="386">
      <c r="A386" s="10" t="s">
        <v>522</v>
      </c>
      <c r="B386" s="10" t="s">
        <v>523</v>
      </c>
      <c r="C386" s="10" t="s">
        <v>25</v>
      </c>
      <c r="D386" s="11">
        <v>0.0</v>
      </c>
      <c r="E386" s="10" t="s">
        <v>180</v>
      </c>
      <c r="F386" s="16" t="str">
        <f>IFERROR(VLOOKUP(A386,Sheet3!$B$1:$E$313,3,FALSE),"")</f>
        <v>barang jadi</v>
      </c>
    </row>
    <row r="387">
      <c r="A387" s="10" t="s">
        <v>591</v>
      </c>
      <c r="B387" s="10" t="s">
        <v>592</v>
      </c>
      <c r="C387" s="10" t="s">
        <v>25</v>
      </c>
      <c r="D387" s="11" t="s">
        <v>1302</v>
      </c>
      <c r="E387" s="10" t="s">
        <v>180</v>
      </c>
      <c r="F387" s="16" t="str">
        <f>IFERROR(VLOOKUP(A387,Sheet3!$B$1:$E$313,3,FALSE),"")</f>
        <v>barang jadi</v>
      </c>
    </row>
    <row r="388">
      <c r="A388" s="10" t="s">
        <v>593</v>
      </c>
      <c r="B388" s="10" t="s">
        <v>595</v>
      </c>
      <c r="C388" s="10" t="s">
        <v>25</v>
      </c>
      <c r="D388" s="11">
        <v>0.0</v>
      </c>
      <c r="E388" s="10" t="s">
        <v>180</v>
      </c>
      <c r="F388" s="16" t="str">
        <f>IFERROR(VLOOKUP(A388,Sheet3!$B$1:$E$313,3,FALSE),"")</f>
        <v>barang jadi</v>
      </c>
    </row>
    <row r="389">
      <c r="A389" s="10" t="s">
        <v>1303</v>
      </c>
      <c r="B389" s="10" t="s">
        <v>1304</v>
      </c>
      <c r="C389" s="10" t="s">
        <v>25</v>
      </c>
      <c r="D389" s="11">
        <v>0.0</v>
      </c>
      <c r="E389" s="10" t="s">
        <v>180</v>
      </c>
      <c r="F389" s="16" t="str">
        <f>IFERROR(VLOOKUP(A389,Sheet3!$B$1:$E$313,3,FALSE),"")</f>
        <v/>
      </c>
    </row>
    <row r="390">
      <c r="A390" s="10" t="s">
        <v>524</v>
      </c>
      <c r="B390" s="10" t="s">
        <v>525</v>
      </c>
      <c r="C390" s="10" t="s">
        <v>25</v>
      </c>
      <c r="D390" s="11">
        <v>0.0</v>
      </c>
      <c r="E390" s="10" t="s">
        <v>188</v>
      </c>
      <c r="F390" s="16" t="str">
        <f>IFERROR(VLOOKUP(A390,Sheet3!$B$1:$E$313,3,FALSE),"")</f>
        <v>barang jadi</v>
      </c>
    </row>
    <row r="391">
      <c r="A391" s="10" t="s">
        <v>695</v>
      </c>
      <c r="B391" s="10" t="s">
        <v>696</v>
      </c>
      <c r="C391" s="10" t="s">
        <v>25</v>
      </c>
      <c r="D391" s="11">
        <v>0.0</v>
      </c>
      <c r="E391" s="10" t="s">
        <v>188</v>
      </c>
      <c r="F391" s="16" t="str">
        <f>IFERROR(VLOOKUP(A391,Sheet3!$B$1:$E$313,3,FALSE),"")</f>
        <v>barang jadi &amp; bahan baku</v>
      </c>
    </row>
    <row r="392">
      <c r="A392" s="10" t="s">
        <v>526</v>
      </c>
      <c r="B392" s="10" t="s">
        <v>527</v>
      </c>
      <c r="C392" s="10" t="s">
        <v>25</v>
      </c>
      <c r="D392" s="11">
        <v>0.0</v>
      </c>
      <c r="E392" s="10" t="s">
        <v>188</v>
      </c>
      <c r="F392" s="16" t="str">
        <f>IFERROR(VLOOKUP(A392,Sheet3!$B$1:$E$313,3,FALSE),"")</f>
        <v>barang jadi</v>
      </c>
    </row>
    <row r="393">
      <c r="A393" s="10" t="s">
        <v>561</v>
      </c>
      <c r="B393" s="10" t="s">
        <v>562</v>
      </c>
      <c r="C393" s="10" t="s">
        <v>25</v>
      </c>
      <c r="D393" s="11">
        <v>0.0</v>
      </c>
      <c r="E393" s="10" t="s">
        <v>188</v>
      </c>
      <c r="F393" s="16" t="str">
        <f>IFERROR(VLOOKUP(A393,Sheet3!$B$1:$E$313,3,FALSE),"")</f>
        <v>barang jadi</v>
      </c>
    </row>
    <row r="394">
      <c r="A394" s="10" t="s">
        <v>528</v>
      </c>
      <c r="B394" s="10" t="s">
        <v>529</v>
      </c>
      <c r="C394" s="10" t="s">
        <v>25</v>
      </c>
      <c r="D394" s="11">
        <v>0.0</v>
      </c>
      <c r="E394" s="10" t="s">
        <v>188</v>
      </c>
      <c r="F394" s="16" t="str">
        <f>IFERROR(VLOOKUP(A394,Sheet3!$B$1:$E$313,3,FALSE),"")</f>
        <v>barang jadi</v>
      </c>
    </row>
    <row r="395">
      <c r="A395" s="10" t="s">
        <v>530</v>
      </c>
      <c r="B395" s="10" t="s">
        <v>531</v>
      </c>
      <c r="C395" s="10" t="s">
        <v>25</v>
      </c>
      <c r="D395" s="11">
        <v>0.0</v>
      </c>
      <c r="E395" s="10" t="s">
        <v>188</v>
      </c>
      <c r="F395" s="16" t="str">
        <f>IFERROR(VLOOKUP(A395,Sheet3!$B$1:$E$313,3,FALSE),"")</f>
        <v>barang jadi</v>
      </c>
    </row>
    <row r="396">
      <c r="A396" s="10" t="s">
        <v>532</v>
      </c>
      <c r="B396" s="10" t="s">
        <v>533</v>
      </c>
      <c r="C396" s="10" t="s">
        <v>25</v>
      </c>
      <c r="D396" s="11">
        <v>0.0</v>
      </c>
      <c r="E396" s="10" t="s">
        <v>188</v>
      </c>
      <c r="F396" s="16" t="str">
        <f>IFERROR(VLOOKUP(A396,Sheet3!$B$1:$E$313,3,FALSE),"")</f>
        <v>barang jadi</v>
      </c>
    </row>
    <row r="397">
      <c r="A397" s="10" t="s">
        <v>534</v>
      </c>
      <c r="B397" s="10" t="s">
        <v>535</v>
      </c>
      <c r="C397" s="10" t="s">
        <v>25</v>
      </c>
      <c r="D397" s="11">
        <v>0.0</v>
      </c>
      <c r="E397" s="10" t="s">
        <v>188</v>
      </c>
      <c r="F397" s="16" t="str">
        <f>IFERROR(VLOOKUP(A397,Sheet3!$B$1:$E$313,3,FALSE),"")</f>
        <v>barang jadi</v>
      </c>
    </row>
    <row r="398">
      <c r="A398" s="10" t="s">
        <v>1306</v>
      </c>
      <c r="B398" s="10" t="s">
        <v>1307</v>
      </c>
      <c r="E398" s="10" t="s">
        <v>188</v>
      </c>
      <c r="F398" s="16" t="str">
        <f>IFERROR(VLOOKUP(A398,Sheet3!$B$1:$E$313,3,FALSE),"")</f>
        <v/>
      </c>
    </row>
    <row r="399">
      <c r="A399" s="10" t="s">
        <v>538</v>
      </c>
      <c r="B399" s="10" t="s">
        <v>539</v>
      </c>
      <c r="E399" s="10" t="s">
        <v>194</v>
      </c>
      <c r="F399" s="16" t="str">
        <f>IFERROR(VLOOKUP(A399,Sheet3!$B$1:$E$313,3,FALSE),"")</f>
        <v>barang jadi</v>
      </c>
    </row>
    <row r="400">
      <c r="A400" s="10" t="s">
        <v>540</v>
      </c>
      <c r="B400" s="10" t="s">
        <v>541</v>
      </c>
      <c r="E400" s="10" t="s">
        <v>194</v>
      </c>
      <c r="F400" s="16" t="str">
        <f>IFERROR(VLOOKUP(A400,Sheet3!$B$1:$E$313,3,FALSE),"")</f>
        <v>barang jadi</v>
      </c>
    </row>
    <row r="401">
      <c r="A401" s="10" t="s">
        <v>542</v>
      </c>
      <c r="B401" s="10" t="s">
        <v>543</v>
      </c>
      <c r="E401" s="10" t="s">
        <v>194</v>
      </c>
      <c r="F401" s="16" t="str">
        <f>IFERROR(VLOOKUP(A401,Sheet3!$B$1:$E$313,3,FALSE),"")</f>
        <v>barang jadi</v>
      </c>
    </row>
    <row r="402">
      <c r="A402" s="10" t="s">
        <v>546</v>
      </c>
      <c r="B402" s="10" t="s">
        <v>547</v>
      </c>
      <c r="E402" s="10" t="s">
        <v>194</v>
      </c>
      <c r="F402" s="16" t="str">
        <f>IFERROR(VLOOKUP(A402,Sheet3!$B$1:$E$313,3,FALSE),"")</f>
        <v>barang jadi</v>
      </c>
    </row>
    <row r="403">
      <c r="A403" s="10" t="s">
        <v>1310</v>
      </c>
      <c r="B403" s="10" t="s">
        <v>1311</v>
      </c>
      <c r="E403" s="10" t="s">
        <v>194</v>
      </c>
      <c r="F403" s="16" t="str">
        <f>IFERROR(VLOOKUP(A403,Sheet3!$B$1:$E$313,3,FALSE),"")</f>
        <v/>
      </c>
    </row>
    <row r="404">
      <c r="A404" s="10" t="s">
        <v>1312</v>
      </c>
      <c r="B404" s="10" t="s">
        <v>1313</v>
      </c>
      <c r="E404" s="10" t="s">
        <v>200</v>
      </c>
      <c r="F404" s="16" t="str">
        <f>IFERROR(VLOOKUP(A404,Sheet3!$B$1:$E$313,3,FALSE),"")</f>
        <v/>
      </c>
    </row>
    <row r="405">
      <c r="A405" s="10" t="s">
        <v>1314</v>
      </c>
      <c r="B405" s="10" t="s">
        <v>1315</v>
      </c>
      <c r="E405" s="10" t="s">
        <v>200</v>
      </c>
      <c r="F405" s="16" t="str">
        <f>IFERROR(VLOOKUP(A405,Sheet3!$B$1:$E$313,3,FALSE),"")</f>
        <v/>
      </c>
    </row>
    <row r="406">
      <c r="A406" s="10" t="s">
        <v>1316</v>
      </c>
      <c r="B406" s="10" t="s">
        <v>1317</v>
      </c>
      <c r="E406" s="10" t="s">
        <v>200</v>
      </c>
      <c r="F406" s="16" t="str">
        <f>IFERROR(VLOOKUP(A406,Sheet3!$B$1:$E$313,3,FALSE),"")</f>
        <v/>
      </c>
    </row>
    <row r="407">
      <c r="A407" s="10" t="s">
        <v>1318</v>
      </c>
      <c r="B407" s="10" t="s">
        <v>1319</v>
      </c>
      <c r="E407" s="10" t="s">
        <v>200</v>
      </c>
      <c r="F407" s="16" t="str">
        <f>IFERROR(VLOOKUP(A407,Sheet3!$B$1:$E$313,3,FALSE),"")</f>
        <v/>
      </c>
    </row>
    <row r="408">
      <c r="A408" s="10" t="s">
        <v>1320</v>
      </c>
      <c r="B408" s="10" t="s">
        <v>1321</v>
      </c>
      <c r="E408" s="10" t="s">
        <v>200</v>
      </c>
      <c r="F408" s="16" t="str">
        <f>IFERROR(VLOOKUP(A408,Sheet3!$B$1:$E$313,3,FALSE),"")</f>
        <v/>
      </c>
    </row>
    <row r="409">
      <c r="A409" s="10" t="s">
        <v>1323</v>
      </c>
      <c r="B409" s="10" t="s">
        <v>1324</v>
      </c>
      <c r="E409" s="10" t="s">
        <v>200</v>
      </c>
      <c r="F409" s="16" t="str">
        <f>IFERROR(VLOOKUP(A409,Sheet3!$B$1:$E$313,3,FALSE),"")</f>
        <v/>
      </c>
    </row>
    <row r="410">
      <c r="A410" s="10" t="s">
        <v>1325</v>
      </c>
      <c r="B410" s="10" t="s">
        <v>1326</v>
      </c>
      <c r="E410" s="10" t="s">
        <v>200</v>
      </c>
      <c r="F410" s="16" t="str">
        <f>IFERROR(VLOOKUP(A410,Sheet3!$B$1:$E$313,3,FALSE),"")</f>
        <v/>
      </c>
    </row>
    <row r="411">
      <c r="A411" s="10" t="s">
        <v>1327</v>
      </c>
      <c r="B411" s="10" t="s">
        <v>1328</v>
      </c>
      <c r="E411" s="10" t="s">
        <v>200</v>
      </c>
      <c r="F411" s="16" t="str">
        <f>IFERROR(VLOOKUP(A411,Sheet3!$B$1:$E$313,3,FALSE),"")</f>
        <v/>
      </c>
    </row>
    <row r="412">
      <c r="A412" s="10" t="s">
        <v>1329</v>
      </c>
      <c r="B412" s="10" t="s">
        <v>1330</v>
      </c>
      <c r="E412" s="10" t="s">
        <v>200</v>
      </c>
      <c r="F412" s="16" t="str">
        <f>IFERROR(VLOOKUP(A412,Sheet3!$B$1:$E$313,3,FALSE),"")</f>
        <v/>
      </c>
    </row>
    <row r="413">
      <c r="A413" s="10" t="s">
        <v>1331</v>
      </c>
      <c r="B413" s="10" t="s">
        <v>1332</v>
      </c>
      <c r="E413" s="10" t="s">
        <v>200</v>
      </c>
      <c r="F413" s="16" t="str">
        <f>IFERROR(VLOOKUP(A413,Sheet3!$B$1:$E$313,3,FALSE),"")</f>
        <v/>
      </c>
    </row>
    <row r="414">
      <c r="A414" s="10" t="s">
        <v>1334</v>
      </c>
      <c r="B414" s="10" t="s">
        <v>1335</v>
      </c>
      <c r="E414" s="10" t="s">
        <v>200</v>
      </c>
      <c r="F414" s="16" t="str">
        <f>IFERROR(VLOOKUP(A414,Sheet3!$B$1:$E$313,3,FALSE),"")</f>
        <v/>
      </c>
    </row>
    <row r="415">
      <c r="A415" s="10" t="s">
        <v>1336</v>
      </c>
      <c r="B415" s="10" t="s">
        <v>1337</v>
      </c>
      <c r="E415" s="10" t="s">
        <v>200</v>
      </c>
      <c r="F415" s="16" t="str">
        <f>IFERROR(VLOOKUP(A415,Sheet3!$B$1:$E$313,3,FALSE),"")</f>
        <v/>
      </c>
    </row>
    <row r="416">
      <c r="A416" s="10" t="s">
        <v>1338</v>
      </c>
      <c r="B416" s="10" t="s">
        <v>1339</v>
      </c>
      <c r="E416" s="10" t="s">
        <v>200</v>
      </c>
      <c r="F416" s="16" t="str">
        <f>IFERROR(VLOOKUP(A416,Sheet3!$B$1:$E$313,3,FALSE),"")</f>
        <v/>
      </c>
    </row>
    <row r="417">
      <c r="A417" s="10" t="s">
        <v>1341</v>
      </c>
      <c r="B417" s="10" t="s">
        <v>1342</v>
      </c>
      <c r="E417" s="10" t="s">
        <v>200</v>
      </c>
      <c r="F417" s="16" t="str">
        <f>IFERROR(VLOOKUP(A417,Sheet3!$B$1:$E$313,3,FALSE),"")</f>
        <v/>
      </c>
    </row>
    <row r="418">
      <c r="A418" s="10" t="s">
        <v>1343</v>
      </c>
      <c r="B418" s="10" t="s">
        <v>1344</v>
      </c>
      <c r="E418" s="10" t="s">
        <v>200</v>
      </c>
      <c r="F418" s="16" t="str">
        <f>IFERROR(VLOOKUP(A418,Sheet3!$B$1:$E$313,3,FALSE),"")</f>
        <v/>
      </c>
    </row>
    <row r="419">
      <c r="A419" s="10" t="s">
        <v>1345</v>
      </c>
      <c r="B419" s="10" t="s">
        <v>1346</v>
      </c>
      <c r="E419" s="10" t="s">
        <v>210</v>
      </c>
      <c r="F419" s="16" t="str">
        <f>IFERROR(VLOOKUP(A419,Sheet3!$B$1:$E$313,3,FALSE),"")</f>
        <v/>
      </c>
    </row>
    <row r="420">
      <c r="A420" s="10" t="s">
        <v>1347</v>
      </c>
      <c r="B420" s="10" t="s">
        <v>1348</v>
      </c>
      <c r="E420" s="10" t="s">
        <v>210</v>
      </c>
      <c r="F420" s="16" t="str">
        <f>IFERROR(VLOOKUP(A420,Sheet3!$B$1:$E$313,3,FALSE),"")</f>
        <v/>
      </c>
    </row>
    <row r="421">
      <c r="A421" s="10" t="s">
        <v>1349</v>
      </c>
      <c r="B421" s="10" t="s">
        <v>1350</v>
      </c>
      <c r="E421" s="10" t="s">
        <v>210</v>
      </c>
      <c r="F421" s="16" t="str">
        <f>IFERROR(VLOOKUP(A421,Sheet3!$B$1:$E$313,3,FALSE),"")</f>
        <v/>
      </c>
    </row>
    <row r="422">
      <c r="A422" s="10" t="s">
        <v>1351</v>
      </c>
      <c r="B422" s="10" t="s">
        <v>1352</v>
      </c>
      <c r="E422" s="10" t="s">
        <v>210</v>
      </c>
      <c r="F422" s="16" t="str">
        <f>IFERROR(VLOOKUP(A422,Sheet3!$B$1:$E$313,3,FALSE),"")</f>
        <v/>
      </c>
    </row>
    <row r="423">
      <c r="A423" s="10" t="s">
        <v>1353</v>
      </c>
      <c r="B423" s="10" t="s">
        <v>1354</v>
      </c>
      <c r="E423" s="10" t="s">
        <v>210</v>
      </c>
      <c r="F423" s="16" t="str">
        <f>IFERROR(VLOOKUP(A423,Sheet3!$B$1:$E$313,3,FALSE),"")</f>
        <v/>
      </c>
    </row>
    <row r="424">
      <c r="A424" s="10" t="s">
        <v>1355</v>
      </c>
      <c r="B424" s="10" t="s">
        <v>1356</v>
      </c>
      <c r="E424" s="10" t="s">
        <v>210</v>
      </c>
      <c r="F424" s="16" t="str">
        <f>IFERROR(VLOOKUP(A424,Sheet3!$B$1:$E$313,3,FALSE),"")</f>
        <v/>
      </c>
    </row>
    <row r="425">
      <c r="A425" s="10" t="s">
        <v>1357</v>
      </c>
      <c r="B425" s="10" t="s">
        <v>1358</v>
      </c>
      <c r="E425" s="10" t="s">
        <v>210</v>
      </c>
      <c r="F425" s="16" t="str">
        <f>IFERROR(VLOOKUP(A425,Sheet3!$B$1:$E$313,3,FALSE),"")</f>
        <v/>
      </c>
    </row>
    <row r="426">
      <c r="A426" s="10" t="s">
        <v>1359</v>
      </c>
      <c r="B426" s="10" t="s">
        <v>1360</v>
      </c>
      <c r="E426" s="10" t="s">
        <v>210</v>
      </c>
      <c r="F426" s="16" t="str">
        <f>IFERROR(VLOOKUP(A426,Sheet3!$B$1:$E$313,3,FALSE),"")</f>
        <v/>
      </c>
    </row>
    <row r="427">
      <c r="A427" s="10" t="s">
        <v>1361</v>
      </c>
      <c r="B427" s="10" t="s">
        <v>1362</v>
      </c>
      <c r="E427" s="10" t="s">
        <v>210</v>
      </c>
      <c r="F427" s="16" t="str">
        <f>IFERROR(VLOOKUP(A427,Sheet3!$B$1:$E$313,3,FALSE),"")</f>
        <v/>
      </c>
    </row>
    <row r="428">
      <c r="A428" s="10" t="s">
        <v>1363</v>
      </c>
      <c r="B428" s="10" t="s">
        <v>1365</v>
      </c>
      <c r="E428" s="10" t="s">
        <v>210</v>
      </c>
      <c r="F428" s="16" t="str">
        <f>IFERROR(VLOOKUP(A428,Sheet3!$B$1:$E$313,3,FALSE),"")</f>
        <v/>
      </c>
    </row>
    <row r="429">
      <c r="A429" s="10" t="s">
        <v>1366</v>
      </c>
      <c r="B429" s="10" t="s">
        <v>1367</v>
      </c>
      <c r="E429" s="10" t="s">
        <v>210</v>
      </c>
      <c r="F429" s="16" t="str">
        <f>IFERROR(VLOOKUP(A429,Sheet3!$B$1:$E$313,3,FALSE),"")</f>
        <v/>
      </c>
    </row>
  </sheetData>
  <autoFilter ref="$A$1:$AA$42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1.29"/>
    <col customWidth="1" min="7" max="7" width="26.86"/>
    <col customWidth="1" min="9" max="9" width="24.43"/>
    <col customWidth="1" min="10" max="10" width="19.71"/>
    <col customWidth="1" min="11" max="11" width="8.43"/>
    <col customWidth="1" min="12" max="12" width="9.0"/>
    <col customWidth="1" min="13" max="13" width="24.57"/>
    <col customWidth="1" min="14" max="14" width="33.71"/>
  </cols>
  <sheetData>
    <row r="1">
      <c r="A1" s="3" t="s">
        <v>0</v>
      </c>
    </row>
    <row r="2">
      <c r="A2" s="3" t="s">
        <v>12</v>
      </c>
    </row>
    <row r="3">
      <c r="A3" s="3" t="s">
        <v>13</v>
      </c>
    </row>
    <row r="4">
      <c r="A4" s="3" t="s">
        <v>14</v>
      </c>
    </row>
    <row r="5">
      <c r="A5" s="9"/>
    </row>
    <row r="6">
      <c r="A6" s="12" t="s">
        <v>10</v>
      </c>
      <c r="B6" s="13" t="s">
        <v>2</v>
      </c>
      <c r="C6" s="14" t="s">
        <v>11</v>
      </c>
      <c r="D6" s="15" t="s">
        <v>3</v>
      </c>
      <c r="E6" s="15" t="s">
        <v>5</v>
      </c>
      <c r="F6" s="14" t="s">
        <v>4</v>
      </c>
      <c r="G6" s="14" t="s">
        <v>6</v>
      </c>
      <c r="H6" s="15" t="s">
        <v>7</v>
      </c>
      <c r="I6" s="15" t="s">
        <v>56</v>
      </c>
      <c r="J6" s="15" t="s">
        <v>57</v>
      </c>
      <c r="K6" s="15"/>
      <c r="L6" s="15" t="s">
        <v>60</v>
      </c>
      <c r="N6" s="7" t="s">
        <v>61</v>
      </c>
    </row>
    <row r="7">
      <c r="A7" s="7" t="s">
        <v>63</v>
      </c>
      <c r="B7" s="16"/>
      <c r="C7" s="7" t="str">
        <f>IFERROR(VLOOKUP(B7,'Master data'!$A$1:$F$1000,2,FALSE),"")</f>
        <v/>
      </c>
      <c r="D7" s="7" t="str">
        <f>IFERROR(VLOOKUP(B7,'Master data'!$A$1:$F$1000,6,FALSE),"")</f>
        <v/>
      </c>
      <c r="F7" s="7" t="str">
        <f>IFERROR(VLOOKUP(B7,'Master data'!$A$1:$F$1000,3,FALSE),"")</f>
        <v/>
      </c>
      <c r="I7" s="16"/>
      <c r="J7" s="16"/>
      <c r="K7" s="16" t="b">
        <v>0</v>
      </c>
      <c r="L7" s="16" t="b">
        <v>0</v>
      </c>
      <c r="M7" s="7" t="s">
        <v>103</v>
      </c>
      <c r="N7" s="7" t="s">
        <v>104</v>
      </c>
    </row>
    <row r="8">
      <c r="A8" s="9"/>
      <c r="B8" s="16"/>
      <c r="C8" s="7" t="str">
        <f>IFERROR(VLOOKUP(B8,'Master data'!$A$1:$F$1000,2,FALSE),"")</f>
        <v/>
      </c>
      <c r="D8" s="7" t="str">
        <f>IFERROR(VLOOKUP(B8,'Master data'!$A$1:$F$1000,6,FALSE),"")</f>
        <v/>
      </c>
      <c r="F8" s="7" t="str">
        <f>IFERROR(VLOOKUP(B8,'Master data'!$A$1:$F$1000,3,FALSE),"")</f>
        <v/>
      </c>
      <c r="I8" s="16"/>
      <c r="J8" s="16"/>
      <c r="K8" s="16" t="b">
        <v>0</v>
      </c>
      <c r="L8" s="16" t="b">
        <v>0</v>
      </c>
      <c r="N8" s="7" t="s">
        <v>126</v>
      </c>
    </row>
    <row r="9">
      <c r="A9" s="9"/>
      <c r="B9" s="16"/>
      <c r="C9" s="7" t="str">
        <f>IFERROR(VLOOKUP(B9,'Master data'!$A$1:$F$1000,2,FALSE),"")</f>
        <v/>
      </c>
      <c r="D9" s="7" t="str">
        <f>IFERROR(VLOOKUP(B9,'Master data'!$A$1:$F$1000,6,FALSE),"")</f>
        <v/>
      </c>
      <c r="F9" s="7" t="str">
        <f>IFERROR(VLOOKUP(B9,'Master data'!$A$1:$F$1000,3,FALSE),"")</f>
        <v/>
      </c>
      <c r="I9" s="16"/>
      <c r="J9" s="16"/>
      <c r="K9" s="16" t="b">
        <v>0</v>
      </c>
      <c r="L9" s="16" t="b">
        <v>0</v>
      </c>
      <c r="M9" s="7" t="s">
        <v>141</v>
      </c>
      <c r="N9" s="7" t="s">
        <v>143</v>
      </c>
    </row>
    <row r="10">
      <c r="A10" s="9"/>
      <c r="B10" s="16"/>
      <c r="C10" s="7" t="str">
        <f>IFERROR(VLOOKUP(B10,'Master data'!$A$1:$F$1000,2,FALSE),"")</f>
        <v/>
      </c>
      <c r="D10" s="7" t="str">
        <f>IFERROR(VLOOKUP(B10,'Master data'!$A$1:$F$1000,6,FALSE),"")</f>
        <v/>
      </c>
      <c r="F10" s="7" t="str">
        <f>IFERROR(VLOOKUP(B10,'Master data'!$A$1:$F$1000,3,FALSE),"")</f>
        <v/>
      </c>
      <c r="I10" s="16"/>
      <c r="J10" s="16"/>
      <c r="K10" s="16" t="b">
        <v>0</v>
      </c>
      <c r="L10" s="16" t="b">
        <v>0</v>
      </c>
    </row>
    <row r="11">
      <c r="A11" s="9"/>
      <c r="B11" s="16"/>
      <c r="C11" s="7" t="str">
        <f>IFERROR(VLOOKUP(B11,'Master data'!$A$1:$F$1000,2,FALSE),"")</f>
        <v/>
      </c>
      <c r="D11" s="7" t="str">
        <f>IFERROR(VLOOKUP(B11,'Master data'!$A$1:$F$1000,6,FALSE),"")</f>
        <v/>
      </c>
      <c r="F11" s="7" t="str">
        <f>IFERROR(VLOOKUP(B11,'Master data'!$A$1:$F$1000,3,FALSE),"")</f>
        <v/>
      </c>
      <c r="I11" s="16"/>
      <c r="J11" s="16"/>
      <c r="K11" s="16" t="b">
        <v>0</v>
      </c>
      <c r="L11" s="16" t="b">
        <v>0</v>
      </c>
      <c r="M11" s="7" t="s">
        <v>173</v>
      </c>
    </row>
    <row r="12">
      <c r="A12" s="9"/>
      <c r="B12" s="16"/>
      <c r="C12" s="7" t="str">
        <f>IFERROR(VLOOKUP(B12,'Master data'!$A$1:$F$1000,2,FALSE),"")</f>
        <v/>
      </c>
      <c r="D12" s="7" t="str">
        <f>IFERROR(VLOOKUP(B12,'Master data'!$A$1:$F$1000,6,FALSE),"")</f>
        <v/>
      </c>
      <c r="F12" s="7" t="str">
        <f>IFERROR(VLOOKUP(B12,'Master data'!$A$1:$F$1000,3,FALSE),"")</f>
        <v/>
      </c>
      <c r="I12" s="16"/>
      <c r="J12" s="16"/>
      <c r="K12" s="16" t="b">
        <v>0</v>
      </c>
      <c r="L12" s="16" t="b">
        <v>0</v>
      </c>
    </row>
    <row r="13">
      <c r="A13" s="9"/>
      <c r="B13" s="16"/>
      <c r="C13" s="7" t="str">
        <f>IFERROR(VLOOKUP(B13,'Master data'!$A$1:$F$1000,2,FALSE),"")</f>
        <v/>
      </c>
      <c r="D13" s="7" t="str">
        <f>IFERROR(VLOOKUP(B13,'Master data'!$A$1:$F$1000,6,FALSE),"")</f>
        <v/>
      </c>
      <c r="F13" s="7" t="str">
        <f>IFERROR(VLOOKUP(B13,'Master data'!$A$1:$F$1000,3,FALSE),"")</f>
        <v/>
      </c>
      <c r="I13" s="16"/>
      <c r="J13" s="16"/>
      <c r="K13" s="16" t="b">
        <v>0</v>
      </c>
      <c r="L13" s="16" t="b">
        <v>0</v>
      </c>
      <c r="M13" s="7" t="s">
        <v>204</v>
      </c>
    </row>
    <row r="14">
      <c r="A14" s="9"/>
      <c r="B14" s="16"/>
      <c r="C14" s="7" t="str">
        <f>IFERROR(VLOOKUP(B14,'Master data'!$A$1:$F$1000,2,FALSE),"")</f>
        <v/>
      </c>
      <c r="D14" s="7" t="str">
        <f>IFERROR(VLOOKUP(B14,'Master data'!$A$1:$F$1000,6,FALSE),"")</f>
        <v/>
      </c>
      <c r="F14" s="7" t="str">
        <f>IFERROR(VLOOKUP(B14,'Master data'!$A$1:$F$1000,3,FALSE),"")</f>
        <v/>
      </c>
      <c r="I14" s="16"/>
      <c r="J14" s="16"/>
      <c r="K14" s="16" t="b">
        <v>0</v>
      </c>
      <c r="L14" s="16" t="b">
        <v>0</v>
      </c>
    </row>
    <row r="15">
      <c r="A15" s="9"/>
      <c r="B15" s="16"/>
      <c r="C15" s="7" t="str">
        <f>IFERROR(VLOOKUP(B15,'Master data'!$A$1:$F$1000,2,FALSE),"")</f>
        <v/>
      </c>
      <c r="D15" s="7" t="str">
        <f>IFERROR(VLOOKUP(B15,'Master data'!$A$1:$F$1000,6,FALSE),"")</f>
        <v/>
      </c>
      <c r="F15" s="7" t="str">
        <f>IFERROR(VLOOKUP(B15,'Master data'!$A$1:$F$1000,3,FALSE),"")</f>
        <v/>
      </c>
      <c r="I15" s="16"/>
      <c r="J15" s="16"/>
      <c r="K15" s="16" t="b">
        <v>0</v>
      </c>
      <c r="L15" s="16" t="b">
        <v>0</v>
      </c>
      <c r="M15" s="7" t="s">
        <v>234</v>
      </c>
    </row>
    <row r="16">
      <c r="A16" s="9"/>
      <c r="B16" s="16"/>
      <c r="C16" s="7" t="str">
        <f>IFERROR(VLOOKUP(B16,'Master data'!$A$1:$F$1000,2,FALSE),"")</f>
        <v/>
      </c>
      <c r="D16" s="7" t="str">
        <f>IFERROR(VLOOKUP(B16,'Master data'!$A$1:$F$1000,6,FALSE),"")</f>
        <v/>
      </c>
      <c r="F16" s="7" t="str">
        <f>IFERROR(VLOOKUP(B16,'Master data'!$A$1:$F$1000,3,FALSE),"")</f>
        <v/>
      </c>
      <c r="I16" s="16"/>
      <c r="J16" s="16"/>
      <c r="K16" s="16" t="b">
        <v>0</v>
      </c>
      <c r="L16" s="16" t="b">
        <v>0</v>
      </c>
    </row>
    <row r="17">
      <c r="A17" s="9"/>
      <c r="B17" s="16"/>
      <c r="C17" s="7" t="str">
        <f>IFERROR(VLOOKUP(B17,'Master data'!$A$1:$F$1000,2,FALSE),"")</f>
        <v/>
      </c>
      <c r="D17" s="7" t="str">
        <f>IFERROR(VLOOKUP(B17,'Master data'!$A$1:$F$1000,6,FALSE),"")</f>
        <v/>
      </c>
      <c r="F17" s="7" t="str">
        <f>IFERROR(VLOOKUP(B17,'Master data'!$A$1:$F$1000,3,FALSE),"")</f>
        <v/>
      </c>
      <c r="I17" s="16"/>
      <c r="J17" s="16"/>
      <c r="K17" s="16" t="b">
        <v>0</v>
      </c>
      <c r="L17" s="16" t="b">
        <v>0</v>
      </c>
    </row>
    <row r="18">
      <c r="A18" s="9"/>
      <c r="B18" s="16"/>
      <c r="C18" s="7" t="str">
        <f>IFERROR(VLOOKUP(B18,'Master data'!$A$1:$F$1000,2,FALSE),"")</f>
        <v/>
      </c>
      <c r="D18" s="7" t="str">
        <f>IFERROR(VLOOKUP(B18,'Master data'!$A$1:$F$1000,6,FALSE),"")</f>
        <v/>
      </c>
      <c r="F18" s="7" t="str">
        <f>IFERROR(VLOOKUP(B18,'Master data'!$A$1:$F$1000,3,FALSE),"")</f>
        <v/>
      </c>
      <c r="I18" s="16"/>
      <c r="J18" s="16"/>
      <c r="K18" s="16" t="b">
        <v>0</v>
      </c>
      <c r="L18" s="16" t="b">
        <v>0</v>
      </c>
    </row>
    <row r="19">
      <c r="A19" s="9"/>
      <c r="B19" s="16"/>
      <c r="C19" s="7" t="str">
        <f>IFERROR(VLOOKUP(B19,'Master data'!$A$1:$F$1000,2,FALSE),"")</f>
        <v/>
      </c>
      <c r="D19" s="7" t="str">
        <f>IFERROR(VLOOKUP(B19,'Master data'!$A$1:$F$1000,6,FALSE),"")</f>
        <v/>
      </c>
      <c r="F19" s="7" t="str">
        <f>IFERROR(VLOOKUP(B19,'Master data'!$A$1:$F$1000,3,FALSE),"")</f>
        <v/>
      </c>
      <c r="I19" s="16"/>
      <c r="J19" s="16"/>
      <c r="K19" s="16" t="b">
        <v>0</v>
      </c>
      <c r="L19" s="16" t="b">
        <v>0</v>
      </c>
    </row>
    <row r="20">
      <c r="A20" s="9"/>
      <c r="B20" s="16"/>
      <c r="C20" s="7" t="str">
        <f>IFERROR(VLOOKUP(B20,'Master data'!$A$1:$F$1000,2,FALSE),"")</f>
        <v/>
      </c>
      <c r="D20" s="7" t="str">
        <f>IFERROR(VLOOKUP(B20,'Master data'!$A$1:$F$1000,6,FALSE),"")</f>
        <v/>
      </c>
      <c r="F20" s="7" t="str">
        <f>IFERROR(VLOOKUP(B20,'Master data'!$A$1:$F$1000,3,FALSE),"")</f>
        <v/>
      </c>
      <c r="I20" s="16"/>
      <c r="J20" s="16"/>
      <c r="K20" s="16" t="b">
        <v>0</v>
      </c>
      <c r="L20" s="16" t="b">
        <v>0</v>
      </c>
    </row>
    <row r="21">
      <c r="A21" s="9"/>
      <c r="B21" s="16"/>
      <c r="C21" s="7" t="str">
        <f>IFERROR(VLOOKUP(B21,'Master data'!$A$1:$F$1000,2,FALSE),"")</f>
        <v/>
      </c>
      <c r="D21" s="7" t="str">
        <f>IFERROR(VLOOKUP(B21,'Master data'!$A$1:$F$1000,6,FALSE),"")</f>
        <v/>
      </c>
      <c r="F21" s="7" t="str">
        <f>IFERROR(VLOOKUP(B21,'Master data'!$A$1:$F$1000,3,FALSE),"")</f>
        <v/>
      </c>
      <c r="I21" s="16"/>
      <c r="J21" s="16"/>
      <c r="K21" s="16" t="b">
        <v>0</v>
      </c>
      <c r="L21" s="16" t="b">
        <v>0</v>
      </c>
    </row>
    <row r="22">
      <c r="A22" s="9"/>
      <c r="B22" s="16"/>
      <c r="C22" s="7" t="str">
        <f>IFERROR(VLOOKUP(B22,'Master data'!$A$1:$F$1000,2,FALSE),"")</f>
        <v/>
      </c>
      <c r="D22" s="7" t="str">
        <f>IFERROR(VLOOKUP(B22,'Master data'!$A$1:$F$1000,6,FALSE),"")</f>
        <v/>
      </c>
      <c r="F22" s="7" t="str">
        <f>IFERROR(VLOOKUP(B22,'Master data'!$A$1:$F$1000,3,FALSE),"")</f>
        <v/>
      </c>
      <c r="I22" s="16"/>
      <c r="J22" s="16"/>
      <c r="K22" s="16" t="b">
        <v>0</v>
      </c>
      <c r="L22" s="16" t="b">
        <v>0</v>
      </c>
    </row>
    <row r="23">
      <c r="A23" s="9"/>
      <c r="B23" s="16"/>
      <c r="C23" s="7" t="str">
        <f>IFERROR(VLOOKUP(B23,'Master data'!$A$1:$F$1000,2,FALSE),"")</f>
        <v/>
      </c>
      <c r="D23" s="7" t="str">
        <f>IFERROR(VLOOKUP(B23,'Master data'!$A$1:$F$1000,6,FALSE),"")</f>
        <v/>
      </c>
      <c r="F23" s="7" t="str">
        <f>IFERROR(VLOOKUP(B23,'Master data'!$A$1:$F$1000,3,FALSE),"")</f>
        <v/>
      </c>
      <c r="I23" s="16"/>
      <c r="J23" s="16"/>
      <c r="K23" s="16" t="b">
        <v>0</v>
      </c>
      <c r="L23" s="16" t="b">
        <v>0</v>
      </c>
    </row>
    <row r="24">
      <c r="A24" s="9"/>
      <c r="B24" s="16"/>
      <c r="C24" s="7" t="str">
        <f>IFERROR(VLOOKUP(B24,'Master data'!$A$1:$F$1000,2,FALSE),"")</f>
        <v/>
      </c>
      <c r="D24" s="7" t="str">
        <f>IFERROR(VLOOKUP(B24,'Master data'!$A$1:$F$1000,6,FALSE),"")</f>
        <v/>
      </c>
      <c r="F24" s="7" t="str">
        <f>IFERROR(VLOOKUP(B24,'Master data'!$A$1:$F$1000,3,FALSE),"")</f>
        <v/>
      </c>
      <c r="I24" s="16"/>
      <c r="J24" s="16"/>
      <c r="K24" s="16" t="b">
        <v>0</v>
      </c>
      <c r="L24" s="16" t="b">
        <v>0</v>
      </c>
    </row>
    <row r="25">
      <c r="A25" s="9"/>
      <c r="B25" s="16"/>
      <c r="C25" s="7" t="str">
        <f>IFERROR(VLOOKUP(B25,'Master data'!$A$1:$F$1000,2,FALSE),"")</f>
        <v/>
      </c>
      <c r="D25" s="7" t="str">
        <f>IFERROR(VLOOKUP(B25,'Master data'!$A$1:$F$1000,6,FALSE),"")</f>
        <v/>
      </c>
      <c r="F25" s="7" t="str">
        <f>IFERROR(VLOOKUP(B25,'Master data'!$A$1:$F$1000,3,FALSE),"")</f>
        <v/>
      </c>
      <c r="I25" s="16"/>
      <c r="J25" s="16"/>
      <c r="K25" s="16" t="b">
        <v>0</v>
      </c>
      <c r="L25" s="16" t="b">
        <v>0</v>
      </c>
    </row>
    <row r="26">
      <c r="A26" s="9"/>
      <c r="B26" s="16"/>
      <c r="C26" s="7" t="str">
        <f>IFERROR(VLOOKUP(B26,'Master data'!$A$1:$F$1000,2,FALSE),"")</f>
        <v/>
      </c>
      <c r="D26" s="7" t="str">
        <f>IFERROR(VLOOKUP(B26,'Master data'!$A$1:$F$1000,6,FALSE),"")</f>
        <v/>
      </c>
      <c r="F26" s="7" t="str">
        <f>IFERROR(VLOOKUP(B26,'Master data'!$A$1:$F$1000,3,FALSE),"")</f>
        <v/>
      </c>
      <c r="I26" s="16"/>
      <c r="J26" s="16"/>
      <c r="K26" s="16" t="b">
        <v>0</v>
      </c>
      <c r="L26" s="16" t="b">
        <v>0</v>
      </c>
    </row>
    <row r="27">
      <c r="A27" s="9"/>
      <c r="B27" s="16"/>
      <c r="C27" s="7" t="str">
        <f>IFERROR(VLOOKUP(B27,'Master data'!$A$1:$F$1000,2,FALSE),"")</f>
        <v/>
      </c>
      <c r="D27" s="7" t="str">
        <f>IFERROR(VLOOKUP(B27,'Master data'!$A$1:$F$1000,6,FALSE),"")</f>
        <v/>
      </c>
      <c r="F27" s="7" t="str">
        <f>IFERROR(VLOOKUP(B27,'Master data'!$A$1:$F$1000,3,FALSE),"")</f>
        <v/>
      </c>
      <c r="I27" s="16"/>
      <c r="J27" s="16"/>
      <c r="K27" s="16" t="b">
        <v>0</v>
      </c>
      <c r="L27" s="16" t="b">
        <v>0</v>
      </c>
    </row>
    <row r="28">
      <c r="A28" s="9"/>
      <c r="B28" s="16"/>
      <c r="C28" s="7" t="str">
        <f>IFERROR(VLOOKUP(B28,'Master data'!$A$1:$F$1000,2,FALSE),"")</f>
        <v/>
      </c>
      <c r="D28" s="7" t="str">
        <f>IFERROR(VLOOKUP(B28,'Master data'!$A$1:$F$1000,6,FALSE),"")</f>
        <v/>
      </c>
      <c r="F28" s="7" t="str">
        <f>IFERROR(VLOOKUP(B28,'Master data'!$A$1:$F$1000,3,FALSE),"")</f>
        <v/>
      </c>
      <c r="I28" s="16"/>
      <c r="J28" s="16"/>
      <c r="K28" s="16" t="b">
        <v>0</v>
      </c>
      <c r="L28" s="16" t="b">
        <v>0</v>
      </c>
    </row>
    <row r="29">
      <c r="A29" s="9"/>
      <c r="B29" s="16"/>
      <c r="C29" s="7" t="str">
        <f>IFERROR(VLOOKUP(B29,'Master data'!$A$1:$F$1000,2,FALSE),"")</f>
        <v/>
      </c>
      <c r="D29" s="7" t="str">
        <f>IFERROR(VLOOKUP(B29,'Master data'!$A$1:$F$1000,6,FALSE),"")</f>
        <v/>
      </c>
      <c r="F29" s="7" t="str">
        <f>IFERROR(VLOOKUP(B29,'Master data'!$A$1:$F$1000,3,FALSE),"")</f>
        <v/>
      </c>
      <c r="I29" s="16"/>
      <c r="J29" s="16"/>
      <c r="K29" s="16" t="b">
        <v>0</v>
      </c>
      <c r="L29" s="16" t="b">
        <v>0</v>
      </c>
    </row>
    <row r="30">
      <c r="A30" s="9"/>
      <c r="B30" s="16"/>
      <c r="C30" s="7" t="str">
        <f>IFERROR(VLOOKUP(B30,'Master data'!$A$1:$F$1000,2,FALSE),"")</f>
        <v/>
      </c>
      <c r="D30" s="7" t="str">
        <f>IFERROR(VLOOKUP(B30,'Master data'!$A$1:$F$1000,6,FALSE),"")</f>
        <v/>
      </c>
      <c r="F30" s="7" t="str">
        <f>IFERROR(VLOOKUP(B30,'Master data'!$A$1:$F$1000,3,FALSE),"")</f>
        <v/>
      </c>
      <c r="I30" s="16"/>
      <c r="J30" s="16"/>
      <c r="K30" s="16" t="b">
        <v>0</v>
      </c>
      <c r="L30" s="16" t="b">
        <v>0</v>
      </c>
    </row>
    <row r="31">
      <c r="A31" s="9"/>
      <c r="B31" s="16"/>
      <c r="C31" s="7" t="str">
        <f>IFERROR(VLOOKUP(B31,'Master data'!$A$1:$F$1000,2,FALSE),"")</f>
        <v/>
      </c>
      <c r="D31" s="7" t="str">
        <f>IFERROR(VLOOKUP(B31,'Master data'!$A$1:$F$1000,6,FALSE),"")</f>
        <v/>
      </c>
      <c r="F31" s="7" t="str">
        <f>IFERROR(VLOOKUP(B31,'Master data'!$A$1:$F$1000,3,FALSE),"")</f>
        <v/>
      </c>
      <c r="I31" s="16"/>
      <c r="J31" s="16"/>
      <c r="K31" s="16" t="b">
        <v>0</v>
      </c>
      <c r="L31" s="16" t="b">
        <v>0</v>
      </c>
    </row>
    <row r="32">
      <c r="A32" s="9"/>
      <c r="B32" s="16"/>
      <c r="C32" s="7" t="str">
        <f>IFERROR(VLOOKUP(B32,'Master data'!$A$1:$F$1000,2,FALSE),"")</f>
        <v/>
      </c>
      <c r="D32" s="7" t="str">
        <f>IFERROR(VLOOKUP(B32,'Master data'!$A$1:$F$1000,6,FALSE),"")</f>
        <v/>
      </c>
      <c r="F32" s="7" t="str">
        <f>IFERROR(VLOOKUP(B32,'Master data'!$A$1:$F$1000,3,FALSE),"")</f>
        <v/>
      </c>
      <c r="I32" s="16"/>
      <c r="J32" s="16"/>
      <c r="K32" s="16" t="b">
        <v>0</v>
      </c>
      <c r="L32" s="16" t="b">
        <v>0</v>
      </c>
    </row>
    <row r="33">
      <c r="A33" s="9"/>
      <c r="B33" s="16"/>
      <c r="C33" s="7" t="str">
        <f>IFERROR(VLOOKUP(B33,'Master data'!$A$1:$F$1000,2,FALSE),"")</f>
        <v/>
      </c>
      <c r="D33" s="7" t="str">
        <f>IFERROR(VLOOKUP(B33,'Master data'!$A$1:$F$1000,6,FALSE),"")</f>
        <v/>
      </c>
      <c r="F33" s="7" t="str">
        <f>IFERROR(VLOOKUP(B33,'Master data'!$A$1:$F$1000,3,FALSE),"")</f>
        <v/>
      </c>
      <c r="I33" s="16"/>
      <c r="J33" s="16"/>
      <c r="K33" s="16" t="b">
        <v>0</v>
      </c>
      <c r="L33" s="16" t="b">
        <v>0</v>
      </c>
    </row>
    <row r="34">
      <c r="A34" s="9"/>
      <c r="B34" s="16"/>
      <c r="C34" s="7" t="str">
        <f>IFERROR(VLOOKUP(B34,'Master data'!$A$1:$F$1000,2,FALSE),"")</f>
        <v/>
      </c>
      <c r="D34" s="7" t="str">
        <f>IFERROR(VLOOKUP(B34,'Master data'!$A$1:$F$1000,6,FALSE),"")</f>
        <v/>
      </c>
      <c r="F34" s="7" t="str">
        <f>IFERROR(VLOOKUP(B34,'Master data'!$A$1:$F$1000,3,FALSE),"")</f>
        <v/>
      </c>
      <c r="I34" s="16"/>
      <c r="J34" s="16"/>
      <c r="K34" s="16" t="b">
        <v>0</v>
      </c>
      <c r="L34" s="16" t="b">
        <v>0</v>
      </c>
    </row>
    <row r="35">
      <c r="A35" s="9"/>
      <c r="B35" s="16"/>
      <c r="C35" s="7" t="str">
        <f>IFERROR(VLOOKUP(B35,'Master data'!$A$1:$F$1000,2,FALSE),"")</f>
        <v/>
      </c>
      <c r="D35" s="7" t="str">
        <f>IFERROR(VLOOKUP(B35,'Master data'!$A$1:$F$1000,6,FALSE),"")</f>
        <v/>
      </c>
      <c r="F35" s="7" t="str">
        <f>IFERROR(VLOOKUP(B35,'Master data'!$A$1:$F$1000,3,FALSE),"")</f>
        <v/>
      </c>
      <c r="I35" s="16"/>
      <c r="J35" s="16"/>
      <c r="K35" s="16" t="b">
        <v>0</v>
      </c>
      <c r="L35" s="16" t="b">
        <v>0</v>
      </c>
    </row>
    <row r="36">
      <c r="A36" s="9"/>
      <c r="B36" s="16"/>
      <c r="C36" s="7" t="str">
        <f>IFERROR(VLOOKUP(B36,'Master data'!$A$1:$F$1000,2,FALSE),"")</f>
        <v/>
      </c>
      <c r="D36" s="7" t="str">
        <f>IFERROR(VLOOKUP(B36,'Master data'!$A$1:$F$1000,6,FALSE),"")</f>
        <v/>
      </c>
      <c r="F36" s="7" t="str">
        <f>IFERROR(VLOOKUP(B36,'Master data'!$A$1:$F$1000,3,FALSE),"")</f>
        <v/>
      </c>
      <c r="I36" s="16"/>
      <c r="J36" s="16"/>
      <c r="K36" s="16" t="b">
        <v>0</v>
      </c>
      <c r="L36" s="16" t="b">
        <v>0</v>
      </c>
    </row>
    <row r="37">
      <c r="A37" s="9"/>
      <c r="B37" s="16"/>
      <c r="C37" s="7" t="str">
        <f>IFERROR(VLOOKUP(B37,'Master data'!$A$1:$F$1000,2,FALSE),"")</f>
        <v/>
      </c>
      <c r="D37" s="7" t="str">
        <f>IFERROR(VLOOKUP(B37,'Master data'!$A$1:$F$1000,6,FALSE),"")</f>
        <v/>
      </c>
      <c r="F37" s="7" t="str">
        <f>IFERROR(VLOOKUP(B37,'Master data'!$A$1:$F$1000,3,FALSE),"")</f>
        <v/>
      </c>
      <c r="I37" s="16"/>
      <c r="J37" s="16"/>
      <c r="K37" s="16" t="b">
        <v>0</v>
      </c>
      <c r="L37" s="16" t="b">
        <v>0</v>
      </c>
    </row>
    <row r="38">
      <c r="A38" s="9"/>
      <c r="B38" s="16"/>
      <c r="C38" s="7" t="str">
        <f>IFERROR(VLOOKUP(B38,'Master data'!$A$1:$F$1000,2,FALSE),"")</f>
        <v/>
      </c>
      <c r="D38" s="7" t="str">
        <f>IFERROR(VLOOKUP(B38,'Master data'!$A$1:$F$1000,6,FALSE),"")</f>
        <v/>
      </c>
      <c r="F38" s="7" t="str">
        <f>IFERROR(VLOOKUP(B38,'Master data'!$A$1:$F$1000,3,FALSE),"")</f>
        <v/>
      </c>
      <c r="I38" s="16"/>
      <c r="J38" s="16"/>
      <c r="K38" s="16" t="b">
        <v>0</v>
      </c>
      <c r="L38" s="16" t="b">
        <v>0</v>
      </c>
    </row>
    <row r="39">
      <c r="A39" s="9"/>
      <c r="B39" s="16"/>
      <c r="C39" s="7" t="str">
        <f>IFERROR(VLOOKUP(B39,'Master data'!$A$1:$F$1000,2,FALSE),"")</f>
        <v/>
      </c>
      <c r="D39" s="7" t="str">
        <f>IFERROR(VLOOKUP(B39,'Master data'!$A$1:$F$1000,6,FALSE),"")</f>
        <v/>
      </c>
      <c r="F39" s="7" t="str">
        <f>IFERROR(VLOOKUP(B39,'Master data'!$A$1:$F$1000,3,FALSE),"")</f>
        <v/>
      </c>
      <c r="I39" s="16"/>
      <c r="J39" s="16"/>
      <c r="K39" s="16" t="b">
        <v>0</v>
      </c>
      <c r="L39" s="16" t="b">
        <v>0</v>
      </c>
    </row>
    <row r="40">
      <c r="A40" s="9"/>
      <c r="B40" s="16"/>
      <c r="C40" s="7" t="str">
        <f>IFERROR(VLOOKUP(B40,'Master data'!$A$1:$F$1000,2,FALSE),"")</f>
        <v/>
      </c>
      <c r="D40" s="7" t="str">
        <f>IFERROR(VLOOKUP(B40,'Master data'!$A$1:$F$1000,6,FALSE),"")</f>
        <v/>
      </c>
      <c r="F40" s="7" t="str">
        <f>IFERROR(VLOOKUP(B40,'Master data'!$A$1:$F$1000,3,FALSE),"")</f>
        <v/>
      </c>
      <c r="I40" s="16"/>
      <c r="J40" s="16"/>
      <c r="K40" s="16" t="b">
        <v>0</v>
      </c>
      <c r="L40" s="16" t="b">
        <v>0</v>
      </c>
    </row>
    <row r="41">
      <c r="A41" s="9"/>
      <c r="B41" s="16"/>
      <c r="C41" s="7" t="str">
        <f>IFERROR(VLOOKUP(B41,'Master data'!$A$1:$F$1000,2,FALSE),"")</f>
        <v/>
      </c>
      <c r="D41" s="7" t="str">
        <f>IFERROR(VLOOKUP(B41,'Master data'!$A$1:$F$1000,6,FALSE),"")</f>
        <v/>
      </c>
      <c r="F41" s="7" t="str">
        <f>IFERROR(VLOOKUP(B41,'Master data'!$A$1:$F$1000,3,FALSE),"")</f>
        <v/>
      </c>
      <c r="I41" s="16"/>
      <c r="J41" s="16"/>
      <c r="K41" s="16" t="b">
        <v>0</v>
      </c>
      <c r="L41" s="16" t="b">
        <v>0</v>
      </c>
    </row>
    <row r="42">
      <c r="A42" s="9"/>
      <c r="B42" s="16"/>
      <c r="C42" s="7" t="str">
        <f>IFERROR(VLOOKUP(B42,'Master data'!$A$1:$F$1000,2,FALSE),"")</f>
        <v/>
      </c>
      <c r="D42" s="7" t="str">
        <f>IFERROR(VLOOKUP(B42,'Master data'!$A$1:$F$1000,6,FALSE),"")</f>
        <v/>
      </c>
      <c r="F42" s="7" t="str">
        <f>IFERROR(VLOOKUP(B42,'Master data'!$A$1:$F$1000,3,FALSE),"")</f>
        <v/>
      </c>
      <c r="I42" s="16"/>
      <c r="J42" s="16"/>
      <c r="K42" s="16" t="b">
        <v>0</v>
      </c>
      <c r="L42" s="16" t="b">
        <v>0</v>
      </c>
    </row>
    <row r="43">
      <c r="A43" s="9"/>
      <c r="B43" s="16"/>
      <c r="C43" s="7" t="str">
        <f>IFERROR(VLOOKUP(B43,'Master data'!$A$1:$F$1000,2,FALSE),"")</f>
        <v/>
      </c>
      <c r="D43" s="7" t="str">
        <f>IFERROR(VLOOKUP(B43,'Master data'!$A$1:$F$1000,6,FALSE),"")</f>
        <v/>
      </c>
      <c r="F43" s="7" t="str">
        <f>IFERROR(VLOOKUP(B43,'Master data'!$A$1:$F$1000,3,FALSE),"")</f>
        <v/>
      </c>
      <c r="I43" s="16"/>
      <c r="J43" s="16"/>
      <c r="K43" s="16" t="b">
        <v>0</v>
      </c>
      <c r="L43" s="16" t="b">
        <v>0</v>
      </c>
    </row>
    <row r="44">
      <c r="A44" s="9"/>
      <c r="B44" s="16"/>
      <c r="C44" s="7" t="str">
        <f>IFERROR(VLOOKUP(B44,'Master data'!$A$1:$F$1000,2,FALSE),"")</f>
        <v/>
      </c>
      <c r="D44" s="7" t="str">
        <f>IFERROR(VLOOKUP(B44,'Master data'!$A$1:$F$1000,6,FALSE),"")</f>
        <v/>
      </c>
      <c r="F44" s="7" t="str">
        <f>IFERROR(VLOOKUP(B44,'Master data'!$A$1:$F$1000,3,FALSE),"")</f>
        <v/>
      </c>
      <c r="I44" s="16"/>
      <c r="J44" s="16"/>
      <c r="K44" s="16" t="b">
        <v>0</v>
      </c>
      <c r="L44" s="16" t="b">
        <v>0</v>
      </c>
    </row>
    <row r="45">
      <c r="A45" s="9"/>
      <c r="B45" s="16"/>
      <c r="C45" s="7" t="str">
        <f>IFERROR(VLOOKUP(B45,'Master data'!$A$1:$F$1000,2,FALSE),"")</f>
        <v/>
      </c>
      <c r="D45" s="7" t="str">
        <f>IFERROR(VLOOKUP(B45,'Master data'!$A$1:$F$1000,6,FALSE),"")</f>
        <v/>
      </c>
      <c r="F45" s="7" t="str">
        <f>IFERROR(VLOOKUP(B45,'Master data'!$A$1:$F$1000,3,FALSE),"")</f>
        <v/>
      </c>
      <c r="I45" s="16"/>
      <c r="J45" s="16"/>
      <c r="K45" s="16" t="b">
        <v>0</v>
      </c>
      <c r="L45" s="16" t="b">
        <v>0</v>
      </c>
    </row>
    <row r="46">
      <c r="A46" s="9"/>
      <c r="B46" s="16"/>
      <c r="C46" s="7" t="str">
        <f>IFERROR(VLOOKUP(B46,'Master data'!$A$1:$F$1000,2,FALSE),"")</f>
        <v/>
      </c>
      <c r="D46" s="7" t="str">
        <f>IFERROR(VLOOKUP(B46,'Master data'!$A$1:$F$1000,6,FALSE),"")</f>
        <v/>
      </c>
      <c r="F46" s="7" t="str">
        <f>IFERROR(VLOOKUP(B46,'Master data'!$A$1:$F$1000,3,FALSE),"")</f>
        <v/>
      </c>
      <c r="I46" s="16"/>
      <c r="J46" s="16"/>
      <c r="K46" s="16" t="b">
        <v>0</v>
      </c>
      <c r="L46" s="16" t="b">
        <v>0</v>
      </c>
    </row>
    <row r="47">
      <c r="A47" s="9"/>
      <c r="B47" s="16"/>
      <c r="C47" s="7" t="str">
        <f>IFERROR(VLOOKUP(B47,'Master data'!$A$1:$F$1000,2,FALSE),"")</f>
        <v/>
      </c>
      <c r="D47" s="7" t="str">
        <f>IFERROR(VLOOKUP(B47,'Master data'!$A$1:$F$1000,6,FALSE),"")</f>
        <v/>
      </c>
      <c r="F47" s="7" t="str">
        <f>IFERROR(VLOOKUP(B47,'Master data'!$A$1:$F$1000,3,FALSE),"")</f>
        <v/>
      </c>
      <c r="I47" s="16"/>
      <c r="J47" s="16"/>
      <c r="K47" s="16" t="b">
        <v>0</v>
      </c>
      <c r="L47" s="16" t="b">
        <v>0</v>
      </c>
    </row>
    <row r="48">
      <c r="A48" s="9"/>
      <c r="B48" s="16"/>
      <c r="C48" s="7" t="str">
        <f>IFERROR(VLOOKUP(B48,'Master data'!$A$1:$F$1000,2,FALSE),"")</f>
        <v/>
      </c>
      <c r="D48" s="7" t="str">
        <f>IFERROR(VLOOKUP(B48,'Master data'!$A$1:$F$1000,6,FALSE),"")</f>
        <v/>
      </c>
      <c r="F48" s="7" t="str">
        <f>IFERROR(VLOOKUP(B48,'Master data'!$A$1:$F$1000,3,FALSE),"")</f>
        <v/>
      </c>
      <c r="I48" s="16"/>
      <c r="J48" s="16"/>
      <c r="K48" s="16" t="b">
        <v>0</v>
      </c>
      <c r="L48" s="16" t="b">
        <v>0</v>
      </c>
    </row>
    <row r="49">
      <c r="A49" s="9"/>
      <c r="B49" s="16"/>
      <c r="C49" s="7" t="str">
        <f>IFERROR(VLOOKUP(B49,'Master data'!$A$1:$F$1000,2,FALSE),"")</f>
        <v/>
      </c>
      <c r="D49" s="7" t="str">
        <f>IFERROR(VLOOKUP(B49,'Master data'!$A$1:$F$1000,6,FALSE),"")</f>
        <v/>
      </c>
      <c r="F49" s="7" t="str">
        <f>IFERROR(VLOOKUP(B49,'Master data'!$A$1:$F$1000,3,FALSE),"")</f>
        <v/>
      </c>
      <c r="I49" s="16"/>
      <c r="J49" s="16"/>
      <c r="K49" s="16" t="b">
        <v>0</v>
      </c>
      <c r="L49" s="16" t="b">
        <v>0</v>
      </c>
    </row>
    <row r="50">
      <c r="A50" s="9"/>
      <c r="B50" s="16"/>
      <c r="C50" s="7" t="str">
        <f>IFERROR(VLOOKUP(B50,'Master data'!$A$1:$F$1000,2,FALSE),"")</f>
        <v/>
      </c>
      <c r="D50" s="7" t="str">
        <f>IFERROR(VLOOKUP(B50,'Master data'!$A$1:$F$1000,6,FALSE),"")</f>
        <v/>
      </c>
      <c r="F50" s="7" t="str">
        <f>IFERROR(VLOOKUP(B50,'Master data'!$A$1:$F$1000,3,FALSE),"")</f>
        <v/>
      </c>
      <c r="I50" s="16"/>
      <c r="J50" s="16"/>
      <c r="K50" s="16" t="b">
        <v>0</v>
      </c>
      <c r="L50" s="16" t="b">
        <v>0</v>
      </c>
    </row>
    <row r="51">
      <c r="A51" s="9"/>
      <c r="B51" s="16"/>
      <c r="C51" s="7" t="str">
        <f>IFERROR(VLOOKUP(B51,'Master data'!$A$1:$F$1000,2,FALSE),"")</f>
        <v/>
      </c>
      <c r="D51" s="7" t="str">
        <f>IFERROR(VLOOKUP(B51,'Master data'!$A$1:$F$1000,6,FALSE),"")</f>
        <v/>
      </c>
      <c r="F51" s="7" t="str">
        <f>IFERROR(VLOOKUP(B51,'Master data'!$A$1:$F$1000,3,FALSE),"")</f>
        <v/>
      </c>
      <c r="I51" s="16"/>
      <c r="J51" s="16"/>
      <c r="K51" s="16" t="b">
        <v>0</v>
      </c>
      <c r="L51" s="16" t="b">
        <v>0</v>
      </c>
    </row>
    <row r="52">
      <c r="A52" s="9"/>
      <c r="B52" s="16"/>
      <c r="C52" s="7" t="str">
        <f>IFERROR(VLOOKUP(B52,'Master data'!$A$1:$F$1000,2,FALSE),"")</f>
        <v/>
      </c>
      <c r="D52" s="7" t="str">
        <f>IFERROR(VLOOKUP(B52,'Master data'!$A$1:$F$1000,6,FALSE),"")</f>
        <v/>
      </c>
      <c r="F52" s="7" t="str">
        <f>IFERROR(VLOOKUP(B52,'Master data'!$A$1:$F$1000,3,FALSE),"")</f>
        <v/>
      </c>
      <c r="I52" s="16"/>
      <c r="J52" s="16"/>
      <c r="K52" s="16" t="b">
        <v>0</v>
      </c>
      <c r="L52" s="16" t="b">
        <v>0</v>
      </c>
    </row>
    <row r="53">
      <c r="A53" s="9"/>
      <c r="B53" s="16"/>
      <c r="C53" s="7" t="str">
        <f>IFERROR(VLOOKUP(B53,'Master data'!$A$1:$F$1000,2,FALSE),"")</f>
        <v/>
      </c>
      <c r="D53" s="7" t="str">
        <f>IFERROR(VLOOKUP(B53,'Master data'!$A$1:$F$1000,6,FALSE),"")</f>
        <v/>
      </c>
      <c r="F53" s="7" t="str">
        <f>IFERROR(VLOOKUP(B53,'Master data'!$A$1:$F$1000,3,FALSE),"")</f>
        <v/>
      </c>
      <c r="I53" s="16"/>
      <c r="J53" s="16"/>
      <c r="K53" s="16" t="b">
        <v>0</v>
      </c>
      <c r="L53" s="16" t="b">
        <v>0</v>
      </c>
    </row>
    <row r="54">
      <c r="A54" s="9"/>
      <c r="B54" s="16"/>
      <c r="C54" s="7" t="str">
        <f>IFERROR(VLOOKUP(B54,'Master data'!$A$1:$F$1000,2,FALSE),"")</f>
        <v/>
      </c>
      <c r="D54" s="7" t="str">
        <f>IFERROR(VLOOKUP(B54,'Master data'!$A$1:$F$1000,6,FALSE),"")</f>
        <v/>
      </c>
      <c r="F54" s="7" t="str">
        <f>IFERROR(VLOOKUP(B54,'Master data'!$A$1:$F$1000,3,FALSE),"")</f>
        <v/>
      </c>
      <c r="I54" s="16"/>
      <c r="J54" s="16"/>
      <c r="K54" s="16" t="b">
        <v>0</v>
      </c>
      <c r="L54" s="16" t="b">
        <v>0</v>
      </c>
    </row>
    <row r="55">
      <c r="A55" s="9"/>
      <c r="B55" s="16"/>
      <c r="C55" s="7" t="str">
        <f>IFERROR(VLOOKUP(B55,'Master data'!$A$1:$F$1000,2,FALSE),"")</f>
        <v/>
      </c>
      <c r="D55" s="7" t="str">
        <f>IFERROR(VLOOKUP(B55,'Master data'!$A$1:$F$1000,6,FALSE),"")</f>
        <v/>
      </c>
      <c r="F55" s="7" t="str">
        <f>IFERROR(VLOOKUP(B55,'Master data'!$A$1:$F$1000,3,FALSE),"")</f>
        <v/>
      </c>
      <c r="I55" s="16"/>
      <c r="J55" s="16"/>
      <c r="K55" s="16" t="b">
        <v>0</v>
      </c>
      <c r="L55" s="16" t="b">
        <v>0</v>
      </c>
    </row>
    <row r="56">
      <c r="A56" s="9"/>
      <c r="B56" s="16"/>
      <c r="C56" s="7" t="str">
        <f>IFERROR(VLOOKUP(B56,'Master data'!$A$1:$F$1000,2,FALSE),"")</f>
        <v/>
      </c>
      <c r="D56" s="7" t="str">
        <f>IFERROR(VLOOKUP(B56,'Master data'!$A$1:$F$1000,6,FALSE),"")</f>
        <v/>
      </c>
      <c r="F56" s="7" t="str">
        <f>IFERROR(VLOOKUP(B56,'Master data'!$A$1:$F$1000,3,FALSE),"")</f>
        <v/>
      </c>
      <c r="I56" s="16"/>
      <c r="J56" s="16"/>
      <c r="K56" s="16" t="b">
        <v>0</v>
      </c>
      <c r="L56" s="16" t="b">
        <v>0</v>
      </c>
    </row>
    <row r="57">
      <c r="A57" s="9"/>
      <c r="B57" s="16"/>
      <c r="C57" s="7" t="str">
        <f>IFERROR(VLOOKUP(B57,'Master data'!$A$1:$F$1000,2,FALSE),"")</f>
        <v/>
      </c>
      <c r="D57" s="7" t="str">
        <f>IFERROR(VLOOKUP(B57,'Master data'!$A$1:$F$1000,6,FALSE),"")</f>
        <v/>
      </c>
      <c r="F57" s="7" t="str">
        <f>IFERROR(VLOOKUP(B57,'Master data'!$A$1:$F$1000,3,FALSE),"")</f>
        <v/>
      </c>
      <c r="I57" s="16"/>
      <c r="J57" s="16"/>
      <c r="K57" s="16" t="b">
        <v>0</v>
      </c>
      <c r="L57" s="16" t="b">
        <v>0</v>
      </c>
    </row>
    <row r="58">
      <c r="A58" s="9"/>
      <c r="B58" s="16"/>
      <c r="C58" s="7" t="str">
        <f>IFERROR(VLOOKUP(B58,'Master data'!$A$1:$F$1000,2,FALSE),"")</f>
        <v/>
      </c>
      <c r="D58" s="7" t="str">
        <f>IFERROR(VLOOKUP(B58,'Master data'!$A$1:$F$1000,6,FALSE),"")</f>
        <v/>
      </c>
      <c r="F58" s="7" t="str">
        <f>IFERROR(VLOOKUP(B58,'Master data'!$A$1:$F$1000,3,FALSE),"")</f>
        <v/>
      </c>
      <c r="I58" s="16"/>
      <c r="J58" s="16"/>
      <c r="K58" s="16" t="b">
        <v>0</v>
      </c>
      <c r="L58" s="16" t="b">
        <v>0</v>
      </c>
    </row>
    <row r="59">
      <c r="A59" s="9"/>
      <c r="B59" s="16"/>
      <c r="C59" s="7" t="str">
        <f>IFERROR(VLOOKUP(B59,'Master data'!$A$1:$F$1000,2,FALSE),"")</f>
        <v/>
      </c>
      <c r="D59" s="7" t="str">
        <f>IFERROR(VLOOKUP(B59,'Master data'!$A$1:$F$1000,6,FALSE),"")</f>
        <v/>
      </c>
      <c r="F59" s="7" t="str">
        <f>IFERROR(VLOOKUP(B59,'Master data'!$A$1:$F$1000,3,FALSE),"")</f>
        <v/>
      </c>
      <c r="I59" s="16"/>
      <c r="J59" s="16"/>
      <c r="K59" s="16" t="b">
        <v>0</v>
      </c>
      <c r="L59" s="16" t="b">
        <v>0</v>
      </c>
    </row>
    <row r="60">
      <c r="A60" s="9"/>
      <c r="B60" s="16"/>
      <c r="C60" s="7" t="str">
        <f>IFERROR(VLOOKUP(B60,'Master data'!$A$1:$F$1000,2,FALSE),"")</f>
        <v/>
      </c>
      <c r="D60" s="7" t="str">
        <f>IFERROR(VLOOKUP(B60,'Master data'!$A$1:$F$1000,6,FALSE),"")</f>
        <v/>
      </c>
      <c r="F60" s="7" t="str">
        <f>IFERROR(VLOOKUP(B60,'Master data'!$A$1:$F$1000,3,FALSE),"")</f>
        <v/>
      </c>
      <c r="I60" s="16"/>
      <c r="J60" s="16"/>
      <c r="K60" s="16" t="b">
        <v>0</v>
      </c>
      <c r="L60" s="16" t="b">
        <v>0</v>
      </c>
    </row>
    <row r="61">
      <c r="A61" s="9"/>
      <c r="B61" s="16"/>
      <c r="C61" s="7" t="str">
        <f>IFERROR(VLOOKUP(B61,'Master data'!$A$1:$F$1000,2,FALSE),"")</f>
        <v/>
      </c>
      <c r="D61" s="7" t="str">
        <f>IFERROR(VLOOKUP(B61,'Master data'!$A$1:$F$1000,6,FALSE),"")</f>
        <v/>
      </c>
      <c r="F61" s="7" t="str">
        <f>IFERROR(VLOOKUP(B61,'Master data'!$A$1:$F$1000,3,FALSE),"")</f>
        <v/>
      </c>
      <c r="I61" s="16"/>
      <c r="J61" s="16"/>
      <c r="K61" s="16" t="b">
        <v>0</v>
      </c>
      <c r="L61" s="16" t="b">
        <v>0</v>
      </c>
    </row>
    <row r="62">
      <c r="A62" s="9"/>
      <c r="B62" s="16"/>
      <c r="C62" s="7" t="str">
        <f>IFERROR(VLOOKUP(B62,'Master data'!$A$1:$F$1000,2,FALSE),"")</f>
        <v/>
      </c>
      <c r="D62" s="7" t="str">
        <f>IFERROR(VLOOKUP(B62,'Master data'!$A$1:$F$1000,6,FALSE),"")</f>
        <v/>
      </c>
      <c r="F62" s="7" t="str">
        <f>IFERROR(VLOOKUP(B62,'Master data'!$A$1:$F$1000,3,FALSE),"")</f>
        <v/>
      </c>
      <c r="I62" s="16"/>
      <c r="J62" s="16"/>
      <c r="K62" s="16" t="b">
        <v>0</v>
      </c>
      <c r="L62" s="16" t="b">
        <v>0</v>
      </c>
    </row>
    <row r="63">
      <c r="A63" s="9"/>
      <c r="B63" s="16"/>
      <c r="C63" s="7" t="str">
        <f>IFERROR(VLOOKUP(B63,'Master data'!$A$1:$F$1000,2,FALSE),"")</f>
        <v/>
      </c>
      <c r="D63" s="7" t="str">
        <f>IFERROR(VLOOKUP(B63,'Master data'!$A$1:$F$1000,6,FALSE),"")</f>
        <v/>
      </c>
      <c r="F63" s="7" t="str">
        <f>IFERROR(VLOOKUP(B63,'Master data'!$A$1:$F$1000,3,FALSE),"")</f>
        <v/>
      </c>
      <c r="I63" s="16"/>
      <c r="J63" s="16"/>
      <c r="K63" s="16" t="b">
        <v>0</v>
      </c>
      <c r="L63" s="16" t="b">
        <v>0</v>
      </c>
    </row>
    <row r="64">
      <c r="A64" s="9"/>
      <c r="B64" s="16"/>
      <c r="C64" s="7" t="str">
        <f>IFERROR(VLOOKUP(B64,'Master data'!$A$1:$F$1000,2,FALSE),"")</f>
        <v/>
      </c>
      <c r="D64" s="7" t="str">
        <f>IFERROR(VLOOKUP(B64,'Master data'!$A$1:$F$1000,6,FALSE),"")</f>
        <v/>
      </c>
      <c r="F64" s="7" t="str">
        <f>IFERROR(VLOOKUP(B64,'Master data'!$A$1:$F$1000,3,FALSE),"")</f>
        <v/>
      </c>
      <c r="I64" s="16"/>
      <c r="J64" s="16"/>
      <c r="K64" s="16" t="b">
        <v>0</v>
      </c>
      <c r="L64" s="16" t="b">
        <v>0</v>
      </c>
    </row>
    <row r="65">
      <c r="A65" s="9"/>
      <c r="B65" s="16"/>
      <c r="C65" s="7" t="str">
        <f>IFERROR(VLOOKUP(B65,'Master data'!$A$1:$F$1000,2,FALSE),"")</f>
        <v/>
      </c>
      <c r="D65" s="7" t="str">
        <f>IFERROR(VLOOKUP(B65,'Master data'!$A$1:$F$1000,6,FALSE),"")</f>
        <v/>
      </c>
      <c r="F65" s="7" t="str">
        <f>IFERROR(VLOOKUP(B65,'Master data'!$A$1:$F$1000,3,FALSE),"")</f>
        <v/>
      </c>
      <c r="I65" s="16"/>
      <c r="J65" s="16"/>
      <c r="K65" s="16" t="b">
        <v>0</v>
      </c>
      <c r="L65" s="16" t="b">
        <v>0</v>
      </c>
    </row>
    <row r="66">
      <c r="A66" s="9"/>
      <c r="B66" s="16"/>
      <c r="C66" s="7" t="str">
        <f>IFERROR(VLOOKUP(B66,'Master data'!$A$1:$F$1000,2,FALSE),"")</f>
        <v/>
      </c>
      <c r="D66" s="7" t="str">
        <f>IFERROR(VLOOKUP(B66,'Master data'!$A$1:$F$1000,6,FALSE),"")</f>
        <v/>
      </c>
      <c r="F66" s="7" t="str">
        <f>IFERROR(VLOOKUP(B66,'Master data'!$A$1:$F$1000,3,FALSE),"")</f>
        <v/>
      </c>
      <c r="I66" s="16"/>
      <c r="J66" s="16"/>
      <c r="K66" s="16" t="b">
        <v>0</v>
      </c>
      <c r="L66" s="16" t="b">
        <v>0</v>
      </c>
    </row>
    <row r="67">
      <c r="A67" s="9"/>
      <c r="B67" s="16"/>
      <c r="C67" s="7" t="str">
        <f>IFERROR(VLOOKUP(B67,'Master data'!$A$1:$F$1000,2,FALSE),"")</f>
        <v/>
      </c>
      <c r="D67" s="7" t="str">
        <f>IFERROR(VLOOKUP(B67,'Master data'!$A$1:$F$1000,6,FALSE),"")</f>
        <v/>
      </c>
      <c r="F67" s="7" t="str">
        <f>IFERROR(VLOOKUP(B67,'Master data'!$A$1:$F$1000,3,FALSE),"")</f>
        <v/>
      </c>
      <c r="I67" s="16"/>
      <c r="J67" s="16"/>
      <c r="K67" s="16" t="b">
        <v>0</v>
      </c>
      <c r="L67" s="16" t="b">
        <v>0</v>
      </c>
    </row>
    <row r="68">
      <c r="A68" s="9"/>
      <c r="B68" s="16"/>
      <c r="C68" s="7" t="str">
        <f>IFERROR(VLOOKUP(B68,'Master data'!$A$1:$F$1000,2,FALSE),"")</f>
        <v/>
      </c>
      <c r="D68" s="7" t="str">
        <f>IFERROR(VLOOKUP(B68,'Master data'!$A$1:$F$1000,6,FALSE),"")</f>
        <v/>
      </c>
      <c r="F68" s="7" t="str">
        <f>IFERROR(VLOOKUP(B68,'Master data'!$A$1:$F$1000,3,FALSE),"")</f>
        <v/>
      </c>
      <c r="I68" s="16"/>
      <c r="J68" s="16"/>
      <c r="K68" s="16" t="b">
        <v>0</v>
      </c>
      <c r="L68" s="16" t="b">
        <v>0</v>
      </c>
    </row>
    <row r="69">
      <c r="A69" s="9"/>
      <c r="B69" s="16"/>
      <c r="C69" s="7" t="str">
        <f>IFERROR(VLOOKUP(B69,'Master data'!$A$1:$F$1000,2,FALSE),"")</f>
        <v/>
      </c>
      <c r="D69" s="7" t="str">
        <f>IFERROR(VLOOKUP(B69,'Master data'!$A$1:$F$1000,6,FALSE),"")</f>
        <v/>
      </c>
      <c r="F69" s="7" t="str">
        <f>IFERROR(VLOOKUP(B69,'Master data'!$A$1:$F$1000,3,FALSE),"")</f>
        <v/>
      </c>
      <c r="I69" s="16"/>
      <c r="J69" s="16"/>
      <c r="K69" s="16" t="b">
        <v>0</v>
      </c>
      <c r="L69" s="16" t="b">
        <v>0</v>
      </c>
    </row>
    <row r="70">
      <c r="A70" s="9"/>
      <c r="B70" s="16"/>
      <c r="C70" s="7" t="str">
        <f>IFERROR(VLOOKUP(B70,'Master data'!$A$1:$F$1000,2,FALSE),"")</f>
        <v/>
      </c>
      <c r="D70" s="7" t="str">
        <f>IFERROR(VLOOKUP(B70,'Master data'!$A$1:$F$1000,6,FALSE),"")</f>
        <v/>
      </c>
      <c r="F70" s="7" t="str">
        <f>IFERROR(VLOOKUP(B70,'Master data'!$A$1:$F$1000,3,FALSE),"")</f>
        <v/>
      </c>
      <c r="I70" s="16"/>
      <c r="J70" s="16"/>
      <c r="K70" s="16" t="b">
        <v>0</v>
      </c>
      <c r="L70" s="16" t="b">
        <v>0</v>
      </c>
    </row>
    <row r="71">
      <c r="A71" s="9"/>
      <c r="B71" s="16"/>
      <c r="C71" s="7" t="str">
        <f>IFERROR(VLOOKUP(B71,'Master data'!$A$1:$F$1000,2,FALSE),"")</f>
        <v/>
      </c>
      <c r="D71" s="7" t="str">
        <f>IFERROR(VLOOKUP(B71,'Master data'!$A$1:$F$1000,6,FALSE),"")</f>
        <v/>
      </c>
      <c r="F71" s="7" t="str">
        <f>IFERROR(VLOOKUP(B71,'Master data'!$A$1:$F$1000,3,FALSE),"")</f>
        <v/>
      </c>
      <c r="I71" s="16"/>
      <c r="J71" s="16"/>
      <c r="K71" s="16" t="b">
        <v>0</v>
      </c>
      <c r="L71" s="16" t="b">
        <v>0</v>
      </c>
    </row>
    <row r="72">
      <c r="A72" s="9"/>
      <c r="B72" s="16"/>
      <c r="C72" s="7" t="str">
        <f>IFERROR(VLOOKUP(B72,'Master data'!$A$1:$F$1000,2,FALSE),"")</f>
        <v/>
      </c>
      <c r="D72" s="7" t="str">
        <f>IFERROR(VLOOKUP(B72,'Master data'!$A$1:$F$1000,6,FALSE),"")</f>
        <v/>
      </c>
      <c r="F72" s="7" t="str">
        <f>IFERROR(VLOOKUP(B72,'Master data'!$A$1:$F$1000,3,FALSE),"")</f>
        <v/>
      </c>
      <c r="I72" s="16"/>
      <c r="J72" s="16"/>
      <c r="K72" s="16" t="b">
        <v>0</v>
      </c>
      <c r="L72" s="16" t="b">
        <v>0</v>
      </c>
    </row>
    <row r="73">
      <c r="A73" s="9"/>
      <c r="B73" s="16"/>
      <c r="C73" s="7" t="str">
        <f>IFERROR(VLOOKUP(B73,'Master data'!$A$1:$F$1000,2,FALSE),"")</f>
        <v/>
      </c>
      <c r="D73" s="7" t="str">
        <f>IFERROR(VLOOKUP(B73,'Master data'!$A$1:$F$1000,6,FALSE),"")</f>
        <v/>
      </c>
      <c r="F73" s="7" t="str">
        <f>IFERROR(VLOOKUP(B73,'Master data'!$A$1:$F$1000,3,FALSE),"")</f>
        <v/>
      </c>
      <c r="I73" s="16"/>
      <c r="J73" s="16"/>
      <c r="K73" s="16" t="b">
        <v>0</v>
      </c>
      <c r="L73" s="16" t="b">
        <v>0</v>
      </c>
    </row>
    <row r="74">
      <c r="A74" s="9"/>
      <c r="B74" s="16"/>
      <c r="C74" s="7" t="str">
        <f>IFERROR(VLOOKUP(B74,'Master data'!$A$1:$F$1000,2,FALSE),"")</f>
        <v/>
      </c>
      <c r="D74" s="7" t="str">
        <f>IFERROR(VLOOKUP(B74,'Master data'!$A$1:$F$1000,6,FALSE),"")</f>
        <v/>
      </c>
      <c r="F74" s="7" t="str">
        <f>IFERROR(VLOOKUP(B74,'Master data'!$A$1:$F$1000,3,FALSE),"")</f>
        <v/>
      </c>
      <c r="I74" s="16"/>
      <c r="J74" s="16"/>
      <c r="K74" s="16" t="b">
        <v>0</v>
      </c>
      <c r="L74" s="16" t="b">
        <v>0</v>
      </c>
    </row>
    <row r="75">
      <c r="A75" s="9"/>
      <c r="B75" s="16"/>
      <c r="C75" s="7" t="str">
        <f>IFERROR(VLOOKUP(B75,'Master data'!$A$1:$F$1000,2,FALSE),"")</f>
        <v/>
      </c>
      <c r="D75" s="7" t="str">
        <f>IFERROR(VLOOKUP(B75,'Master data'!$A$1:$F$1000,6,FALSE),"")</f>
        <v/>
      </c>
      <c r="F75" s="7" t="str">
        <f>IFERROR(VLOOKUP(B75,'Master data'!$A$1:$F$1000,3,FALSE),"")</f>
        <v/>
      </c>
      <c r="I75" s="16"/>
      <c r="J75" s="16"/>
      <c r="K75" s="16" t="b">
        <v>0</v>
      </c>
      <c r="L75" s="16" t="b">
        <v>0</v>
      </c>
    </row>
    <row r="76">
      <c r="A76" s="9"/>
      <c r="B76" s="16"/>
      <c r="C76" s="7" t="str">
        <f>IFERROR(VLOOKUP(B76,'Master data'!$A$1:$F$1000,2,FALSE),"")</f>
        <v/>
      </c>
      <c r="D76" s="7" t="str">
        <f>IFERROR(VLOOKUP(B76,'Master data'!$A$1:$F$1000,6,FALSE),"")</f>
        <v/>
      </c>
      <c r="F76" s="7" t="str">
        <f>IFERROR(VLOOKUP(B76,'Master data'!$A$1:$F$1000,3,FALSE),"")</f>
        <v/>
      </c>
      <c r="I76" s="16"/>
      <c r="J76" s="16"/>
      <c r="K76" s="16" t="b">
        <v>0</v>
      </c>
      <c r="L76" s="16" t="b">
        <v>0</v>
      </c>
    </row>
    <row r="77">
      <c r="A77" s="9"/>
      <c r="B77" s="16"/>
      <c r="C77" s="7" t="str">
        <f>IFERROR(VLOOKUP(B77,'Master data'!$A$1:$F$1000,2,FALSE),"")</f>
        <v/>
      </c>
      <c r="D77" s="7" t="str">
        <f>IFERROR(VLOOKUP(B77,'Master data'!$A$1:$F$1000,6,FALSE),"")</f>
        <v/>
      </c>
      <c r="F77" s="7" t="str">
        <f>IFERROR(VLOOKUP(B77,'Master data'!$A$1:$F$1000,3,FALSE),"")</f>
        <v/>
      </c>
      <c r="I77" s="16"/>
      <c r="J77" s="16"/>
      <c r="K77" s="16" t="b">
        <v>0</v>
      </c>
      <c r="L77" s="16" t="b">
        <v>0</v>
      </c>
    </row>
    <row r="78">
      <c r="A78" s="9"/>
      <c r="B78" s="16"/>
      <c r="C78" s="7" t="str">
        <f>IFERROR(VLOOKUP(B78,'Master data'!$A$1:$F$1000,2,FALSE),"")</f>
        <v/>
      </c>
      <c r="D78" s="7" t="str">
        <f>IFERROR(VLOOKUP(B78,'Master data'!$A$1:$F$1000,6,FALSE),"")</f>
        <v/>
      </c>
      <c r="F78" s="7" t="str">
        <f>IFERROR(VLOOKUP(B78,'Master data'!$A$1:$F$1000,3,FALSE),"")</f>
        <v/>
      </c>
      <c r="I78" s="16"/>
      <c r="J78" s="16"/>
      <c r="K78" s="16" t="b">
        <v>0</v>
      </c>
      <c r="L78" s="16" t="b">
        <v>0</v>
      </c>
    </row>
    <row r="79">
      <c r="A79" s="9"/>
      <c r="B79" s="16"/>
      <c r="C79" s="7" t="str">
        <f>IFERROR(VLOOKUP(B79,'Master data'!$A$1:$F$1000,2,FALSE),"")</f>
        <v/>
      </c>
      <c r="D79" s="7" t="str">
        <f>IFERROR(VLOOKUP(B79,'Master data'!$A$1:$F$1000,6,FALSE),"")</f>
        <v/>
      </c>
      <c r="F79" s="7" t="str">
        <f>IFERROR(VLOOKUP(B79,'Master data'!$A$1:$F$1000,3,FALSE),"")</f>
        <v/>
      </c>
      <c r="I79" s="16"/>
      <c r="J79" s="16"/>
      <c r="K79" s="16" t="b">
        <v>0</v>
      </c>
      <c r="L79" s="16" t="b">
        <v>0</v>
      </c>
    </row>
    <row r="80">
      <c r="A80" s="9"/>
      <c r="B80" s="16"/>
      <c r="C80" s="7" t="str">
        <f>IFERROR(VLOOKUP(B80,'Master data'!$A$1:$F$1000,2,FALSE),"")</f>
        <v/>
      </c>
      <c r="D80" s="7" t="str">
        <f>IFERROR(VLOOKUP(B80,'Master data'!$A$1:$F$1000,6,FALSE),"")</f>
        <v/>
      </c>
      <c r="F80" s="7" t="str">
        <f>IFERROR(VLOOKUP(B80,'Master data'!$A$1:$F$1000,3,FALSE),"")</f>
        <v/>
      </c>
      <c r="I80" s="16"/>
      <c r="J80" s="16"/>
      <c r="K80" s="16" t="b">
        <v>0</v>
      </c>
      <c r="L80" s="16" t="b">
        <v>0</v>
      </c>
    </row>
    <row r="81">
      <c r="A81" s="9"/>
      <c r="B81" s="16"/>
      <c r="C81" s="7" t="str">
        <f>IFERROR(VLOOKUP(B81,'Master data'!$A$1:$F$1000,2,FALSE),"")</f>
        <v/>
      </c>
      <c r="D81" s="7" t="str">
        <f>IFERROR(VLOOKUP(B81,'Master data'!$A$1:$F$1000,6,FALSE),"")</f>
        <v/>
      </c>
      <c r="F81" s="7" t="str">
        <f>IFERROR(VLOOKUP(B81,'Master data'!$A$1:$F$1000,3,FALSE),"")</f>
        <v/>
      </c>
      <c r="I81" s="16"/>
      <c r="J81" s="16"/>
      <c r="K81" s="16" t="b">
        <v>0</v>
      </c>
      <c r="L81" s="16" t="b">
        <v>0</v>
      </c>
    </row>
    <row r="82">
      <c r="A82" s="9"/>
      <c r="B82" s="16"/>
      <c r="C82" s="7" t="str">
        <f>IFERROR(VLOOKUP(B82,'Master data'!$A$1:$F$1000,2,FALSE),"")</f>
        <v/>
      </c>
      <c r="D82" s="7" t="str">
        <f>IFERROR(VLOOKUP(B82,'Master data'!$A$1:$F$1000,6,FALSE),"")</f>
        <v/>
      </c>
      <c r="F82" s="7" t="str">
        <f>IFERROR(VLOOKUP(B82,'Master data'!$A$1:$F$1000,3,FALSE),"")</f>
        <v/>
      </c>
      <c r="I82" s="16"/>
      <c r="J82" s="16"/>
      <c r="K82" s="16" t="b">
        <v>0</v>
      </c>
      <c r="L82" s="16" t="b">
        <v>0</v>
      </c>
    </row>
    <row r="83">
      <c r="A83" s="9"/>
      <c r="B83" s="16"/>
      <c r="C83" s="7" t="str">
        <f>IFERROR(VLOOKUP(B83,'Master data'!$A$1:$F$1000,2,FALSE),"")</f>
        <v/>
      </c>
      <c r="D83" s="7" t="str">
        <f>IFERROR(VLOOKUP(B83,'Master data'!$A$1:$F$1000,6,FALSE),"")</f>
        <v/>
      </c>
      <c r="F83" s="7" t="str">
        <f>IFERROR(VLOOKUP(B83,'Master data'!$A$1:$F$1000,3,FALSE),"")</f>
        <v/>
      </c>
      <c r="I83" s="16"/>
      <c r="J83" s="16"/>
      <c r="K83" s="16" t="b">
        <v>0</v>
      </c>
      <c r="L83" s="16" t="b">
        <v>0</v>
      </c>
    </row>
    <row r="84">
      <c r="A84" s="9"/>
      <c r="B84" s="16"/>
      <c r="C84" s="7" t="str">
        <f>IFERROR(VLOOKUP(B84,'Master data'!$A$1:$F$1000,2,FALSE),"")</f>
        <v/>
      </c>
      <c r="D84" s="7" t="str">
        <f>IFERROR(VLOOKUP(B84,'Master data'!$A$1:$F$1000,6,FALSE),"")</f>
        <v/>
      </c>
      <c r="F84" s="7" t="str">
        <f>IFERROR(VLOOKUP(B84,'Master data'!$A$1:$F$1000,3,FALSE),"")</f>
        <v/>
      </c>
      <c r="I84" s="16"/>
      <c r="J84" s="16"/>
      <c r="K84" s="16" t="b">
        <v>0</v>
      </c>
      <c r="L84" s="16" t="b">
        <v>0</v>
      </c>
    </row>
    <row r="85">
      <c r="A85" s="9"/>
      <c r="B85" s="16"/>
      <c r="C85" s="7" t="str">
        <f>IFERROR(VLOOKUP(B85,'Master data'!$A$1:$F$1000,2,FALSE),"")</f>
        <v/>
      </c>
      <c r="D85" s="7" t="str">
        <f>IFERROR(VLOOKUP(B85,'Master data'!$A$1:$F$1000,6,FALSE),"")</f>
        <v/>
      </c>
      <c r="F85" s="7" t="str">
        <f>IFERROR(VLOOKUP(B85,'Master data'!$A$1:$F$1000,3,FALSE),"")</f>
        <v/>
      </c>
      <c r="I85" s="16"/>
      <c r="J85" s="16"/>
      <c r="K85" s="16" t="b">
        <v>0</v>
      </c>
      <c r="L85" s="16" t="b">
        <v>0</v>
      </c>
    </row>
    <row r="86">
      <c r="A86" s="9"/>
      <c r="B86" s="16"/>
      <c r="C86" s="7" t="str">
        <f>IFERROR(VLOOKUP(B86,'Master data'!$A$1:$F$1000,2,FALSE),"")</f>
        <v/>
      </c>
      <c r="D86" s="7" t="str">
        <f>IFERROR(VLOOKUP(B86,'Master data'!$A$1:$F$1000,6,FALSE),"")</f>
        <v/>
      </c>
      <c r="F86" s="7" t="str">
        <f>IFERROR(VLOOKUP(B86,'Master data'!$A$1:$F$1000,3,FALSE),"")</f>
        <v/>
      </c>
      <c r="I86" s="16"/>
      <c r="J86" s="16"/>
      <c r="K86" s="16" t="b">
        <v>0</v>
      </c>
      <c r="L86" s="16" t="b">
        <v>0</v>
      </c>
    </row>
    <row r="87">
      <c r="A87" s="9"/>
      <c r="B87" s="16"/>
      <c r="C87" s="7" t="str">
        <f>IFERROR(VLOOKUP(B87,'Master data'!$A$1:$F$1000,2,FALSE),"")</f>
        <v/>
      </c>
      <c r="D87" s="7" t="str">
        <f>IFERROR(VLOOKUP(B87,'Master data'!$A$1:$F$1000,6,FALSE),"")</f>
        <v/>
      </c>
      <c r="F87" s="7" t="str">
        <f>IFERROR(VLOOKUP(B87,'Master data'!$A$1:$F$1000,3,FALSE),"")</f>
        <v/>
      </c>
      <c r="I87" s="16"/>
      <c r="J87" s="16"/>
      <c r="K87" s="16" t="b">
        <v>0</v>
      </c>
      <c r="L87" s="16" t="b">
        <v>0</v>
      </c>
    </row>
    <row r="88">
      <c r="A88" s="9"/>
      <c r="B88" s="16"/>
      <c r="C88" s="7" t="str">
        <f>IFERROR(VLOOKUP(B88,'Master data'!$A$1:$F$1000,2,FALSE),"")</f>
        <v/>
      </c>
      <c r="D88" s="7" t="str">
        <f>IFERROR(VLOOKUP(B88,'Master data'!$A$1:$F$1000,6,FALSE),"")</f>
        <v/>
      </c>
      <c r="F88" s="7" t="str">
        <f>IFERROR(VLOOKUP(B88,'Master data'!$A$1:$F$1000,3,FALSE),"")</f>
        <v/>
      </c>
      <c r="I88" s="16"/>
      <c r="J88" s="16"/>
      <c r="K88" s="16" t="b">
        <v>0</v>
      </c>
      <c r="L88" s="16" t="b">
        <v>0</v>
      </c>
    </row>
    <row r="89">
      <c r="A89" s="9"/>
      <c r="B89" s="16"/>
      <c r="C89" s="7" t="str">
        <f>IFERROR(VLOOKUP(B89,'Master data'!$A$1:$F$1000,2,FALSE),"")</f>
        <v/>
      </c>
      <c r="D89" s="7" t="str">
        <f>IFERROR(VLOOKUP(B89,'Master data'!$A$1:$F$1000,6,FALSE),"")</f>
        <v/>
      </c>
      <c r="F89" s="7" t="str">
        <f>IFERROR(VLOOKUP(B89,'Master data'!$A$1:$F$1000,3,FALSE),"")</f>
        <v/>
      </c>
      <c r="I89" s="16"/>
      <c r="J89" s="16"/>
      <c r="K89" s="16" t="b">
        <v>0</v>
      </c>
      <c r="L89" s="16" t="b">
        <v>0</v>
      </c>
    </row>
    <row r="90">
      <c r="A90" s="9"/>
      <c r="B90" s="16"/>
      <c r="C90" s="7" t="str">
        <f>IFERROR(VLOOKUP(B90,'Master data'!$A$1:$F$1000,2,FALSE),"")</f>
        <v/>
      </c>
      <c r="D90" s="7" t="str">
        <f>IFERROR(VLOOKUP(B90,'Master data'!$A$1:$F$1000,6,FALSE),"")</f>
        <v/>
      </c>
      <c r="F90" s="7" t="str">
        <f>IFERROR(VLOOKUP(B90,'Master data'!$A$1:$F$1000,3,FALSE),"")</f>
        <v/>
      </c>
      <c r="I90" s="16"/>
      <c r="J90" s="16"/>
      <c r="K90" s="16" t="b">
        <v>0</v>
      </c>
      <c r="L90" s="16" t="b">
        <v>0</v>
      </c>
    </row>
    <row r="91">
      <c r="A91" s="9"/>
      <c r="B91" s="16"/>
      <c r="C91" s="7" t="str">
        <f>IFERROR(VLOOKUP(B91,'Master data'!$A$1:$F$1000,2,FALSE),"")</f>
        <v/>
      </c>
      <c r="D91" s="7" t="str">
        <f>IFERROR(VLOOKUP(B91,'Master data'!$A$1:$F$1000,6,FALSE),"")</f>
        <v/>
      </c>
      <c r="F91" s="7" t="str">
        <f>IFERROR(VLOOKUP(B91,'Master data'!$A$1:$F$1000,3,FALSE),"")</f>
        <v/>
      </c>
      <c r="I91" s="16"/>
      <c r="J91" s="16"/>
      <c r="K91" s="16" t="b">
        <v>0</v>
      </c>
      <c r="L91" s="16" t="b">
        <v>0</v>
      </c>
    </row>
    <row r="92">
      <c r="A92" s="9"/>
      <c r="B92" s="16"/>
      <c r="C92" s="7" t="str">
        <f>IFERROR(VLOOKUP(B92,'Master data'!$A$1:$F$1000,2,FALSE),"")</f>
        <v/>
      </c>
      <c r="D92" s="7" t="str">
        <f>IFERROR(VLOOKUP(B92,'Master data'!$A$1:$F$1000,6,FALSE),"")</f>
        <v/>
      </c>
      <c r="F92" s="7" t="str">
        <f>IFERROR(VLOOKUP(B92,'Master data'!$A$1:$F$1000,3,FALSE),"")</f>
        <v/>
      </c>
      <c r="I92" s="16"/>
      <c r="J92" s="16"/>
      <c r="K92" s="16" t="b">
        <v>0</v>
      </c>
      <c r="L92" s="16" t="b">
        <v>0</v>
      </c>
    </row>
    <row r="93">
      <c r="A93" s="9"/>
      <c r="B93" s="16"/>
      <c r="C93" s="7" t="str">
        <f>IFERROR(VLOOKUP(B93,'Master data'!$A$1:$F$1000,2,FALSE),"")</f>
        <v/>
      </c>
      <c r="D93" s="7" t="str">
        <f>IFERROR(VLOOKUP(B93,'Master data'!$A$1:$F$1000,6,FALSE),"")</f>
        <v/>
      </c>
      <c r="F93" s="7" t="str">
        <f>IFERROR(VLOOKUP(B93,'Master data'!$A$1:$F$1000,3,FALSE),"")</f>
        <v/>
      </c>
      <c r="I93" s="16"/>
      <c r="J93" s="16"/>
      <c r="K93" s="16" t="b">
        <v>0</v>
      </c>
      <c r="L93" s="16" t="b">
        <v>0</v>
      </c>
    </row>
    <row r="94">
      <c r="A94" s="9"/>
      <c r="B94" s="16"/>
      <c r="C94" s="7" t="str">
        <f>IFERROR(VLOOKUP(B94,'Master data'!$A$1:$F$1000,2,FALSE),"")</f>
        <v/>
      </c>
      <c r="D94" s="7" t="str">
        <f>IFERROR(VLOOKUP(B94,'Master data'!$A$1:$F$1000,6,FALSE),"")</f>
        <v/>
      </c>
      <c r="F94" s="7" t="str">
        <f>IFERROR(VLOOKUP(B94,'Master data'!$A$1:$F$1000,3,FALSE),"")</f>
        <v/>
      </c>
      <c r="I94" s="16"/>
      <c r="J94" s="16"/>
      <c r="K94" s="16" t="b">
        <v>0</v>
      </c>
      <c r="L94" s="16" t="b">
        <v>0</v>
      </c>
    </row>
    <row r="95">
      <c r="A95" s="9"/>
      <c r="B95" s="16"/>
      <c r="C95" s="7" t="str">
        <f>IFERROR(VLOOKUP(B95,'Master data'!$A$1:$F$1000,2,FALSE),"")</f>
        <v/>
      </c>
      <c r="D95" s="7" t="str">
        <f>IFERROR(VLOOKUP(B95,'Master data'!$A$1:$F$1000,6,FALSE),"")</f>
        <v/>
      </c>
      <c r="F95" s="7" t="str">
        <f>IFERROR(VLOOKUP(B95,'Master data'!$A$1:$F$1000,3,FALSE),"")</f>
        <v/>
      </c>
      <c r="I95" s="16"/>
      <c r="J95" s="16"/>
      <c r="K95" s="16" t="b">
        <v>0</v>
      </c>
      <c r="L95" s="16" t="b">
        <v>0</v>
      </c>
    </row>
    <row r="96">
      <c r="A96" s="9"/>
      <c r="B96" s="16"/>
      <c r="C96" s="7" t="str">
        <f>IFERROR(VLOOKUP(B96,'Master data'!$A$1:$F$1000,2,FALSE),"")</f>
        <v/>
      </c>
      <c r="D96" s="7" t="str">
        <f>IFERROR(VLOOKUP(B96,'Master data'!$A$1:$F$1000,6,FALSE),"")</f>
        <v/>
      </c>
      <c r="F96" s="7" t="str">
        <f>IFERROR(VLOOKUP(B96,'Master data'!$A$1:$F$1000,3,FALSE),"")</f>
        <v/>
      </c>
      <c r="I96" s="16"/>
      <c r="J96" s="16"/>
      <c r="K96" s="16" t="b">
        <v>0</v>
      </c>
      <c r="L96" s="16" t="b">
        <v>0</v>
      </c>
    </row>
    <row r="97">
      <c r="A97" s="9"/>
      <c r="B97" s="16"/>
      <c r="C97" s="7" t="str">
        <f>IFERROR(VLOOKUP(B97,'Master data'!$A$1:$F$1000,2,FALSE),"")</f>
        <v/>
      </c>
      <c r="D97" s="7" t="str">
        <f>IFERROR(VLOOKUP(B97,'Master data'!$A$1:$F$1000,6,FALSE),"")</f>
        <v/>
      </c>
      <c r="F97" s="7" t="str">
        <f>IFERROR(VLOOKUP(B97,'Master data'!$A$1:$F$1000,3,FALSE),"")</f>
        <v/>
      </c>
      <c r="I97" s="16"/>
      <c r="J97" s="16"/>
      <c r="K97" s="16" t="b">
        <v>0</v>
      </c>
      <c r="L97" s="16" t="b">
        <v>0</v>
      </c>
    </row>
    <row r="98">
      <c r="A98" s="9"/>
      <c r="B98" s="16"/>
      <c r="C98" s="7" t="str">
        <f>IFERROR(VLOOKUP(B98,'Master data'!$A$1:$F$1000,2,FALSE),"")</f>
        <v/>
      </c>
      <c r="D98" s="7" t="str">
        <f>IFERROR(VLOOKUP(B98,'Master data'!$A$1:$F$1000,6,FALSE),"")</f>
        <v/>
      </c>
      <c r="F98" s="7" t="str">
        <f>IFERROR(VLOOKUP(B98,'Master data'!$A$1:$F$1000,3,FALSE),"")</f>
        <v/>
      </c>
      <c r="I98" s="16"/>
      <c r="J98" s="16"/>
      <c r="K98" s="16" t="b">
        <v>0</v>
      </c>
      <c r="L98" s="16" t="b">
        <v>0</v>
      </c>
    </row>
    <row r="99">
      <c r="A99" s="9"/>
      <c r="B99" s="16"/>
      <c r="C99" s="7" t="str">
        <f>IFERROR(VLOOKUP(B99,'Master data'!$A$1:$F$1000,2,FALSE),"")</f>
        <v/>
      </c>
      <c r="D99" s="7" t="str">
        <f>IFERROR(VLOOKUP(B99,'Master data'!$A$1:$F$1000,6,FALSE),"")</f>
        <v/>
      </c>
      <c r="F99" s="7" t="str">
        <f>IFERROR(VLOOKUP(B99,'Master data'!$A$1:$F$1000,3,FALSE),"")</f>
        <v/>
      </c>
      <c r="I99" s="16"/>
      <c r="J99" s="16"/>
      <c r="K99" s="16" t="b">
        <v>0</v>
      </c>
      <c r="L99" s="16" t="b">
        <v>0</v>
      </c>
    </row>
    <row r="100">
      <c r="A100" s="9"/>
      <c r="B100" s="16"/>
      <c r="C100" s="7" t="str">
        <f>IFERROR(VLOOKUP(B100,'Master data'!$A$1:$F$1000,2,FALSE),"")</f>
        <v/>
      </c>
      <c r="D100" s="7" t="str">
        <f>IFERROR(VLOOKUP(B100,'Master data'!$A$1:$F$1000,6,FALSE),"")</f>
        <v/>
      </c>
      <c r="F100" s="7" t="str">
        <f>IFERROR(VLOOKUP(B100,'Master data'!$A$1:$F$1000,3,FALSE),"")</f>
        <v/>
      </c>
      <c r="I100" s="16"/>
      <c r="J100" s="16"/>
      <c r="K100" s="16" t="b">
        <v>0</v>
      </c>
      <c r="L100" s="16" t="b">
        <v>0</v>
      </c>
    </row>
    <row r="101">
      <c r="A101" s="9"/>
      <c r="B101" s="16"/>
      <c r="C101" s="7" t="str">
        <f>IFERROR(VLOOKUP(B101,'Master data'!$A$1:$F$1000,2,FALSE),"")</f>
        <v/>
      </c>
      <c r="D101" s="7" t="str">
        <f>IFERROR(VLOOKUP(B101,'Master data'!$A$1:$F$1000,6,FALSE),"")</f>
        <v/>
      </c>
      <c r="F101" s="7" t="str">
        <f>IFERROR(VLOOKUP(B101,'Master data'!$A$1:$F$1000,3,FALSE),"")</f>
        <v/>
      </c>
      <c r="I101" s="16"/>
      <c r="J101" s="16"/>
      <c r="K101" s="16" t="b">
        <v>0</v>
      </c>
      <c r="L101" s="16" t="b">
        <v>0</v>
      </c>
    </row>
    <row r="102">
      <c r="A102" s="9"/>
      <c r="B102" s="16"/>
      <c r="C102" s="7" t="str">
        <f>IFERROR(VLOOKUP(B102,'Master data'!$A$1:$F$1000,2,FALSE),"")</f>
        <v/>
      </c>
      <c r="D102" s="7" t="str">
        <f>IFERROR(VLOOKUP(B102,'Master data'!$A$1:$F$1000,6,FALSE),"")</f>
        <v/>
      </c>
      <c r="F102" s="7" t="str">
        <f>IFERROR(VLOOKUP(B102,'Master data'!$A$1:$F$1000,3,FALSE),"")</f>
        <v/>
      </c>
      <c r="I102" s="16"/>
      <c r="J102" s="16"/>
      <c r="K102" s="16" t="b">
        <v>0</v>
      </c>
      <c r="L102" s="16" t="b">
        <v>0</v>
      </c>
    </row>
    <row r="103">
      <c r="A103" s="9"/>
      <c r="B103" s="16"/>
      <c r="C103" s="7" t="str">
        <f>IFERROR(VLOOKUP(B103,'Master data'!$A$1:$F$1000,2,FALSE),"")</f>
        <v/>
      </c>
      <c r="D103" s="7" t="str">
        <f>IFERROR(VLOOKUP(B103,'Master data'!$A$1:$F$1000,6,FALSE),"")</f>
        <v/>
      </c>
      <c r="F103" s="7" t="str">
        <f>IFERROR(VLOOKUP(B103,'Master data'!$A$1:$F$1000,3,FALSE),"")</f>
        <v/>
      </c>
      <c r="I103" s="16"/>
      <c r="J103" s="16"/>
      <c r="K103" s="16" t="b">
        <v>0</v>
      </c>
      <c r="L103" s="16" t="b">
        <v>0</v>
      </c>
    </row>
    <row r="104">
      <c r="A104" s="9"/>
      <c r="B104" s="16"/>
      <c r="C104" s="7" t="str">
        <f>IFERROR(VLOOKUP(B104,'Master data'!$A$1:$F$1000,2,FALSE),"")</f>
        <v/>
      </c>
      <c r="D104" s="7" t="str">
        <f>IFERROR(VLOOKUP(B104,'Master data'!$A$1:$F$1000,6,FALSE),"")</f>
        <v/>
      </c>
      <c r="F104" s="7" t="str">
        <f>IFERROR(VLOOKUP(B104,'Master data'!$A$1:$F$1000,3,FALSE),"")</f>
        <v/>
      </c>
      <c r="I104" s="16"/>
      <c r="J104" s="16"/>
      <c r="K104" s="16" t="b">
        <v>0</v>
      </c>
      <c r="L104" s="16" t="b">
        <v>0</v>
      </c>
    </row>
    <row r="105">
      <c r="A105" s="9"/>
      <c r="B105" s="16"/>
      <c r="C105" s="7" t="str">
        <f>IFERROR(VLOOKUP(B105,'Master data'!$A$1:$F$1000,2,FALSE),"")</f>
        <v/>
      </c>
      <c r="D105" s="7" t="str">
        <f>IFERROR(VLOOKUP(B105,'Master data'!$A$1:$F$1000,6,FALSE),"")</f>
        <v/>
      </c>
      <c r="F105" s="7" t="str">
        <f>IFERROR(VLOOKUP(B105,'Master data'!$A$1:$F$1000,3,FALSE),"")</f>
        <v/>
      </c>
      <c r="I105" s="16"/>
      <c r="J105" s="16"/>
      <c r="K105" s="16" t="b">
        <v>0</v>
      </c>
      <c r="L105" s="16" t="b">
        <v>0</v>
      </c>
    </row>
    <row r="106">
      <c r="A106" s="9"/>
      <c r="B106" s="16"/>
      <c r="C106" s="7" t="str">
        <f>IFERROR(VLOOKUP(B106,'Master data'!$A$1:$F$1000,2,FALSE),"")</f>
        <v/>
      </c>
      <c r="D106" s="7" t="str">
        <f>IFERROR(VLOOKUP(B106,'Master data'!$A$1:$F$1000,6,FALSE),"")</f>
        <v/>
      </c>
      <c r="F106" s="7" t="str">
        <f>IFERROR(VLOOKUP(B106,'Master data'!$A$1:$F$1000,3,FALSE),"")</f>
        <v/>
      </c>
      <c r="I106" s="16"/>
      <c r="J106" s="16"/>
      <c r="K106" s="16" t="b">
        <v>0</v>
      </c>
      <c r="L106" s="16" t="b">
        <v>0</v>
      </c>
    </row>
    <row r="107">
      <c r="A107" s="9"/>
      <c r="B107" s="16"/>
      <c r="C107" s="7" t="str">
        <f>IFERROR(VLOOKUP(B107,'Master data'!$A$1:$F$1000,2,FALSE),"")</f>
        <v/>
      </c>
      <c r="D107" s="7" t="str">
        <f>IFERROR(VLOOKUP(B107,'Master data'!$A$1:$F$1000,6,FALSE),"")</f>
        <v/>
      </c>
      <c r="F107" s="7" t="str">
        <f>IFERROR(VLOOKUP(B107,'Master data'!$A$1:$F$1000,3,FALSE),"")</f>
        <v/>
      </c>
      <c r="I107" s="16"/>
      <c r="J107" s="16"/>
      <c r="K107" s="16" t="b">
        <v>0</v>
      </c>
      <c r="L107" s="16" t="b">
        <v>0</v>
      </c>
    </row>
    <row r="108">
      <c r="A108" s="9"/>
      <c r="B108" s="16"/>
      <c r="C108" s="7" t="str">
        <f>IFERROR(VLOOKUP(B108,'Master data'!$A$1:$F$1000,2,FALSE),"")</f>
        <v/>
      </c>
      <c r="D108" s="7" t="str">
        <f>IFERROR(VLOOKUP(B108,'Master data'!$A$1:$F$1000,6,FALSE),"")</f>
        <v/>
      </c>
      <c r="F108" s="7" t="str">
        <f>IFERROR(VLOOKUP(B108,'Master data'!$A$1:$F$1000,3,FALSE),"")</f>
        <v/>
      </c>
      <c r="I108" s="16"/>
      <c r="J108" s="16"/>
      <c r="K108" s="16" t="b">
        <v>0</v>
      </c>
      <c r="L108" s="16" t="b">
        <v>0</v>
      </c>
    </row>
    <row r="109">
      <c r="A109" s="9"/>
      <c r="B109" s="16"/>
      <c r="C109" s="7" t="str">
        <f>IFERROR(VLOOKUP(B109,'Master data'!$A$1:$F$1000,2,FALSE),"")</f>
        <v/>
      </c>
      <c r="D109" s="7" t="str">
        <f>IFERROR(VLOOKUP(B109,'Master data'!$A$1:$F$1000,6,FALSE),"")</f>
        <v/>
      </c>
      <c r="F109" s="7" t="str">
        <f>IFERROR(VLOOKUP(B109,'Master data'!$A$1:$F$1000,3,FALSE),"")</f>
        <v/>
      </c>
      <c r="I109" s="16"/>
      <c r="J109" s="16"/>
      <c r="K109" s="16" t="b">
        <v>0</v>
      </c>
      <c r="L109" s="16" t="b">
        <v>0</v>
      </c>
    </row>
    <row r="110">
      <c r="A110" s="9"/>
      <c r="B110" s="16"/>
      <c r="C110" s="7" t="str">
        <f>IFERROR(VLOOKUP(B110,'Master data'!$A$1:$F$1000,2,FALSE),"")</f>
        <v/>
      </c>
      <c r="D110" s="7" t="str">
        <f>IFERROR(VLOOKUP(B110,'Master data'!$A$1:$F$1000,6,FALSE),"")</f>
        <v/>
      </c>
      <c r="F110" s="7" t="str">
        <f>IFERROR(VLOOKUP(B110,'Master data'!$A$1:$F$1000,3,FALSE),"")</f>
        <v/>
      </c>
      <c r="I110" s="16"/>
      <c r="J110" s="16"/>
      <c r="K110" s="16" t="b">
        <v>0</v>
      </c>
      <c r="L110" s="16" t="b">
        <v>0</v>
      </c>
    </row>
    <row r="111">
      <c r="A111" s="9"/>
      <c r="B111" s="16"/>
      <c r="C111" s="7" t="str">
        <f>IFERROR(VLOOKUP(B111,'Master data'!$A$1:$F$1000,2,FALSE),"")</f>
        <v/>
      </c>
      <c r="D111" s="7" t="str">
        <f>IFERROR(VLOOKUP(B111,'Master data'!$A$1:$F$1000,6,FALSE),"")</f>
        <v/>
      </c>
      <c r="F111" s="7" t="str">
        <f>IFERROR(VLOOKUP(B111,'Master data'!$A$1:$F$1000,3,FALSE),"")</f>
        <v/>
      </c>
      <c r="I111" s="16"/>
      <c r="J111" s="16"/>
      <c r="K111" s="16" t="b">
        <v>0</v>
      </c>
      <c r="L111" s="16" t="b">
        <v>0</v>
      </c>
    </row>
    <row r="112">
      <c r="A112" s="9"/>
      <c r="B112" s="16"/>
      <c r="C112" s="7" t="str">
        <f>IFERROR(VLOOKUP(B112,'Master data'!$A$1:$F$1000,2,FALSE),"")</f>
        <v/>
      </c>
      <c r="D112" s="7" t="str">
        <f>IFERROR(VLOOKUP(B112,'Master data'!$A$1:$F$1000,6,FALSE),"")</f>
        <v/>
      </c>
      <c r="F112" s="7" t="str">
        <f>IFERROR(VLOOKUP(B112,'Master data'!$A$1:$F$1000,3,FALSE),"")</f>
        <v/>
      </c>
      <c r="I112" s="16"/>
      <c r="J112" s="16"/>
      <c r="K112" s="16" t="b">
        <v>0</v>
      </c>
      <c r="L112" s="16" t="b">
        <v>0</v>
      </c>
    </row>
    <row r="113">
      <c r="A113" s="9"/>
      <c r="B113" s="16"/>
      <c r="C113" s="7" t="str">
        <f>IFERROR(VLOOKUP(B113,'Master data'!$A$1:$F$1000,2,FALSE),"")</f>
        <v/>
      </c>
      <c r="D113" s="7" t="str">
        <f>IFERROR(VLOOKUP(B113,'Master data'!$A$1:$F$1000,6,FALSE),"")</f>
        <v/>
      </c>
      <c r="F113" s="7" t="str">
        <f>IFERROR(VLOOKUP(B113,'Master data'!$A$1:$F$1000,3,FALSE),"")</f>
        <v/>
      </c>
      <c r="I113" s="16"/>
      <c r="J113" s="16"/>
      <c r="K113" s="16" t="b">
        <v>0</v>
      </c>
      <c r="L113" s="16" t="b">
        <v>0</v>
      </c>
    </row>
    <row r="114">
      <c r="A114" s="9"/>
      <c r="B114" s="16"/>
      <c r="C114" s="7" t="str">
        <f>IFERROR(VLOOKUP(B114,'Master data'!$A$1:$F$1000,2,FALSE),"")</f>
        <v/>
      </c>
      <c r="D114" s="7" t="str">
        <f>IFERROR(VLOOKUP(B114,'Master data'!$A$1:$F$1000,6,FALSE),"")</f>
        <v/>
      </c>
      <c r="F114" s="7" t="str">
        <f>IFERROR(VLOOKUP(B114,'Master data'!$A$1:$F$1000,3,FALSE),"")</f>
        <v/>
      </c>
      <c r="I114" s="16"/>
      <c r="J114" s="16"/>
      <c r="K114" s="16" t="b">
        <v>0</v>
      </c>
      <c r="L114" s="16" t="b">
        <v>0</v>
      </c>
    </row>
    <row r="115">
      <c r="A115" s="9"/>
      <c r="B115" s="16"/>
      <c r="C115" s="7" t="str">
        <f>IFERROR(VLOOKUP(B115,'Master data'!$A$1:$F$1000,2,FALSE),"")</f>
        <v/>
      </c>
      <c r="D115" s="7" t="str">
        <f>IFERROR(VLOOKUP(B115,'Master data'!$A$1:$F$1000,6,FALSE),"")</f>
        <v/>
      </c>
      <c r="F115" s="7" t="str">
        <f>IFERROR(VLOOKUP(B115,'Master data'!$A$1:$F$1000,3,FALSE),"")</f>
        <v/>
      </c>
      <c r="I115" s="16"/>
      <c r="J115" s="16"/>
      <c r="K115" s="16" t="b">
        <v>0</v>
      </c>
      <c r="L115" s="16" t="b">
        <v>0</v>
      </c>
    </row>
    <row r="116">
      <c r="A116" s="9"/>
      <c r="B116" s="16"/>
      <c r="C116" s="7" t="str">
        <f>IFERROR(VLOOKUP(B116,'Master data'!$A$1:$F$1000,2,FALSE),"")</f>
        <v/>
      </c>
      <c r="D116" s="7" t="str">
        <f>IFERROR(VLOOKUP(B116,'Master data'!$A$1:$F$1000,6,FALSE),"")</f>
        <v/>
      </c>
      <c r="F116" s="7" t="str">
        <f>IFERROR(VLOOKUP(B116,'Master data'!$A$1:$F$1000,3,FALSE),"")</f>
        <v/>
      </c>
      <c r="I116" s="16"/>
      <c r="J116" s="16"/>
      <c r="K116" s="16" t="b">
        <v>0</v>
      </c>
      <c r="L116" s="16" t="b">
        <v>0</v>
      </c>
    </row>
    <row r="117">
      <c r="A117" s="9"/>
      <c r="B117" s="16"/>
      <c r="C117" s="7" t="str">
        <f>IFERROR(VLOOKUP(B117,'Master data'!$A$1:$F$1000,2,FALSE),"")</f>
        <v/>
      </c>
      <c r="D117" s="7" t="str">
        <f>IFERROR(VLOOKUP(B117,'Master data'!$A$1:$F$1000,6,FALSE),"")</f>
        <v/>
      </c>
      <c r="F117" s="7" t="str">
        <f>IFERROR(VLOOKUP(B117,'Master data'!$A$1:$F$1000,3,FALSE),"")</f>
        <v/>
      </c>
      <c r="I117" s="16"/>
      <c r="J117" s="16"/>
      <c r="K117" s="16" t="b">
        <v>0</v>
      </c>
      <c r="L117" s="16" t="b">
        <v>0</v>
      </c>
    </row>
    <row r="118">
      <c r="A118" s="9"/>
      <c r="B118" s="16"/>
      <c r="C118" s="7" t="str">
        <f>IFERROR(VLOOKUP(B118,'Master data'!$A$1:$F$1000,2,FALSE),"")</f>
        <v/>
      </c>
      <c r="D118" s="7" t="str">
        <f>IFERROR(VLOOKUP(B118,'Master data'!$A$1:$F$1000,6,FALSE),"")</f>
        <v/>
      </c>
      <c r="F118" s="7" t="str">
        <f>IFERROR(VLOOKUP(B118,'Master data'!$A$1:$F$1000,3,FALSE),"")</f>
        <v/>
      </c>
      <c r="I118" s="16"/>
      <c r="J118" s="16"/>
      <c r="K118" s="16" t="b">
        <v>0</v>
      </c>
      <c r="L118" s="16" t="b">
        <v>0</v>
      </c>
    </row>
    <row r="119">
      <c r="A119" s="9"/>
      <c r="B119" s="16"/>
      <c r="C119" s="7" t="str">
        <f>IFERROR(VLOOKUP(B119,'Master data'!$A$1:$F$1000,2,FALSE),"")</f>
        <v/>
      </c>
      <c r="D119" s="7" t="str">
        <f>IFERROR(VLOOKUP(B119,'Master data'!$A$1:$F$1000,6,FALSE),"")</f>
        <v/>
      </c>
      <c r="F119" s="7" t="str">
        <f>IFERROR(VLOOKUP(B119,'Master data'!$A$1:$F$1000,3,FALSE),"")</f>
        <v/>
      </c>
      <c r="I119" s="16"/>
      <c r="J119" s="16"/>
      <c r="K119" s="16" t="b">
        <v>0</v>
      </c>
      <c r="L119" s="16" t="b">
        <v>0</v>
      </c>
    </row>
    <row r="120">
      <c r="A120" s="9"/>
      <c r="B120" s="16"/>
      <c r="C120" s="7" t="str">
        <f>IFERROR(VLOOKUP(B120,'Master data'!$A$1:$F$1000,2,FALSE),"")</f>
        <v/>
      </c>
      <c r="D120" s="7" t="str">
        <f>IFERROR(VLOOKUP(B120,'Master data'!$A$1:$F$1000,6,FALSE),"")</f>
        <v/>
      </c>
      <c r="F120" s="7" t="str">
        <f>IFERROR(VLOOKUP(B120,'Master data'!$A$1:$F$1000,3,FALSE),"")</f>
        <v/>
      </c>
      <c r="I120" s="16"/>
      <c r="J120" s="16"/>
      <c r="K120" s="16" t="b">
        <v>0</v>
      </c>
      <c r="L120" s="16" t="b">
        <v>0</v>
      </c>
    </row>
    <row r="121">
      <c r="A121" s="9"/>
      <c r="B121" s="16"/>
      <c r="C121" s="7" t="str">
        <f>IFERROR(VLOOKUP(B121,'Master data'!$A$1:$F$1000,2,FALSE),"")</f>
        <v/>
      </c>
      <c r="D121" s="7" t="str">
        <f>IFERROR(VLOOKUP(B121,'Master data'!$A$1:$F$1000,6,FALSE),"")</f>
        <v/>
      </c>
      <c r="F121" s="7" t="str">
        <f>IFERROR(VLOOKUP(B121,'Master data'!$A$1:$F$1000,3,FALSE),"")</f>
        <v/>
      </c>
      <c r="I121" s="16"/>
      <c r="J121" s="16"/>
      <c r="K121" s="16" t="b">
        <v>0</v>
      </c>
      <c r="L121" s="16" t="b">
        <v>0</v>
      </c>
    </row>
    <row r="122">
      <c r="A122" s="9"/>
      <c r="B122" s="16"/>
      <c r="C122" s="7" t="str">
        <f>IFERROR(VLOOKUP(B122,'Master data'!$A$1:$F$1000,2,FALSE),"")</f>
        <v/>
      </c>
      <c r="D122" s="7" t="str">
        <f>IFERROR(VLOOKUP(B122,'Master data'!$A$1:$F$1000,6,FALSE),"")</f>
        <v/>
      </c>
      <c r="F122" s="7" t="str">
        <f>IFERROR(VLOOKUP(B122,'Master data'!$A$1:$F$1000,3,FALSE),"")</f>
        <v/>
      </c>
      <c r="I122" s="16"/>
      <c r="J122" s="16"/>
      <c r="K122" s="16" t="b">
        <v>0</v>
      </c>
      <c r="L122" s="16" t="b">
        <v>0</v>
      </c>
    </row>
    <row r="123">
      <c r="A123" s="9"/>
      <c r="B123" s="16"/>
      <c r="C123" s="7" t="str">
        <f>IFERROR(VLOOKUP(B123,'Master data'!$A$1:$F$1000,2,FALSE),"")</f>
        <v/>
      </c>
      <c r="D123" s="7" t="str">
        <f>IFERROR(VLOOKUP(B123,'Master data'!$A$1:$F$1000,6,FALSE),"")</f>
        <v/>
      </c>
      <c r="F123" s="7" t="str">
        <f>IFERROR(VLOOKUP(B123,'Master data'!$A$1:$F$1000,3,FALSE),"")</f>
        <v/>
      </c>
      <c r="I123" s="16"/>
      <c r="J123" s="16"/>
      <c r="K123" s="16" t="b">
        <v>0</v>
      </c>
      <c r="L123" s="16" t="b">
        <v>0</v>
      </c>
    </row>
    <row r="124">
      <c r="A124" s="9"/>
      <c r="B124" s="16"/>
      <c r="C124" s="7" t="str">
        <f>IFERROR(VLOOKUP(B124,'Master data'!$A$1:$F$1000,2,FALSE),"")</f>
        <v/>
      </c>
      <c r="D124" s="7" t="str">
        <f>IFERROR(VLOOKUP(B124,'Master data'!$A$1:$F$1000,6,FALSE),"")</f>
        <v/>
      </c>
      <c r="F124" s="7" t="str">
        <f>IFERROR(VLOOKUP(B124,'Master data'!$A$1:$F$1000,3,FALSE),"")</f>
        <v/>
      </c>
      <c r="I124" s="16"/>
      <c r="J124" s="16"/>
      <c r="K124" s="16" t="b">
        <v>0</v>
      </c>
      <c r="L124" s="16" t="b">
        <v>0</v>
      </c>
    </row>
    <row r="125">
      <c r="A125" s="9"/>
      <c r="B125" s="16"/>
      <c r="C125" s="7" t="str">
        <f>IFERROR(VLOOKUP(B125,'Master data'!$A$1:$F$1000,2,FALSE),"")</f>
        <v/>
      </c>
      <c r="D125" s="7" t="str">
        <f>IFERROR(VLOOKUP(B125,'Master data'!$A$1:$F$1000,6,FALSE),"")</f>
        <v/>
      </c>
      <c r="F125" s="7" t="str">
        <f>IFERROR(VLOOKUP(B125,'Master data'!$A$1:$F$1000,3,FALSE),"")</f>
        <v/>
      </c>
      <c r="I125" s="16"/>
      <c r="J125" s="16"/>
      <c r="K125" s="16" t="b">
        <v>0</v>
      </c>
      <c r="L125" s="16" t="b">
        <v>0</v>
      </c>
    </row>
    <row r="126">
      <c r="A126" s="9"/>
      <c r="B126" s="16"/>
      <c r="C126" s="7" t="str">
        <f>IFERROR(VLOOKUP(B126,'Master data'!$A$1:$F$1000,2,FALSE),"")</f>
        <v/>
      </c>
      <c r="D126" s="7" t="str">
        <f>IFERROR(VLOOKUP(B126,'Master data'!$A$1:$F$1000,6,FALSE),"")</f>
        <v/>
      </c>
      <c r="F126" s="7" t="str">
        <f>IFERROR(VLOOKUP(B126,'Master data'!$A$1:$F$1000,3,FALSE),"")</f>
        <v/>
      </c>
      <c r="I126" s="16"/>
      <c r="J126" s="16"/>
      <c r="K126" s="16" t="b">
        <v>0</v>
      </c>
      <c r="L126" s="16" t="b">
        <v>0</v>
      </c>
    </row>
    <row r="127">
      <c r="A127" s="9"/>
      <c r="B127" s="16"/>
      <c r="C127" s="7" t="str">
        <f>IFERROR(VLOOKUP(B127,'Master data'!$A$1:$F$1000,2,FALSE),"")</f>
        <v/>
      </c>
      <c r="D127" s="7" t="str">
        <f>IFERROR(VLOOKUP(B127,'Master data'!$A$1:$F$1000,6,FALSE),"")</f>
        <v/>
      </c>
      <c r="F127" s="7" t="str">
        <f>IFERROR(VLOOKUP(B127,'Master data'!$A$1:$F$1000,3,FALSE),"")</f>
        <v/>
      </c>
      <c r="I127" s="16"/>
      <c r="J127" s="16"/>
      <c r="K127" s="16" t="b">
        <v>0</v>
      </c>
      <c r="L127" s="16" t="b">
        <v>0</v>
      </c>
    </row>
    <row r="128">
      <c r="A128" s="9"/>
      <c r="B128" s="16"/>
      <c r="C128" s="7" t="str">
        <f>IFERROR(VLOOKUP(B128,'Master data'!$A$1:$F$1000,2,FALSE),"")</f>
        <v/>
      </c>
      <c r="D128" s="7" t="str">
        <f>IFERROR(VLOOKUP(B128,'Master data'!$A$1:$F$1000,6,FALSE),"")</f>
        <v/>
      </c>
      <c r="F128" s="7" t="str">
        <f>IFERROR(VLOOKUP(B128,'Master data'!$A$1:$F$1000,3,FALSE),"")</f>
        <v/>
      </c>
      <c r="I128" s="16"/>
      <c r="J128" s="16"/>
      <c r="K128" s="16" t="b">
        <v>0</v>
      </c>
      <c r="L128" s="16" t="b">
        <v>0</v>
      </c>
    </row>
    <row r="129">
      <c r="A129" s="9"/>
      <c r="B129" s="16"/>
      <c r="C129" s="7" t="str">
        <f>IFERROR(VLOOKUP(B129,'Master data'!$A$1:$F$1000,2,FALSE),"")</f>
        <v/>
      </c>
      <c r="D129" s="7" t="str">
        <f>IFERROR(VLOOKUP(B129,'Master data'!$A$1:$F$1000,6,FALSE),"")</f>
        <v/>
      </c>
      <c r="F129" s="7" t="str">
        <f>IFERROR(VLOOKUP(B129,'Master data'!$A$1:$F$1000,3,FALSE),"")</f>
        <v/>
      </c>
      <c r="I129" s="16"/>
      <c r="J129" s="16"/>
      <c r="K129" s="16" t="b">
        <v>0</v>
      </c>
      <c r="L129" s="16" t="b">
        <v>0</v>
      </c>
    </row>
    <row r="130">
      <c r="A130" s="9"/>
      <c r="B130" s="16"/>
      <c r="C130" s="7" t="str">
        <f>IFERROR(VLOOKUP(B130,'Master data'!$A$1:$F$1000,2,FALSE),"")</f>
        <v/>
      </c>
      <c r="D130" s="7" t="str">
        <f>IFERROR(VLOOKUP(B130,'Master data'!$A$1:$F$1000,6,FALSE),"")</f>
        <v/>
      </c>
      <c r="F130" s="7" t="str">
        <f>IFERROR(VLOOKUP(B130,'Master data'!$A$1:$F$1000,3,FALSE),"")</f>
        <v/>
      </c>
      <c r="I130" s="16"/>
      <c r="J130" s="16"/>
      <c r="K130" s="16" t="b">
        <v>0</v>
      </c>
      <c r="L130" s="16" t="b">
        <v>0</v>
      </c>
    </row>
    <row r="131">
      <c r="A131" s="9"/>
      <c r="B131" s="16"/>
      <c r="C131" s="7" t="str">
        <f>IFERROR(VLOOKUP(B131,'Master data'!$A$1:$F$1000,2,FALSE),"")</f>
        <v/>
      </c>
      <c r="D131" s="7" t="str">
        <f>IFERROR(VLOOKUP(B131,'Master data'!$A$1:$F$1000,6,FALSE),"")</f>
        <v/>
      </c>
      <c r="F131" s="7" t="str">
        <f>IFERROR(VLOOKUP(B131,'Master data'!$A$1:$F$1000,3,FALSE),"")</f>
        <v/>
      </c>
      <c r="I131" s="16"/>
      <c r="J131" s="16"/>
      <c r="K131" s="16" t="b">
        <v>0</v>
      </c>
      <c r="L131" s="16" t="b">
        <v>0</v>
      </c>
    </row>
    <row r="132">
      <c r="A132" s="9"/>
      <c r="B132" s="16"/>
      <c r="C132" s="7" t="str">
        <f>IFERROR(VLOOKUP(B132,'Master data'!$A$1:$F$1000,2,FALSE),"")</f>
        <v/>
      </c>
      <c r="D132" s="7" t="str">
        <f>IFERROR(VLOOKUP(B132,'Master data'!$A$1:$F$1000,6,FALSE),"")</f>
        <v/>
      </c>
      <c r="F132" s="7" t="str">
        <f>IFERROR(VLOOKUP(B132,'Master data'!$A$1:$F$1000,3,FALSE),"")</f>
        <v/>
      </c>
      <c r="I132" s="16"/>
      <c r="J132" s="16"/>
      <c r="K132" s="16" t="b">
        <v>0</v>
      </c>
      <c r="L132" s="16" t="b">
        <v>0</v>
      </c>
    </row>
    <row r="133">
      <c r="A133" s="9"/>
      <c r="B133" s="16"/>
      <c r="C133" s="7" t="str">
        <f>IFERROR(VLOOKUP(B133,'Master data'!$A$1:$F$1000,2,FALSE),"")</f>
        <v/>
      </c>
      <c r="D133" s="7" t="str">
        <f>IFERROR(VLOOKUP(B133,'Master data'!$A$1:$F$1000,6,FALSE),"")</f>
        <v/>
      </c>
      <c r="F133" s="7" t="str">
        <f>IFERROR(VLOOKUP(B133,'Master data'!$A$1:$F$1000,3,FALSE),"")</f>
        <v/>
      </c>
      <c r="I133" s="16"/>
      <c r="J133" s="16"/>
      <c r="K133" s="16" t="b">
        <v>0</v>
      </c>
      <c r="L133" s="16" t="b">
        <v>0</v>
      </c>
    </row>
    <row r="134">
      <c r="A134" s="9"/>
      <c r="B134" s="16"/>
      <c r="C134" s="7" t="str">
        <f>IFERROR(VLOOKUP(B134,'Master data'!$A$1:$F$1000,2,FALSE),"")</f>
        <v/>
      </c>
      <c r="D134" s="7" t="str">
        <f>IFERROR(VLOOKUP(B134,'Master data'!$A$1:$F$1000,6,FALSE),"")</f>
        <v/>
      </c>
      <c r="F134" s="7" t="str">
        <f>IFERROR(VLOOKUP(B134,'Master data'!$A$1:$F$1000,3,FALSE),"")</f>
        <v/>
      </c>
      <c r="I134" s="16"/>
      <c r="J134" s="16"/>
      <c r="K134" s="16" t="b">
        <v>0</v>
      </c>
      <c r="L134" s="16" t="b">
        <v>0</v>
      </c>
    </row>
    <row r="135">
      <c r="A135" s="9"/>
      <c r="B135" s="16"/>
      <c r="C135" s="7" t="str">
        <f>IFERROR(VLOOKUP(B135,'Master data'!$A$1:$F$1000,2,FALSE),"")</f>
        <v/>
      </c>
      <c r="D135" s="7" t="str">
        <f>IFERROR(VLOOKUP(B135,'Master data'!$A$1:$F$1000,6,FALSE),"")</f>
        <v/>
      </c>
      <c r="F135" s="7" t="str">
        <f>IFERROR(VLOOKUP(B135,'Master data'!$A$1:$F$1000,3,FALSE),"")</f>
        <v/>
      </c>
      <c r="I135" s="16"/>
      <c r="J135" s="16"/>
      <c r="K135" s="16" t="b">
        <v>0</v>
      </c>
      <c r="L135" s="16" t="b">
        <v>0</v>
      </c>
    </row>
    <row r="136">
      <c r="A136" s="9"/>
      <c r="B136" s="16"/>
      <c r="C136" s="7" t="str">
        <f>IFERROR(VLOOKUP(B136,'Master data'!$A$1:$F$1000,2,FALSE),"")</f>
        <v/>
      </c>
      <c r="D136" s="7" t="str">
        <f>IFERROR(VLOOKUP(B136,'Master data'!$A$1:$F$1000,6,FALSE),"")</f>
        <v/>
      </c>
      <c r="F136" s="7" t="str">
        <f>IFERROR(VLOOKUP(B136,'Master data'!$A$1:$F$1000,3,FALSE),"")</f>
        <v/>
      </c>
      <c r="I136" s="16"/>
      <c r="J136" s="16"/>
      <c r="K136" s="16" t="b">
        <v>0</v>
      </c>
      <c r="L136" s="16" t="b">
        <v>0</v>
      </c>
    </row>
    <row r="137">
      <c r="A137" s="9"/>
      <c r="B137" s="16"/>
      <c r="C137" s="7" t="str">
        <f>IFERROR(VLOOKUP(B137,'Master data'!$A$1:$F$1000,2,FALSE),"")</f>
        <v/>
      </c>
      <c r="D137" s="7" t="str">
        <f>IFERROR(VLOOKUP(B137,'Master data'!$A$1:$F$1000,6,FALSE),"")</f>
        <v/>
      </c>
      <c r="F137" s="7" t="str">
        <f>IFERROR(VLOOKUP(B137,'Master data'!$A$1:$F$1000,3,FALSE),"")</f>
        <v/>
      </c>
      <c r="I137" s="16"/>
      <c r="J137" s="16"/>
      <c r="K137" s="16" t="b">
        <v>0</v>
      </c>
      <c r="L137" s="16" t="b">
        <v>0</v>
      </c>
    </row>
    <row r="138">
      <c r="A138" s="9"/>
      <c r="B138" s="16"/>
      <c r="C138" s="7" t="str">
        <f>IFERROR(VLOOKUP(B138,'Master data'!$A$1:$F$1000,2,FALSE),"")</f>
        <v/>
      </c>
      <c r="D138" s="7" t="str">
        <f>IFERROR(VLOOKUP(B138,'Master data'!$A$1:$F$1000,6,FALSE),"")</f>
        <v/>
      </c>
      <c r="F138" s="7" t="str">
        <f>IFERROR(VLOOKUP(B138,'Master data'!$A$1:$F$1000,3,FALSE),"")</f>
        <v/>
      </c>
      <c r="I138" s="16"/>
      <c r="J138" s="16"/>
      <c r="K138" s="16" t="b">
        <v>0</v>
      </c>
      <c r="L138" s="16" t="b">
        <v>0</v>
      </c>
    </row>
    <row r="139">
      <c r="A139" s="9"/>
      <c r="B139" s="16"/>
      <c r="C139" s="7" t="str">
        <f>IFERROR(VLOOKUP(B139,'Master data'!$A$1:$F$1000,2,FALSE),"")</f>
        <v/>
      </c>
      <c r="D139" s="7" t="str">
        <f>IFERROR(VLOOKUP(B139,'Master data'!$A$1:$F$1000,6,FALSE),"")</f>
        <v/>
      </c>
      <c r="F139" s="7" t="str">
        <f>IFERROR(VLOOKUP(B139,'Master data'!$A$1:$F$1000,3,FALSE),"")</f>
        <v/>
      </c>
      <c r="I139" s="16"/>
      <c r="J139" s="16"/>
      <c r="K139" s="16" t="b">
        <v>0</v>
      </c>
      <c r="L139" s="16" t="b">
        <v>0</v>
      </c>
    </row>
    <row r="140">
      <c r="A140" s="9"/>
      <c r="B140" s="16"/>
      <c r="C140" s="7" t="str">
        <f>IFERROR(VLOOKUP(B140,'Master data'!$A$1:$F$1000,2,FALSE),"")</f>
        <v/>
      </c>
      <c r="D140" s="7" t="str">
        <f>IFERROR(VLOOKUP(B140,'Master data'!$A$1:$F$1000,6,FALSE),"")</f>
        <v/>
      </c>
      <c r="F140" s="7" t="str">
        <f>IFERROR(VLOOKUP(B140,'Master data'!$A$1:$F$1000,3,FALSE),"")</f>
        <v/>
      </c>
      <c r="I140" s="16"/>
      <c r="J140" s="16"/>
      <c r="K140" s="16" t="b">
        <v>0</v>
      </c>
      <c r="L140" s="16" t="b">
        <v>0</v>
      </c>
    </row>
    <row r="141">
      <c r="A141" s="9"/>
      <c r="B141" s="16"/>
      <c r="C141" s="7" t="str">
        <f>IFERROR(VLOOKUP(B141,'Master data'!$A$1:$F$1000,2,FALSE),"")</f>
        <v/>
      </c>
      <c r="D141" s="7" t="str">
        <f>IFERROR(VLOOKUP(B141,'Master data'!$A$1:$F$1000,6,FALSE),"")</f>
        <v/>
      </c>
      <c r="F141" s="7" t="str">
        <f>IFERROR(VLOOKUP(B141,'Master data'!$A$1:$F$1000,3,FALSE),"")</f>
        <v/>
      </c>
      <c r="I141" s="16"/>
      <c r="J141" s="16"/>
      <c r="K141" s="16" t="b">
        <v>0</v>
      </c>
      <c r="L141" s="16" t="b">
        <v>0</v>
      </c>
    </row>
    <row r="142">
      <c r="A142" s="9"/>
      <c r="B142" s="16"/>
      <c r="C142" s="7" t="str">
        <f>IFERROR(VLOOKUP(B142,'Master data'!$A$1:$F$1000,2,FALSE),"")</f>
        <v/>
      </c>
      <c r="D142" s="7" t="str">
        <f>IFERROR(VLOOKUP(B142,'Master data'!$A$1:$F$1000,6,FALSE),"")</f>
        <v/>
      </c>
      <c r="F142" s="7" t="str">
        <f>IFERROR(VLOOKUP(B142,'Master data'!$A$1:$F$1000,3,FALSE),"")</f>
        <v/>
      </c>
      <c r="I142" s="16"/>
      <c r="J142" s="16"/>
      <c r="K142" s="16" t="b">
        <v>0</v>
      </c>
      <c r="L142" s="16" t="b">
        <v>0</v>
      </c>
    </row>
    <row r="143">
      <c r="A143" s="9"/>
      <c r="B143" s="16"/>
      <c r="C143" s="7" t="str">
        <f>IFERROR(VLOOKUP(B143,'Master data'!$A$1:$F$1000,2,FALSE),"")</f>
        <v/>
      </c>
      <c r="D143" s="7" t="str">
        <f>IFERROR(VLOOKUP(B143,'Master data'!$A$1:$F$1000,6,FALSE),"")</f>
        <v/>
      </c>
      <c r="F143" s="7" t="str">
        <f>IFERROR(VLOOKUP(B143,'Master data'!$A$1:$F$1000,3,FALSE),"")</f>
        <v/>
      </c>
      <c r="I143" s="16"/>
      <c r="J143" s="16"/>
      <c r="K143" s="16" t="b">
        <v>0</v>
      </c>
      <c r="L143" s="16" t="b">
        <v>0</v>
      </c>
    </row>
    <row r="144">
      <c r="A144" s="9"/>
      <c r="B144" s="16"/>
      <c r="C144" s="7" t="str">
        <f>IFERROR(VLOOKUP(B144,'Master data'!$A$1:$F$1000,2,FALSE),"")</f>
        <v/>
      </c>
      <c r="D144" s="7" t="str">
        <f>IFERROR(VLOOKUP(B144,'Master data'!$A$1:$F$1000,6,FALSE),"")</f>
        <v/>
      </c>
      <c r="F144" s="7" t="str">
        <f>IFERROR(VLOOKUP(B144,'Master data'!$A$1:$F$1000,3,FALSE),"")</f>
        <v/>
      </c>
      <c r="I144" s="16"/>
      <c r="J144" s="16"/>
      <c r="K144" s="16" t="b">
        <v>0</v>
      </c>
      <c r="L144" s="16" t="b">
        <v>0</v>
      </c>
    </row>
    <row r="145">
      <c r="A145" s="9"/>
      <c r="B145" s="16"/>
      <c r="C145" s="7" t="str">
        <f>IFERROR(VLOOKUP(B145,'Master data'!$A$1:$F$1000,2,FALSE),"")</f>
        <v/>
      </c>
      <c r="D145" s="7" t="str">
        <f>IFERROR(VLOOKUP(B145,'Master data'!$A$1:$F$1000,6,FALSE),"")</f>
        <v/>
      </c>
      <c r="F145" s="7" t="str">
        <f>IFERROR(VLOOKUP(B145,'Master data'!$A$1:$F$1000,3,FALSE),"")</f>
        <v/>
      </c>
      <c r="I145" s="16"/>
      <c r="J145" s="16"/>
      <c r="K145" s="16" t="b">
        <v>0</v>
      </c>
      <c r="L145" s="16" t="b">
        <v>0</v>
      </c>
    </row>
    <row r="146">
      <c r="A146" s="9"/>
      <c r="B146" s="16"/>
      <c r="C146" s="7" t="str">
        <f>IFERROR(VLOOKUP(B146,'Master data'!$A$1:$F$1000,2,FALSE),"")</f>
        <v/>
      </c>
      <c r="D146" s="7" t="str">
        <f>IFERROR(VLOOKUP(B146,'Master data'!$A$1:$F$1000,6,FALSE),"")</f>
        <v/>
      </c>
      <c r="F146" s="7" t="str">
        <f>IFERROR(VLOOKUP(B146,'Master data'!$A$1:$F$1000,3,FALSE),"")</f>
        <v/>
      </c>
      <c r="I146" s="16"/>
      <c r="J146" s="16"/>
      <c r="K146" s="16" t="b">
        <v>0</v>
      </c>
      <c r="L146" s="16" t="b">
        <v>0</v>
      </c>
    </row>
    <row r="147">
      <c r="A147" s="9"/>
      <c r="B147" s="16"/>
      <c r="C147" s="7" t="str">
        <f>IFERROR(VLOOKUP(B147,'Master data'!$A$1:$F$1000,2,FALSE),"")</f>
        <v/>
      </c>
      <c r="D147" s="7" t="str">
        <f>IFERROR(VLOOKUP(B147,'Master data'!$A$1:$F$1000,6,FALSE),"")</f>
        <v/>
      </c>
      <c r="F147" s="7" t="str">
        <f>IFERROR(VLOOKUP(B147,'Master data'!$A$1:$F$1000,3,FALSE),"")</f>
        <v/>
      </c>
      <c r="I147" s="16"/>
      <c r="J147" s="16"/>
      <c r="K147" s="16" t="b">
        <v>0</v>
      </c>
      <c r="L147" s="16" t="b">
        <v>0</v>
      </c>
    </row>
    <row r="148">
      <c r="A148" s="9"/>
      <c r="B148" s="16"/>
      <c r="C148" s="7" t="str">
        <f>IFERROR(VLOOKUP(B148,'Master data'!$A$1:$F$1000,2,FALSE),"")</f>
        <v/>
      </c>
      <c r="D148" s="7" t="str">
        <f>IFERROR(VLOOKUP(B148,'Master data'!$A$1:$F$1000,6,FALSE),"")</f>
        <v/>
      </c>
      <c r="F148" s="7" t="str">
        <f>IFERROR(VLOOKUP(B148,'Master data'!$A$1:$F$1000,3,FALSE),"")</f>
        <v/>
      </c>
      <c r="I148" s="16"/>
      <c r="J148" s="16"/>
      <c r="K148" s="16" t="b">
        <v>0</v>
      </c>
      <c r="L148" s="16" t="b">
        <v>0</v>
      </c>
    </row>
    <row r="149">
      <c r="A149" s="9"/>
      <c r="B149" s="16"/>
      <c r="C149" s="7" t="str">
        <f>IFERROR(VLOOKUP(B149,'Master data'!$A$1:$F$1000,2,FALSE),"")</f>
        <v/>
      </c>
      <c r="D149" s="7" t="str">
        <f>IFERROR(VLOOKUP(B149,'Master data'!$A$1:$F$1000,6,FALSE),"")</f>
        <v/>
      </c>
      <c r="F149" s="7" t="str">
        <f>IFERROR(VLOOKUP(B149,'Master data'!$A$1:$F$1000,3,FALSE),"")</f>
        <v/>
      </c>
      <c r="I149" s="16"/>
      <c r="J149" s="16"/>
      <c r="K149" s="16" t="b">
        <v>0</v>
      </c>
      <c r="L149" s="16" t="b">
        <v>0</v>
      </c>
    </row>
    <row r="150">
      <c r="A150" s="9"/>
      <c r="B150" s="16"/>
      <c r="C150" s="7" t="str">
        <f>IFERROR(VLOOKUP(B150,'Master data'!$A$1:$F$1000,2,FALSE),"")</f>
        <v/>
      </c>
      <c r="D150" s="7" t="str">
        <f>IFERROR(VLOOKUP(B150,'Master data'!$A$1:$F$1000,6,FALSE),"")</f>
        <v/>
      </c>
      <c r="F150" s="7" t="str">
        <f>IFERROR(VLOOKUP(B150,'Master data'!$A$1:$F$1000,3,FALSE),"")</f>
        <v/>
      </c>
      <c r="I150" s="16"/>
      <c r="J150" s="16"/>
      <c r="K150" s="16" t="b">
        <v>0</v>
      </c>
      <c r="L150" s="16" t="b">
        <v>0</v>
      </c>
    </row>
    <row r="151">
      <c r="A151" s="9"/>
      <c r="B151" s="16"/>
      <c r="C151" s="7" t="str">
        <f>IFERROR(VLOOKUP(B151,'Master data'!$A$1:$F$1000,2,FALSE),"")</f>
        <v/>
      </c>
      <c r="D151" s="7" t="str">
        <f>IFERROR(VLOOKUP(B151,'Master data'!$A$1:$F$1000,6,FALSE),"")</f>
        <v/>
      </c>
      <c r="F151" s="7" t="str">
        <f>IFERROR(VLOOKUP(B151,'Master data'!$A$1:$F$1000,3,FALSE),"")</f>
        <v/>
      </c>
      <c r="I151" s="16"/>
      <c r="J151" s="16"/>
      <c r="K151" s="16" t="b">
        <v>0</v>
      </c>
      <c r="L151" s="16" t="b">
        <v>0</v>
      </c>
    </row>
    <row r="152">
      <c r="A152" s="9"/>
      <c r="B152" s="16"/>
      <c r="C152" s="7" t="str">
        <f>IFERROR(VLOOKUP(B152,'Master data'!$A$1:$F$1000,2,FALSE),"")</f>
        <v/>
      </c>
      <c r="D152" s="7" t="str">
        <f>IFERROR(VLOOKUP(B152,'Master data'!$A$1:$F$1000,6,FALSE),"")</f>
        <v/>
      </c>
      <c r="F152" s="7" t="str">
        <f>IFERROR(VLOOKUP(B152,'Master data'!$A$1:$F$1000,3,FALSE),"")</f>
        <v/>
      </c>
      <c r="I152" s="16"/>
      <c r="J152" s="16"/>
      <c r="K152" s="16" t="b">
        <v>0</v>
      </c>
      <c r="L152" s="16" t="b">
        <v>0</v>
      </c>
    </row>
    <row r="153">
      <c r="A153" s="9"/>
      <c r="B153" s="16"/>
      <c r="C153" s="7" t="str">
        <f>IFERROR(VLOOKUP(B153,'Master data'!$A$1:$F$1000,2,FALSE),"")</f>
        <v/>
      </c>
      <c r="D153" s="7" t="str">
        <f>IFERROR(VLOOKUP(B153,'Master data'!$A$1:$F$1000,6,FALSE),"")</f>
        <v/>
      </c>
      <c r="F153" s="7" t="str">
        <f>IFERROR(VLOOKUP(B153,'Master data'!$A$1:$F$1000,3,FALSE),"")</f>
        <v/>
      </c>
      <c r="I153" s="16"/>
      <c r="J153" s="16"/>
      <c r="K153" s="16" t="b">
        <v>0</v>
      </c>
      <c r="L153" s="16" t="b">
        <v>0</v>
      </c>
    </row>
    <row r="154">
      <c r="A154" s="9"/>
      <c r="B154" s="16"/>
      <c r="C154" s="7" t="str">
        <f>IFERROR(VLOOKUP(B154,'Master data'!$A$1:$F$1000,2,FALSE),"")</f>
        <v/>
      </c>
      <c r="D154" s="7" t="str">
        <f>IFERROR(VLOOKUP(B154,'Master data'!$A$1:$F$1000,6,FALSE),"")</f>
        <v/>
      </c>
      <c r="F154" s="7" t="str">
        <f>IFERROR(VLOOKUP(B154,'Master data'!$A$1:$F$1000,3,FALSE),"")</f>
        <v/>
      </c>
      <c r="I154" s="16"/>
      <c r="J154" s="16"/>
      <c r="K154" s="16" t="b">
        <v>0</v>
      </c>
      <c r="L154" s="16" t="b">
        <v>0</v>
      </c>
    </row>
    <row r="155">
      <c r="A155" s="9"/>
      <c r="B155" s="16"/>
      <c r="C155" s="7" t="str">
        <f>IFERROR(VLOOKUP(B155,'Master data'!$A$1:$F$1000,2,FALSE),"")</f>
        <v/>
      </c>
      <c r="D155" s="7" t="str">
        <f>IFERROR(VLOOKUP(B155,'Master data'!$A$1:$F$1000,6,FALSE),"")</f>
        <v/>
      </c>
      <c r="F155" s="7" t="str">
        <f>IFERROR(VLOOKUP(B155,'Master data'!$A$1:$F$1000,3,FALSE),"")</f>
        <v/>
      </c>
      <c r="I155" s="16"/>
      <c r="J155" s="16"/>
      <c r="K155" s="16" t="b">
        <v>0</v>
      </c>
      <c r="L155" s="16" t="b">
        <v>0</v>
      </c>
    </row>
    <row r="156">
      <c r="A156" s="9"/>
      <c r="B156" s="16"/>
      <c r="C156" s="7" t="str">
        <f>IFERROR(VLOOKUP(B156,'Master data'!$A$1:$F$1000,2,FALSE),"")</f>
        <v/>
      </c>
      <c r="D156" s="7" t="str">
        <f>IFERROR(VLOOKUP(B156,'Master data'!$A$1:$F$1000,6,FALSE),"")</f>
        <v/>
      </c>
      <c r="F156" s="7" t="str">
        <f>IFERROR(VLOOKUP(B156,'Master data'!$A$1:$F$1000,3,FALSE),"")</f>
        <v/>
      </c>
      <c r="I156" s="16"/>
      <c r="J156" s="16"/>
      <c r="K156" s="16" t="b">
        <v>0</v>
      </c>
      <c r="L156" s="16" t="b">
        <v>0</v>
      </c>
    </row>
    <row r="157">
      <c r="A157" s="9"/>
      <c r="B157" s="16"/>
      <c r="C157" s="7" t="str">
        <f>IFERROR(VLOOKUP(B157,'Master data'!$A$1:$F$1000,2,FALSE),"")</f>
        <v/>
      </c>
      <c r="D157" s="7" t="str">
        <f>IFERROR(VLOOKUP(B157,'Master data'!$A$1:$F$1000,6,FALSE),"")</f>
        <v/>
      </c>
      <c r="F157" s="7" t="str">
        <f>IFERROR(VLOOKUP(B157,'Master data'!$A$1:$F$1000,3,FALSE),"")</f>
        <v/>
      </c>
      <c r="I157" s="16"/>
      <c r="J157" s="16"/>
      <c r="K157" s="16" t="b">
        <v>0</v>
      </c>
      <c r="L157" s="16" t="b">
        <v>0</v>
      </c>
    </row>
    <row r="158">
      <c r="A158" s="9"/>
      <c r="B158" s="16"/>
      <c r="C158" s="7" t="str">
        <f>IFERROR(VLOOKUP(B158,'Master data'!$A$1:$F$1000,2,FALSE),"")</f>
        <v/>
      </c>
      <c r="D158" s="7" t="str">
        <f>IFERROR(VLOOKUP(B158,'Master data'!$A$1:$F$1000,6,FALSE),"")</f>
        <v/>
      </c>
      <c r="F158" s="7" t="str">
        <f>IFERROR(VLOOKUP(B158,'Master data'!$A$1:$F$1000,3,FALSE),"")</f>
        <v/>
      </c>
      <c r="I158" s="16"/>
      <c r="J158" s="16"/>
      <c r="K158" s="16" t="b">
        <v>0</v>
      </c>
      <c r="L158" s="16" t="b">
        <v>0</v>
      </c>
    </row>
    <row r="159">
      <c r="A159" s="9"/>
      <c r="B159" s="16"/>
      <c r="C159" s="7" t="str">
        <f>IFERROR(VLOOKUP(B159,'Master data'!$A$1:$F$1000,2,FALSE),"")</f>
        <v/>
      </c>
      <c r="D159" s="7" t="str">
        <f>IFERROR(VLOOKUP(B159,'Master data'!$A$1:$F$1000,6,FALSE),"")</f>
        <v/>
      </c>
      <c r="F159" s="7" t="str">
        <f>IFERROR(VLOOKUP(B159,'Master data'!$A$1:$F$1000,3,FALSE),"")</f>
        <v/>
      </c>
      <c r="I159" s="16"/>
      <c r="J159" s="16"/>
      <c r="K159" s="16" t="b">
        <v>0</v>
      </c>
      <c r="L159" s="16" t="b">
        <v>0</v>
      </c>
    </row>
    <row r="160">
      <c r="A160" s="9"/>
      <c r="B160" s="16"/>
      <c r="C160" s="7" t="str">
        <f>IFERROR(VLOOKUP(B160,'Master data'!$A$1:$F$1000,2,FALSE),"")</f>
        <v/>
      </c>
      <c r="D160" s="7" t="str">
        <f>IFERROR(VLOOKUP(B160,'Master data'!$A$1:$F$1000,6,FALSE),"")</f>
        <v/>
      </c>
      <c r="F160" s="7" t="str">
        <f>IFERROR(VLOOKUP(B160,'Master data'!$A$1:$F$1000,3,FALSE),"")</f>
        <v/>
      </c>
      <c r="I160" s="16"/>
      <c r="J160" s="16"/>
      <c r="K160" s="16" t="b">
        <v>0</v>
      </c>
      <c r="L160" s="16" t="b">
        <v>0</v>
      </c>
    </row>
    <row r="161">
      <c r="A161" s="9"/>
      <c r="B161" s="16"/>
      <c r="C161" s="7" t="str">
        <f>IFERROR(VLOOKUP(B161,'Master data'!$A$1:$F$1000,2,FALSE),"")</f>
        <v/>
      </c>
      <c r="D161" s="7" t="str">
        <f>IFERROR(VLOOKUP(B161,'Master data'!$A$1:$F$1000,6,FALSE),"")</f>
        <v/>
      </c>
      <c r="F161" s="7" t="str">
        <f>IFERROR(VLOOKUP(B161,'Master data'!$A$1:$F$1000,3,FALSE),"")</f>
        <v/>
      </c>
      <c r="I161" s="16"/>
      <c r="J161" s="16"/>
      <c r="K161" s="16" t="b">
        <v>0</v>
      </c>
      <c r="L161" s="16" t="b">
        <v>0</v>
      </c>
    </row>
    <row r="162">
      <c r="A162" s="9"/>
      <c r="B162" s="16"/>
      <c r="C162" s="7" t="str">
        <f>IFERROR(VLOOKUP(B162,'Master data'!$A$1:$F$1000,2,FALSE),"")</f>
        <v/>
      </c>
      <c r="D162" s="7" t="str">
        <f>IFERROR(VLOOKUP(B162,'Master data'!$A$1:$F$1000,6,FALSE),"")</f>
        <v/>
      </c>
      <c r="F162" s="7" t="str">
        <f>IFERROR(VLOOKUP(B162,'Master data'!$A$1:$F$1000,3,FALSE),"")</f>
        <v/>
      </c>
      <c r="I162" s="16"/>
      <c r="J162" s="16"/>
      <c r="K162" s="16" t="b">
        <v>0</v>
      </c>
      <c r="L162" s="16" t="b">
        <v>0</v>
      </c>
    </row>
    <row r="163">
      <c r="A163" s="9"/>
      <c r="B163" s="16"/>
      <c r="C163" s="7" t="str">
        <f>IFERROR(VLOOKUP(B163,'Master data'!$A$1:$F$1000,2,FALSE),"")</f>
        <v/>
      </c>
      <c r="D163" s="7" t="str">
        <f>IFERROR(VLOOKUP(B163,'Master data'!$A$1:$F$1000,6,FALSE),"")</f>
        <v/>
      </c>
      <c r="F163" s="7" t="str">
        <f>IFERROR(VLOOKUP(B163,'Master data'!$A$1:$F$1000,3,FALSE),"")</f>
        <v/>
      </c>
      <c r="I163" s="16"/>
      <c r="J163" s="16"/>
      <c r="K163" s="16" t="b">
        <v>0</v>
      </c>
      <c r="L163" s="16" t="b">
        <v>0</v>
      </c>
    </row>
    <row r="164">
      <c r="A164" s="9"/>
      <c r="B164" s="16"/>
      <c r="C164" s="7" t="str">
        <f>IFERROR(VLOOKUP(B164,'Master data'!$A$1:$F$1000,2,FALSE),"")</f>
        <v/>
      </c>
      <c r="D164" s="7" t="str">
        <f>IFERROR(VLOOKUP(B164,'Master data'!$A$1:$F$1000,6,FALSE),"")</f>
        <v/>
      </c>
      <c r="F164" s="7" t="str">
        <f>IFERROR(VLOOKUP(B164,'Master data'!$A$1:$F$1000,3,FALSE),"")</f>
        <v/>
      </c>
      <c r="I164" s="16"/>
      <c r="J164" s="16"/>
      <c r="K164" s="16" t="b">
        <v>0</v>
      </c>
      <c r="L164" s="16" t="b">
        <v>0</v>
      </c>
    </row>
    <row r="165">
      <c r="A165" s="9"/>
      <c r="B165" s="16"/>
      <c r="C165" s="7" t="str">
        <f>IFERROR(VLOOKUP(B165,'Master data'!$A$1:$F$1000,2,FALSE),"")</f>
        <v/>
      </c>
      <c r="D165" s="7" t="str">
        <f>IFERROR(VLOOKUP(B165,'Master data'!$A$1:$F$1000,6,FALSE),"")</f>
        <v/>
      </c>
      <c r="F165" s="7" t="str">
        <f>IFERROR(VLOOKUP(B165,'Master data'!$A$1:$F$1000,3,FALSE),"")</f>
        <v/>
      </c>
      <c r="I165" s="16"/>
      <c r="J165" s="16"/>
      <c r="K165" s="16" t="b">
        <v>0</v>
      </c>
      <c r="L165" s="16" t="b">
        <v>0</v>
      </c>
    </row>
    <row r="166">
      <c r="A166" s="9"/>
      <c r="B166" s="16"/>
      <c r="C166" s="7" t="str">
        <f>IFERROR(VLOOKUP(B166,'Master data'!$A$1:$F$1000,2,FALSE),"")</f>
        <v/>
      </c>
      <c r="D166" s="7" t="str">
        <f>IFERROR(VLOOKUP(B166,'Master data'!$A$1:$F$1000,6,FALSE),"")</f>
        <v/>
      </c>
      <c r="F166" s="7" t="str">
        <f>IFERROR(VLOOKUP(B166,'Master data'!$A$1:$F$1000,3,FALSE),"")</f>
        <v/>
      </c>
      <c r="I166" s="16"/>
      <c r="J166" s="16"/>
      <c r="K166" s="16" t="b">
        <v>0</v>
      </c>
      <c r="L166" s="16" t="b">
        <v>0</v>
      </c>
    </row>
    <row r="167">
      <c r="A167" s="9"/>
      <c r="B167" s="16"/>
      <c r="C167" s="7" t="str">
        <f>IFERROR(VLOOKUP(B167,'Master data'!$A$1:$F$1000,2,FALSE),"")</f>
        <v/>
      </c>
      <c r="D167" s="7" t="str">
        <f>IFERROR(VLOOKUP(B167,'Master data'!$A$1:$F$1000,6,FALSE),"")</f>
        <v/>
      </c>
      <c r="F167" s="7" t="str">
        <f>IFERROR(VLOOKUP(B167,'Master data'!$A$1:$F$1000,3,FALSE),"")</f>
        <v/>
      </c>
      <c r="I167" s="16"/>
      <c r="J167" s="16"/>
      <c r="K167" s="16" t="b">
        <v>0</v>
      </c>
      <c r="L167" s="16" t="b">
        <v>0</v>
      </c>
    </row>
    <row r="168">
      <c r="A168" s="9"/>
      <c r="B168" s="16"/>
      <c r="C168" s="7" t="str">
        <f>IFERROR(VLOOKUP(B168,'Master data'!$A$1:$F$1000,2,FALSE),"")</f>
        <v/>
      </c>
      <c r="D168" s="7" t="str">
        <f>IFERROR(VLOOKUP(B168,'Master data'!$A$1:$F$1000,6,FALSE),"")</f>
        <v/>
      </c>
      <c r="F168" s="7" t="str">
        <f>IFERROR(VLOOKUP(B168,'Master data'!$A$1:$F$1000,3,FALSE),"")</f>
        <v/>
      </c>
      <c r="I168" s="16"/>
      <c r="J168" s="16"/>
      <c r="K168" s="16" t="b">
        <v>0</v>
      </c>
      <c r="L168" s="16" t="b">
        <v>0</v>
      </c>
    </row>
    <row r="169">
      <c r="A169" s="9"/>
      <c r="B169" s="16"/>
      <c r="C169" s="7" t="str">
        <f>IFERROR(VLOOKUP(B169,'Master data'!$A$1:$F$1000,2,FALSE),"")</f>
        <v/>
      </c>
      <c r="D169" s="7" t="str">
        <f>IFERROR(VLOOKUP(B169,'Master data'!$A$1:$F$1000,6,FALSE),"")</f>
        <v/>
      </c>
      <c r="F169" s="7" t="str">
        <f>IFERROR(VLOOKUP(B169,'Master data'!$A$1:$F$1000,3,FALSE),"")</f>
        <v/>
      </c>
      <c r="I169" s="16"/>
      <c r="J169" s="16"/>
      <c r="K169" s="16" t="b">
        <v>0</v>
      </c>
      <c r="L169" s="16" t="b">
        <v>0</v>
      </c>
    </row>
    <row r="170">
      <c r="A170" s="9"/>
      <c r="B170" s="16"/>
      <c r="C170" s="7" t="str">
        <f>IFERROR(VLOOKUP(B170,'Master data'!$A$1:$F$1000,2,FALSE),"")</f>
        <v/>
      </c>
      <c r="D170" s="7" t="str">
        <f>IFERROR(VLOOKUP(B170,'Master data'!$A$1:$F$1000,6,FALSE),"")</f>
        <v/>
      </c>
      <c r="F170" s="7" t="str">
        <f>IFERROR(VLOOKUP(B170,'Master data'!$A$1:$F$1000,3,FALSE),"")</f>
        <v/>
      </c>
      <c r="I170" s="16"/>
      <c r="J170" s="16"/>
      <c r="K170" s="16" t="b">
        <v>0</v>
      </c>
      <c r="L170" s="16" t="b">
        <v>0</v>
      </c>
    </row>
    <row r="171">
      <c r="A171" s="9"/>
      <c r="B171" s="16"/>
      <c r="C171" s="7" t="str">
        <f>IFERROR(VLOOKUP(B171,'Master data'!$A$1:$F$1000,2,FALSE),"")</f>
        <v/>
      </c>
      <c r="D171" s="7" t="str">
        <f>IFERROR(VLOOKUP(B171,'Master data'!$A$1:$F$1000,6,FALSE),"")</f>
        <v/>
      </c>
      <c r="F171" s="7" t="str">
        <f>IFERROR(VLOOKUP(B171,'Master data'!$A$1:$F$1000,3,FALSE),"")</f>
        <v/>
      </c>
      <c r="I171" s="16"/>
      <c r="J171" s="16"/>
      <c r="K171" s="16" t="b">
        <v>0</v>
      </c>
      <c r="L171" s="16" t="b">
        <v>0</v>
      </c>
    </row>
    <row r="172">
      <c r="A172" s="9"/>
      <c r="B172" s="16"/>
      <c r="C172" s="7" t="str">
        <f>IFERROR(VLOOKUP(B172,'Master data'!$A$1:$F$1000,2,FALSE),"")</f>
        <v/>
      </c>
      <c r="D172" s="7" t="str">
        <f>IFERROR(VLOOKUP(B172,'Master data'!$A$1:$F$1000,6,FALSE),"")</f>
        <v/>
      </c>
      <c r="F172" s="7" t="str">
        <f>IFERROR(VLOOKUP(B172,'Master data'!$A$1:$F$1000,3,FALSE),"")</f>
        <v/>
      </c>
      <c r="I172" s="16"/>
      <c r="J172" s="16"/>
      <c r="K172" s="16" t="b">
        <v>0</v>
      </c>
      <c r="L172" s="16" t="b">
        <v>0</v>
      </c>
    </row>
    <row r="173">
      <c r="A173" s="9"/>
      <c r="B173" s="16"/>
      <c r="C173" s="7" t="str">
        <f>IFERROR(VLOOKUP(B173,'Master data'!$A$1:$F$1000,2,FALSE),"")</f>
        <v/>
      </c>
      <c r="D173" s="7" t="str">
        <f>IFERROR(VLOOKUP(B173,'Master data'!$A$1:$F$1000,6,FALSE),"")</f>
        <v/>
      </c>
      <c r="F173" s="7" t="str">
        <f>IFERROR(VLOOKUP(B173,'Master data'!$A$1:$F$1000,3,FALSE),"")</f>
        <v/>
      </c>
      <c r="I173" s="16"/>
      <c r="J173" s="16"/>
      <c r="K173" s="16" t="b">
        <v>0</v>
      </c>
      <c r="L173" s="16" t="b">
        <v>0</v>
      </c>
    </row>
    <row r="174">
      <c r="A174" s="9"/>
      <c r="B174" s="16"/>
      <c r="C174" s="7" t="str">
        <f>IFERROR(VLOOKUP(B174,'Master data'!$A$1:$F$1000,2,FALSE),"")</f>
        <v/>
      </c>
      <c r="D174" s="7" t="str">
        <f>IFERROR(VLOOKUP(B174,'Master data'!$A$1:$F$1000,6,FALSE),"")</f>
        <v/>
      </c>
      <c r="F174" s="7" t="str">
        <f>IFERROR(VLOOKUP(B174,'Master data'!$A$1:$F$1000,3,FALSE),"")</f>
        <v/>
      </c>
      <c r="I174" s="16"/>
      <c r="J174" s="16"/>
      <c r="K174" s="16" t="b">
        <v>0</v>
      </c>
      <c r="L174" s="16" t="b">
        <v>0</v>
      </c>
    </row>
    <row r="175">
      <c r="A175" s="9"/>
      <c r="B175" s="16"/>
      <c r="C175" s="7" t="str">
        <f>IFERROR(VLOOKUP(B175,'Master data'!$A$1:$F$1000,2,FALSE),"")</f>
        <v/>
      </c>
      <c r="D175" s="7" t="str">
        <f>IFERROR(VLOOKUP(B175,'Master data'!$A$1:$F$1000,6,FALSE),"")</f>
        <v/>
      </c>
      <c r="F175" s="7" t="str">
        <f>IFERROR(VLOOKUP(B175,'Master data'!$A$1:$F$1000,3,FALSE),"")</f>
        <v/>
      </c>
      <c r="I175" s="16"/>
      <c r="J175" s="16"/>
      <c r="K175" s="16" t="b">
        <v>0</v>
      </c>
      <c r="L175" s="16" t="b">
        <v>0</v>
      </c>
    </row>
    <row r="176">
      <c r="A176" s="9"/>
      <c r="B176" s="16"/>
      <c r="C176" s="7" t="str">
        <f>IFERROR(VLOOKUP(B176,'Master data'!$A$1:$F$1000,2,FALSE),"")</f>
        <v/>
      </c>
      <c r="D176" s="7" t="str">
        <f>IFERROR(VLOOKUP(B176,'Master data'!$A$1:$F$1000,6,FALSE),"")</f>
        <v/>
      </c>
      <c r="F176" s="7" t="str">
        <f>IFERROR(VLOOKUP(B176,'Master data'!$A$1:$F$1000,3,FALSE),"")</f>
        <v/>
      </c>
      <c r="I176" s="16"/>
      <c r="J176" s="16"/>
      <c r="K176" s="16" t="b">
        <v>0</v>
      </c>
      <c r="L176" s="16" t="b">
        <v>0</v>
      </c>
    </row>
    <row r="177">
      <c r="A177" s="9"/>
      <c r="B177" s="16"/>
      <c r="C177" s="7" t="str">
        <f>IFERROR(VLOOKUP(B177,'Master data'!$A$1:$F$1000,2,FALSE),"")</f>
        <v/>
      </c>
      <c r="D177" s="7" t="str">
        <f>IFERROR(VLOOKUP(B177,'Master data'!$A$1:$F$1000,6,FALSE),"")</f>
        <v/>
      </c>
      <c r="F177" s="7" t="str">
        <f>IFERROR(VLOOKUP(B177,'Master data'!$A$1:$F$1000,3,FALSE),"")</f>
        <v/>
      </c>
      <c r="I177" s="16"/>
      <c r="J177" s="16"/>
      <c r="K177" s="16" t="b">
        <v>0</v>
      </c>
      <c r="L177" s="16" t="b">
        <v>0</v>
      </c>
    </row>
    <row r="178">
      <c r="A178" s="9"/>
      <c r="B178" s="16"/>
      <c r="C178" s="7" t="str">
        <f>IFERROR(VLOOKUP(B178,'Master data'!$A$1:$F$1000,2,FALSE),"")</f>
        <v/>
      </c>
      <c r="D178" s="7" t="str">
        <f>IFERROR(VLOOKUP(B178,'Master data'!$A$1:$F$1000,6,FALSE),"")</f>
        <v/>
      </c>
      <c r="F178" s="7" t="str">
        <f>IFERROR(VLOOKUP(B178,'Master data'!$A$1:$F$1000,3,FALSE),"")</f>
        <v/>
      </c>
      <c r="I178" s="16"/>
      <c r="J178" s="16"/>
      <c r="K178" s="16" t="b">
        <v>0</v>
      </c>
      <c r="L178" s="16" t="b">
        <v>0</v>
      </c>
    </row>
    <row r="179">
      <c r="A179" s="9"/>
      <c r="B179" s="16"/>
      <c r="C179" s="7" t="str">
        <f>IFERROR(VLOOKUP(B179,'Master data'!$A$1:$F$1000,2,FALSE),"")</f>
        <v/>
      </c>
      <c r="D179" s="7" t="str">
        <f>IFERROR(VLOOKUP(B179,'Master data'!$A$1:$F$1000,6,FALSE),"")</f>
        <v/>
      </c>
      <c r="F179" s="7" t="str">
        <f>IFERROR(VLOOKUP(B179,'Master data'!$A$1:$F$1000,3,FALSE),"")</f>
        <v/>
      </c>
      <c r="I179" s="16"/>
      <c r="J179" s="16"/>
      <c r="K179" s="16" t="b">
        <v>0</v>
      </c>
      <c r="L179" s="16" t="b">
        <v>0</v>
      </c>
    </row>
    <row r="180">
      <c r="A180" s="9"/>
      <c r="B180" s="16"/>
      <c r="C180" s="7" t="str">
        <f>IFERROR(VLOOKUP(B180,'Master data'!$A$1:$F$1000,2,FALSE),"")</f>
        <v/>
      </c>
      <c r="D180" s="7" t="str">
        <f>IFERROR(VLOOKUP(B180,'Master data'!$A$1:$F$1000,6,FALSE),"")</f>
        <v/>
      </c>
      <c r="F180" s="7" t="str">
        <f>IFERROR(VLOOKUP(B180,'Master data'!$A$1:$F$1000,3,FALSE),"")</f>
        <v/>
      </c>
      <c r="I180" s="16"/>
      <c r="J180" s="16"/>
      <c r="K180" s="16" t="b">
        <v>0</v>
      </c>
      <c r="L180" s="16" t="b">
        <v>0</v>
      </c>
    </row>
    <row r="181">
      <c r="A181" s="9"/>
      <c r="B181" s="16"/>
      <c r="C181" s="7" t="str">
        <f>IFERROR(VLOOKUP(B181,'Master data'!$A$1:$F$1000,2,FALSE),"")</f>
        <v/>
      </c>
      <c r="D181" s="7" t="str">
        <f>IFERROR(VLOOKUP(B181,'Master data'!$A$1:$F$1000,6,FALSE),"")</f>
        <v/>
      </c>
      <c r="F181" s="7" t="str">
        <f>IFERROR(VLOOKUP(B181,'Master data'!$A$1:$F$1000,3,FALSE),"")</f>
        <v/>
      </c>
      <c r="I181" s="16"/>
      <c r="J181" s="16"/>
      <c r="K181" s="16" t="b">
        <v>0</v>
      </c>
      <c r="L181" s="16" t="b">
        <v>0</v>
      </c>
    </row>
    <row r="182">
      <c r="A182" s="9"/>
      <c r="B182" s="16"/>
      <c r="C182" s="7" t="str">
        <f>IFERROR(VLOOKUP(B182,'Master data'!$A$1:$F$1000,2,FALSE),"")</f>
        <v/>
      </c>
      <c r="D182" s="7" t="str">
        <f>IFERROR(VLOOKUP(B182,'Master data'!$A$1:$F$1000,6,FALSE),"")</f>
        <v/>
      </c>
      <c r="F182" s="7" t="str">
        <f>IFERROR(VLOOKUP(B182,'Master data'!$A$1:$F$1000,3,FALSE),"")</f>
        <v/>
      </c>
      <c r="I182" s="16"/>
      <c r="J182" s="16"/>
      <c r="K182" s="16" t="b">
        <v>0</v>
      </c>
      <c r="L182" s="16" t="b">
        <v>0</v>
      </c>
    </row>
    <row r="183">
      <c r="A183" s="9"/>
      <c r="B183" s="16"/>
      <c r="C183" s="7" t="str">
        <f>IFERROR(VLOOKUP(B183,'Master data'!$A$1:$F$1000,2,FALSE),"")</f>
        <v/>
      </c>
      <c r="D183" s="7" t="str">
        <f>IFERROR(VLOOKUP(B183,'Master data'!$A$1:$F$1000,6,FALSE),"")</f>
        <v/>
      </c>
      <c r="F183" s="7" t="str">
        <f>IFERROR(VLOOKUP(B183,'Master data'!$A$1:$F$1000,3,FALSE),"")</f>
        <v/>
      </c>
      <c r="I183" s="16"/>
      <c r="J183" s="16"/>
      <c r="K183" s="16" t="b">
        <v>0</v>
      </c>
      <c r="L183" s="16" t="b">
        <v>0</v>
      </c>
    </row>
    <row r="184">
      <c r="A184" s="9"/>
      <c r="B184" s="16"/>
      <c r="C184" s="7" t="str">
        <f>IFERROR(VLOOKUP(B184,'Master data'!$A$1:$F$1000,2,FALSE),"")</f>
        <v/>
      </c>
      <c r="D184" s="7" t="str">
        <f>IFERROR(VLOOKUP(B184,'Master data'!$A$1:$F$1000,6,FALSE),"")</f>
        <v/>
      </c>
      <c r="F184" s="7" t="str">
        <f>IFERROR(VLOOKUP(B184,'Master data'!$A$1:$F$1000,3,FALSE),"")</f>
        <v/>
      </c>
      <c r="I184" s="16"/>
      <c r="J184" s="16"/>
      <c r="K184" s="16" t="b">
        <v>0</v>
      </c>
      <c r="L184" s="16" t="b">
        <v>0</v>
      </c>
    </row>
    <row r="185">
      <c r="A185" s="9"/>
      <c r="B185" s="16"/>
      <c r="C185" s="7" t="str">
        <f>IFERROR(VLOOKUP(B185,'Master data'!$A$1:$F$1000,2,FALSE),"")</f>
        <v/>
      </c>
      <c r="D185" s="7" t="str">
        <f>IFERROR(VLOOKUP(B185,'Master data'!$A$1:$F$1000,6,FALSE),"")</f>
        <v/>
      </c>
      <c r="F185" s="7" t="str">
        <f>IFERROR(VLOOKUP(B185,'Master data'!$A$1:$F$1000,3,FALSE),"")</f>
        <v/>
      </c>
      <c r="I185" s="16"/>
      <c r="J185" s="16"/>
      <c r="K185" s="16" t="b">
        <v>0</v>
      </c>
      <c r="L185" s="16" t="b">
        <v>0</v>
      </c>
    </row>
    <row r="186">
      <c r="A186" s="9"/>
      <c r="B186" s="16"/>
      <c r="C186" s="7" t="str">
        <f>IFERROR(VLOOKUP(B186,'Master data'!$A$1:$F$1000,2,FALSE),"")</f>
        <v/>
      </c>
      <c r="D186" s="7" t="str">
        <f>IFERROR(VLOOKUP(B186,'Master data'!$A$1:$F$1000,6,FALSE),"")</f>
        <v/>
      </c>
      <c r="F186" s="7" t="str">
        <f>IFERROR(VLOOKUP(B186,'Master data'!$A$1:$F$1000,3,FALSE),"")</f>
        <v/>
      </c>
      <c r="I186" s="16"/>
      <c r="J186" s="16"/>
      <c r="K186" s="16" t="b">
        <v>0</v>
      </c>
      <c r="L186" s="16" t="b">
        <v>0</v>
      </c>
    </row>
    <row r="187">
      <c r="A187" s="9"/>
      <c r="B187" s="16"/>
      <c r="C187" s="7" t="str">
        <f>IFERROR(VLOOKUP(B187,'Master data'!$A$1:$F$1000,2,FALSE),"")</f>
        <v/>
      </c>
      <c r="D187" s="7" t="str">
        <f>IFERROR(VLOOKUP(B187,'Master data'!$A$1:$F$1000,6,FALSE),"")</f>
        <v/>
      </c>
      <c r="F187" s="7" t="str">
        <f>IFERROR(VLOOKUP(B187,'Master data'!$A$1:$F$1000,3,FALSE),"")</f>
        <v/>
      </c>
      <c r="I187" s="16"/>
      <c r="J187" s="16"/>
      <c r="K187" s="16" t="b">
        <v>0</v>
      </c>
      <c r="L187" s="16" t="b">
        <v>0</v>
      </c>
    </row>
    <row r="188">
      <c r="A188" s="9"/>
      <c r="B188" s="16"/>
      <c r="C188" s="7" t="str">
        <f>IFERROR(VLOOKUP(B188,'Master data'!$A$1:$F$1000,2,FALSE),"")</f>
        <v/>
      </c>
      <c r="D188" s="7" t="str">
        <f>IFERROR(VLOOKUP(B188,'Master data'!$A$1:$F$1000,6,FALSE),"")</f>
        <v/>
      </c>
      <c r="F188" s="7" t="str">
        <f>IFERROR(VLOOKUP(B188,'Master data'!$A$1:$F$1000,3,FALSE),"")</f>
        <v/>
      </c>
      <c r="I188" s="16"/>
      <c r="J188" s="16"/>
      <c r="K188" s="16" t="b">
        <v>0</v>
      </c>
      <c r="L188" s="16" t="b">
        <v>0</v>
      </c>
    </row>
    <row r="189">
      <c r="A189" s="9"/>
      <c r="B189" s="16"/>
      <c r="C189" s="7" t="str">
        <f>IFERROR(VLOOKUP(B189,'Master data'!$A$1:$F$1000,2,FALSE),"")</f>
        <v/>
      </c>
      <c r="D189" s="7" t="str">
        <f>IFERROR(VLOOKUP(B189,'Master data'!$A$1:$F$1000,6,FALSE),"")</f>
        <v/>
      </c>
      <c r="F189" s="7" t="str">
        <f>IFERROR(VLOOKUP(B189,'Master data'!$A$1:$F$1000,3,FALSE),"")</f>
        <v/>
      </c>
      <c r="I189" s="16"/>
      <c r="J189" s="16"/>
      <c r="K189" s="16" t="b">
        <v>0</v>
      </c>
      <c r="L189" s="16" t="b">
        <v>0</v>
      </c>
    </row>
    <row r="190">
      <c r="A190" s="9"/>
      <c r="B190" s="16"/>
      <c r="C190" s="7" t="str">
        <f>IFERROR(VLOOKUP(B190,'Master data'!$A$1:$F$1000,2,FALSE),"")</f>
        <v/>
      </c>
      <c r="D190" s="7" t="str">
        <f>IFERROR(VLOOKUP(B190,'Master data'!$A$1:$F$1000,6,FALSE),"")</f>
        <v/>
      </c>
      <c r="F190" s="7" t="str">
        <f>IFERROR(VLOOKUP(B190,'Master data'!$A$1:$F$1000,3,FALSE),"")</f>
        <v/>
      </c>
      <c r="I190" s="16"/>
      <c r="J190" s="16"/>
      <c r="K190" s="16" t="b">
        <v>0</v>
      </c>
      <c r="L190" s="16" t="b">
        <v>0</v>
      </c>
    </row>
    <row r="191">
      <c r="A191" s="9"/>
      <c r="B191" s="16"/>
      <c r="C191" s="7" t="str">
        <f>IFERROR(VLOOKUP(B191,'Master data'!$A$1:$F$1000,2,FALSE),"")</f>
        <v/>
      </c>
      <c r="D191" s="7" t="str">
        <f>IFERROR(VLOOKUP(B191,'Master data'!$A$1:$F$1000,6,FALSE),"")</f>
        <v/>
      </c>
      <c r="F191" s="7" t="str">
        <f>IFERROR(VLOOKUP(B191,'Master data'!$A$1:$F$1000,3,FALSE),"")</f>
        <v/>
      </c>
      <c r="I191" s="16"/>
      <c r="J191" s="16"/>
      <c r="K191" s="16" t="b">
        <v>0</v>
      </c>
      <c r="L191" s="16" t="b">
        <v>0</v>
      </c>
    </row>
    <row r="192">
      <c r="A192" s="9"/>
      <c r="B192" s="16"/>
      <c r="C192" s="7" t="str">
        <f>IFERROR(VLOOKUP(B192,'Master data'!$A$1:$F$1000,2,FALSE),"")</f>
        <v/>
      </c>
      <c r="D192" s="7" t="str">
        <f>IFERROR(VLOOKUP(B192,'Master data'!$A$1:$F$1000,6,FALSE),"")</f>
        <v/>
      </c>
      <c r="F192" s="7" t="str">
        <f>IFERROR(VLOOKUP(B192,'Master data'!$A$1:$F$1000,3,FALSE),"")</f>
        <v/>
      </c>
      <c r="I192" s="16"/>
      <c r="J192" s="16"/>
      <c r="K192" s="16" t="b">
        <v>0</v>
      </c>
      <c r="L192" s="16" t="b">
        <v>0</v>
      </c>
    </row>
    <row r="193">
      <c r="A193" s="9"/>
      <c r="B193" s="16"/>
      <c r="C193" s="7" t="str">
        <f>IFERROR(VLOOKUP(B193,'Master data'!$A$1:$F$1000,2,FALSE),"")</f>
        <v/>
      </c>
      <c r="D193" s="7" t="str">
        <f>IFERROR(VLOOKUP(B193,'Master data'!$A$1:$F$1000,6,FALSE),"")</f>
        <v/>
      </c>
      <c r="F193" s="7" t="str">
        <f>IFERROR(VLOOKUP(B193,'Master data'!$A$1:$F$1000,3,FALSE),"")</f>
        <v/>
      </c>
      <c r="I193" s="16"/>
      <c r="J193" s="16"/>
      <c r="K193" s="16" t="b">
        <v>0</v>
      </c>
      <c r="L193" s="16" t="b">
        <v>0</v>
      </c>
    </row>
    <row r="194">
      <c r="A194" s="9"/>
      <c r="B194" s="16"/>
      <c r="C194" s="7" t="str">
        <f>IFERROR(VLOOKUP(B194,'Master data'!$A$1:$F$1000,2,FALSE),"")</f>
        <v/>
      </c>
      <c r="D194" s="7" t="str">
        <f>IFERROR(VLOOKUP(B194,'Master data'!$A$1:$F$1000,6,FALSE),"")</f>
        <v/>
      </c>
      <c r="F194" s="7" t="str">
        <f>IFERROR(VLOOKUP(B194,'Master data'!$A$1:$F$1000,3,FALSE),"")</f>
        <v/>
      </c>
      <c r="I194" s="16"/>
      <c r="J194" s="16"/>
      <c r="K194" s="16" t="b">
        <v>0</v>
      </c>
      <c r="L194" s="16" t="b">
        <v>0</v>
      </c>
    </row>
    <row r="195">
      <c r="A195" s="9"/>
      <c r="B195" s="16"/>
      <c r="C195" s="7" t="str">
        <f>IFERROR(VLOOKUP(B195,'Master data'!$A$1:$F$1000,2,FALSE),"")</f>
        <v/>
      </c>
      <c r="D195" s="7" t="str">
        <f>IFERROR(VLOOKUP(B195,'Master data'!$A$1:$F$1000,6,FALSE),"")</f>
        <v/>
      </c>
      <c r="F195" s="7" t="str">
        <f>IFERROR(VLOOKUP(B195,'Master data'!$A$1:$F$1000,3,FALSE),"")</f>
        <v/>
      </c>
      <c r="I195" s="16"/>
      <c r="J195" s="16"/>
      <c r="K195" s="16" t="b">
        <v>0</v>
      </c>
      <c r="L195" s="16" t="b">
        <v>0</v>
      </c>
    </row>
    <row r="196">
      <c r="A196" s="9"/>
      <c r="B196" s="16"/>
      <c r="C196" s="7" t="str">
        <f>IFERROR(VLOOKUP(B196,'Master data'!$A$1:$F$1000,2,FALSE),"")</f>
        <v/>
      </c>
      <c r="D196" s="7" t="str">
        <f>IFERROR(VLOOKUP(B196,'Master data'!$A$1:$F$1000,6,FALSE),"")</f>
        <v/>
      </c>
      <c r="F196" s="7" t="str">
        <f>IFERROR(VLOOKUP(B196,'Master data'!$A$1:$F$1000,3,FALSE),"")</f>
        <v/>
      </c>
      <c r="I196" s="16"/>
      <c r="J196" s="16"/>
      <c r="K196" s="16" t="b">
        <v>0</v>
      </c>
      <c r="L196" s="16" t="b">
        <v>0</v>
      </c>
    </row>
    <row r="197">
      <c r="A197" s="9"/>
      <c r="B197" s="16"/>
      <c r="C197" s="7" t="str">
        <f>IFERROR(VLOOKUP(B197,'Master data'!$A$1:$F$1000,2,FALSE),"")</f>
        <v/>
      </c>
      <c r="D197" s="7" t="str">
        <f>IFERROR(VLOOKUP(B197,'Master data'!$A$1:$F$1000,6,FALSE),"")</f>
        <v/>
      </c>
      <c r="F197" s="7" t="str">
        <f>IFERROR(VLOOKUP(B197,'Master data'!$A$1:$F$1000,3,FALSE),"")</f>
        <v/>
      </c>
      <c r="I197" s="16"/>
      <c r="J197" s="16"/>
      <c r="K197" s="16" t="b">
        <v>0</v>
      </c>
      <c r="L197" s="16" t="b">
        <v>0</v>
      </c>
    </row>
    <row r="198">
      <c r="A198" s="9"/>
      <c r="B198" s="16"/>
      <c r="C198" s="7" t="str">
        <f>IFERROR(VLOOKUP(B198,'Master data'!$A$1:$F$1000,2,FALSE),"")</f>
        <v/>
      </c>
      <c r="D198" s="7" t="str">
        <f>IFERROR(VLOOKUP(B198,'Master data'!$A$1:$F$1000,6,FALSE),"")</f>
        <v/>
      </c>
      <c r="F198" s="7" t="str">
        <f>IFERROR(VLOOKUP(B198,'Master data'!$A$1:$F$1000,3,FALSE),"")</f>
        <v/>
      </c>
      <c r="I198" s="16"/>
      <c r="J198" s="16"/>
      <c r="K198" s="16" t="b">
        <v>0</v>
      </c>
      <c r="L198" s="16" t="b">
        <v>0</v>
      </c>
    </row>
    <row r="199">
      <c r="A199" s="9"/>
      <c r="B199" s="16"/>
      <c r="C199" s="7" t="str">
        <f>IFERROR(VLOOKUP(B199,'Master data'!$A$1:$F$1000,2,FALSE),"")</f>
        <v/>
      </c>
      <c r="D199" s="7" t="str">
        <f>IFERROR(VLOOKUP(B199,'Master data'!$A$1:$F$1000,6,FALSE),"")</f>
        <v/>
      </c>
      <c r="F199" s="7" t="str">
        <f>IFERROR(VLOOKUP(B199,'Master data'!$A$1:$F$1000,3,FALSE),"")</f>
        <v/>
      </c>
      <c r="I199" s="16"/>
      <c r="J199" s="16"/>
      <c r="K199" s="16" t="b">
        <v>0</v>
      </c>
      <c r="L199" s="16" t="b">
        <v>0</v>
      </c>
    </row>
    <row r="200">
      <c r="A200" s="9"/>
      <c r="B200" s="16"/>
      <c r="C200" s="7" t="str">
        <f>IFERROR(VLOOKUP(B200,'Master data'!$A$1:$F$1000,2,FALSE),"")</f>
        <v/>
      </c>
      <c r="D200" s="7" t="str">
        <f>IFERROR(VLOOKUP(B200,'Master data'!$A$1:$F$1000,6,FALSE),"")</f>
        <v/>
      </c>
      <c r="F200" s="7" t="str">
        <f>IFERROR(VLOOKUP(B200,'Master data'!$A$1:$F$1000,3,FALSE),"")</f>
        <v/>
      </c>
      <c r="I200" s="16"/>
      <c r="J200" s="16"/>
      <c r="K200" s="16" t="b">
        <v>0</v>
      </c>
      <c r="L200" s="16" t="b">
        <v>0</v>
      </c>
    </row>
    <row r="201">
      <c r="A201" s="9"/>
      <c r="B201" s="16"/>
      <c r="C201" s="7" t="str">
        <f>IFERROR(VLOOKUP(B201,'Master data'!$A$1:$F$1000,2,FALSE),"")</f>
        <v/>
      </c>
      <c r="D201" s="7" t="str">
        <f>IFERROR(VLOOKUP(B201,'Master data'!$A$1:$F$1000,6,FALSE),"")</f>
        <v/>
      </c>
      <c r="F201" s="7" t="str">
        <f>IFERROR(VLOOKUP(B201,'Master data'!$A$1:$F$1000,3,FALSE),"")</f>
        <v/>
      </c>
      <c r="I201" s="16"/>
      <c r="J201" s="16"/>
      <c r="K201" s="16" t="b">
        <v>0</v>
      </c>
      <c r="L201" s="16" t="b">
        <v>0</v>
      </c>
    </row>
    <row r="202">
      <c r="A202" s="9"/>
      <c r="B202" s="16"/>
      <c r="C202" s="7" t="str">
        <f>IFERROR(VLOOKUP(B202,'Master data'!$A$1:$F$1000,2,FALSE),"")</f>
        <v/>
      </c>
      <c r="D202" s="7" t="str">
        <f>IFERROR(VLOOKUP(B202,'Master data'!$A$1:$F$1000,6,FALSE),"")</f>
        <v/>
      </c>
      <c r="F202" s="7" t="str">
        <f>IFERROR(VLOOKUP(B202,'Master data'!$A$1:$F$1000,3,FALSE),"")</f>
        <v/>
      </c>
      <c r="I202" s="16"/>
      <c r="J202" s="16"/>
      <c r="K202" s="16" t="b">
        <v>0</v>
      </c>
      <c r="L202" s="16" t="b">
        <v>0</v>
      </c>
    </row>
    <row r="203">
      <c r="A203" s="9"/>
      <c r="B203" s="16"/>
      <c r="C203" s="7" t="str">
        <f>IFERROR(VLOOKUP(B203,'Master data'!$A$1:$F$1000,2,FALSE),"")</f>
        <v/>
      </c>
      <c r="D203" s="7" t="str">
        <f>IFERROR(VLOOKUP(B203,'Master data'!$A$1:$F$1000,6,FALSE),"")</f>
        <v/>
      </c>
      <c r="F203" s="7" t="str">
        <f>IFERROR(VLOOKUP(B203,'Master data'!$A$1:$F$1000,3,FALSE),"")</f>
        <v/>
      </c>
      <c r="I203" s="16"/>
      <c r="J203" s="16"/>
      <c r="K203" s="16" t="b">
        <v>0</v>
      </c>
      <c r="L203" s="16" t="b">
        <v>0</v>
      </c>
    </row>
    <row r="204">
      <c r="A204" s="9"/>
      <c r="B204" s="16"/>
      <c r="C204" s="7" t="str">
        <f>IFERROR(VLOOKUP(B204,'Master data'!$A$1:$F$1000,2,FALSE),"")</f>
        <v/>
      </c>
      <c r="D204" s="7" t="str">
        <f>IFERROR(VLOOKUP(B204,'Master data'!$A$1:$F$1000,6,FALSE),"")</f>
        <v/>
      </c>
      <c r="F204" s="7" t="str">
        <f>IFERROR(VLOOKUP(B204,'Master data'!$A$1:$F$1000,3,FALSE),"")</f>
        <v/>
      </c>
      <c r="I204" s="16"/>
      <c r="J204" s="16"/>
      <c r="K204" s="16" t="b">
        <v>0</v>
      </c>
      <c r="L204" s="16" t="b">
        <v>0</v>
      </c>
    </row>
    <row r="205">
      <c r="A205" s="9"/>
      <c r="B205" s="16"/>
      <c r="C205" s="7" t="str">
        <f>IFERROR(VLOOKUP(B205,'Master data'!$A$1:$F$1000,2,FALSE),"")</f>
        <v/>
      </c>
      <c r="D205" s="7" t="str">
        <f>IFERROR(VLOOKUP(B205,'Master data'!$A$1:$F$1000,6,FALSE),"")</f>
        <v/>
      </c>
      <c r="F205" s="7" t="str">
        <f>IFERROR(VLOOKUP(B205,'Master data'!$A$1:$F$1000,3,FALSE),"")</f>
        <v/>
      </c>
      <c r="I205" s="16"/>
      <c r="J205" s="16"/>
      <c r="K205" s="16" t="b">
        <v>0</v>
      </c>
      <c r="L205" s="16" t="b">
        <v>0</v>
      </c>
    </row>
    <row r="206">
      <c r="A206" s="9"/>
      <c r="B206" s="16"/>
      <c r="C206" s="7" t="str">
        <f>IFERROR(VLOOKUP(B206,'Master data'!$A$1:$F$1000,2,FALSE),"")</f>
        <v/>
      </c>
      <c r="D206" s="7" t="str">
        <f>IFERROR(VLOOKUP(B206,'Master data'!$A$1:$F$1000,6,FALSE),"")</f>
        <v/>
      </c>
      <c r="F206" s="7" t="str">
        <f>IFERROR(VLOOKUP(B206,'Master data'!$A$1:$F$1000,3,FALSE),"")</f>
        <v/>
      </c>
      <c r="I206" s="16"/>
      <c r="J206" s="16"/>
      <c r="K206" s="16" t="b">
        <v>0</v>
      </c>
      <c r="L206" s="16" t="b">
        <v>0</v>
      </c>
    </row>
    <row r="207">
      <c r="A207" s="9"/>
      <c r="B207" s="16"/>
      <c r="C207" s="7" t="str">
        <f>IFERROR(VLOOKUP(B207,'Master data'!$A$1:$F$1000,2,FALSE),"")</f>
        <v/>
      </c>
      <c r="D207" s="7" t="str">
        <f>IFERROR(VLOOKUP(B207,'Master data'!$A$1:$F$1000,6,FALSE),"")</f>
        <v/>
      </c>
      <c r="F207" s="7" t="str">
        <f>IFERROR(VLOOKUP(B207,'Master data'!$A$1:$F$1000,3,FALSE),"")</f>
        <v/>
      </c>
      <c r="I207" s="16"/>
      <c r="J207" s="16"/>
      <c r="K207" s="16" t="b">
        <v>0</v>
      </c>
      <c r="L207" s="16" t="b">
        <v>0</v>
      </c>
    </row>
    <row r="208">
      <c r="A208" s="9"/>
      <c r="B208" s="16"/>
      <c r="C208" s="7" t="str">
        <f>IFERROR(VLOOKUP(B208,'Master data'!$A$1:$F$1000,2,FALSE),"")</f>
        <v/>
      </c>
      <c r="D208" s="7" t="str">
        <f>IFERROR(VLOOKUP(B208,'Master data'!$A$1:$F$1000,6,FALSE),"")</f>
        <v/>
      </c>
      <c r="F208" s="7" t="str">
        <f>IFERROR(VLOOKUP(B208,'Master data'!$A$1:$F$1000,3,FALSE),"")</f>
        <v/>
      </c>
      <c r="I208" s="16"/>
      <c r="J208" s="16"/>
      <c r="K208" s="16" t="b">
        <v>0</v>
      </c>
      <c r="L208" s="16" t="b">
        <v>0</v>
      </c>
    </row>
    <row r="209">
      <c r="A209" s="9"/>
      <c r="B209" s="16"/>
      <c r="C209" s="7" t="str">
        <f>IFERROR(VLOOKUP(B209,'Master data'!$A$1:$F$1000,2,FALSE),"")</f>
        <v/>
      </c>
      <c r="D209" s="7" t="str">
        <f>IFERROR(VLOOKUP(B209,'Master data'!$A$1:$F$1000,6,FALSE),"")</f>
        <v/>
      </c>
      <c r="F209" s="7" t="str">
        <f>IFERROR(VLOOKUP(B209,'Master data'!$A$1:$F$1000,3,FALSE),"")</f>
        <v/>
      </c>
      <c r="I209" s="16"/>
      <c r="J209" s="16"/>
      <c r="K209" s="16" t="b">
        <v>0</v>
      </c>
      <c r="L209" s="16" t="b">
        <v>0</v>
      </c>
    </row>
    <row r="210">
      <c r="A210" s="9"/>
      <c r="B210" s="16"/>
      <c r="C210" s="7" t="str">
        <f>IFERROR(VLOOKUP(B210,'Master data'!$A$1:$F$1000,2,FALSE),"")</f>
        <v/>
      </c>
      <c r="D210" s="7" t="str">
        <f>IFERROR(VLOOKUP(B210,'Master data'!$A$1:$F$1000,6,FALSE),"")</f>
        <v/>
      </c>
      <c r="F210" s="7" t="str">
        <f>IFERROR(VLOOKUP(B210,'Master data'!$A$1:$F$1000,3,FALSE),"")</f>
        <v/>
      </c>
      <c r="I210" s="16"/>
      <c r="J210" s="16"/>
      <c r="K210" s="16" t="b">
        <v>0</v>
      </c>
      <c r="L210" s="16" t="b">
        <v>0</v>
      </c>
    </row>
    <row r="211">
      <c r="A211" s="9"/>
      <c r="B211" s="16"/>
      <c r="C211" s="7" t="str">
        <f>IFERROR(VLOOKUP(B211,'Master data'!$A$1:$F$1000,2,FALSE),"")</f>
        <v/>
      </c>
      <c r="D211" s="7" t="str">
        <f>IFERROR(VLOOKUP(B211,'Master data'!$A$1:$F$1000,6,FALSE),"")</f>
        <v/>
      </c>
      <c r="F211" s="7" t="str">
        <f>IFERROR(VLOOKUP(B211,'Master data'!$A$1:$F$1000,3,FALSE),"")</f>
        <v/>
      </c>
      <c r="I211" s="16"/>
      <c r="J211" s="16"/>
      <c r="K211" s="16" t="b">
        <v>0</v>
      </c>
      <c r="L211" s="16" t="b">
        <v>0</v>
      </c>
    </row>
    <row r="212">
      <c r="A212" s="9"/>
      <c r="B212" s="16"/>
      <c r="C212" s="7" t="str">
        <f>IFERROR(VLOOKUP(B212,'Master data'!$A$1:$F$1000,2,FALSE),"")</f>
        <v/>
      </c>
      <c r="D212" s="7" t="str">
        <f>IFERROR(VLOOKUP(B212,'Master data'!$A$1:$F$1000,6,FALSE),"")</f>
        <v/>
      </c>
      <c r="F212" s="7" t="str">
        <f>IFERROR(VLOOKUP(B212,'Master data'!$A$1:$F$1000,3,FALSE),"")</f>
        <v/>
      </c>
      <c r="I212" s="16"/>
      <c r="J212" s="16"/>
      <c r="K212" s="16" t="b">
        <v>0</v>
      </c>
      <c r="L212" s="16" t="b">
        <v>0</v>
      </c>
    </row>
    <row r="213">
      <c r="A213" s="9"/>
      <c r="B213" s="16"/>
      <c r="C213" s="7" t="str">
        <f>IFERROR(VLOOKUP(B213,'Master data'!$A$1:$F$1000,2,FALSE),"")</f>
        <v/>
      </c>
      <c r="D213" s="7" t="str">
        <f>IFERROR(VLOOKUP(B213,'Master data'!$A$1:$F$1000,6,FALSE),"")</f>
        <v/>
      </c>
      <c r="F213" s="7" t="str">
        <f>IFERROR(VLOOKUP(B213,'Master data'!$A$1:$F$1000,3,FALSE),"")</f>
        <v/>
      </c>
      <c r="I213" s="16"/>
      <c r="J213" s="16"/>
      <c r="K213" s="16" t="b">
        <v>0</v>
      </c>
      <c r="L213" s="16" t="b">
        <v>0</v>
      </c>
    </row>
    <row r="214">
      <c r="A214" s="9"/>
      <c r="B214" s="16"/>
      <c r="C214" s="7" t="str">
        <f>IFERROR(VLOOKUP(B214,'Master data'!$A$1:$F$1000,2,FALSE),"")</f>
        <v/>
      </c>
      <c r="D214" s="7" t="str">
        <f>IFERROR(VLOOKUP(B214,'Master data'!$A$1:$F$1000,6,FALSE),"")</f>
        <v/>
      </c>
      <c r="F214" s="7" t="str">
        <f>IFERROR(VLOOKUP(B214,'Master data'!$A$1:$F$1000,3,FALSE),"")</f>
        <v/>
      </c>
      <c r="I214" s="16"/>
      <c r="J214" s="16"/>
      <c r="K214" s="16" t="b">
        <v>0</v>
      </c>
      <c r="L214" s="16" t="b">
        <v>0</v>
      </c>
    </row>
    <row r="215">
      <c r="A215" s="9"/>
      <c r="B215" s="16"/>
      <c r="C215" s="7" t="str">
        <f>IFERROR(VLOOKUP(B215,'Master data'!$A$1:$F$1000,2,FALSE),"")</f>
        <v/>
      </c>
      <c r="D215" s="7" t="str">
        <f>IFERROR(VLOOKUP(B215,'Master data'!$A$1:$F$1000,6,FALSE),"")</f>
        <v/>
      </c>
      <c r="F215" s="7" t="str">
        <f>IFERROR(VLOOKUP(B215,'Master data'!$A$1:$F$1000,3,FALSE),"")</f>
        <v/>
      </c>
      <c r="I215" s="16"/>
      <c r="J215" s="16"/>
      <c r="K215" s="16" t="b">
        <v>0</v>
      </c>
      <c r="L215" s="16" t="b">
        <v>0</v>
      </c>
    </row>
    <row r="216">
      <c r="A216" s="9"/>
      <c r="B216" s="16"/>
      <c r="C216" s="7" t="str">
        <f>IFERROR(VLOOKUP(B216,'Master data'!$A$1:$F$1000,2,FALSE),"")</f>
        <v/>
      </c>
      <c r="D216" s="7" t="str">
        <f>IFERROR(VLOOKUP(B216,'Master data'!$A$1:$F$1000,6,FALSE),"")</f>
        <v/>
      </c>
      <c r="F216" s="7" t="str">
        <f>IFERROR(VLOOKUP(B216,'Master data'!$A$1:$F$1000,3,FALSE),"")</f>
        <v/>
      </c>
      <c r="I216" s="16"/>
      <c r="J216" s="16"/>
      <c r="K216" s="16" t="b">
        <v>0</v>
      </c>
      <c r="L216" s="16" t="b">
        <v>0</v>
      </c>
    </row>
    <row r="217">
      <c r="A217" s="9"/>
      <c r="B217" s="16"/>
      <c r="C217" s="7" t="str">
        <f>IFERROR(VLOOKUP(B217,'Master data'!$A$1:$F$1000,2,FALSE),"")</f>
        <v/>
      </c>
      <c r="D217" s="7" t="str">
        <f>IFERROR(VLOOKUP(B217,'Master data'!$A$1:$F$1000,6,FALSE),"")</f>
        <v/>
      </c>
      <c r="F217" s="7" t="str">
        <f>IFERROR(VLOOKUP(B217,'Master data'!$A$1:$F$1000,3,FALSE),"")</f>
        <v/>
      </c>
      <c r="I217" s="16"/>
      <c r="J217" s="16"/>
      <c r="K217" s="16" t="b">
        <v>0</v>
      </c>
      <c r="L217" s="16" t="b">
        <v>0</v>
      </c>
    </row>
    <row r="218">
      <c r="A218" s="9"/>
      <c r="B218" s="16"/>
      <c r="C218" s="7" t="str">
        <f>IFERROR(VLOOKUP(B218,'Master data'!$A$1:$F$1000,2,FALSE),"")</f>
        <v/>
      </c>
      <c r="D218" s="7" t="str">
        <f>IFERROR(VLOOKUP(B218,'Master data'!$A$1:$F$1000,6,FALSE),"")</f>
        <v/>
      </c>
      <c r="F218" s="7" t="str">
        <f>IFERROR(VLOOKUP(B218,'Master data'!$A$1:$F$1000,3,FALSE),"")</f>
        <v/>
      </c>
      <c r="I218" s="16"/>
      <c r="J218" s="16"/>
      <c r="K218" s="16" t="b">
        <v>0</v>
      </c>
      <c r="L218" s="16" t="b">
        <v>0</v>
      </c>
    </row>
    <row r="219">
      <c r="A219" s="9"/>
      <c r="B219" s="16"/>
      <c r="C219" s="7" t="str">
        <f>IFERROR(VLOOKUP(B219,'Master data'!$A$1:$F$1000,2,FALSE),"")</f>
        <v/>
      </c>
      <c r="D219" s="7" t="str">
        <f>IFERROR(VLOOKUP(B219,'Master data'!$A$1:$F$1000,6,FALSE),"")</f>
        <v/>
      </c>
      <c r="F219" s="7" t="str">
        <f>IFERROR(VLOOKUP(B219,'Master data'!$A$1:$F$1000,3,FALSE),"")</f>
        <v/>
      </c>
      <c r="I219" s="16"/>
      <c r="J219" s="16"/>
      <c r="K219" s="16" t="b">
        <v>0</v>
      </c>
      <c r="L219" s="16" t="b">
        <v>0</v>
      </c>
    </row>
    <row r="220">
      <c r="A220" s="9"/>
      <c r="B220" s="16"/>
      <c r="C220" s="7" t="str">
        <f>IFERROR(VLOOKUP(B220,'Master data'!$A$1:$F$1000,2,FALSE),"")</f>
        <v/>
      </c>
      <c r="D220" s="7" t="str">
        <f>IFERROR(VLOOKUP(B220,'Master data'!$A$1:$F$1000,6,FALSE),"")</f>
        <v/>
      </c>
      <c r="F220" s="7" t="str">
        <f>IFERROR(VLOOKUP(B220,'Master data'!$A$1:$F$1000,3,FALSE),"")</f>
        <v/>
      </c>
      <c r="I220" s="16"/>
      <c r="J220" s="16"/>
      <c r="K220" s="16" t="b">
        <v>0</v>
      </c>
      <c r="L220" s="16" t="b">
        <v>0</v>
      </c>
    </row>
    <row r="221">
      <c r="A221" s="9"/>
      <c r="B221" s="16"/>
      <c r="C221" s="7" t="str">
        <f>IFERROR(VLOOKUP(B221,'Master data'!$A$1:$F$1000,2,FALSE),"")</f>
        <v/>
      </c>
      <c r="D221" s="7" t="str">
        <f>IFERROR(VLOOKUP(B221,'Master data'!$A$1:$F$1000,6,FALSE),"")</f>
        <v/>
      </c>
      <c r="F221" s="7" t="str">
        <f>IFERROR(VLOOKUP(B221,'Master data'!$A$1:$F$1000,3,FALSE),"")</f>
        <v/>
      </c>
      <c r="I221" s="16"/>
      <c r="J221" s="16"/>
      <c r="K221" s="16" t="b">
        <v>0</v>
      </c>
      <c r="L221" s="16" t="b">
        <v>0</v>
      </c>
    </row>
    <row r="222">
      <c r="A222" s="9"/>
      <c r="B222" s="16"/>
      <c r="C222" s="7" t="str">
        <f>IFERROR(VLOOKUP(B222,'Master data'!$A$1:$F$1000,2,FALSE),"")</f>
        <v/>
      </c>
      <c r="D222" s="7" t="str">
        <f>IFERROR(VLOOKUP(B222,'Master data'!$A$1:$F$1000,6,FALSE),"")</f>
        <v/>
      </c>
      <c r="F222" s="7" t="str">
        <f>IFERROR(VLOOKUP(B222,'Master data'!$A$1:$F$1000,3,FALSE),"")</f>
        <v/>
      </c>
      <c r="I222" s="16"/>
      <c r="J222" s="16"/>
      <c r="K222" s="16" t="b">
        <v>0</v>
      </c>
      <c r="L222" s="16" t="b">
        <v>0</v>
      </c>
    </row>
    <row r="223">
      <c r="A223" s="9"/>
      <c r="B223" s="16"/>
      <c r="C223" s="7" t="str">
        <f>IFERROR(VLOOKUP(B223,'Master data'!$A$1:$F$1000,2,FALSE),"")</f>
        <v/>
      </c>
      <c r="D223" s="7" t="str">
        <f>IFERROR(VLOOKUP(B223,'Master data'!$A$1:$F$1000,6,FALSE),"")</f>
        <v/>
      </c>
      <c r="F223" s="7" t="str">
        <f>IFERROR(VLOOKUP(B223,'Master data'!$A$1:$F$1000,3,FALSE),"")</f>
        <v/>
      </c>
      <c r="I223" s="16"/>
      <c r="J223" s="16"/>
      <c r="K223" s="16" t="b">
        <v>0</v>
      </c>
      <c r="L223" s="16" t="b">
        <v>0</v>
      </c>
    </row>
    <row r="224">
      <c r="A224" s="9"/>
      <c r="B224" s="16"/>
      <c r="C224" s="7" t="str">
        <f>IFERROR(VLOOKUP(B224,'Master data'!$A$1:$F$1000,2,FALSE),"")</f>
        <v/>
      </c>
      <c r="D224" s="7" t="str">
        <f>IFERROR(VLOOKUP(B224,'Master data'!$A$1:$F$1000,6,FALSE),"")</f>
        <v/>
      </c>
      <c r="F224" s="7" t="str">
        <f>IFERROR(VLOOKUP(B224,'Master data'!$A$1:$F$1000,3,FALSE),"")</f>
        <v/>
      </c>
      <c r="I224" s="16"/>
      <c r="J224" s="16"/>
      <c r="K224" s="16" t="b">
        <v>0</v>
      </c>
      <c r="L224" s="16" t="b">
        <v>0</v>
      </c>
    </row>
    <row r="225">
      <c r="A225" s="9"/>
      <c r="B225" s="16"/>
      <c r="C225" s="7" t="str">
        <f>IFERROR(VLOOKUP(B225,'Master data'!$A$1:$F$1000,2,FALSE),"")</f>
        <v/>
      </c>
      <c r="D225" s="7" t="str">
        <f>IFERROR(VLOOKUP(B225,'Master data'!$A$1:$F$1000,6,FALSE),"")</f>
        <v/>
      </c>
      <c r="F225" s="7" t="str">
        <f>IFERROR(VLOOKUP(B225,'Master data'!$A$1:$F$1000,3,FALSE),"")</f>
        <v/>
      </c>
      <c r="I225" s="16"/>
      <c r="J225" s="16"/>
      <c r="K225" s="16" t="b">
        <v>0</v>
      </c>
      <c r="L225" s="16" t="b">
        <v>0</v>
      </c>
    </row>
    <row r="226">
      <c r="A226" s="9"/>
      <c r="B226" s="16"/>
      <c r="C226" s="7" t="str">
        <f>IFERROR(VLOOKUP(B226,'Master data'!$A$1:$F$1000,2,FALSE),"")</f>
        <v/>
      </c>
      <c r="D226" s="7" t="str">
        <f>IFERROR(VLOOKUP(B226,'Master data'!$A$1:$F$1000,6,FALSE),"")</f>
        <v/>
      </c>
      <c r="F226" s="7" t="str">
        <f>IFERROR(VLOOKUP(B226,'Master data'!$A$1:$F$1000,3,FALSE),"")</f>
        <v/>
      </c>
      <c r="I226" s="16"/>
      <c r="J226" s="16"/>
      <c r="K226" s="16" t="b">
        <v>0</v>
      </c>
      <c r="L226" s="16" t="b">
        <v>0</v>
      </c>
    </row>
    <row r="227">
      <c r="A227" s="9"/>
      <c r="B227" s="16"/>
      <c r="C227" s="7" t="str">
        <f>IFERROR(VLOOKUP(B227,'Master data'!$A$1:$F$1000,2,FALSE),"")</f>
        <v/>
      </c>
      <c r="D227" s="7" t="str">
        <f>IFERROR(VLOOKUP(B227,'Master data'!$A$1:$F$1000,6,FALSE),"")</f>
        <v/>
      </c>
      <c r="F227" s="7" t="str">
        <f>IFERROR(VLOOKUP(B227,'Master data'!$A$1:$F$1000,3,FALSE),"")</f>
        <v/>
      </c>
      <c r="I227" s="16"/>
      <c r="J227" s="16"/>
      <c r="K227" s="16" t="b">
        <v>0</v>
      </c>
      <c r="L227" s="16" t="b">
        <v>0</v>
      </c>
    </row>
    <row r="228">
      <c r="A228" s="9"/>
      <c r="B228" s="16"/>
      <c r="C228" s="7" t="str">
        <f>IFERROR(VLOOKUP(B228,'Master data'!$A$1:$F$1000,2,FALSE),"")</f>
        <v/>
      </c>
      <c r="D228" s="7" t="str">
        <f>IFERROR(VLOOKUP(B228,'Master data'!$A$1:$F$1000,6,FALSE),"")</f>
        <v/>
      </c>
      <c r="F228" s="7" t="str">
        <f>IFERROR(VLOOKUP(B228,'Master data'!$A$1:$F$1000,3,FALSE),"")</f>
        <v/>
      </c>
      <c r="I228" s="16"/>
      <c r="J228" s="16"/>
      <c r="K228" s="16" t="b">
        <v>0</v>
      </c>
      <c r="L228" s="16" t="b">
        <v>0</v>
      </c>
    </row>
    <row r="229">
      <c r="A229" s="9"/>
      <c r="B229" s="16"/>
      <c r="C229" s="7" t="str">
        <f>IFERROR(VLOOKUP(B229,'Master data'!$A$1:$F$1000,2,FALSE),"")</f>
        <v/>
      </c>
      <c r="D229" s="7" t="str">
        <f>IFERROR(VLOOKUP(B229,'Master data'!$A$1:$F$1000,6,FALSE),"")</f>
        <v/>
      </c>
      <c r="F229" s="7" t="str">
        <f>IFERROR(VLOOKUP(B229,'Master data'!$A$1:$F$1000,3,FALSE),"")</f>
        <v/>
      </c>
      <c r="I229" s="16"/>
      <c r="J229" s="16"/>
      <c r="K229" s="16" t="b">
        <v>0</v>
      </c>
      <c r="L229" s="16" t="b">
        <v>0</v>
      </c>
    </row>
    <row r="230">
      <c r="A230" s="9"/>
      <c r="B230" s="16"/>
      <c r="C230" s="7" t="str">
        <f>IFERROR(VLOOKUP(B230,'Master data'!$A$1:$F$1000,2,FALSE),"")</f>
        <v/>
      </c>
      <c r="D230" s="7" t="str">
        <f>IFERROR(VLOOKUP(B230,'Master data'!$A$1:$F$1000,6,FALSE),"")</f>
        <v/>
      </c>
      <c r="F230" s="7" t="str">
        <f>IFERROR(VLOOKUP(B230,'Master data'!$A$1:$F$1000,3,FALSE),"")</f>
        <v/>
      </c>
      <c r="I230" s="16"/>
      <c r="J230" s="16"/>
      <c r="K230" s="16" t="b">
        <v>0</v>
      </c>
      <c r="L230" s="16" t="b">
        <v>0</v>
      </c>
    </row>
    <row r="231">
      <c r="A231" s="9"/>
      <c r="B231" s="16"/>
      <c r="C231" s="7" t="str">
        <f>IFERROR(VLOOKUP(B231,'Master data'!$A$1:$F$1000,2,FALSE),"")</f>
        <v/>
      </c>
      <c r="D231" s="7" t="str">
        <f>IFERROR(VLOOKUP(B231,'Master data'!$A$1:$F$1000,6,FALSE),"")</f>
        <v/>
      </c>
      <c r="F231" s="7" t="str">
        <f>IFERROR(VLOOKUP(B231,'Master data'!$A$1:$F$1000,3,FALSE),"")</f>
        <v/>
      </c>
      <c r="I231" s="16"/>
      <c r="J231" s="16"/>
      <c r="K231" s="16" t="b">
        <v>0</v>
      </c>
      <c r="L231" s="16" t="b">
        <v>0</v>
      </c>
    </row>
    <row r="232">
      <c r="A232" s="9"/>
      <c r="B232" s="16"/>
      <c r="C232" s="7" t="str">
        <f>IFERROR(VLOOKUP(B232,'Master data'!$A$1:$F$1000,2,FALSE),"")</f>
        <v/>
      </c>
      <c r="D232" s="7" t="str">
        <f>IFERROR(VLOOKUP(B232,'Master data'!$A$1:$F$1000,6,FALSE),"")</f>
        <v/>
      </c>
      <c r="F232" s="7" t="str">
        <f>IFERROR(VLOOKUP(B232,'Master data'!$A$1:$F$1000,3,FALSE),"")</f>
        <v/>
      </c>
      <c r="I232" s="16"/>
      <c r="J232" s="16"/>
      <c r="K232" s="16" t="b">
        <v>0</v>
      </c>
      <c r="L232" s="16" t="b">
        <v>0</v>
      </c>
    </row>
    <row r="233">
      <c r="A233" s="9"/>
      <c r="B233" s="16"/>
      <c r="C233" s="7" t="str">
        <f>IFERROR(VLOOKUP(B233,'Master data'!$A$1:$F$1000,2,FALSE),"")</f>
        <v/>
      </c>
      <c r="D233" s="7" t="str">
        <f>IFERROR(VLOOKUP(B233,'Master data'!$A$1:$F$1000,6,FALSE),"")</f>
        <v/>
      </c>
      <c r="F233" s="7" t="str">
        <f>IFERROR(VLOOKUP(B233,'Master data'!$A$1:$F$1000,3,FALSE),"")</f>
        <v/>
      </c>
      <c r="I233" s="16"/>
      <c r="J233" s="16"/>
      <c r="K233" s="16" t="b">
        <v>0</v>
      </c>
      <c r="L233" s="16" t="b">
        <v>0</v>
      </c>
    </row>
    <row r="234">
      <c r="A234" s="9"/>
      <c r="B234" s="16"/>
      <c r="C234" s="7" t="str">
        <f>IFERROR(VLOOKUP(B234,'Master data'!$A$1:$F$1000,2,FALSE),"")</f>
        <v/>
      </c>
      <c r="D234" s="7" t="str">
        <f>IFERROR(VLOOKUP(B234,'Master data'!$A$1:$F$1000,6,FALSE),"")</f>
        <v/>
      </c>
      <c r="F234" s="7" t="str">
        <f>IFERROR(VLOOKUP(B234,'Master data'!$A$1:$F$1000,3,FALSE),"")</f>
        <v/>
      </c>
      <c r="I234" s="16"/>
      <c r="J234" s="16"/>
      <c r="K234" s="16" t="b">
        <v>0</v>
      </c>
      <c r="L234" s="16" t="b">
        <v>0</v>
      </c>
    </row>
    <row r="235">
      <c r="A235" s="9"/>
      <c r="B235" s="16"/>
      <c r="C235" s="7" t="str">
        <f>IFERROR(VLOOKUP(B235,'Master data'!$A$1:$F$1000,2,FALSE),"")</f>
        <v/>
      </c>
      <c r="D235" s="7" t="str">
        <f>IFERROR(VLOOKUP(B235,'Master data'!$A$1:$F$1000,6,FALSE),"")</f>
        <v/>
      </c>
      <c r="F235" s="7" t="str">
        <f>IFERROR(VLOOKUP(B235,'Master data'!$A$1:$F$1000,3,FALSE),"")</f>
        <v/>
      </c>
      <c r="I235" s="16"/>
      <c r="J235" s="16"/>
      <c r="K235" s="16" t="b">
        <v>0</v>
      </c>
      <c r="L235" s="16" t="b">
        <v>0</v>
      </c>
    </row>
    <row r="236">
      <c r="A236" s="9"/>
      <c r="B236" s="16"/>
      <c r="C236" s="7" t="str">
        <f>IFERROR(VLOOKUP(B236,'Master data'!$A$1:$F$1000,2,FALSE),"")</f>
        <v/>
      </c>
      <c r="D236" s="7" t="str">
        <f>IFERROR(VLOOKUP(B236,'Master data'!$A$1:$F$1000,6,FALSE),"")</f>
        <v/>
      </c>
      <c r="F236" s="7" t="str">
        <f>IFERROR(VLOOKUP(B236,'Master data'!$A$1:$F$1000,3,FALSE),"")</f>
        <v/>
      </c>
      <c r="I236" s="16"/>
      <c r="J236" s="16"/>
      <c r="K236" s="16" t="b">
        <v>0</v>
      </c>
      <c r="L236" s="16" t="b">
        <v>0</v>
      </c>
    </row>
    <row r="237">
      <c r="A237" s="9"/>
      <c r="B237" s="16"/>
      <c r="C237" s="7" t="str">
        <f>IFERROR(VLOOKUP(B237,'Master data'!$A$1:$F$1000,2,FALSE),"")</f>
        <v/>
      </c>
      <c r="D237" s="7" t="str">
        <f>IFERROR(VLOOKUP(B237,'Master data'!$A$1:$F$1000,6,FALSE),"")</f>
        <v/>
      </c>
      <c r="F237" s="7" t="str">
        <f>IFERROR(VLOOKUP(B237,'Master data'!$A$1:$F$1000,3,FALSE),"")</f>
        <v/>
      </c>
      <c r="I237" s="16"/>
      <c r="J237" s="16"/>
      <c r="K237" s="16" t="b">
        <v>0</v>
      </c>
      <c r="L237" s="16" t="b">
        <v>0</v>
      </c>
    </row>
    <row r="238">
      <c r="A238" s="9"/>
      <c r="B238" s="16"/>
      <c r="C238" s="7" t="str">
        <f>IFERROR(VLOOKUP(B238,'Master data'!$A$1:$F$1000,2,FALSE),"")</f>
        <v/>
      </c>
      <c r="D238" s="7" t="str">
        <f>IFERROR(VLOOKUP(B238,'Master data'!$A$1:$F$1000,6,FALSE),"")</f>
        <v/>
      </c>
      <c r="F238" s="7" t="str">
        <f>IFERROR(VLOOKUP(B238,'Master data'!$A$1:$F$1000,3,FALSE),"")</f>
        <v/>
      </c>
      <c r="I238" s="16"/>
      <c r="J238" s="16"/>
      <c r="K238" s="16" t="b">
        <v>0</v>
      </c>
      <c r="L238" s="16" t="b">
        <v>0</v>
      </c>
    </row>
    <row r="239">
      <c r="A239" s="9"/>
      <c r="B239" s="16"/>
      <c r="C239" s="7" t="str">
        <f>IFERROR(VLOOKUP(B239,'Master data'!$A$1:$F$1000,2,FALSE),"")</f>
        <v/>
      </c>
      <c r="D239" s="7" t="str">
        <f>IFERROR(VLOOKUP(B239,'Master data'!$A$1:$F$1000,6,FALSE),"")</f>
        <v/>
      </c>
      <c r="F239" s="7" t="str">
        <f>IFERROR(VLOOKUP(B239,'Master data'!$A$1:$F$1000,3,FALSE),"")</f>
        <v/>
      </c>
      <c r="I239" s="16"/>
      <c r="J239" s="16"/>
      <c r="K239" s="16" t="b">
        <v>0</v>
      </c>
      <c r="L239" s="16" t="b">
        <v>0</v>
      </c>
    </row>
    <row r="240">
      <c r="A240" s="9"/>
      <c r="B240" s="16"/>
      <c r="C240" s="7" t="str">
        <f>IFERROR(VLOOKUP(B240,'Master data'!$A$1:$F$1000,2,FALSE),"")</f>
        <v/>
      </c>
      <c r="D240" s="7" t="str">
        <f>IFERROR(VLOOKUP(B240,'Master data'!$A$1:$F$1000,6,FALSE),"")</f>
        <v/>
      </c>
      <c r="F240" s="7" t="str">
        <f>IFERROR(VLOOKUP(B240,'Master data'!$A$1:$F$1000,3,FALSE),"")</f>
        <v/>
      </c>
      <c r="I240" s="16"/>
      <c r="J240" s="16"/>
      <c r="K240" s="16" t="b">
        <v>0</v>
      </c>
      <c r="L240" s="16" t="b">
        <v>0</v>
      </c>
    </row>
    <row r="241">
      <c r="A241" s="9"/>
      <c r="B241" s="16"/>
      <c r="C241" s="7" t="str">
        <f>IFERROR(VLOOKUP(B241,'Master data'!$A$1:$F$1000,2,FALSE),"")</f>
        <v/>
      </c>
      <c r="D241" s="7" t="str">
        <f>IFERROR(VLOOKUP(B241,'Master data'!$A$1:$F$1000,6,FALSE),"")</f>
        <v/>
      </c>
      <c r="F241" s="7" t="str">
        <f>IFERROR(VLOOKUP(B241,'Master data'!$A$1:$F$1000,3,FALSE),"")</f>
        <v/>
      </c>
      <c r="I241" s="16"/>
      <c r="J241" s="16"/>
      <c r="K241" s="16" t="b">
        <v>0</v>
      </c>
      <c r="L241" s="16" t="b">
        <v>0</v>
      </c>
    </row>
    <row r="242">
      <c r="A242" s="9"/>
      <c r="B242" s="16"/>
      <c r="C242" s="7" t="str">
        <f>IFERROR(VLOOKUP(B242,'Master data'!$A$1:$F$1000,2,FALSE),"")</f>
        <v/>
      </c>
      <c r="D242" s="7" t="str">
        <f>IFERROR(VLOOKUP(B242,'Master data'!$A$1:$F$1000,6,FALSE),"")</f>
        <v/>
      </c>
      <c r="F242" s="7" t="str">
        <f>IFERROR(VLOOKUP(B242,'Master data'!$A$1:$F$1000,3,FALSE),"")</f>
        <v/>
      </c>
      <c r="I242" s="16"/>
      <c r="J242" s="16"/>
      <c r="K242" s="16" t="b">
        <v>0</v>
      </c>
      <c r="L242" s="16" t="b">
        <v>0</v>
      </c>
    </row>
    <row r="243">
      <c r="A243" s="9"/>
      <c r="B243" s="16"/>
      <c r="C243" s="7" t="str">
        <f>IFERROR(VLOOKUP(B243,'Master data'!$A$1:$F$1000,2,FALSE),"")</f>
        <v/>
      </c>
      <c r="D243" s="7" t="str">
        <f>IFERROR(VLOOKUP(B243,'Master data'!$A$1:$F$1000,6,FALSE),"")</f>
        <v/>
      </c>
      <c r="F243" s="7" t="str">
        <f>IFERROR(VLOOKUP(B243,'Master data'!$A$1:$F$1000,3,FALSE),"")</f>
        <v/>
      </c>
      <c r="I243" s="16"/>
      <c r="J243" s="16"/>
      <c r="K243" s="16" t="b">
        <v>0</v>
      </c>
      <c r="L243" s="16" t="b">
        <v>0</v>
      </c>
    </row>
    <row r="244">
      <c r="A244" s="9"/>
      <c r="B244" s="16"/>
      <c r="C244" s="7" t="str">
        <f>IFERROR(VLOOKUP(B244,'Master data'!$A$1:$F$1000,2,FALSE),"")</f>
        <v/>
      </c>
      <c r="D244" s="7" t="str">
        <f>IFERROR(VLOOKUP(B244,'Master data'!$A$1:$F$1000,6,FALSE),"")</f>
        <v/>
      </c>
      <c r="F244" s="7" t="str">
        <f>IFERROR(VLOOKUP(B244,'Master data'!$A$1:$F$1000,3,FALSE),"")</f>
        <v/>
      </c>
      <c r="I244" s="16"/>
      <c r="J244" s="16"/>
      <c r="K244" s="16" t="b">
        <v>0</v>
      </c>
      <c r="L244" s="16" t="b">
        <v>0</v>
      </c>
    </row>
    <row r="245">
      <c r="A245" s="9"/>
      <c r="B245" s="16"/>
      <c r="C245" s="7" t="str">
        <f>IFERROR(VLOOKUP(B245,'Master data'!$A$1:$F$1000,2,FALSE),"")</f>
        <v/>
      </c>
      <c r="D245" s="7" t="str">
        <f>IFERROR(VLOOKUP(B245,'Master data'!$A$1:$F$1000,6,FALSE),"")</f>
        <v/>
      </c>
      <c r="F245" s="7" t="str">
        <f>IFERROR(VLOOKUP(B245,'Master data'!$A$1:$F$1000,3,FALSE),"")</f>
        <v/>
      </c>
      <c r="I245" s="16"/>
      <c r="J245" s="16"/>
      <c r="K245" s="16" t="b">
        <v>0</v>
      </c>
      <c r="L245" s="16" t="b">
        <v>0</v>
      </c>
    </row>
    <row r="246">
      <c r="A246" s="9"/>
      <c r="B246" s="16"/>
      <c r="C246" s="7" t="str">
        <f>IFERROR(VLOOKUP(B246,'Master data'!$A$1:$F$1000,2,FALSE),"")</f>
        <v/>
      </c>
      <c r="D246" s="7" t="str">
        <f>IFERROR(VLOOKUP(B246,'Master data'!$A$1:$F$1000,6,FALSE),"")</f>
        <v/>
      </c>
      <c r="F246" s="7" t="str">
        <f>IFERROR(VLOOKUP(B246,'Master data'!$A$1:$F$1000,3,FALSE),"")</f>
        <v/>
      </c>
      <c r="I246" s="16"/>
      <c r="J246" s="16"/>
      <c r="K246" s="16" t="b">
        <v>0</v>
      </c>
      <c r="L246" s="16" t="b">
        <v>0</v>
      </c>
    </row>
    <row r="247">
      <c r="A247" s="9"/>
      <c r="B247" s="16"/>
      <c r="C247" s="7" t="str">
        <f>IFERROR(VLOOKUP(B247,'Master data'!$A$1:$F$1000,2,FALSE),"")</f>
        <v/>
      </c>
      <c r="D247" s="7" t="str">
        <f>IFERROR(VLOOKUP(B247,'Master data'!$A$1:$F$1000,6,FALSE),"")</f>
        <v/>
      </c>
      <c r="F247" s="7" t="str">
        <f>IFERROR(VLOOKUP(B247,'Master data'!$A$1:$F$1000,3,FALSE),"")</f>
        <v/>
      </c>
      <c r="I247" s="16"/>
      <c r="J247" s="16"/>
      <c r="K247" s="16" t="b">
        <v>0</v>
      </c>
      <c r="L247" s="16" t="b">
        <v>0</v>
      </c>
    </row>
    <row r="248">
      <c r="A248" s="9"/>
      <c r="B248" s="16"/>
      <c r="C248" s="7" t="str">
        <f>IFERROR(VLOOKUP(B248,'Master data'!$A$1:$F$1000,2,FALSE),"")</f>
        <v/>
      </c>
      <c r="D248" s="7" t="str">
        <f>IFERROR(VLOOKUP(B248,'Master data'!$A$1:$F$1000,6,FALSE),"")</f>
        <v/>
      </c>
      <c r="F248" s="7" t="str">
        <f>IFERROR(VLOOKUP(B248,'Master data'!$A$1:$F$1000,3,FALSE),"")</f>
        <v/>
      </c>
      <c r="I248" s="16"/>
      <c r="J248" s="16"/>
      <c r="K248" s="16" t="b">
        <v>0</v>
      </c>
      <c r="L248" s="16" t="b">
        <v>0</v>
      </c>
    </row>
    <row r="249">
      <c r="A249" s="9"/>
      <c r="B249" s="16"/>
      <c r="C249" s="7" t="str">
        <f>IFERROR(VLOOKUP(B249,'Master data'!$A$1:$F$1000,2,FALSE),"")</f>
        <v/>
      </c>
      <c r="D249" s="7" t="str">
        <f>IFERROR(VLOOKUP(B249,'Master data'!$A$1:$F$1000,6,FALSE),"")</f>
        <v/>
      </c>
      <c r="F249" s="7" t="str">
        <f>IFERROR(VLOOKUP(B249,'Master data'!$A$1:$F$1000,3,FALSE),"")</f>
        <v/>
      </c>
      <c r="I249" s="16"/>
      <c r="J249" s="16"/>
      <c r="K249" s="16" t="b">
        <v>0</v>
      </c>
      <c r="L249" s="16" t="b">
        <v>0</v>
      </c>
    </row>
    <row r="250">
      <c r="A250" s="9"/>
      <c r="B250" s="16"/>
      <c r="C250" s="7" t="str">
        <f>IFERROR(VLOOKUP(B250,'Master data'!$A$1:$F$1000,2,FALSE),"")</f>
        <v/>
      </c>
      <c r="D250" s="7" t="str">
        <f>IFERROR(VLOOKUP(B250,'Master data'!$A$1:$F$1000,6,FALSE),"")</f>
        <v/>
      </c>
      <c r="F250" s="7" t="str">
        <f>IFERROR(VLOOKUP(B250,'Master data'!$A$1:$F$1000,3,FALSE),"")</f>
        <v/>
      </c>
      <c r="I250" s="16"/>
      <c r="J250" s="16"/>
      <c r="K250" s="16" t="b">
        <v>0</v>
      </c>
      <c r="L250" s="16" t="b">
        <v>0</v>
      </c>
    </row>
    <row r="251">
      <c r="A251" s="9"/>
      <c r="B251" s="16"/>
      <c r="C251" s="7" t="str">
        <f>IFERROR(VLOOKUP(B251,'Master data'!$A$1:$F$1000,2,FALSE),"")</f>
        <v/>
      </c>
      <c r="D251" s="7" t="str">
        <f>IFERROR(VLOOKUP(B251,'Master data'!$A$1:$F$1000,6,FALSE),"")</f>
        <v/>
      </c>
      <c r="F251" s="7" t="str">
        <f>IFERROR(VLOOKUP(B251,'Master data'!$A$1:$F$1000,3,FALSE),"")</f>
        <v/>
      </c>
      <c r="I251" s="16"/>
      <c r="J251" s="16"/>
      <c r="K251" s="16" t="b">
        <v>0</v>
      </c>
      <c r="L251" s="16" t="b">
        <v>0</v>
      </c>
    </row>
    <row r="252">
      <c r="A252" s="9"/>
      <c r="B252" s="16"/>
      <c r="C252" s="7" t="str">
        <f>IFERROR(VLOOKUP(B252,'Master data'!$A$1:$F$1000,2,FALSE),"")</f>
        <v/>
      </c>
      <c r="D252" s="7" t="str">
        <f>IFERROR(VLOOKUP(B252,'Master data'!$A$1:$F$1000,6,FALSE),"")</f>
        <v/>
      </c>
      <c r="F252" s="7" t="str">
        <f>IFERROR(VLOOKUP(B252,'Master data'!$A$1:$F$1000,3,FALSE),"")</f>
        <v/>
      </c>
      <c r="I252" s="16"/>
      <c r="J252" s="16"/>
      <c r="K252" s="16" t="b">
        <v>0</v>
      </c>
      <c r="L252" s="16" t="b">
        <v>0</v>
      </c>
    </row>
    <row r="253">
      <c r="A253" s="9"/>
      <c r="B253" s="16"/>
      <c r="C253" s="7" t="str">
        <f>IFERROR(VLOOKUP(B253,'Master data'!$A$1:$F$1000,2,FALSE),"")</f>
        <v/>
      </c>
      <c r="D253" s="7" t="str">
        <f>IFERROR(VLOOKUP(B253,'Master data'!$A$1:$F$1000,6,FALSE),"")</f>
        <v/>
      </c>
      <c r="F253" s="7" t="str">
        <f>IFERROR(VLOOKUP(B253,'Master data'!$A$1:$F$1000,3,FALSE),"")</f>
        <v/>
      </c>
      <c r="I253" s="16"/>
      <c r="J253" s="16"/>
      <c r="K253" s="16" t="b">
        <v>0</v>
      </c>
      <c r="L253" s="16" t="b">
        <v>0</v>
      </c>
    </row>
    <row r="254">
      <c r="A254" s="9"/>
      <c r="B254" s="16"/>
      <c r="C254" s="7" t="str">
        <f>IFERROR(VLOOKUP(B254,'Master data'!$A$1:$F$1000,2,FALSE),"")</f>
        <v/>
      </c>
      <c r="D254" s="7" t="str">
        <f>IFERROR(VLOOKUP(B254,'Master data'!$A$1:$F$1000,6,FALSE),"")</f>
        <v/>
      </c>
      <c r="F254" s="7" t="str">
        <f>IFERROR(VLOOKUP(B254,'Master data'!$A$1:$F$1000,3,FALSE),"")</f>
        <v/>
      </c>
      <c r="I254" s="16"/>
      <c r="J254" s="16"/>
      <c r="K254" s="16" t="b">
        <v>0</v>
      </c>
      <c r="L254" s="16" t="b">
        <v>0</v>
      </c>
    </row>
    <row r="255">
      <c r="A255" s="9"/>
      <c r="B255" s="16"/>
      <c r="C255" s="7" t="str">
        <f>IFERROR(VLOOKUP(B255,'Master data'!$A$1:$F$1000,2,FALSE),"")</f>
        <v/>
      </c>
      <c r="D255" s="7" t="str">
        <f>IFERROR(VLOOKUP(B255,'Master data'!$A$1:$F$1000,6,FALSE),"")</f>
        <v/>
      </c>
      <c r="F255" s="7" t="str">
        <f>IFERROR(VLOOKUP(B255,'Master data'!$A$1:$F$1000,3,FALSE),"")</f>
        <v/>
      </c>
      <c r="I255" s="16"/>
      <c r="J255" s="16"/>
      <c r="K255" s="16" t="b">
        <v>0</v>
      </c>
      <c r="L255" s="16" t="b">
        <v>0</v>
      </c>
    </row>
    <row r="256">
      <c r="A256" s="9"/>
      <c r="B256" s="16"/>
      <c r="C256" s="7" t="str">
        <f>IFERROR(VLOOKUP(B256,'Master data'!$A$1:$F$1000,2,FALSE),"")</f>
        <v/>
      </c>
      <c r="D256" s="7" t="str">
        <f>IFERROR(VLOOKUP(B256,'Master data'!$A$1:$F$1000,6,FALSE),"")</f>
        <v/>
      </c>
      <c r="F256" s="7" t="str">
        <f>IFERROR(VLOOKUP(B256,'Master data'!$A$1:$F$1000,3,FALSE),"")</f>
        <v/>
      </c>
      <c r="I256" s="16"/>
      <c r="J256" s="16"/>
      <c r="K256" s="16" t="b">
        <v>0</v>
      </c>
      <c r="L256" s="16" t="b">
        <v>0</v>
      </c>
    </row>
    <row r="257">
      <c r="A257" s="9"/>
      <c r="B257" s="16"/>
      <c r="C257" s="7" t="str">
        <f>IFERROR(VLOOKUP(B257,'Master data'!$A$1:$F$1000,2,FALSE),"")</f>
        <v/>
      </c>
      <c r="D257" s="7" t="str">
        <f>IFERROR(VLOOKUP(B257,'Master data'!$A$1:$F$1000,6,FALSE),"")</f>
        <v/>
      </c>
      <c r="F257" s="7" t="str">
        <f>IFERROR(VLOOKUP(B257,'Master data'!$A$1:$F$1000,3,FALSE),"")</f>
        <v/>
      </c>
      <c r="I257" s="16"/>
      <c r="J257" s="16"/>
      <c r="K257" s="16" t="b">
        <v>0</v>
      </c>
      <c r="L257" s="16" t="b">
        <v>0</v>
      </c>
    </row>
    <row r="258">
      <c r="A258" s="9"/>
      <c r="B258" s="16"/>
      <c r="C258" s="7" t="str">
        <f>IFERROR(VLOOKUP(B258,'Master data'!$A$1:$F$1000,2,FALSE),"")</f>
        <v/>
      </c>
      <c r="D258" s="7" t="str">
        <f>IFERROR(VLOOKUP(B258,'Master data'!$A$1:$F$1000,6,FALSE),"")</f>
        <v/>
      </c>
      <c r="F258" s="7" t="str">
        <f>IFERROR(VLOOKUP(B258,'Master data'!$A$1:$F$1000,3,FALSE),"")</f>
        <v/>
      </c>
      <c r="I258" s="16"/>
      <c r="J258" s="16"/>
      <c r="K258" s="16" t="b">
        <v>0</v>
      </c>
      <c r="L258" s="16" t="b">
        <v>0</v>
      </c>
    </row>
    <row r="259">
      <c r="A259" s="9"/>
      <c r="B259" s="16"/>
      <c r="C259" s="7" t="str">
        <f>IFERROR(VLOOKUP(B259,'Master data'!$A$1:$F$1000,2,FALSE),"")</f>
        <v/>
      </c>
      <c r="D259" s="7" t="str">
        <f>IFERROR(VLOOKUP(B259,'Master data'!$A$1:$F$1000,6,FALSE),"")</f>
        <v/>
      </c>
      <c r="F259" s="7" t="str">
        <f>IFERROR(VLOOKUP(B259,'Master data'!$A$1:$F$1000,3,FALSE),"")</f>
        <v/>
      </c>
      <c r="I259" s="16"/>
      <c r="J259" s="16"/>
      <c r="K259" s="16" t="b">
        <v>0</v>
      </c>
      <c r="L259" s="16" t="b">
        <v>0</v>
      </c>
    </row>
    <row r="260">
      <c r="A260" s="9"/>
      <c r="B260" s="16"/>
      <c r="C260" s="7" t="str">
        <f>IFERROR(VLOOKUP(B260,'Master data'!$A$1:$F$1000,2,FALSE),"")</f>
        <v/>
      </c>
      <c r="D260" s="7" t="str">
        <f>IFERROR(VLOOKUP(B260,'Master data'!$A$1:$F$1000,6,FALSE),"")</f>
        <v/>
      </c>
      <c r="F260" s="7" t="str">
        <f>IFERROR(VLOOKUP(B260,'Master data'!$A$1:$F$1000,3,FALSE),"")</f>
        <v/>
      </c>
      <c r="I260" s="16"/>
      <c r="J260" s="16"/>
      <c r="K260" s="16" t="b">
        <v>0</v>
      </c>
      <c r="L260" s="16" t="b">
        <v>0</v>
      </c>
    </row>
    <row r="261">
      <c r="A261" s="9"/>
      <c r="B261" s="16"/>
      <c r="C261" s="7" t="str">
        <f>IFERROR(VLOOKUP(B261,'Master data'!$A$1:$F$1000,2,FALSE),"")</f>
        <v/>
      </c>
      <c r="D261" s="7" t="str">
        <f>IFERROR(VLOOKUP(B261,'Master data'!$A$1:$F$1000,6,FALSE),"")</f>
        <v/>
      </c>
      <c r="F261" s="7" t="str">
        <f>IFERROR(VLOOKUP(B261,'Master data'!$A$1:$F$1000,3,FALSE),"")</f>
        <v/>
      </c>
      <c r="I261" s="16"/>
      <c r="J261" s="16"/>
      <c r="K261" s="16" t="b">
        <v>0</v>
      </c>
      <c r="L261" s="16" t="b">
        <v>0</v>
      </c>
    </row>
    <row r="262">
      <c r="A262" s="9"/>
      <c r="B262" s="16"/>
      <c r="C262" s="7" t="str">
        <f>IFERROR(VLOOKUP(B262,'Master data'!$A$1:$F$1000,2,FALSE),"")</f>
        <v/>
      </c>
      <c r="D262" s="7" t="str">
        <f>IFERROR(VLOOKUP(B262,'Master data'!$A$1:$F$1000,6,FALSE),"")</f>
        <v/>
      </c>
      <c r="F262" s="7" t="str">
        <f>IFERROR(VLOOKUP(B262,'Master data'!$A$1:$F$1000,3,FALSE),"")</f>
        <v/>
      </c>
      <c r="I262" s="16"/>
      <c r="J262" s="16"/>
      <c r="K262" s="16" t="b">
        <v>0</v>
      </c>
      <c r="L262" s="16" t="b">
        <v>0</v>
      </c>
    </row>
    <row r="263">
      <c r="A263" s="9"/>
      <c r="B263" s="16"/>
      <c r="C263" s="7" t="str">
        <f>IFERROR(VLOOKUP(B263,'Master data'!$A$1:$F$1000,2,FALSE),"")</f>
        <v/>
      </c>
      <c r="D263" s="7" t="str">
        <f>IFERROR(VLOOKUP(B263,'Master data'!$A$1:$F$1000,6,FALSE),"")</f>
        <v/>
      </c>
      <c r="F263" s="7" t="str">
        <f>IFERROR(VLOOKUP(B263,'Master data'!$A$1:$F$1000,3,FALSE),"")</f>
        <v/>
      </c>
      <c r="I263" s="16"/>
      <c r="J263" s="16"/>
      <c r="K263" s="16" t="b">
        <v>0</v>
      </c>
      <c r="L263" s="16" t="b">
        <v>0</v>
      </c>
    </row>
    <row r="264">
      <c r="A264" s="9"/>
      <c r="B264" s="16"/>
      <c r="C264" s="7" t="str">
        <f>IFERROR(VLOOKUP(B264,'Master data'!$A$1:$F$1000,2,FALSE),"")</f>
        <v/>
      </c>
      <c r="D264" s="7" t="str">
        <f>IFERROR(VLOOKUP(B264,'Master data'!$A$1:$F$1000,6,FALSE),"")</f>
        <v/>
      </c>
      <c r="F264" s="7" t="str">
        <f>IFERROR(VLOOKUP(B264,'Master data'!$A$1:$F$1000,3,FALSE),"")</f>
        <v/>
      </c>
      <c r="I264" s="16"/>
      <c r="J264" s="16"/>
      <c r="K264" s="16" t="b">
        <v>0</v>
      </c>
      <c r="L264" s="16" t="b">
        <v>0</v>
      </c>
    </row>
    <row r="265">
      <c r="A265" s="9"/>
      <c r="B265" s="16"/>
      <c r="C265" s="7" t="str">
        <f>IFERROR(VLOOKUP(B265,'Master data'!$A$1:$F$1000,2,FALSE),"")</f>
        <v/>
      </c>
      <c r="D265" s="7" t="str">
        <f>IFERROR(VLOOKUP(B265,'Master data'!$A$1:$F$1000,6,FALSE),"")</f>
        <v/>
      </c>
      <c r="F265" s="7" t="str">
        <f>IFERROR(VLOOKUP(B265,'Master data'!$A$1:$F$1000,3,FALSE),"")</f>
        <v/>
      </c>
      <c r="I265" s="16"/>
      <c r="J265" s="16"/>
      <c r="K265" s="16" t="b">
        <v>0</v>
      </c>
      <c r="L265" s="16" t="b">
        <v>0</v>
      </c>
    </row>
    <row r="266">
      <c r="A266" s="9"/>
      <c r="B266" s="16"/>
      <c r="C266" s="7" t="str">
        <f>IFERROR(VLOOKUP(B266,'Master data'!$A$1:$F$1000,2,FALSE),"")</f>
        <v/>
      </c>
      <c r="D266" s="7" t="str">
        <f>IFERROR(VLOOKUP(B266,'Master data'!$A$1:$F$1000,6,FALSE),"")</f>
        <v/>
      </c>
      <c r="F266" s="7" t="str">
        <f>IFERROR(VLOOKUP(B266,'Master data'!$A$1:$F$1000,3,FALSE),"")</f>
        <v/>
      </c>
      <c r="I266" s="16"/>
      <c r="J266" s="16"/>
      <c r="K266" s="16" t="b">
        <v>0</v>
      </c>
      <c r="L266" s="16" t="b">
        <v>0</v>
      </c>
    </row>
    <row r="267">
      <c r="A267" s="9"/>
      <c r="B267" s="16"/>
      <c r="C267" s="7" t="str">
        <f>IFERROR(VLOOKUP(B267,'Master data'!$A$1:$F$1000,2,FALSE),"")</f>
        <v/>
      </c>
      <c r="D267" s="7" t="str">
        <f>IFERROR(VLOOKUP(B267,'Master data'!$A$1:$F$1000,6,FALSE),"")</f>
        <v/>
      </c>
      <c r="F267" s="7" t="str">
        <f>IFERROR(VLOOKUP(B267,'Master data'!$A$1:$F$1000,3,FALSE),"")</f>
        <v/>
      </c>
      <c r="I267" s="16"/>
      <c r="J267" s="16"/>
      <c r="K267" s="16" t="b">
        <v>0</v>
      </c>
      <c r="L267" s="16" t="b">
        <v>0</v>
      </c>
    </row>
    <row r="268">
      <c r="A268" s="9"/>
      <c r="B268" s="16"/>
      <c r="C268" s="7" t="str">
        <f>IFERROR(VLOOKUP(B268,'Master data'!$A$1:$F$1000,2,FALSE),"")</f>
        <v/>
      </c>
      <c r="D268" s="7" t="str">
        <f>IFERROR(VLOOKUP(B268,'Master data'!$A$1:$F$1000,6,FALSE),"")</f>
        <v/>
      </c>
      <c r="F268" s="7" t="str">
        <f>IFERROR(VLOOKUP(B268,'Master data'!$A$1:$F$1000,3,FALSE),"")</f>
        <v/>
      </c>
      <c r="I268" s="16"/>
      <c r="J268" s="16"/>
      <c r="K268" s="16" t="b">
        <v>0</v>
      </c>
      <c r="L268" s="16" t="b">
        <v>0</v>
      </c>
    </row>
    <row r="269">
      <c r="A269" s="9"/>
      <c r="B269" s="16"/>
      <c r="C269" s="7" t="str">
        <f>IFERROR(VLOOKUP(B269,'Master data'!$A$1:$F$1000,2,FALSE),"")</f>
        <v/>
      </c>
      <c r="D269" s="7" t="str">
        <f>IFERROR(VLOOKUP(B269,'Master data'!$A$1:$F$1000,6,FALSE),"")</f>
        <v/>
      </c>
      <c r="F269" s="7" t="str">
        <f>IFERROR(VLOOKUP(B269,'Master data'!$A$1:$F$1000,3,FALSE),"")</f>
        <v/>
      </c>
      <c r="I269" s="16"/>
      <c r="J269" s="16"/>
      <c r="K269" s="16" t="b">
        <v>0</v>
      </c>
      <c r="L269" s="16" t="b">
        <v>0</v>
      </c>
    </row>
    <row r="270">
      <c r="A270" s="9"/>
      <c r="B270" s="16"/>
      <c r="C270" s="7" t="str">
        <f>IFERROR(VLOOKUP(B270,'Master data'!$A$1:$F$1000,2,FALSE),"")</f>
        <v/>
      </c>
      <c r="D270" s="7" t="str">
        <f>IFERROR(VLOOKUP(B270,'Master data'!$A$1:$F$1000,6,FALSE),"")</f>
        <v/>
      </c>
      <c r="F270" s="7" t="str">
        <f>IFERROR(VLOOKUP(B270,'Master data'!$A$1:$F$1000,3,FALSE),"")</f>
        <v/>
      </c>
      <c r="I270" s="16"/>
      <c r="J270" s="16"/>
      <c r="K270" s="16" t="b">
        <v>0</v>
      </c>
      <c r="L270" s="16" t="b">
        <v>0</v>
      </c>
    </row>
    <row r="271">
      <c r="A271" s="9"/>
      <c r="B271" s="16"/>
      <c r="C271" s="7" t="str">
        <f>IFERROR(VLOOKUP(B271,'Master data'!$A$1:$F$1000,2,FALSE),"")</f>
        <v/>
      </c>
      <c r="D271" s="7" t="str">
        <f>IFERROR(VLOOKUP(B271,'Master data'!$A$1:$F$1000,6,FALSE),"")</f>
        <v/>
      </c>
      <c r="F271" s="7" t="str">
        <f>IFERROR(VLOOKUP(B271,'Master data'!$A$1:$F$1000,3,FALSE),"")</f>
        <v/>
      </c>
      <c r="I271" s="16"/>
      <c r="J271" s="16"/>
      <c r="K271" s="16" t="b">
        <v>0</v>
      </c>
      <c r="L271" s="16" t="b">
        <v>0</v>
      </c>
    </row>
    <row r="272">
      <c r="A272" s="9"/>
      <c r="B272" s="16"/>
      <c r="C272" s="7" t="str">
        <f>IFERROR(VLOOKUP(B272,'Master data'!$A$1:$F$1000,2,FALSE),"")</f>
        <v/>
      </c>
      <c r="D272" s="7" t="str">
        <f>IFERROR(VLOOKUP(B272,'Master data'!$A$1:$F$1000,6,FALSE),"")</f>
        <v/>
      </c>
      <c r="F272" s="7" t="str">
        <f>IFERROR(VLOOKUP(B272,'Master data'!$A$1:$F$1000,3,FALSE),"")</f>
        <v/>
      </c>
      <c r="I272" s="16"/>
      <c r="J272" s="16"/>
      <c r="K272" s="16" t="b">
        <v>0</v>
      </c>
      <c r="L272" s="16" t="b">
        <v>0</v>
      </c>
    </row>
    <row r="273">
      <c r="A273" s="9"/>
      <c r="B273" s="16"/>
      <c r="C273" s="7" t="str">
        <f>IFERROR(VLOOKUP(B273,'Master data'!$A$1:$F$1000,2,FALSE),"")</f>
        <v/>
      </c>
      <c r="D273" s="7" t="str">
        <f>IFERROR(VLOOKUP(B273,'Master data'!$A$1:$F$1000,6,FALSE),"")</f>
        <v/>
      </c>
      <c r="F273" s="7" t="str">
        <f>IFERROR(VLOOKUP(B273,'Master data'!$A$1:$F$1000,3,FALSE),"")</f>
        <v/>
      </c>
      <c r="I273" s="16"/>
      <c r="J273" s="16"/>
      <c r="K273" s="16" t="b">
        <v>0</v>
      </c>
      <c r="L273" s="16" t="b">
        <v>0</v>
      </c>
    </row>
    <row r="274">
      <c r="A274" s="9"/>
      <c r="B274" s="16"/>
      <c r="C274" s="7" t="str">
        <f>IFERROR(VLOOKUP(B274,'Master data'!$A$1:$F$1000,2,FALSE),"")</f>
        <v/>
      </c>
      <c r="D274" s="7" t="str">
        <f>IFERROR(VLOOKUP(B274,'Master data'!$A$1:$F$1000,6,FALSE),"")</f>
        <v/>
      </c>
      <c r="F274" s="7" t="str">
        <f>IFERROR(VLOOKUP(B274,'Master data'!$A$1:$F$1000,3,FALSE),"")</f>
        <v/>
      </c>
      <c r="I274" s="16"/>
      <c r="J274" s="16"/>
      <c r="K274" s="16" t="b">
        <v>0</v>
      </c>
      <c r="L274" s="16" t="b">
        <v>0</v>
      </c>
    </row>
    <row r="275">
      <c r="A275" s="9"/>
      <c r="B275" s="16"/>
      <c r="C275" s="7" t="str">
        <f>IFERROR(VLOOKUP(B275,'Master data'!$A$1:$F$1000,2,FALSE),"")</f>
        <v/>
      </c>
      <c r="D275" s="7" t="str">
        <f>IFERROR(VLOOKUP(B275,'Master data'!$A$1:$F$1000,6,FALSE),"")</f>
        <v/>
      </c>
      <c r="F275" s="7" t="str">
        <f>IFERROR(VLOOKUP(B275,'Master data'!$A$1:$F$1000,3,FALSE),"")</f>
        <v/>
      </c>
      <c r="I275" s="16"/>
      <c r="J275" s="16"/>
      <c r="K275" s="16" t="b">
        <v>0</v>
      </c>
      <c r="L275" s="16" t="b">
        <v>0</v>
      </c>
    </row>
    <row r="276">
      <c r="A276" s="9"/>
      <c r="B276" s="16"/>
      <c r="C276" s="7" t="str">
        <f>IFERROR(VLOOKUP(B276,'Master data'!$A$1:$F$1000,2,FALSE),"")</f>
        <v/>
      </c>
      <c r="D276" s="7" t="str">
        <f>IFERROR(VLOOKUP(B276,'Master data'!$A$1:$F$1000,6,FALSE),"")</f>
        <v/>
      </c>
      <c r="F276" s="7" t="str">
        <f>IFERROR(VLOOKUP(B276,'Master data'!$A$1:$F$1000,3,FALSE),"")</f>
        <v/>
      </c>
      <c r="I276" s="16"/>
      <c r="J276" s="16"/>
      <c r="K276" s="16" t="b">
        <v>0</v>
      </c>
      <c r="L276" s="16" t="b">
        <v>0</v>
      </c>
    </row>
    <row r="277">
      <c r="A277" s="9"/>
      <c r="B277" s="16"/>
      <c r="C277" s="7" t="str">
        <f>IFERROR(VLOOKUP(B277,'Master data'!$A$1:$F$1000,2,FALSE),"")</f>
        <v/>
      </c>
      <c r="D277" s="7" t="str">
        <f>IFERROR(VLOOKUP(B277,'Master data'!$A$1:$F$1000,6,FALSE),"")</f>
        <v/>
      </c>
      <c r="F277" s="7" t="str">
        <f>IFERROR(VLOOKUP(B277,'Master data'!$A$1:$F$1000,3,FALSE),"")</f>
        <v/>
      </c>
      <c r="I277" s="16"/>
      <c r="J277" s="16"/>
      <c r="K277" s="16" t="b">
        <v>0</v>
      </c>
      <c r="L277" s="16" t="b">
        <v>0</v>
      </c>
    </row>
    <row r="278">
      <c r="A278" s="9"/>
      <c r="B278" s="16"/>
      <c r="C278" s="7" t="str">
        <f>IFERROR(VLOOKUP(B278,'Master data'!$A$1:$F$1000,2,FALSE),"")</f>
        <v/>
      </c>
      <c r="D278" s="7" t="str">
        <f>IFERROR(VLOOKUP(B278,'Master data'!$A$1:$F$1000,6,FALSE),"")</f>
        <v/>
      </c>
      <c r="F278" s="7" t="str">
        <f>IFERROR(VLOOKUP(B278,'Master data'!$A$1:$F$1000,3,FALSE),"")</f>
        <v/>
      </c>
      <c r="I278" s="16"/>
      <c r="J278" s="16"/>
      <c r="K278" s="16" t="b">
        <v>0</v>
      </c>
      <c r="L278" s="16" t="b">
        <v>0</v>
      </c>
    </row>
    <row r="279">
      <c r="A279" s="9"/>
      <c r="B279" s="16"/>
      <c r="C279" s="7" t="str">
        <f>IFERROR(VLOOKUP(B279,'Master data'!$A$1:$F$1000,2,FALSE),"")</f>
        <v/>
      </c>
      <c r="D279" s="7" t="str">
        <f>IFERROR(VLOOKUP(B279,'Master data'!$A$1:$F$1000,6,FALSE),"")</f>
        <v/>
      </c>
      <c r="F279" s="7" t="str">
        <f>IFERROR(VLOOKUP(B279,'Master data'!$A$1:$F$1000,3,FALSE),"")</f>
        <v/>
      </c>
      <c r="I279" s="16"/>
      <c r="J279" s="16"/>
      <c r="K279" s="16" t="b">
        <v>0</v>
      </c>
      <c r="L279" s="16" t="b">
        <v>0</v>
      </c>
    </row>
    <row r="280">
      <c r="A280" s="9"/>
      <c r="B280" s="16"/>
      <c r="C280" s="7" t="str">
        <f>IFERROR(VLOOKUP(B280,'Master data'!$A$1:$F$1000,2,FALSE),"")</f>
        <v/>
      </c>
      <c r="D280" s="7" t="str">
        <f>IFERROR(VLOOKUP(B280,'Master data'!$A$1:$F$1000,6,FALSE),"")</f>
        <v/>
      </c>
      <c r="F280" s="7" t="str">
        <f>IFERROR(VLOOKUP(B280,'Master data'!$A$1:$F$1000,3,FALSE),"")</f>
        <v/>
      </c>
      <c r="I280" s="16"/>
      <c r="J280" s="16"/>
      <c r="K280" s="16" t="b">
        <v>0</v>
      </c>
      <c r="L280" s="16" t="b">
        <v>0</v>
      </c>
    </row>
    <row r="281">
      <c r="A281" s="9"/>
      <c r="B281" s="16"/>
      <c r="C281" s="7" t="str">
        <f>IFERROR(VLOOKUP(B281,'Master data'!$A$1:$F$1000,2,FALSE),"")</f>
        <v/>
      </c>
      <c r="D281" s="7" t="str">
        <f>IFERROR(VLOOKUP(B281,'Master data'!$A$1:$F$1000,6,FALSE),"")</f>
        <v/>
      </c>
      <c r="F281" s="7" t="str">
        <f>IFERROR(VLOOKUP(B281,'Master data'!$A$1:$F$1000,3,FALSE),"")</f>
        <v/>
      </c>
      <c r="I281" s="16"/>
      <c r="J281" s="16"/>
      <c r="K281" s="16" t="b">
        <v>0</v>
      </c>
      <c r="L281" s="16" t="b">
        <v>0</v>
      </c>
    </row>
    <row r="282">
      <c r="A282" s="9"/>
      <c r="B282" s="16"/>
      <c r="C282" s="7" t="str">
        <f>IFERROR(VLOOKUP(B282,'Master data'!$A$1:$F$1000,2,FALSE),"")</f>
        <v/>
      </c>
      <c r="D282" s="7" t="str">
        <f>IFERROR(VLOOKUP(B282,'Master data'!$A$1:$F$1000,6,FALSE),"")</f>
        <v/>
      </c>
      <c r="F282" s="7" t="str">
        <f>IFERROR(VLOOKUP(B282,'Master data'!$A$1:$F$1000,3,FALSE),"")</f>
        <v/>
      </c>
      <c r="I282" s="16"/>
      <c r="J282" s="16"/>
      <c r="K282" s="16" t="b">
        <v>0</v>
      </c>
      <c r="L282" s="16" t="b">
        <v>0</v>
      </c>
    </row>
    <row r="283">
      <c r="A283" s="9"/>
      <c r="B283" s="16"/>
      <c r="C283" s="7" t="str">
        <f>IFERROR(VLOOKUP(B283,'Master data'!$A$1:$F$1000,2,FALSE),"")</f>
        <v/>
      </c>
      <c r="D283" s="7" t="str">
        <f>IFERROR(VLOOKUP(B283,'Master data'!$A$1:$F$1000,6,FALSE),"")</f>
        <v/>
      </c>
      <c r="F283" s="7" t="str">
        <f>IFERROR(VLOOKUP(B283,'Master data'!$A$1:$F$1000,3,FALSE),"")</f>
        <v/>
      </c>
      <c r="I283" s="16"/>
      <c r="J283" s="16"/>
      <c r="K283" s="16" t="b">
        <v>0</v>
      </c>
      <c r="L283" s="16" t="b">
        <v>0</v>
      </c>
    </row>
    <row r="284">
      <c r="A284" s="9"/>
      <c r="B284" s="16"/>
      <c r="C284" s="7" t="str">
        <f>IFERROR(VLOOKUP(B284,'Master data'!$A$1:$F$1000,2,FALSE),"")</f>
        <v/>
      </c>
      <c r="D284" s="7" t="str">
        <f>IFERROR(VLOOKUP(B284,'Master data'!$A$1:$F$1000,6,FALSE),"")</f>
        <v/>
      </c>
      <c r="F284" s="7" t="str">
        <f>IFERROR(VLOOKUP(B284,'Master data'!$A$1:$F$1000,3,FALSE),"")</f>
        <v/>
      </c>
      <c r="I284" s="16"/>
      <c r="J284" s="16"/>
      <c r="K284" s="16" t="b">
        <v>0</v>
      </c>
      <c r="L284" s="16" t="b">
        <v>0</v>
      </c>
    </row>
    <row r="285">
      <c r="A285" s="9"/>
      <c r="B285" s="16"/>
      <c r="C285" s="7" t="str">
        <f>IFERROR(VLOOKUP(B285,'Master data'!$A$1:$F$1000,2,FALSE),"")</f>
        <v/>
      </c>
      <c r="D285" s="7" t="str">
        <f>IFERROR(VLOOKUP(B285,'Master data'!$A$1:$F$1000,6,FALSE),"")</f>
        <v/>
      </c>
      <c r="F285" s="7" t="str">
        <f>IFERROR(VLOOKUP(B285,'Master data'!$A$1:$F$1000,3,FALSE),"")</f>
        <v/>
      </c>
      <c r="I285" s="16"/>
      <c r="J285" s="16"/>
      <c r="K285" s="16" t="b">
        <v>0</v>
      </c>
      <c r="L285" s="16" t="b">
        <v>0</v>
      </c>
    </row>
    <row r="286">
      <c r="A286" s="9"/>
      <c r="B286" s="16"/>
      <c r="C286" s="7" t="str">
        <f>IFERROR(VLOOKUP(B286,'Master data'!$A$1:$F$1000,2,FALSE),"")</f>
        <v/>
      </c>
      <c r="D286" s="7" t="str">
        <f>IFERROR(VLOOKUP(B286,'Master data'!$A$1:$F$1000,6,FALSE),"")</f>
        <v/>
      </c>
      <c r="F286" s="7" t="str">
        <f>IFERROR(VLOOKUP(B286,'Master data'!$A$1:$F$1000,3,FALSE),"")</f>
        <v/>
      </c>
      <c r="I286" s="16"/>
      <c r="J286" s="16"/>
      <c r="K286" s="16" t="b">
        <v>0</v>
      </c>
      <c r="L286" s="16" t="b">
        <v>0</v>
      </c>
    </row>
    <row r="287">
      <c r="A287" s="9"/>
      <c r="B287" s="16"/>
      <c r="C287" s="7" t="str">
        <f>IFERROR(VLOOKUP(B287,'Master data'!$A$1:$F$1000,2,FALSE),"")</f>
        <v/>
      </c>
      <c r="D287" s="7" t="str">
        <f>IFERROR(VLOOKUP(B287,'Master data'!$A$1:$F$1000,6,FALSE),"")</f>
        <v/>
      </c>
      <c r="F287" s="7" t="str">
        <f>IFERROR(VLOOKUP(B287,'Master data'!$A$1:$F$1000,3,FALSE),"")</f>
        <v/>
      </c>
      <c r="I287" s="16"/>
      <c r="J287" s="16"/>
      <c r="K287" s="16" t="b">
        <v>0</v>
      </c>
      <c r="L287" s="16" t="b">
        <v>0</v>
      </c>
    </row>
    <row r="288">
      <c r="A288" s="9"/>
      <c r="B288" s="16"/>
      <c r="C288" s="7" t="str">
        <f>IFERROR(VLOOKUP(B288,'Master data'!$A$1:$F$1000,2,FALSE),"")</f>
        <v/>
      </c>
      <c r="D288" s="7" t="str">
        <f>IFERROR(VLOOKUP(B288,'Master data'!$A$1:$F$1000,6,FALSE),"")</f>
        <v/>
      </c>
      <c r="F288" s="7" t="str">
        <f>IFERROR(VLOOKUP(B288,'Master data'!$A$1:$F$1000,3,FALSE),"")</f>
        <v/>
      </c>
      <c r="I288" s="16"/>
      <c r="J288" s="16"/>
      <c r="K288" s="16" t="b">
        <v>0</v>
      </c>
      <c r="L288" s="16" t="b">
        <v>0</v>
      </c>
    </row>
    <row r="289">
      <c r="A289" s="9"/>
      <c r="B289" s="16"/>
      <c r="C289" s="7" t="str">
        <f>IFERROR(VLOOKUP(B289,'Master data'!$A$1:$F$1000,2,FALSE),"")</f>
        <v/>
      </c>
      <c r="D289" s="7" t="str">
        <f>IFERROR(VLOOKUP(B289,'Master data'!$A$1:$F$1000,6,FALSE),"")</f>
        <v/>
      </c>
      <c r="F289" s="7" t="str">
        <f>IFERROR(VLOOKUP(B289,'Master data'!$A$1:$F$1000,3,FALSE),"")</f>
        <v/>
      </c>
      <c r="I289" s="16"/>
      <c r="J289" s="16"/>
      <c r="K289" s="16" t="b">
        <v>0</v>
      </c>
      <c r="L289" s="16" t="b">
        <v>0</v>
      </c>
    </row>
    <row r="290">
      <c r="A290" s="9"/>
      <c r="B290" s="16"/>
      <c r="C290" s="7" t="str">
        <f>IFERROR(VLOOKUP(B290,'Master data'!$A$1:$F$1000,2,FALSE),"")</f>
        <v/>
      </c>
      <c r="D290" s="7" t="str">
        <f>IFERROR(VLOOKUP(B290,'Master data'!$A$1:$F$1000,6,FALSE),"")</f>
        <v/>
      </c>
      <c r="F290" s="7" t="str">
        <f>IFERROR(VLOOKUP(B290,'Master data'!$A$1:$F$1000,3,FALSE),"")</f>
        <v/>
      </c>
      <c r="I290" s="16"/>
      <c r="J290" s="16"/>
      <c r="K290" s="16" t="b">
        <v>0</v>
      </c>
      <c r="L290" s="16" t="b">
        <v>0</v>
      </c>
    </row>
    <row r="291">
      <c r="A291" s="9"/>
      <c r="B291" s="16"/>
      <c r="C291" s="7" t="str">
        <f>IFERROR(VLOOKUP(B291,'Master data'!$A$1:$F$1000,2,FALSE),"")</f>
        <v/>
      </c>
      <c r="D291" s="7" t="str">
        <f>IFERROR(VLOOKUP(B291,'Master data'!$A$1:$F$1000,6,FALSE),"")</f>
        <v/>
      </c>
      <c r="F291" s="7" t="str">
        <f>IFERROR(VLOOKUP(B291,'Master data'!$A$1:$F$1000,3,FALSE),"")</f>
        <v/>
      </c>
      <c r="I291" s="16"/>
      <c r="J291" s="16"/>
      <c r="K291" s="16" t="b">
        <v>0</v>
      </c>
      <c r="L291" s="16" t="b">
        <v>0</v>
      </c>
    </row>
    <row r="292">
      <c r="A292" s="9"/>
      <c r="B292" s="16"/>
      <c r="C292" s="7" t="str">
        <f>IFERROR(VLOOKUP(B292,'Master data'!$A$1:$F$1000,2,FALSE),"")</f>
        <v/>
      </c>
      <c r="D292" s="7" t="str">
        <f>IFERROR(VLOOKUP(B292,'Master data'!$A$1:$F$1000,6,FALSE),"")</f>
        <v/>
      </c>
      <c r="F292" s="7" t="str">
        <f>IFERROR(VLOOKUP(B292,'Master data'!$A$1:$F$1000,3,FALSE),"")</f>
        <v/>
      </c>
      <c r="I292" s="16"/>
      <c r="J292" s="16"/>
      <c r="K292" s="16" t="b">
        <v>0</v>
      </c>
      <c r="L292" s="16" t="b">
        <v>0</v>
      </c>
    </row>
    <row r="293">
      <c r="A293" s="9"/>
      <c r="B293" s="16"/>
      <c r="C293" s="7" t="str">
        <f>IFERROR(VLOOKUP(B293,'Master data'!$A$1:$F$1000,2,FALSE),"")</f>
        <v/>
      </c>
      <c r="D293" s="7" t="str">
        <f>IFERROR(VLOOKUP(B293,'Master data'!$A$1:$F$1000,6,FALSE),"")</f>
        <v/>
      </c>
      <c r="F293" s="7" t="str">
        <f>IFERROR(VLOOKUP(B293,'Master data'!$A$1:$F$1000,3,FALSE),"")</f>
        <v/>
      </c>
      <c r="I293" s="16"/>
      <c r="J293" s="16"/>
      <c r="K293" s="16" t="b">
        <v>0</v>
      </c>
      <c r="L293" s="16" t="b">
        <v>0</v>
      </c>
    </row>
    <row r="294">
      <c r="A294" s="9"/>
      <c r="B294" s="16"/>
      <c r="C294" s="7" t="str">
        <f>IFERROR(VLOOKUP(B294,'Master data'!$A$1:$F$1000,2,FALSE),"")</f>
        <v/>
      </c>
      <c r="D294" s="7" t="str">
        <f>IFERROR(VLOOKUP(B294,'Master data'!$A$1:$F$1000,6,FALSE),"")</f>
        <v/>
      </c>
      <c r="F294" s="7" t="str">
        <f>IFERROR(VLOOKUP(B294,'Master data'!$A$1:$F$1000,3,FALSE),"")</f>
        <v/>
      </c>
      <c r="I294" s="16"/>
      <c r="J294" s="16"/>
      <c r="K294" s="16" t="b">
        <v>0</v>
      </c>
      <c r="L294" s="16" t="b">
        <v>0</v>
      </c>
    </row>
    <row r="295">
      <c r="A295" s="9"/>
      <c r="B295" s="16"/>
      <c r="C295" s="7" t="str">
        <f>IFERROR(VLOOKUP(B295,'Master data'!$A$1:$F$1000,2,FALSE),"")</f>
        <v/>
      </c>
      <c r="D295" s="7" t="str">
        <f>IFERROR(VLOOKUP(B295,'Master data'!$A$1:$F$1000,6,FALSE),"")</f>
        <v/>
      </c>
      <c r="F295" s="7" t="str">
        <f>IFERROR(VLOOKUP(B295,'Master data'!$A$1:$F$1000,3,FALSE),"")</f>
        <v/>
      </c>
      <c r="I295" s="16"/>
      <c r="J295" s="16"/>
      <c r="K295" s="16" t="b">
        <v>0</v>
      </c>
      <c r="L295" s="16" t="b">
        <v>0</v>
      </c>
    </row>
    <row r="296">
      <c r="A296" s="9"/>
      <c r="B296" s="16"/>
      <c r="C296" s="7" t="str">
        <f>IFERROR(VLOOKUP(B296,'Master data'!$A$1:$F$1000,2,FALSE),"")</f>
        <v/>
      </c>
      <c r="D296" s="7" t="str">
        <f>IFERROR(VLOOKUP(B296,'Master data'!$A$1:$F$1000,6,FALSE),"")</f>
        <v/>
      </c>
      <c r="F296" s="7" t="str">
        <f>IFERROR(VLOOKUP(B296,'Master data'!$A$1:$F$1000,3,FALSE),"")</f>
        <v/>
      </c>
      <c r="I296" s="16"/>
      <c r="J296" s="16"/>
      <c r="K296" s="16" t="b">
        <v>0</v>
      </c>
      <c r="L296" s="16" t="b">
        <v>0</v>
      </c>
    </row>
    <row r="297">
      <c r="A297" s="9"/>
      <c r="B297" s="16"/>
      <c r="C297" s="7" t="str">
        <f>IFERROR(VLOOKUP(B297,'Master data'!$A$1:$F$1000,2,FALSE),"")</f>
        <v/>
      </c>
      <c r="D297" s="7" t="str">
        <f>IFERROR(VLOOKUP(B297,'Master data'!$A$1:$F$1000,6,FALSE),"")</f>
        <v/>
      </c>
      <c r="F297" s="7" t="str">
        <f>IFERROR(VLOOKUP(B297,'Master data'!$A$1:$F$1000,3,FALSE),"")</f>
        <v/>
      </c>
      <c r="I297" s="16"/>
      <c r="J297" s="16"/>
      <c r="K297" s="16" t="b">
        <v>0</v>
      </c>
      <c r="L297" s="16" t="b">
        <v>0</v>
      </c>
    </row>
    <row r="298">
      <c r="A298" s="9"/>
      <c r="B298" s="16"/>
      <c r="C298" s="7" t="str">
        <f>IFERROR(VLOOKUP(B298,'Master data'!$A$1:$F$1000,2,FALSE),"")</f>
        <v/>
      </c>
      <c r="D298" s="7" t="str">
        <f>IFERROR(VLOOKUP(B298,'Master data'!$A$1:$F$1000,6,FALSE),"")</f>
        <v/>
      </c>
      <c r="F298" s="7" t="str">
        <f>IFERROR(VLOOKUP(B298,'Master data'!$A$1:$F$1000,3,FALSE),"")</f>
        <v/>
      </c>
      <c r="I298" s="16"/>
      <c r="J298" s="16"/>
      <c r="K298" s="16" t="b">
        <v>0</v>
      </c>
      <c r="L298" s="16" t="b">
        <v>0</v>
      </c>
    </row>
    <row r="299">
      <c r="A299" s="9"/>
      <c r="B299" s="16"/>
      <c r="C299" s="7" t="str">
        <f>IFERROR(VLOOKUP(B299,'Master data'!$A$1:$F$1000,2,FALSE),"")</f>
        <v/>
      </c>
      <c r="D299" s="7" t="str">
        <f>IFERROR(VLOOKUP(B299,'Master data'!$A$1:$F$1000,6,FALSE),"")</f>
        <v/>
      </c>
      <c r="F299" s="7" t="str">
        <f>IFERROR(VLOOKUP(B299,'Master data'!$A$1:$F$1000,3,FALSE),"")</f>
        <v/>
      </c>
      <c r="I299" s="16"/>
      <c r="J299" s="16"/>
      <c r="K299" s="16" t="b">
        <v>0</v>
      </c>
      <c r="L299" s="16" t="b">
        <v>0</v>
      </c>
    </row>
    <row r="300">
      <c r="A300" s="9"/>
      <c r="B300" s="16"/>
      <c r="C300" s="7" t="str">
        <f>IFERROR(VLOOKUP(B300,'Master data'!$A$1:$F$1000,2,FALSE),"")</f>
        <v/>
      </c>
      <c r="D300" s="7" t="str">
        <f>IFERROR(VLOOKUP(B300,'Master data'!$A$1:$F$1000,6,FALSE),"")</f>
        <v/>
      </c>
      <c r="F300" s="7" t="str">
        <f>IFERROR(VLOOKUP(B300,'Master data'!$A$1:$F$1000,3,FALSE),"")</f>
        <v/>
      </c>
      <c r="I300" s="16"/>
      <c r="J300" s="16"/>
      <c r="K300" s="16" t="b">
        <v>0</v>
      </c>
      <c r="L300" s="16" t="b">
        <v>0</v>
      </c>
    </row>
    <row r="301">
      <c r="A301" s="9"/>
      <c r="B301" s="16"/>
      <c r="C301" s="7" t="str">
        <f>IFERROR(VLOOKUP(B301,'Master data'!$A$1:$F$1000,2,FALSE),"")</f>
        <v/>
      </c>
      <c r="D301" s="7" t="str">
        <f>IFERROR(VLOOKUP(B301,'Master data'!$A$1:$F$1000,6,FALSE),"")</f>
        <v/>
      </c>
      <c r="F301" s="7" t="str">
        <f>IFERROR(VLOOKUP(B301,'Master data'!$A$1:$F$1000,3,FALSE),"")</f>
        <v/>
      </c>
      <c r="I301" s="16"/>
      <c r="J301" s="16"/>
      <c r="K301" s="16" t="b">
        <v>0</v>
      </c>
      <c r="L301" s="16" t="b">
        <v>0</v>
      </c>
    </row>
    <row r="302">
      <c r="A302" s="9"/>
      <c r="B302" s="16"/>
      <c r="C302" s="7" t="str">
        <f>IFERROR(VLOOKUP(B302,'Master data'!$A$1:$F$1000,2,FALSE),"")</f>
        <v/>
      </c>
      <c r="D302" s="7" t="str">
        <f>IFERROR(VLOOKUP(B302,'Master data'!$A$1:$F$1000,6,FALSE),"")</f>
        <v/>
      </c>
      <c r="F302" s="7" t="str">
        <f>IFERROR(VLOOKUP(B302,'Master data'!$A$1:$F$1000,3,FALSE),"")</f>
        <v/>
      </c>
      <c r="I302" s="16"/>
      <c r="J302" s="16"/>
      <c r="K302" s="16" t="b">
        <v>0</v>
      </c>
      <c r="L302" s="16" t="b">
        <v>0</v>
      </c>
    </row>
    <row r="303">
      <c r="A303" s="9"/>
      <c r="B303" s="16"/>
      <c r="C303" s="7" t="str">
        <f>IFERROR(VLOOKUP(B303,'Master data'!$A$1:$F$1000,2,FALSE),"")</f>
        <v/>
      </c>
      <c r="D303" s="7" t="str">
        <f>IFERROR(VLOOKUP(B303,'Master data'!$A$1:$F$1000,6,FALSE),"")</f>
        <v/>
      </c>
      <c r="F303" s="7" t="str">
        <f>IFERROR(VLOOKUP(B303,'Master data'!$A$1:$F$1000,3,FALSE),"")</f>
        <v/>
      </c>
      <c r="I303" s="16"/>
      <c r="J303" s="16"/>
      <c r="K303" s="16" t="b">
        <v>0</v>
      </c>
      <c r="L303" s="16" t="b">
        <v>0</v>
      </c>
    </row>
    <row r="304">
      <c r="A304" s="9"/>
      <c r="B304" s="16"/>
      <c r="C304" s="7" t="str">
        <f>IFERROR(VLOOKUP(B304,'Master data'!$A$1:$F$1000,2,FALSE),"")</f>
        <v/>
      </c>
      <c r="D304" s="7" t="str">
        <f>IFERROR(VLOOKUP(B304,'Master data'!$A$1:$F$1000,6,FALSE),"")</f>
        <v/>
      </c>
      <c r="F304" s="7" t="str">
        <f>IFERROR(VLOOKUP(B304,'Master data'!$A$1:$F$1000,3,FALSE),"")</f>
        <v/>
      </c>
      <c r="I304" s="16"/>
      <c r="J304" s="16"/>
      <c r="K304" s="16" t="b">
        <v>0</v>
      </c>
      <c r="L304" s="16" t="b">
        <v>0</v>
      </c>
    </row>
    <row r="305">
      <c r="A305" s="9"/>
      <c r="B305" s="16"/>
      <c r="C305" s="7" t="str">
        <f>IFERROR(VLOOKUP(B305,'Master data'!$A$1:$F$1000,2,FALSE),"")</f>
        <v/>
      </c>
      <c r="D305" s="7" t="str">
        <f>IFERROR(VLOOKUP(B305,'Master data'!$A$1:$F$1000,6,FALSE),"")</f>
        <v/>
      </c>
      <c r="F305" s="7" t="str">
        <f>IFERROR(VLOOKUP(B305,'Master data'!$A$1:$F$1000,3,FALSE),"")</f>
        <v/>
      </c>
      <c r="I305" s="16"/>
      <c r="J305" s="16"/>
      <c r="K305" s="16" t="b">
        <v>0</v>
      </c>
      <c r="L305" s="16" t="b">
        <v>0</v>
      </c>
    </row>
    <row r="306">
      <c r="A306" s="9"/>
      <c r="B306" s="16"/>
      <c r="C306" s="7" t="str">
        <f>IFERROR(VLOOKUP(B306,'Master data'!$A$1:$F$1000,2,FALSE),"")</f>
        <v/>
      </c>
      <c r="D306" s="7" t="str">
        <f>IFERROR(VLOOKUP(B306,'Master data'!$A$1:$F$1000,6,FALSE),"")</f>
        <v/>
      </c>
      <c r="F306" s="7" t="str">
        <f>IFERROR(VLOOKUP(B306,'Master data'!$A$1:$F$1000,3,FALSE),"")</f>
        <v/>
      </c>
      <c r="I306" s="16"/>
      <c r="J306" s="16"/>
      <c r="K306" s="16" t="b">
        <v>0</v>
      </c>
      <c r="L306" s="16" t="b">
        <v>0</v>
      </c>
    </row>
    <row r="307">
      <c r="A307" s="9"/>
      <c r="B307" s="16"/>
      <c r="C307" s="7" t="str">
        <f>IFERROR(VLOOKUP(B307,'Master data'!$A$1:$F$1000,2,FALSE),"")</f>
        <v/>
      </c>
      <c r="D307" s="7" t="str">
        <f>IFERROR(VLOOKUP(B307,'Master data'!$A$1:$F$1000,6,FALSE),"")</f>
        <v/>
      </c>
      <c r="F307" s="7" t="str">
        <f>IFERROR(VLOOKUP(B307,'Master data'!$A$1:$F$1000,3,FALSE),"")</f>
        <v/>
      </c>
      <c r="I307" s="16"/>
      <c r="J307" s="16"/>
      <c r="K307" s="16" t="b">
        <v>0</v>
      </c>
      <c r="L307" s="16" t="b">
        <v>0</v>
      </c>
    </row>
    <row r="308">
      <c r="A308" s="9"/>
      <c r="B308" s="16"/>
      <c r="C308" s="7" t="str">
        <f>IFERROR(VLOOKUP(B308,'Master data'!$A$1:$F$1000,2,FALSE),"")</f>
        <v/>
      </c>
      <c r="D308" s="7" t="str">
        <f>IFERROR(VLOOKUP(B308,'Master data'!$A$1:$F$1000,6,FALSE),"")</f>
        <v/>
      </c>
      <c r="F308" s="7" t="str">
        <f>IFERROR(VLOOKUP(B308,'Master data'!$A$1:$F$1000,3,FALSE),"")</f>
        <v/>
      </c>
      <c r="I308" s="16"/>
      <c r="J308" s="16"/>
      <c r="K308" s="16" t="b">
        <v>0</v>
      </c>
      <c r="L308" s="16" t="b">
        <v>0</v>
      </c>
    </row>
    <row r="309">
      <c r="A309" s="9"/>
      <c r="B309" s="16"/>
      <c r="C309" s="7" t="str">
        <f>IFERROR(VLOOKUP(B309,'Master data'!$A$1:$F$1000,2,FALSE),"")</f>
        <v/>
      </c>
      <c r="D309" s="7" t="str">
        <f>IFERROR(VLOOKUP(B309,'Master data'!$A$1:$F$1000,6,FALSE),"")</f>
        <v/>
      </c>
      <c r="F309" s="7" t="str">
        <f>IFERROR(VLOOKUP(B309,'Master data'!$A$1:$F$1000,3,FALSE),"")</f>
        <v/>
      </c>
      <c r="I309" s="16"/>
      <c r="J309" s="16"/>
      <c r="K309" s="16" t="b">
        <v>0</v>
      </c>
      <c r="L309" s="16" t="b">
        <v>0</v>
      </c>
    </row>
    <row r="310">
      <c r="A310" s="9"/>
      <c r="B310" s="16"/>
      <c r="C310" s="7" t="str">
        <f>IFERROR(VLOOKUP(B310,'Master data'!$A$1:$F$1000,2,FALSE),"")</f>
        <v/>
      </c>
      <c r="D310" s="7" t="str">
        <f>IFERROR(VLOOKUP(B310,'Master data'!$A$1:$F$1000,6,FALSE),"")</f>
        <v/>
      </c>
      <c r="F310" s="7" t="str">
        <f>IFERROR(VLOOKUP(B310,'Master data'!$A$1:$F$1000,3,FALSE),"")</f>
        <v/>
      </c>
      <c r="I310" s="16"/>
      <c r="J310" s="16"/>
      <c r="K310" s="16" t="b">
        <v>0</v>
      </c>
      <c r="L310" s="16" t="b">
        <v>0</v>
      </c>
    </row>
    <row r="311">
      <c r="A311" s="9"/>
      <c r="B311" s="16"/>
      <c r="C311" s="7" t="str">
        <f>IFERROR(VLOOKUP(B311,'Master data'!$A$1:$F$1000,2,FALSE),"")</f>
        <v/>
      </c>
      <c r="D311" s="7" t="str">
        <f>IFERROR(VLOOKUP(B311,'Master data'!$A$1:$F$1000,6,FALSE),"")</f>
        <v/>
      </c>
      <c r="F311" s="7" t="str">
        <f>IFERROR(VLOOKUP(B311,'Master data'!$A$1:$F$1000,3,FALSE),"")</f>
        <v/>
      </c>
      <c r="I311" s="16"/>
      <c r="J311" s="16"/>
      <c r="K311" s="16" t="b">
        <v>0</v>
      </c>
      <c r="L311" s="16" t="b">
        <v>0</v>
      </c>
    </row>
    <row r="312">
      <c r="A312" s="9"/>
      <c r="B312" s="16"/>
      <c r="C312" s="7" t="str">
        <f>IFERROR(VLOOKUP(B312,'Master data'!$A$1:$F$1000,2,FALSE),"")</f>
        <v/>
      </c>
      <c r="D312" s="7" t="str">
        <f>IFERROR(VLOOKUP(B312,'Master data'!$A$1:$F$1000,6,FALSE),"")</f>
        <v/>
      </c>
      <c r="F312" s="7" t="str">
        <f>IFERROR(VLOOKUP(B312,'Master data'!$A$1:$F$1000,3,FALSE),"")</f>
        <v/>
      </c>
      <c r="I312" s="16"/>
      <c r="J312" s="16"/>
      <c r="K312" s="16" t="b">
        <v>0</v>
      </c>
      <c r="L312" s="16" t="b">
        <v>0</v>
      </c>
    </row>
    <row r="313">
      <c r="A313" s="9"/>
      <c r="B313" s="16"/>
      <c r="C313" s="7" t="str">
        <f>IFERROR(VLOOKUP(B313,'Master data'!$A$1:$F$1000,2,FALSE),"")</f>
        <v/>
      </c>
      <c r="D313" s="7" t="str">
        <f>IFERROR(VLOOKUP(B313,'Master data'!$A$1:$F$1000,6,FALSE),"")</f>
        <v/>
      </c>
      <c r="F313" s="7" t="str">
        <f>IFERROR(VLOOKUP(B313,'Master data'!$A$1:$F$1000,3,FALSE),"")</f>
        <v/>
      </c>
      <c r="I313" s="16"/>
      <c r="J313" s="16"/>
      <c r="K313" s="16" t="b">
        <v>0</v>
      </c>
      <c r="L313" s="16" t="b">
        <v>0</v>
      </c>
    </row>
    <row r="314">
      <c r="A314" s="9"/>
      <c r="B314" s="16"/>
      <c r="C314" s="7" t="str">
        <f>IFERROR(VLOOKUP(B314,'Master data'!$A$1:$F$1000,2,FALSE),"")</f>
        <v/>
      </c>
      <c r="D314" s="7" t="str">
        <f>IFERROR(VLOOKUP(B314,'Master data'!$A$1:$F$1000,6,FALSE),"")</f>
        <v/>
      </c>
      <c r="F314" s="7" t="str">
        <f>IFERROR(VLOOKUP(B314,'Master data'!$A$1:$F$1000,3,FALSE),"")</f>
        <v/>
      </c>
      <c r="I314" s="16"/>
      <c r="J314" s="16"/>
      <c r="K314" s="16" t="b">
        <v>0</v>
      </c>
      <c r="L314" s="16" t="b">
        <v>0</v>
      </c>
    </row>
    <row r="315">
      <c r="A315" s="9"/>
      <c r="B315" s="16"/>
      <c r="C315" s="7" t="str">
        <f>IFERROR(VLOOKUP(B315,'Master data'!$A$1:$F$1000,2,FALSE),"")</f>
        <v/>
      </c>
      <c r="D315" s="7" t="str">
        <f>IFERROR(VLOOKUP(B315,'Master data'!$A$1:$F$1000,6,FALSE),"")</f>
        <v/>
      </c>
      <c r="F315" s="7" t="str">
        <f>IFERROR(VLOOKUP(B315,'Master data'!$A$1:$F$1000,3,FALSE),"")</f>
        <v/>
      </c>
      <c r="I315" s="16"/>
      <c r="J315" s="16"/>
      <c r="K315" s="16" t="b">
        <v>0</v>
      </c>
      <c r="L315" s="16" t="b">
        <v>0</v>
      </c>
    </row>
    <row r="316">
      <c r="A316" s="9"/>
      <c r="B316" s="16"/>
      <c r="C316" s="7" t="str">
        <f>IFERROR(VLOOKUP(B316,'Master data'!$A$1:$F$1000,2,FALSE),"")</f>
        <v/>
      </c>
      <c r="D316" s="7" t="str">
        <f>IFERROR(VLOOKUP(B316,'Master data'!$A$1:$F$1000,6,FALSE),"")</f>
        <v/>
      </c>
      <c r="F316" s="7" t="str">
        <f>IFERROR(VLOOKUP(B316,'Master data'!$A$1:$F$1000,3,FALSE),"")</f>
        <v/>
      </c>
      <c r="I316" s="16"/>
      <c r="J316" s="16"/>
      <c r="K316" s="16" t="b">
        <v>0</v>
      </c>
      <c r="L316" s="16" t="b">
        <v>0</v>
      </c>
    </row>
    <row r="317">
      <c r="A317" s="9"/>
      <c r="B317" s="16"/>
      <c r="C317" s="7" t="str">
        <f>IFERROR(VLOOKUP(B317,'Master data'!$A$1:$F$1000,2,FALSE),"")</f>
        <v/>
      </c>
      <c r="D317" s="7" t="str">
        <f>IFERROR(VLOOKUP(B317,'Master data'!$A$1:$F$1000,6,FALSE),"")</f>
        <v/>
      </c>
      <c r="F317" s="7" t="str">
        <f>IFERROR(VLOOKUP(B317,'Master data'!$A$1:$F$1000,3,FALSE),"")</f>
        <v/>
      </c>
      <c r="I317" s="16"/>
      <c r="J317" s="16"/>
      <c r="K317" s="16" t="b">
        <v>0</v>
      </c>
      <c r="L317" s="16" t="b">
        <v>0</v>
      </c>
    </row>
    <row r="318">
      <c r="A318" s="9"/>
      <c r="B318" s="16"/>
      <c r="C318" s="7" t="str">
        <f>IFERROR(VLOOKUP(B318,'Master data'!$A$1:$F$1000,2,FALSE),"")</f>
        <v/>
      </c>
      <c r="D318" s="7" t="str">
        <f>IFERROR(VLOOKUP(B318,'Master data'!$A$1:$F$1000,6,FALSE),"")</f>
        <v/>
      </c>
      <c r="F318" s="7" t="str">
        <f>IFERROR(VLOOKUP(B318,'Master data'!$A$1:$F$1000,3,FALSE),"")</f>
        <v/>
      </c>
      <c r="I318" s="16"/>
      <c r="J318" s="16"/>
      <c r="K318" s="16" t="b">
        <v>0</v>
      </c>
      <c r="L318" s="16" t="b">
        <v>0</v>
      </c>
    </row>
    <row r="319">
      <c r="A319" s="9"/>
      <c r="B319" s="16"/>
      <c r="C319" s="7" t="str">
        <f>IFERROR(VLOOKUP(B319,'Master data'!$A$1:$F$1000,2,FALSE),"")</f>
        <v/>
      </c>
      <c r="D319" s="7" t="str">
        <f>IFERROR(VLOOKUP(B319,'Master data'!$A$1:$F$1000,6,FALSE),"")</f>
        <v/>
      </c>
      <c r="F319" s="7" t="str">
        <f>IFERROR(VLOOKUP(B319,'Master data'!$A$1:$F$1000,3,FALSE),"")</f>
        <v/>
      </c>
      <c r="I319" s="16"/>
      <c r="J319" s="16"/>
      <c r="K319" s="16" t="b">
        <v>0</v>
      </c>
      <c r="L319" s="16" t="b">
        <v>0</v>
      </c>
    </row>
    <row r="320">
      <c r="A320" s="9"/>
      <c r="B320" s="16"/>
      <c r="C320" s="7" t="str">
        <f>IFERROR(VLOOKUP(B320,'Master data'!$A$1:$F$1000,2,FALSE),"")</f>
        <v/>
      </c>
      <c r="D320" s="7" t="str">
        <f>IFERROR(VLOOKUP(B320,'Master data'!$A$1:$F$1000,6,FALSE),"")</f>
        <v/>
      </c>
      <c r="F320" s="7" t="str">
        <f>IFERROR(VLOOKUP(B320,'Master data'!$A$1:$F$1000,3,FALSE),"")</f>
        <v/>
      </c>
      <c r="I320" s="16"/>
      <c r="J320" s="16"/>
      <c r="K320" s="16" t="b">
        <v>0</v>
      </c>
      <c r="L320" s="16" t="b">
        <v>0</v>
      </c>
    </row>
    <row r="321">
      <c r="A321" s="9"/>
      <c r="B321" s="16"/>
      <c r="C321" s="7" t="str">
        <f>IFERROR(VLOOKUP(B321,'Master data'!$A$1:$F$1000,2,FALSE),"")</f>
        <v/>
      </c>
      <c r="D321" s="7" t="str">
        <f>IFERROR(VLOOKUP(B321,'Master data'!$A$1:$F$1000,6,FALSE),"")</f>
        <v/>
      </c>
      <c r="F321" s="7" t="str">
        <f>IFERROR(VLOOKUP(B321,'Master data'!$A$1:$F$1000,3,FALSE),"")</f>
        <v/>
      </c>
      <c r="I321" s="16"/>
      <c r="J321" s="16"/>
      <c r="K321" s="16" t="b">
        <v>0</v>
      </c>
      <c r="L321" s="16" t="b">
        <v>0</v>
      </c>
    </row>
    <row r="322">
      <c r="A322" s="9"/>
      <c r="B322" s="16"/>
      <c r="C322" s="7" t="str">
        <f>IFERROR(VLOOKUP(B322,'Master data'!$A$1:$F$1000,2,FALSE),"")</f>
        <v/>
      </c>
      <c r="D322" s="7" t="str">
        <f>IFERROR(VLOOKUP(B322,'Master data'!$A$1:$F$1000,6,FALSE),"")</f>
        <v/>
      </c>
      <c r="F322" s="7" t="str">
        <f>IFERROR(VLOOKUP(B322,'Master data'!$A$1:$F$1000,3,FALSE),"")</f>
        <v/>
      </c>
      <c r="I322" s="16"/>
      <c r="J322" s="16"/>
      <c r="K322" s="16" t="b">
        <v>0</v>
      </c>
      <c r="L322" s="16" t="b">
        <v>0</v>
      </c>
    </row>
    <row r="323">
      <c r="A323" s="9"/>
      <c r="B323" s="16"/>
      <c r="C323" s="7" t="str">
        <f>IFERROR(VLOOKUP(B323,'Master data'!$A$1:$F$1000,2,FALSE),"")</f>
        <v/>
      </c>
      <c r="D323" s="7" t="str">
        <f>IFERROR(VLOOKUP(B323,'Master data'!$A$1:$F$1000,6,FALSE),"")</f>
        <v/>
      </c>
      <c r="F323" s="7" t="str">
        <f>IFERROR(VLOOKUP(B323,'Master data'!$A$1:$F$1000,3,FALSE),"")</f>
        <v/>
      </c>
      <c r="I323" s="16"/>
      <c r="J323" s="16"/>
      <c r="K323" s="16" t="b">
        <v>0</v>
      </c>
      <c r="L323" s="16" t="b">
        <v>0</v>
      </c>
    </row>
    <row r="324">
      <c r="A324" s="9"/>
      <c r="B324" s="16"/>
      <c r="C324" s="7" t="str">
        <f>IFERROR(VLOOKUP(B324,'Master data'!$A$1:$F$1000,2,FALSE),"")</f>
        <v/>
      </c>
      <c r="D324" s="7" t="str">
        <f>IFERROR(VLOOKUP(B324,'Master data'!$A$1:$F$1000,6,FALSE),"")</f>
        <v/>
      </c>
      <c r="F324" s="7" t="str">
        <f>IFERROR(VLOOKUP(B324,'Master data'!$A$1:$F$1000,3,FALSE),"")</f>
        <v/>
      </c>
      <c r="I324" s="16"/>
      <c r="J324" s="16"/>
      <c r="K324" s="16" t="b">
        <v>0</v>
      </c>
      <c r="L324" s="16" t="b">
        <v>0</v>
      </c>
    </row>
    <row r="325">
      <c r="A325" s="9"/>
      <c r="B325" s="16"/>
      <c r="C325" s="7" t="str">
        <f>IFERROR(VLOOKUP(B325,'Master data'!$A$1:$F$1000,2,FALSE),"")</f>
        <v/>
      </c>
      <c r="D325" s="7" t="str">
        <f>IFERROR(VLOOKUP(B325,'Master data'!$A$1:$F$1000,6,FALSE),"")</f>
        <v/>
      </c>
      <c r="F325" s="7" t="str">
        <f>IFERROR(VLOOKUP(B325,'Master data'!$A$1:$F$1000,3,FALSE),"")</f>
        <v/>
      </c>
      <c r="I325" s="16"/>
      <c r="J325" s="16"/>
      <c r="K325" s="16" t="b">
        <v>0</v>
      </c>
      <c r="L325" s="16" t="b">
        <v>0</v>
      </c>
    </row>
    <row r="326">
      <c r="A326" s="9"/>
      <c r="B326" s="16"/>
      <c r="C326" s="7" t="str">
        <f>IFERROR(VLOOKUP(B326,'Master data'!$A$1:$F$1000,2,FALSE),"")</f>
        <v/>
      </c>
      <c r="D326" s="7" t="str">
        <f>IFERROR(VLOOKUP(B326,'Master data'!$A$1:$F$1000,6,FALSE),"")</f>
        <v/>
      </c>
      <c r="F326" s="7" t="str">
        <f>IFERROR(VLOOKUP(B326,'Master data'!$A$1:$F$1000,3,FALSE),"")</f>
        <v/>
      </c>
      <c r="I326" s="16"/>
      <c r="J326" s="16"/>
      <c r="K326" s="16" t="b">
        <v>0</v>
      </c>
      <c r="L326" s="16" t="b">
        <v>0</v>
      </c>
    </row>
    <row r="327">
      <c r="A327" s="9"/>
      <c r="B327" s="16"/>
      <c r="C327" s="7" t="str">
        <f>IFERROR(VLOOKUP(B327,'Master data'!$A$1:$F$1000,2,FALSE),"")</f>
        <v/>
      </c>
      <c r="D327" s="7" t="str">
        <f>IFERROR(VLOOKUP(B327,'Master data'!$A$1:$F$1000,6,FALSE),"")</f>
        <v/>
      </c>
      <c r="F327" s="7" t="str">
        <f>IFERROR(VLOOKUP(B327,'Master data'!$A$1:$F$1000,3,FALSE),"")</f>
        <v/>
      </c>
      <c r="I327" s="16"/>
      <c r="J327" s="16"/>
      <c r="K327" s="16" t="b">
        <v>0</v>
      </c>
      <c r="L327" s="16" t="b">
        <v>0</v>
      </c>
    </row>
    <row r="328">
      <c r="A328" s="9"/>
      <c r="B328" s="16"/>
      <c r="C328" s="7" t="str">
        <f>IFERROR(VLOOKUP(B328,'Master data'!$A$1:$F$1000,2,FALSE),"")</f>
        <v/>
      </c>
      <c r="D328" s="7" t="str">
        <f>IFERROR(VLOOKUP(B328,'Master data'!$A$1:$F$1000,6,FALSE),"")</f>
        <v/>
      </c>
      <c r="F328" s="7" t="str">
        <f>IFERROR(VLOOKUP(B328,'Master data'!$A$1:$F$1000,3,FALSE),"")</f>
        <v/>
      </c>
      <c r="I328" s="16"/>
      <c r="J328" s="16"/>
      <c r="K328" s="16" t="b">
        <v>0</v>
      </c>
      <c r="L328" s="16" t="b">
        <v>0</v>
      </c>
    </row>
    <row r="329">
      <c r="A329" s="9"/>
      <c r="B329" s="16"/>
      <c r="C329" s="7" t="str">
        <f>IFERROR(VLOOKUP(B329,'Master data'!$A$1:$F$1000,2,FALSE),"")</f>
        <v/>
      </c>
      <c r="D329" s="7" t="str">
        <f>IFERROR(VLOOKUP(B329,'Master data'!$A$1:$F$1000,6,FALSE),"")</f>
        <v/>
      </c>
      <c r="F329" s="7" t="str">
        <f>IFERROR(VLOOKUP(B329,'Master data'!$A$1:$F$1000,3,FALSE),"")</f>
        <v/>
      </c>
      <c r="I329" s="16"/>
      <c r="J329" s="16"/>
      <c r="K329" s="16" t="b">
        <v>0</v>
      </c>
      <c r="L329" s="16" t="b">
        <v>0</v>
      </c>
    </row>
    <row r="330">
      <c r="A330" s="9"/>
      <c r="B330" s="16"/>
      <c r="C330" s="7" t="str">
        <f>IFERROR(VLOOKUP(B330,'Master data'!$A$1:$F$1000,2,FALSE),"")</f>
        <v/>
      </c>
      <c r="D330" s="7" t="str">
        <f>IFERROR(VLOOKUP(B330,'Master data'!$A$1:$F$1000,6,FALSE),"")</f>
        <v/>
      </c>
      <c r="F330" s="7" t="str">
        <f>IFERROR(VLOOKUP(B330,'Master data'!$A$1:$F$1000,3,FALSE),"")</f>
        <v/>
      </c>
      <c r="I330" s="16"/>
      <c r="J330" s="16"/>
      <c r="K330" s="16" t="b">
        <v>0</v>
      </c>
      <c r="L330" s="16" t="b">
        <v>0</v>
      </c>
    </row>
    <row r="331">
      <c r="A331" s="9"/>
      <c r="B331" s="16"/>
      <c r="C331" s="7" t="str">
        <f>IFERROR(VLOOKUP(B331,'Master data'!$A$1:$F$1000,2,FALSE),"")</f>
        <v/>
      </c>
      <c r="D331" s="7" t="str">
        <f>IFERROR(VLOOKUP(B331,'Master data'!$A$1:$F$1000,6,FALSE),"")</f>
        <v/>
      </c>
      <c r="F331" s="7" t="str">
        <f>IFERROR(VLOOKUP(B331,'Master data'!$A$1:$F$1000,3,FALSE),"")</f>
        <v/>
      </c>
      <c r="I331" s="16"/>
      <c r="J331" s="16"/>
      <c r="K331" s="16" t="b">
        <v>0</v>
      </c>
      <c r="L331" s="16" t="b">
        <v>0</v>
      </c>
    </row>
    <row r="332">
      <c r="A332" s="9"/>
      <c r="B332" s="16"/>
      <c r="C332" s="7" t="str">
        <f>IFERROR(VLOOKUP(B332,'Master data'!$A$1:$F$1000,2,FALSE),"")</f>
        <v/>
      </c>
      <c r="D332" s="7" t="str">
        <f>IFERROR(VLOOKUP(B332,'Master data'!$A$1:$F$1000,6,FALSE),"")</f>
        <v/>
      </c>
      <c r="F332" s="7" t="str">
        <f>IFERROR(VLOOKUP(B332,'Master data'!$A$1:$F$1000,3,FALSE),"")</f>
        <v/>
      </c>
      <c r="I332" s="16"/>
      <c r="J332" s="16"/>
      <c r="K332" s="16" t="b">
        <v>0</v>
      </c>
      <c r="L332" s="16" t="b">
        <v>0</v>
      </c>
    </row>
    <row r="333">
      <c r="A333" s="9"/>
      <c r="B333" s="16"/>
      <c r="C333" s="7" t="str">
        <f>IFERROR(VLOOKUP(B333,'Master data'!$A$1:$F$1000,2,FALSE),"")</f>
        <v/>
      </c>
      <c r="D333" s="7" t="str">
        <f>IFERROR(VLOOKUP(B333,'Master data'!$A$1:$F$1000,6,FALSE),"")</f>
        <v/>
      </c>
      <c r="F333" s="7" t="str">
        <f>IFERROR(VLOOKUP(B333,'Master data'!$A$1:$F$1000,3,FALSE),"")</f>
        <v/>
      </c>
      <c r="I333" s="16"/>
      <c r="J333" s="16"/>
      <c r="K333" s="16" t="b">
        <v>0</v>
      </c>
      <c r="L333" s="16" t="b">
        <v>0</v>
      </c>
    </row>
    <row r="334">
      <c r="A334" s="9"/>
      <c r="B334" s="16"/>
      <c r="C334" s="7" t="str">
        <f>IFERROR(VLOOKUP(B334,'Master data'!$A$1:$F$1000,2,FALSE),"")</f>
        <v/>
      </c>
      <c r="D334" s="7" t="str">
        <f>IFERROR(VLOOKUP(B334,'Master data'!$A$1:$F$1000,6,FALSE),"")</f>
        <v/>
      </c>
      <c r="F334" s="7" t="str">
        <f>IFERROR(VLOOKUP(B334,'Master data'!$A$1:$F$1000,3,FALSE),"")</f>
        <v/>
      </c>
      <c r="I334" s="16"/>
      <c r="J334" s="16"/>
      <c r="K334" s="16" t="b">
        <v>0</v>
      </c>
      <c r="L334" s="16" t="b">
        <v>0</v>
      </c>
    </row>
    <row r="335">
      <c r="A335" s="9"/>
      <c r="B335" s="16"/>
      <c r="C335" s="7" t="str">
        <f>IFERROR(VLOOKUP(B335,'Master data'!$A$1:$F$1000,2,FALSE),"")</f>
        <v/>
      </c>
      <c r="D335" s="7" t="str">
        <f>IFERROR(VLOOKUP(B335,'Master data'!$A$1:$F$1000,6,FALSE),"")</f>
        <v/>
      </c>
      <c r="F335" s="7" t="str">
        <f>IFERROR(VLOOKUP(B335,'Master data'!$A$1:$F$1000,3,FALSE),"")</f>
        <v/>
      </c>
      <c r="I335" s="16"/>
      <c r="J335" s="16"/>
      <c r="K335" s="16" t="b">
        <v>0</v>
      </c>
      <c r="L335" s="16" t="b">
        <v>0</v>
      </c>
    </row>
    <row r="336">
      <c r="A336" s="9"/>
      <c r="B336" s="16"/>
      <c r="C336" s="7" t="str">
        <f>IFERROR(VLOOKUP(B336,'Master data'!$A$1:$F$1000,2,FALSE),"")</f>
        <v/>
      </c>
      <c r="D336" s="7" t="str">
        <f>IFERROR(VLOOKUP(B336,'Master data'!$A$1:$F$1000,6,FALSE),"")</f>
        <v/>
      </c>
      <c r="F336" s="7" t="str">
        <f>IFERROR(VLOOKUP(B336,'Master data'!$A$1:$F$1000,3,FALSE),"")</f>
        <v/>
      </c>
      <c r="I336" s="16"/>
      <c r="J336" s="16"/>
      <c r="K336" s="16" t="b">
        <v>0</v>
      </c>
      <c r="L336" s="16" t="b">
        <v>0</v>
      </c>
    </row>
    <row r="337">
      <c r="A337" s="9"/>
      <c r="B337" s="16"/>
      <c r="C337" s="7" t="str">
        <f>IFERROR(VLOOKUP(B337,'Master data'!$A$1:$F$1000,2,FALSE),"")</f>
        <v/>
      </c>
      <c r="D337" s="7" t="str">
        <f>IFERROR(VLOOKUP(B337,'Master data'!$A$1:$F$1000,6,FALSE),"")</f>
        <v/>
      </c>
      <c r="F337" s="7" t="str">
        <f>IFERROR(VLOOKUP(B337,'Master data'!$A$1:$F$1000,3,FALSE),"")</f>
        <v/>
      </c>
      <c r="I337" s="16"/>
      <c r="J337" s="16"/>
      <c r="K337" s="16" t="b">
        <v>0</v>
      </c>
      <c r="L337" s="16" t="b">
        <v>0</v>
      </c>
    </row>
    <row r="338">
      <c r="A338" s="9"/>
      <c r="B338" s="16"/>
      <c r="C338" s="7" t="str">
        <f>IFERROR(VLOOKUP(B338,'Master data'!$A$1:$F$1000,2,FALSE),"")</f>
        <v/>
      </c>
      <c r="D338" s="7" t="str">
        <f>IFERROR(VLOOKUP(B338,'Master data'!$A$1:$F$1000,6,FALSE),"")</f>
        <v/>
      </c>
      <c r="F338" s="7" t="str">
        <f>IFERROR(VLOOKUP(B338,'Master data'!$A$1:$F$1000,3,FALSE),"")</f>
        <v/>
      </c>
      <c r="I338" s="16"/>
      <c r="J338" s="16"/>
      <c r="K338" s="16" t="b">
        <v>0</v>
      </c>
      <c r="L338" s="16" t="b">
        <v>0</v>
      </c>
    </row>
    <row r="339">
      <c r="A339" s="9"/>
      <c r="B339" s="16"/>
      <c r="C339" s="7" t="str">
        <f>IFERROR(VLOOKUP(B339,'Master data'!$A$1:$F$1000,2,FALSE),"")</f>
        <v/>
      </c>
      <c r="D339" s="7" t="str">
        <f>IFERROR(VLOOKUP(B339,'Master data'!$A$1:$F$1000,6,FALSE),"")</f>
        <v/>
      </c>
      <c r="F339" s="7" t="str">
        <f>IFERROR(VLOOKUP(B339,'Master data'!$A$1:$F$1000,3,FALSE),"")</f>
        <v/>
      </c>
      <c r="I339" s="16"/>
      <c r="J339" s="16"/>
      <c r="K339" s="16" t="b">
        <v>0</v>
      </c>
      <c r="L339" s="16" t="b">
        <v>0</v>
      </c>
    </row>
    <row r="340">
      <c r="A340" s="9"/>
      <c r="B340" s="16"/>
      <c r="C340" s="7" t="str">
        <f>IFERROR(VLOOKUP(B340,'Master data'!$A$1:$F$1000,2,FALSE),"")</f>
        <v/>
      </c>
      <c r="D340" s="7" t="str">
        <f>IFERROR(VLOOKUP(B340,'Master data'!$A$1:$F$1000,6,FALSE),"")</f>
        <v/>
      </c>
      <c r="F340" s="7" t="str">
        <f>IFERROR(VLOOKUP(B340,'Master data'!$A$1:$F$1000,3,FALSE),"")</f>
        <v/>
      </c>
      <c r="I340" s="16"/>
      <c r="J340" s="16"/>
      <c r="K340" s="16" t="b">
        <v>0</v>
      </c>
      <c r="L340" s="16" t="b">
        <v>0</v>
      </c>
    </row>
    <row r="341">
      <c r="A341" s="9"/>
      <c r="B341" s="16"/>
      <c r="C341" s="7" t="str">
        <f>IFERROR(VLOOKUP(B341,'Master data'!$A$1:$F$1000,2,FALSE),"")</f>
        <v/>
      </c>
      <c r="D341" s="7" t="str">
        <f>IFERROR(VLOOKUP(B341,'Master data'!$A$1:$F$1000,6,FALSE),"")</f>
        <v/>
      </c>
      <c r="F341" s="7" t="str">
        <f>IFERROR(VLOOKUP(B341,'Master data'!$A$1:$F$1000,3,FALSE),"")</f>
        <v/>
      </c>
      <c r="I341" s="16"/>
      <c r="J341" s="16"/>
      <c r="K341" s="16" t="b">
        <v>0</v>
      </c>
      <c r="L341" s="16" t="b">
        <v>0</v>
      </c>
    </row>
    <row r="342">
      <c r="A342" s="9"/>
      <c r="B342" s="16"/>
      <c r="C342" s="7" t="str">
        <f>IFERROR(VLOOKUP(B342,'Master data'!$A$1:$F$1000,2,FALSE),"")</f>
        <v/>
      </c>
      <c r="D342" s="7" t="str">
        <f>IFERROR(VLOOKUP(B342,'Master data'!$A$1:$F$1000,6,FALSE),"")</f>
        <v/>
      </c>
      <c r="F342" s="7" t="str">
        <f>IFERROR(VLOOKUP(B342,'Master data'!$A$1:$F$1000,3,FALSE),"")</f>
        <v/>
      </c>
      <c r="I342" s="16"/>
      <c r="J342" s="16"/>
      <c r="K342" s="16" t="b">
        <v>0</v>
      </c>
      <c r="L342" s="16" t="b">
        <v>0</v>
      </c>
    </row>
    <row r="343">
      <c r="A343" s="9"/>
      <c r="B343" s="16"/>
      <c r="C343" s="7" t="str">
        <f>IFERROR(VLOOKUP(B343,'Master data'!$A$1:$F$1000,2,FALSE),"")</f>
        <v/>
      </c>
      <c r="D343" s="7" t="str">
        <f>IFERROR(VLOOKUP(B343,'Master data'!$A$1:$F$1000,6,FALSE),"")</f>
        <v/>
      </c>
      <c r="F343" s="7" t="str">
        <f>IFERROR(VLOOKUP(B343,'Master data'!$A$1:$F$1000,3,FALSE),"")</f>
        <v/>
      </c>
      <c r="I343" s="16"/>
      <c r="J343" s="16"/>
      <c r="K343" s="16" t="b">
        <v>0</v>
      </c>
      <c r="L343" s="16" t="b">
        <v>0</v>
      </c>
    </row>
    <row r="344">
      <c r="A344" s="9"/>
      <c r="B344" s="16"/>
      <c r="C344" s="7" t="str">
        <f>IFERROR(VLOOKUP(B344,'Master data'!$A$1:$F$1000,2,FALSE),"")</f>
        <v/>
      </c>
      <c r="D344" s="7" t="str">
        <f>IFERROR(VLOOKUP(B344,'Master data'!$A$1:$F$1000,6,FALSE),"")</f>
        <v/>
      </c>
      <c r="F344" s="7" t="str">
        <f>IFERROR(VLOOKUP(B344,'Master data'!$A$1:$F$1000,3,FALSE),"")</f>
        <v/>
      </c>
      <c r="I344" s="16"/>
      <c r="J344" s="16"/>
      <c r="K344" s="16" t="b">
        <v>0</v>
      </c>
      <c r="L344" s="16" t="b">
        <v>0</v>
      </c>
    </row>
    <row r="345">
      <c r="A345" s="9"/>
      <c r="B345" s="16"/>
      <c r="C345" s="7" t="str">
        <f>IFERROR(VLOOKUP(B345,'Master data'!$A$1:$F$1000,2,FALSE),"")</f>
        <v/>
      </c>
      <c r="D345" s="7" t="str">
        <f>IFERROR(VLOOKUP(B345,'Master data'!$A$1:$F$1000,6,FALSE),"")</f>
        <v/>
      </c>
      <c r="F345" s="7" t="str">
        <f>IFERROR(VLOOKUP(B345,'Master data'!$A$1:$F$1000,3,FALSE),"")</f>
        <v/>
      </c>
      <c r="I345" s="16"/>
      <c r="J345" s="16"/>
      <c r="K345" s="16" t="b">
        <v>0</v>
      </c>
      <c r="L345" s="16" t="b">
        <v>0</v>
      </c>
    </row>
    <row r="346">
      <c r="A346" s="9"/>
      <c r="B346" s="16"/>
      <c r="C346" s="7" t="str">
        <f>IFERROR(VLOOKUP(B346,'Master data'!$A$1:$F$1000,2,FALSE),"")</f>
        <v/>
      </c>
      <c r="D346" s="7" t="str">
        <f>IFERROR(VLOOKUP(B346,'Master data'!$A$1:$F$1000,6,FALSE),"")</f>
        <v/>
      </c>
      <c r="F346" s="7" t="str">
        <f>IFERROR(VLOOKUP(B346,'Master data'!$A$1:$F$1000,3,FALSE),"")</f>
        <v/>
      </c>
      <c r="I346" s="16"/>
      <c r="J346" s="16"/>
      <c r="K346" s="16" t="b">
        <v>0</v>
      </c>
      <c r="L346" s="16" t="b">
        <v>0</v>
      </c>
    </row>
    <row r="347">
      <c r="A347" s="9"/>
      <c r="B347" s="16"/>
      <c r="C347" s="7" t="str">
        <f>IFERROR(VLOOKUP(B347,'Master data'!$A$1:$F$1000,2,FALSE),"")</f>
        <v/>
      </c>
      <c r="D347" s="7" t="str">
        <f>IFERROR(VLOOKUP(B347,'Master data'!$A$1:$F$1000,6,FALSE),"")</f>
        <v/>
      </c>
      <c r="F347" s="7" t="str">
        <f>IFERROR(VLOOKUP(B347,'Master data'!$A$1:$F$1000,3,FALSE),"")</f>
        <v/>
      </c>
      <c r="I347" s="16"/>
      <c r="J347" s="16"/>
      <c r="K347" s="16" t="b">
        <v>0</v>
      </c>
      <c r="L347" s="16" t="b">
        <v>0</v>
      </c>
    </row>
    <row r="348">
      <c r="A348" s="9"/>
      <c r="B348" s="16"/>
      <c r="C348" s="7" t="str">
        <f>IFERROR(VLOOKUP(B348,'Master data'!$A$1:$F$1000,2,FALSE),"")</f>
        <v/>
      </c>
      <c r="D348" s="7" t="str">
        <f>IFERROR(VLOOKUP(B348,'Master data'!$A$1:$F$1000,6,FALSE),"")</f>
        <v/>
      </c>
      <c r="F348" s="7" t="str">
        <f>IFERROR(VLOOKUP(B348,'Master data'!$A$1:$F$1000,3,FALSE),"")</f>
        <v/>
      </c>
      <c r="I348" s="16"/>
      <c r="J348" s="16"/>
      <c r="K348" s="16" t="b">
        <v>0</v>
      </c>
      <c r="L348" s="16" t="b">
        <v>0</v>
      </c>
    </row>
    <row r="349">
      <c r="A349" s="9"/>
      <c r="B349" s="16"/>
      <c r="C349" s="7" t="str">
        <f>IFERROR(VLOOKUP(B349,'Master data'!$A$1:$F$1000,2,FALSE),"")</f>
        <v/>
      </c>
      <c r="D349" s="7" t="str">
        <f>IFERROR(VLOOKUP(B349,'Master data'!$A$1:$F$1000,6,FALSE),"")</f>
        <v/>
      </c>
      <c r="F349" s="7" t="str">
        <f>IFERROR(VLOOKUP(B349,'Master data'!$A$1:$F$1000,3,FALSE),"")</f>
        <v/>
      </c>
      <c r="I349" s="16"/>
      <c r="J349" s="16"/>
      <c r="K349" s="16" t="b">
        <v>0</v>
      </c>
      <c r="L349" s="16" t="b">
        <v>0</v>
      </c>
    </row>
    <row r="350">
      <c r="A350" s="9"/>
      <c r="B350" s="16"/>
      <c r="C350" s="7" t="str">
        <f>IFERROR(VLOOKUP(B350,'Master data'!$A$1:$F$1000,2,FALSE),"")</f>
        <v/>
      </c>
      <c r="D350" s="7" t="str">
        <f>IFERROR(VLOOKUP(B350,'Master data'!$A$1:$F$1000,6,FALSE),"")</f>
        <v/>
      </c>
      <c r="F350" s="7" t="str">
        <f>IFERROR(VLOOKUP(B350,'Master data'!$A$1:$F$1000,3,FALSE),"")</f>
        <v/>
      </c>
      <c r="I350" s="16"/>
      <c r="J350" s="16"/>
      <c r="K350" s="16" t="b">
        <v>0</v>
      </c>
      <c r="L350" s="16" t="b">
        <v>0</v>
      </c>
    </row>
    <row r="351">
      <c r="A351" s="9"/>
      <c r="B351" s="16"/>
      <c r="C351" s="7" t="str">
        <f>IFERROR(VLOOKUP(B351,'Master data'!$A$1:$F$1000,2,FALSE),"")</f>
        <v/>
      </c>
      <c r="D351" s="7" t="str">
        <f>IFERROR(VLOOKUP(B351,'Master data'!$A$1:$F$1000,6,FALSE),"")</f>
        <v/>
      </c>
      <c r="F351" s="7" t="str">
        <f>IFERROR(VLOOKUP(B351,'Master data'!$A$1:$F$1000,3,FALSE),"")</f>
        <v/>
      </c>
      <c r="I351" s="16"/>
      <c r="J351" s="16"/>
      <c r="K351" s="16" t="b">
        <v>0</v>
      </c>
      <c r="L351" s="16" t="b">
        <v>0</v>
      </c>
    </row>
    <row r="352">
      <c r="A352" s="9"/>
      <c r="B352" s="16"/>
      <c r="C352" s="7" t="str">
        <f>IFERROR(VLOOKUP(B352,'Master data'!$A$1:$F$1000,2,FALSE),"")</f>
        <v/>
      </c>
      <c r="D352" s="7" t="str">
        <f>IFERROR(VLOOKUP(B352,'Master data'!$A$1:$F$1000,6,FALSE),"")</f>
        <v/>
      </c>
      <c r="F352" s="7" t="str">
        <f>IFERROR(VLOOKUP(B352,'Master data'!$A$1:$F$1000,3,FALSE),"")</f>
        <v/>
      </c>
      <c r="I352" s="16"/>
      <c r="J352" s="16"/>
      <c r="K352" s="16" t="b">
        <v>0</v>
      </c>
      <c r="L352" s="16" t="b">
        <v>0</v>
      </c>
    </row>
    <row r="353">
      <c r="A353" s="9"/>
      <c r="B353" s="16"/>
      <c r="C353" s="7" t="str">
        <f>IFERROR(VLOOKUP(B353,'Master data'!$A$1:$F$1000,2,FALSE),"")</f>
        <v/>
      </c>
      <c r="D353" s="7" t="str">
        <f>IFERROR(VLOOKUP(B353,'Master data'!$A$1:$F$1000,6,FALSE),"")</f>
        <v/>
      </c>
      <c r="F353" s="7" t="str">
        <f>IFERROR(VLOOKUP(B353,'Master data'!$A$1:$F$1000,3,FALSE),"")</f>
        <v/>
      </c>
      <c r="I353" s="16"/>
      <c r="J353" s="16"/>
      <c r="K353" s="16" t="b">
        <v>0</v>
      </c>
      <c r="L353" s="16" t="b">
        <v>0</v>
      </c>
    </row>
    <row r="354">
      <c r="A354" s="9"/>
      <c r="B354" s="16"/>
      <c r="C354" s="7" t="str">
        <f>IFERROR(VLOOKUP(B354,'Master data'!$A$1:$F$1000,2,FALSE),"")</f>
        <v/>
      </c>
      <c r="D354" s="7" t="str">
        <f>IFERROR(VLOOKUP(B354,'Master data'!$A$1:$F$1000,6,FALSE),"")</f>
        <v/>
      </c>
      <c r="F354" s="7" t="str">
        <f>IFERROR(VLOOKUP(B354,'Master data'!$A$1:$F$1000,3,FALSE),"")</f>
        <v/>
      </c>
      <c r="I354" s="16"/>
      <c r="J354" s="16"/>
      <c r="K354" s="16" t="b">
        <v>0</v>
      </c>
      <c r="L354" s="16" t="b">
        <v>0</v>
      </c>
    </row>
    <row r="355">
      <c r="A355" s="9"/>
      <c r="B355" s="16"/>
      <c r="C355" s="7" t="str">
        <f>IFERROR(VLOOKUP(B355,'Master data'!$A$1:$F$1000,2,FALSE),"")</f>
        <v/>
      </c>
      <c r="D355" s="7" t="str">
        <f>IFERROR(VLOOKUP(B355,'Master data'!$A$1:$F$1000,6,FALSE),"")</f>
        <v/>
      </c>
      <c r="F355" s="7" t="str">
        <f>IFERROR(VLOOKUP(B355,'Master data'!$A$1:$F$1000,3,FALSE),"")</f>
        <v/>
      </c>
      <c r="I355" s="16"/>
      <c r="J355" s="16"/>
      <c r="K355" s="16" t="b">
        <v>0</v>
      </c>
      <c r="L355" s="16" t="b">
        <v>0</v>
      </c>
    </row>
    <row r="356">
      <c r="A356" s="9"/>
      <c r="B356" s="16"/>
      <c r="C356" s="7" t="str">
        <f>IFERROR(VLOOKUP(B356,'Master data'!$A$1:$F$1000,2,FALSE),"")</f>
        <v/>
      </c>
      <c r="D356" s="7" t="str">
        <f>IFERROR(VLOOKUP(B356,'Master data'!$A$1:$F$1000,6,FALSE),"")</f>
        <v/>
      </c>
      <c r="F356" s="7" t="str">
        <f>IFERROR(VLOOKUP(B356,'Master data'!$A$1:$F$1000,3,FALSE),"")</f>
        <v/>
      </c>
      <c r="I356" s="16"/>
      <c r="J356" s="16"/>
      <c r="K356" s="16" t="b">
        <v>0</v>
      </c>
      <c r="L356" s="16" t="b">
        <v>0</v>
      </c>
    </row>
    <row r="357">
      <c r="A357" s="9"/>
      <c r="B357" s="16"/>
      <c r="C357" s="7" t="str">
        <f>IFERROR(VLOOKUP(B357,'Master data'!$A$1:$F$1000,2,FALSE),"")</f>
        <v/>
      </c>
      <c r="D357" s="7" t="str">
        <f>IFERROR(VLOOKUP(B357,'Master data'!$A$1:$F$1000,6,FALSE),"")</f>
        <v/>
      </c>
      <c r="F357" s="7" t="str">
        <f>IFERROR(VLOOKUP(B357,'Master data'!$A$1:$F$1000,3,FALSE),"")</f>
        <v/>
      </c>
      <c r="I357" s="16"/>
      <c r="J357" s="16"/>
      <c r="K357" s="16" t="b">
        <v>0</v>
      </c>
      <c r="L357" s="16" t="b">
        <v>0</v>
      </c>
    </row>
    <row r="358">
      <c r="A358" s="9"/>
      <c r="B358" s="16"/>
      <c r="C358" s="7" t="str">
        <f>IFERROR(VLOOKUP(B358,'Master data'!$A$1:$F$1000,2,FALSE),"")</f>
        <v/>
      </c>
      <c r="D358" s="7" t="str">
        <f>IFERROR(VLOOKUP(B358,'Master data'!$A$1:$F$1000,6,FALSE),"")</f>
        <v/>
      </c>
      <c r="F358" s="7" t="str">
        <f>IFERROR(VLOOKUP(B358,'Master data'!$A$1:$F$1000,3,FALSE),"")</f>
        <v/>
      </c>
      <c r="I358" s="16"/>
      <c r="J358" s="16"/>
      <c r="K358" s="16" t="b">
        <v>0</v>
      </c>
      <c r="L358" s="16" t="b">
        <v>0</v>
      </c>
    </row>
    <row r="359">
      <c r="A359" s="9"/>
      <c r="B359" s="16"/>
      <c r="C359" s="7" t="str">
        <f>IFERROR(VLOOKUP(B359,'Master data'!$A$1:$F$1000,2,FALSE),"")</f>
        <v/>
      </c>
      <c r="D359" s="7" t="str">
        <f>IFERROR(VLOOKUP(B359,'Master data'!$A$1:$F$1000,6,FALSE),"")</f>
        <v/>
      </c>
      <c r="F359" s="7" t="str">
        <f>IFERROR(VLOOKUP(B359,'Master data'!$A$1:$F$1000,3,FALSE),"")</f>
        <v/>
      </c>
      <c r="I359" s="16"/>
      <c r="J359" s="16"/>
      <c r="K359" s="16" t="b">
        <v>0</v>
      </c>
      <c r="L359" s="16" t="b">
        <v>0</v>
      </c>
    </row>
    <row r="360">
      <c r="A360" s="9"/>
      <c r="B360" s="16"/>
      <c r="C360" s="7" t="str">
        <f>IFERROR(VLOOKUP(B360,'Master data'!$A$1:$F$1000,2,FALSE),"")</f>
        <v/>
      </c>
      <c r="D360" s="7" t="str">
        <f>IFERROR(VLOOKUP(B360,'Master data'!$A$1:$F$1000,6,FALSE),"")</f>
        <v/>
      </c>
      <c r="F360" s="7" t="str">
        <f>IFERROR(VLOOKUP(B360,'Master data'!$A$1:$F$1000,3,FALSE),"")</f>
        <v/>
      </c>
      <c r="I360" s="16"/>
      <c r="J360" s="16"/>
      <c r="K360" s="16" t="b">
        <v>0</v>
      </c>
      <c r="L360" s="16" t="b">
        <v>0</v>
      </c>
    </row>
    <row r="361">
      <c r="A361" s="9"/>
      <c r="B361" s="16"/>
      <c r="C361" s="7" t="str">
        <f>IFERROR(VLOOKUP(B361,'Master data'!$A$1:$F$1000,2,FALSE),"")</f>
        <v/>
      </c>
      <c r="D361" s="7" t="str">
        <f>IFERROR(VLOOKUP(B361,'Master data'!$A$1:$F$1000,6,FALSE),"")</f>
        <v/>
      </c>
      <c r="F361" s="7" t="str">
        <f>IFERROR(VLOOKUP(B361,'Master data'!$A$1:$F$1000,3,FALSE),"")</f>
        <v/>
      </c>
      <c r="I361" s="16"/>
      <c r="J361" s="16"/>
      <c r="K361" s="16" t="b">
        <v>0</v>
      </c>
      <c r="L361" s="16" t="b">
        <v>0</v>
      </c>
    </row>
    <row r="362">
      <c r="A362" s="9"/>
      <c r="B362" s="16"/>
      <c r="C362" s="7" t="str">
        <f>IFERROR(VLOOKUP(B362,'Master data'!$A$1:$F$1000,2,FALSE),"")</f>
        <v/>
      </c>
      <c r="D362" s="7" t="str">
        <f>IFERROR(VLOOKUP(B362,'Master data'!$A$1:$F$1000,6,FALSE),"")</f>
        <v/>
      </c>
      <c r="F362" s="7" t="str">
        <f>IFERROR(VLOOKUP(B362,'Master data'!$A$1:$F$1000,3,FALSE),"")</f>
        <v/>
      </c>
      <c r="I362" s="16"/>
      <c r="J362" s="16"/>
      <c r="K362" s="16" t="b">
        <v>0</v>
      </c>
      <c r="L362" s="16" t="b">
        <v>0</v>
      </c>
    </row>
    <row r="363">
      <c r="A363" s="9"/>
      <c r="B363" s="16"/>
      <c r="C363" s="7" t="str">
        <f>IFERROR(VLOOKUP(B363,'Master data'!$A$1:$F$1000,2,FALSE),"")</f>
        <v/>
      </c>
      <c r="D363" s="7" t="str">
        <f>IFERROR(VLOOKUP(B363,'Master data'!$A$1:$F$1000,6,FALSE),"")</f>
        <v/>
      </c>
      <c r="F363" s="7" t="str">
        <f>IFERROR(VLOOKUP(B363,'Master data'!$A$1:$F$1000,3,FALSE),"")</f>
        <v/>
      </c>
      <c r="I363" s="16"/>
      <c r="J363" s="16"/>
      <c r="K363" s="16" t="b">
        <v>0</v>
      </c>
      <c r="L363" s="16" t="b">
        <v>0</v>
      </c>
    </row>
    <row r="364">
      <c r="A364" s="9"/>
      <c r="B364" s="16"/>
      <c r="C364" s="7" t="str">
        <f>IFERROR(VLOOKUP(B364,'Master data'!$A$1:$F$1000,2,FALSE),"")</f>
        <v/>
      </c>
      <c r="D364" s="7" t="str">
        <f>IFERROR(VLOOKUP(B364,'Master data'!$A$1:$F$1000,6,FALSE),"")</f>
        <v/>
      </c>
      <c r="F364" s="7" t="str">
        <f>IFERROR(VLOOKUP(B364,'Master data'!$A$1:$F$1000,3,FALSE),"")</f>
        <v/>
      </c>
      <c r="I364" s="16"/>
      <c r="J364" s="16"/>
      <c r="K364" s="16" t="b">
        <v>0</v>
      </c>
      <c r="L364" s="16" t="b">
        <v>0</v>
      </c>
    </row>
    <row r="365">
      <c r="A365" s="9"/>
      <c r="B365" s="16"/>
      <c r="C365" s="7" t="str">
        <f>IFERROR(VLOOKUP(B365,'Master data'!$A$1:$F$1000,2,FALSE),"")</f>
        <v/>
      </c>
      <c r="D365" s="7" t="str">
        <f>IFERROR(VLOOKUP(B365,'Master data'!$A$1:$F$1000,6,FALSE),"")</f>
        <v/>
      </c>
      <c r="F365" s="7" t="str">
        <f>IFERROR(VLOOKUP(B365,'Master data'!$A$1:$F$1000,3,FALSE),"")</f>
        <v/>
      </c>
      <c r="I365" s="16"/>
      <c r="J365" s="16"/>
      <c r="K365" s="16" t="b">
        <v>0</v>
      </c>
      <c r="L365" s="16" t="b">
        <v>0</v>
      </c>
    </row>
    <row r="366">
      <c r="A366" s="9"/>
      <c r="B366" s="16"/>
      <c r="C366" s="7" t="str">
        <f>IFERROR(VLOOKUP(B366,'Master data'!$A$1:$F$1000,2,FALSE),"")</f>
        <v/>
      </c>
      <c r="D366" s="7" t="str">
        <f>IFERROR(VLOOKUP(B366,'Master data'!$A$1:$F$1000,6,FALSE),"")</f>
        <v/>
      </c>
      <c r="F366" s="7" t="str">
        <f>IFERROR(VLOOKUP(B366,'Master data'!$A$1:$F$1000,3,FALSE),"")</f>
        <v/>
      </c>
      <c r="I366" s="16"/>
      <c r="J366" s="16"/>
      <c r="K366" s="16" t="b">
        <v>0</v>
      </c>
      <c r="L366" s="16" t="b">
        <v>0</v>
      </c>
    </row>
    <row r="367">
      <c r="A367" s="9"/>
      <c r="B367" s="16"/>
      <c r="C367" s="7" t="str">
        <f>IFERROR(VLOOKUP(B367,'Master data'!$A$1:$F$1000,2,FALSE),"")</f>
        <v/>
      </c>
      <c r="D367" s="7" t="str">
        <f>IFERROR(VLOOKUP(B367,'Master data'!$A$1:$F$1000,6,FALSE),"")</f>
        <v/>
      </c>
      <c r="F367" s="7" t="str">
        <f>IFERROR(VLOOKUP(B367,'Master data'!$A$1:$F$1000,3,FALSE),"")</f>
        <v/>
      </c>
      <c r="I367" s="16"/>
      <c r="J367" s="16"/>
      <c r="K367" s="16" t="b">
        <v>0</v>
      </c>
      <c r="L367" s="16" t="b">
        <v>0</v>
      </c>
    </row>
    <row r="368">
      <c r="A368" s="9"/>
      <c r="B368" s="16"/>
      <c r="C368" s="7" t="str">
        <f>IFERROR(VLOOKUP(B368,'Master data'!$A$1:$F$1000,2,FALSE),"")</f>
        <v/>
      </c>
      <c r="D368" s="7" t="str">
        <f>IFERROR(VLOOKUP(B368,'Master data'!$A$1:$F$1000,6,FALSE),"")</f>
        <v/>
      </c>
      <c r="F368" s="7" t="str">
        <f>IFERROR(VLOOKUP(B368,'Master data'!$A$1:$F$1000,3,FALSE),"")</f>
        <v/>
      </c>
      <c r="I368" s="16"/>
      <c r="J368" s="16"/>
      <c r="K368" s="16" t="b">
        <v>0</v>
      </c>
      <c r="L368" s="16" t="b">
        <v>0</v>
      </c>
    </row>
    <row r="369">
      <c r="A369" s="9"/>
      <c r="B369" s="16"/>
      <c r="C369" s="7" t="str">
        <f>IFERROR(VLOOKUP(B369,'Master data'!$A$1:$F$1000,2,FALSE),"")</f>
        <v/>
      </c>
      <c r="D369" s="7" t="str">
        <f>IFERROR(VLOOKUP(B369,'Master data'!$A$1:$F$1000,6,FALSE),"")</f>
        <v/>
      </c>
      <c r="F369" s="7" t="str">
        <f>IFERROR(VLOOKUP(B369,'Master data'!$A$1:$F$1000,3,FALSE),"")</f>
        <v/>
      </c>
      <c r="I369" s="16"/>
      <c r="J369" s="16"/>
      <c r="K369" s="16" t="b">
        <v>0</v>
      </c>
      <c r="L369" s="16" t="b">
        <v>0</v>
      </c>
    </row>
    <row r="370">
      <c r="A370" s="9"/>
      <c r="B370" s="16"/>
      <c r="C370" s="7" t="str">
        <f>IFERROR(VLOOKUP(B370,'Master data'!$A$1:$F$1000,2,FALSE),"")</f>
        <v/>
      </c>
      <c r="D370" s="7" t="str">
        <f>IFERROR(VLOOKUP(B370,'Master data'!$A$1:$F$1000,6,FALSE),"")</f>
        <v/>
      </c>
      <c r="F370" s="7" t="str">
        <f>IFERROR(VLOOKUP(B370,'Master data'!$A$1:$F$1000,3,FALSE),"")</f>
        <v/>
      </c>
      <c r="I370" s="16"/>
      <c r="J370" s="16"/>
      <c r="K370" s="16" t="b">
        <v>0</v>
      </c>
      <c r="L370" s="16" t="b">
        <v>0</v>
      </c>
    </row>
    <row r="371">
      <c r="A371" s="9"/>
      <c r="B371" s="16"/>
      <c r="C371" s="7" t="str">
        <f>IFERROR(VLOOKUP(B371,'Master data'!$A$1:$F$1000,2,FALSE),"")</f>
        <v/>
      </c>
      <c r="D371" s="7" t="str">
        <f>IFERROR(VLOOKUP(B371,'Master data'!$A$1:$F$1000,6,FALSE),"")</f>
        <v/>
      </c>
      <c r="F371" s="7" t="str">
        <f>IFERROR(VLOOKUP(B371,'Master data'!$A$1:$F$1000,3,FALSE),"")</f>
        <v/>
      </c>
      <c r="I371" s="16"/>
      <c r="J371" s="16"/>
      <c r="K371" s="16" t="b">
        <v>0</v>
      </c>
      <c r="L371" s="16" t="b">
        <v>0</v>
      </c>
    </row>
    <row r="372">
      <c r="A372" s="9"/>
      <c r="B372" s="16"/>
      <c r="C372" s="7" t="str">
        <f>IFERROR(VLOOKUP(B372,'Master data'!$A$1:$F$1000,2,FALSE),"")</f>
        <v/>
      </c>
      <c r="D372" s="7" t="str">
        <f>IFERROR(VLOOKUP(B372,'Master data'!$A$1:$F$1000,6,FALSE),"")</f>
        <v/>
      </c>
      <c r="F372" s="7" t="str">
        <f>IFERROR(VLOOKUP(B372,'Master data'!$A$1:$F$1000,3,FALSE),"")</f>
        <v/>
      </c>
      <c r="I372" s="16"/>
      <c r="J372" s="16"/>
      <c r="K372" s="16" t="b">
        <v>0</v>
      </c>
      <c r="L372" s="16" t="b">
        <v>0</v>
      </c>
    </row>
    <row r="373">
      <c r="A373" s="9"/>
      <c r="B373" s="16"/>
      <c r="C373" s="7" t="str">
        <f>IFERROR(VLOOKUP(B373,'Master data'!$A$1:$F$1000,2,FALSE),"")</f>
        <v/>
      </c>
      <c r="D373" s="7" t="str">
        <f>IFERROR(VLOOKUP(B373,'Master data'!$A$1:$F$1000,6,FALSE),"")</f>
        <v/>
      </c>
      <c r="F373" s="7" t="str">
        <f>IFERROR(VLOOKUP(B373,'Master data'!$A$1:$F$1000,3,FALSE),"")</f>
        <v/>
      </c>
      <c r="I373" s="16"/>
      <c r="J373" s="16"/>
      <c r="K373" s="16" t="b">
        <v>0</v>
      </c>
      <c r="L373" s="16" t="b">
        <v>0</v>
      </c>
    </row>
    <row r="374">
      <c r="A374" s="9"/>
      <c r="B374" s="16"/>
      <c r="C374" s="7" t="str">
        <f>IFERROR(VLOOKUP(B374,'Master data'!$A$1:$F$1000,2,FALSE),"")</f>
        <v/>
      </c>
      <c r="D374" s="7" t="str">
        <f>IFERROR(VLOOKUP(B374,'Master data'!$A$1:$F$1000,6,FALSE),"")</f>
        <v/>
      </c>
      <c r="F374" s="7" t="str">
        <f>IFERROR(VLOOKUP(B374,'Master data'!$A$1:$F$1000,3,FALSE),"")</f>
        <v/>
      </c>
      <c r="I374" s="16"/>
      <c r="J374" s="16"/>
      <c r="K374" s="16" t="b">
        <v>0</v>
      </c>
      <c r="L374" s="16" t="b">
        <v>0</v>
      </c>
    </row>
    <row r="375">
      <c r="A375" s="9"/>
      <c r="B375" s="16"/>
      <c r="C375" s="7" t="str">
        <f>IFERROR(VLOOKUP(B375,'Master data'!$A$1:$F$1000,2,FALSE),"")</f>
        <v/>
      </c>
      <c r="D375" s="7" t="str">
        <f>IFERROR(VLOOKUP(B375,'Master data'!$A$1:$F$1000,6,FALSE),"")</f>
        <v/>
      </c>
      <c r="F375" s="7" t="str">
        <f>IFERROR(VLOOKUP(B375,'Master data'!$A$1:$F$1000,3,FALSE),"")</f>
        <v/>
      </c>
      <c r="I375" s="16"/>
      <c r="J375" s="16"/>
      <c r="K375" s="16" t="b">
        <v>0</v>
      </c>
      <c r="L375" s="16" t="b">
        <v>0</v>
      </c>
    </row>
    <row r="376">
      <c r="A376" s="9"/>
      <c r="B376" s="16"/>
      <c r="C376" s="7" t="str">
        <f>IFERROR(VLOOKUP(B376,'Master data'!$A$1:$F$1000,2,FALSE),"")</f>
        <v/>
      </c>
      <c r="D376" s="7" t="str">
        <f>IFERROR(VLOOKUP(B376,'Master data'!$A$1:$F$1000,6,FALSE),"")</f>
        <v/>
      </c>
      <c r="F376" s="7" t="str">
        <f>IFERROR(VLOOKUP(B376,'Master data'!$A$1:$F$1000,3,FALSE),"")</f>
        <v/>
      </c>
      <c r="I376" s="16"/>
      <c r="J376" s="16"/>
      <c r="K376" s="16" t="b">
        <v>0</v>
      </c>
      <c r="L376" s="16" t="b">
        <v>0</v>
      </c>
    </row>
    <row r="377">
      <c r="A377" s="9"/>
      <c r="B377" s="16"/>
      <c r="C377" s="7" t="str">
        <f>IFERROR(VLOOKUP(B377,'Master data'!$A$1:$F$1000,2,FALSE),"")</f>
        <v/>
      </c>
      <c r="D377" s="7" t="str">
        <f>IFERROR(VLOOKUP(B377,'Master data'!$A$1:$F$1000,6,FALSE),"")</f>
        <v/>
      </c>
      <c r="F377" s="7" t="str">
        <f>IFERROR(VLOOKUP(B377,'Master data'!$A$1:$F$1000,3,FALSE),"")</f>
        <v/>
      </c>
      <c r="I377" s="16"/>
      <c r="J377" s="16"/>
      <c r="K377" s="16" t="b">
        <v>0</v>
      </c>
      <c r="L377" s="16" t="b">
        <v>0</v>
      </c>
    </row>
    <row r="378">
      <c r="A378" s="9"/>
      <c r="B378" s="16"/>
      <c r="C378" s="7" t="str">
        <f>IFERROR(VLOOKUP(B378,'Master data'!$A$1:$F$1000,2,FALSE),"")</f>
        <v/>
      </c>
      <c r="D378" s="7" t="str">
        <f>IFERROR(VLOOKUP(B378,'Master data'!$A$1:$F$1000,6,FALSE),"")</f>
        <v/>
      </c>
      <c r="F378" s="7" t="str">
        <f>IFERROR(VLOOKUP(B378,'Master data'!$A$1:$F$1000,3,FALSE),"")</f>
        <v/>
      </c>
      <c r="I378" s="16"/>
      <c r="J378" s="16"/>
      <c r="K378" s="16" t="b">
        <v>0</v>
      </c>
      <c r="L378" s="16" t="b">
        <v>0</v>
      </c>
    </row>
    <row r="379">
      <c r="A379" s="9"/>
      <c r="B379" s="16"/>
      <c r="C379" s="7" t="str">
        <f>IFERROR(VLOOKUP(B379,'Master data'!$A$1:$F$1000,2,FALSE),"")</f>
        <v/>
      </c>
      <c r="D379" s="7" t="str">
        <f>IFERROR(VLOOKUP(B379,'Master data'!$A$1:$F$1000,6,FALSE),"")</f>
        <v/>
      </c>
      <c r="F379" s="7" t="str">
        <f>IFERROR(VLOOKUP(B379,'Master data'!$A$1:$F$1000,3,FALSE),"")</f>
        <v/>
      </c>
      <c r="I379" s="16"/>
      <c r="J379" s="16"/>
      <c r="K379" s="16" t="b">
        <v>0</v>
      </c>
      <c r="L379" s="16" t="b">
        <v>0</v>
      </c>
    </row>
    <row r="380">
      <c r="A380" s="9"/>
      <c r="B380" s="16"/>
      <c r="C380" s="7" t="str">
        <f>IFERROR(VLOOKUP(B380,'Master data'!$A$1:$F$1000,2,FALSE),"")</f>
        <v/>
      </c>
      <c r="D380" s="7" t="str">
        <f>IFERROR(VLOOKUP(B380,'Master data'!$A$1:$F$1000,6,FALSE),"")</f>
        <v/>
      </c>
      <c r="F380" s="7" t="str">
        <f>IFERROR(VLOOKUP(B380,'Master data'!$A$1:$F$1000,3,FALSE),"")</f>
        <v/>
      </c>
      <c r="I380" s="16"/>
      <c r="J380" s="16"/>
      <c r="K380" s="16" t="b">
        <v>0</v>
      </c>
      <c r="L380" s="16" t="b">
        <v>0</v>
      </c>
    </row>
    <row r="381">
      <c r="A381" s="9"/>
      <c r="B381" s="16"/>
      <c r="C381" s="7" t="str">
        <f>IFERROR(VLOOKUP(B381,'Master data'!$A$1:$F$1000,2,FALSE),"")</f>
        <v/>
      </c>
      <c r="D381" s="7" t="str">
        <f>IFERROR(VLOOKUP(B381,'Master data'!$A$1:$F$1000,6,FALSE),"")</f>
        <v/>
      </c>
      <c r="F381" s="7" t="str">
        <f>IFERROR(VLOOKUP(B381,'Master data'!$A$1:$F$1000,3,FALSE),"")</f>
        <v/>
      </c>
      <c r="I381" s="16"/>
      <c r="J381" s="16"/>
      <c r="K381" s="16" t="b">
        <v>0</v>
      </c>
      <c r="L381" s="16" t="b">
        <v>0</v>
      </c>
    </row>
    <row r="382">
      <c r="A382" s="9"/>
      <c r="B382" s="16"/>
      <c r="C382" s="7" t="str">
        <f>IFERROR(VLOOKUP(B382,'Master data'!$A$1:$F$1000,2,FALSE),"")</f>
        <v/>
      </c>
      <c r="D382" s="7" t="str">
        <f>IFERROR(VLOOKUP(B382,'Master data'!$A$1:$F$1000,6,FALSE),"")</f>
        <v/>
      </c>
      <c r="F382" s="7" t="str">
        <f>IFERROR(VLOOKUP(B382,'Master data'!$A$1:$F$1000,3,FALSE),"")</f>
        <v/>
      </c>
      <c r="I382" s="16"/>
      <c r="J382" s="16"/>
      <c r="K382" s="16" t="b">
        <v>0</v>
      </c>
      <c r="L382" s="16" t="b">
        <v>0</v>
      </c>
    </row>
    <row r="383">
      <c r="A383" s="9"/>
      <c r="B383" s="16"/>
      <c r="C383" s="7" t="str">
        <f>IFERROR(VLOOKUP(B383,'Master data'!$A$1:$F$1000,2,FALSE),"")</f>
        <v/>
      </c>
      <c r="D383" s="7" t="str">
        <f>IFERROR(VLOOKUP(B383,'Master data'!$A$1:$F$1000,6,FALSE),"")</f>
        <v/>
      </c>
      <c r="F383" s="7" t="str">
        <f>IFERROR(VLOOKUP(B383,'Master data'!$A$1:$F$1000,3,FALSE),"")</f>
        <v/>
      </c>
      <c r="I383" s="16"/>
      <c r="J383" s="16"/>
      <c r="K383" s="16" t="b">
        <v>0</v>
      </c>
      <c r="L383" s="16" t="b">
        <v>0</v>
      </c>
    </row>
    <row r="384">
      <c r="A384" s="9"/>
      <c r="B384" s="16"/>
      <c r="C384" s="7" t="str">
        <f>IFERROR(VLOOKUP(B384,'Master data'!$A$1:$F$1000,2,FALSE),"")</f>
        <v/>
      </c>
      <c r="D384" s="7" t="str">
        <f>IFERROR(VLOOKUP(B384,'Master data'!$A$1:$F$1000,6,FALSE),"")</f>
        <v/>
      </c>
      <c r="F384" s="7" t="str">
        <f>IFERROR(VLOOKUP(B384,'Master data'!$A$1:$F$1000,3,FALSE),"")</f>
        <v/>
      </c>
      <c r="I384" s="16"/>
      <c r="J384" s="16"/>
      <c r="K384" s="16" t="b">
        <v>0</v>
      </c>
      <c r="L384" s="16" t="b">
        <v>0</v>
      </c>
    </row>
    <row r="385">
      <c r="A385" s="9"/>
      <c r="B385" s="16"/>
      <c r="C385" s="7" t="str">
        <f>IFERROR(VLOOKUP(B385,'Master data'!$A$1:$F$1000,2,FALSE),"")</f>
        <v/>
      </c>
      <c r="D385" s="7" t="str">
        <f>IFERROR(VLOOKUP(B385,'Master data'!$A$1:$F$1000,6,FALSE),"")</f>
        <v/>
      </c>
      <c r="F385" s="7" t="str">
        <f>IFERROR(VLOOKUP(B385,'Master data'!$A$1:$F$1000,3,FALSE),"")</f>
        <v/>
      </c>
      <c r="I385" s="16"/>
      <c r="J385" s="16"/>
      <c r="K385" s="16" t="b">
        <v>0</v>
      </c>
      <c r="L385" s="16" t="b">
        <v>0</v>
      </c>
    </row>
    <row r="386">
      <c r="A386" s="9"/>
      <c r="B386" s="16"/>
      <c r="C386" s="7" t="str">
        <f>IFERROR(VLOOKUP(B386,'Master data'!$A$1:$F$1000,2,FALSE),"")</f>
        <v/>
      </c>
      <c r="D386" s="7" t="str">
        <f>IFERROR(VLOOKUP(B386,'Master data'!$A$1:$F$1000,6,FALSE),"")</f>
        <v/>
      </c>
      <c r="F386" s="7" t="str">
        <f>IFERROR(VLOOKUP(B386,'Master data'!$A$1:$F$1000,3,FALSE),"")</f>
        <v/>
      </c>
      <c r="I386" s="16"/>
      <c r="J386" s="16"/>
      <c r="K386" s="16" t="b">
        <v>0</v>
      </c>
      <c r="L386" s="16" t="b">
        <v>0</v>
      </c>
    </row>
    <row r="387">
      <c r="A387" s="9"/>
      <c r="B387" s="16"/>
      <c r="C387" s="7" t="str">
        <f>IFERROR(VLOOKUP(B387,'Master data'!$A$1:$F$1000,2,FALSE),"")</f>
        <v/>
      </c>
      <c r="D387" s="7" t="str">
        <f>IFERROR(VLOOKUP(B387,'Master data'!$A$1:$F$1000,6,FALSE),"")</f>
        <v/>
      </c>
      <c r="F387" s="7" t="str">
        <f>IFERROR(VLOOKUP(B387,'Master data'!$A$1:$F$1000,3,FALSE),"")</f>
        <v/>
      </c>
      <c r="I387" s="16"/>
      <c r="J387" s="16"/>
      <c r="K387" s="16" t="b">
        <v>0</v>
      </c>
      <c r="L387" s="16" t="b">
        <v>0</v>
      </c>
    </row>
    <row r="388">
      <c r="A388" s="9"/>
      <c r="B388" s="16"/>
      <c r="C388" s="7" t="str">
        <f>IFERROR(VLOOKUP(B388,'Master data'!$A$1:$F$1000,2,FALSE),"")</f>
        <v/>
      </c>
      <c r="D388" s="7" t="str">
        <f>IFERROR(VLOOKUP(B388,'Master data'!$A$1:$F$1000,6,FALSE),"")</f>
        <v/>
      </c>
      <c r="F388" s="7" t="str">
        <f>IFERROR(VLOOKUP(B388,'Master data'!$A$1:$F$1000,3,FALSE),"")</f>
        <v/>
      </c>
      <c r="I388" s="16"/>
      <c r="J388" s="16"/>
      <c r="K388" s="16" t="b">
        <v>0</v>
      </c>
      <c r="L388" s="16" t="b">
        <v>0</v>
      </c>
    </row>
    <row r="389">
      <c r="A389" s="9"/>
      <c r="B389" s="16"/>
      <c r="C389" s="7" t="str">
        <f>IFERROR(VLOOKUP(B389,'Master data'!$A$1:$F$1000,2,FALSE),"")</f>
        <v/>
      </c>
      <c r="D389" s="7" t="str">
        <f>IFERROR(VLOOKUP(B389,'Master data'!$A$1:$F$1000,6,FALSE),"")</f>
        <v/>
      </c>
      <c r="F389" s="7" t="str">
        <f>IFERROR(VLOOKUP(B389,'Master data'!$A$1:$F$1000,3,FALSE),"")</f>
        <v/>
      </c>
      <c r="I389" s="16"/>
      <c r="J389" s="16"/>
      <c r="K389" s="16" t="b">
        <v>0</v>
      </c>
      <c r="L389" s="16" t="b">
        <v>0</v>
      </c>
    </row>
    <row r="390">
      <c r="A390" s="9"/>
      <c r="B390" s="16"/>
      <c r="C390" s="7" t="str">
        <f>IFERROR(VLOOKUP(B390,'Master data'!$A$1:$F$1000,2,FALSE),"")</f>
        <v/>
      </c>
      <c r="D390" s="7" t="str">
        <f>IFERROR(VLOOKUP(B390,'Master data'!$A$1:$F$1000,6,FALSE),"")</f>
        <v/>
      </c>
      <c r="F390" s="7" t="str">
        <f>IFERROR(VLOOKUP(B390,'Master data'!$A$1:$F$1000,3,FALSE),"")</f>
        <v/>
      </c>
      <c r="I390" s="16"/>
      <c r="J390" s="16"/>
      <c r="K390" s="16" t="b">
        <v>0</v>
      </c>
      <c r="L390" s="16" t="b">
        <v>0</v>
      </c>
    </row>
    <row r="391">
      <c r="A391" s="9"/>
      <c r="B391" s="16"/>
      <c r="C391" s="7" t="str">
        <f>IFERROR(VLOOKUP(B391,'Master data'!$A$1:$F$1000,2,FALSE),"")</f>
        <v/>
      </c>
      <c r="D391" s="7" t="str">
        <f>IFERROR(VLOOKUP(B391,'Master data'!$A$1:$F$1000,6,FALSE),"")</f>
        <v/>
      </c>
      <c r="F391" s="7" t="str">
        <f>IFERROR(VLOOKUP(B391,'Master data'!$A$1:$F$1000,3,FALSE),"")</f>
        <v/>
      </c>
      <c r="I391" s="16"/>
      <c r="J391" s="16"/>
      <c r="K391" s="16" t="b">
        <v>0</v>
      </c>
      <c r="L391" s="16" t="b">
        <v>0</v>
      </c>
    </row>
    <row r="392">
      <c r="A392" s="9"/>
      <c r="B392" s="16"/>
      <c r="C392" s="7" t="str">
        <f>IFERROR(VLOOKUP(B392,'Master data'!$A$1:$F$1000,2,FALSE),"")</f>
        <v/>
      </c>
      <c r="D392" s="7" t="str">
        <f>IFERROR(VLOOKUP(B392,'Master data'!$A$1:$F$1000,6,FALSE),"")</f>
        <v/>
      </c>
      <c r="F392" s="7" t="str">
        <f>IFERROR(VLOOKUP(B392,'Master data'!$A$1:$F$1000,3,FALSE),"")</f>
        <v/>
      </c>
      <c r="I392" s="16"/>
      <c r="J392" s="16"/>
      <c r="K392" s="16" t="b">
        <v>0</v>
      </c>
      <c r="L392" s="16" t="b">
        <v>0</v>
      </c>
    </row>
    <row r="393">
      <c r="A393" s="9"/>
      <c r="B393" s="16"/>
      <c r="C393" s="7" t="str">
        <f>IFERROR(VLOOKUP(B393,'Master data'!$A$1:$F$1000,2,FALSE),"")</f>
        <v/>
      </c>
      <c r="D393" s="7" t="str">
        <f>IFERROR(VLOOKUP(B393,'Master data'!$A$1:$F$1000,6,FALSE),"")</f>
        <v/>
      </c>
      <c r="F393" s="7" t="str">
        <f>IFERROR(VLOOKUP(B393,'Master data'!$A$1:$F$1000,3,FALSE),"")</f>
        <v/>
      </c>
      <c r="I393" s="16"/>
      <c r="J393" s="16"/>
      <c r="K393" s="16" t="b">
        <v>0</v>
      </c>
      <c r="L393" s="16" t="b">
        <v>0</v>
      </c>
    </row>
    <row r="394">
      <c r="A394" s="9"/>
      <c r="B394" s="16"/>
      <c r="C394" s="7" t="str">
        <f>IFERROR(VLOOKUP(B394,'Master data'!$A$1:$F$1000,2,FALSE),"")</f>
        <v/>
      </c>
      <c r="D394" s="7" t="str">
        <f>IFERROR(VLOOKUP(B394,'Master data'!$A$1:$F$1000,6,FALSE),"")</f>
        <v/>
      </c>
      <c r="F394" s="7" t="str">
        <f>IFERROR(VLOOKUP(B394,'Master data'!$A$1:$F$1000,3,FALSE),"")</f>
        <v/>
      </c>
      <c r="I394" s="16"/>
      <c r="J394" s="16"/>
      <c r="K394" s="16" t="b">
        <v>0</v>
      </c>
      <c r="L394" s="16" t="b">
        <v>0</v>
      </c>
    </row>
    <row r="395">
      <c r="A395" s="9"/>
      <c r="B395" s="16"/>
      <c r="C395" s="7" t="str">
        <f>IFERROR(VLOOKUP(B395,'Master data'!$A$1:$F$1000,2,FALSE),"")</f>
        <v/>
      </c>
      <c r="D395" s="7" t="str">
        <f>IFERROR(VLOOKUP(B395,'Master data'!$A$1:$F$1000,6,FALSE),"")</f>
        <v/>
      </c>
      <c r="F395" s="7" t="str">
        <f>IFERROR(VLOOKUP(B395,'Master data'!$A$1:$F$1000,3,FALSE),"")</f>
        <v/>
      </c>
      <c r="I395" s="16"/>
      <c r="J395" s="16"/>
      <c r="K395" s="16" t="b">
        <v>0</v>
      </c>
      <c r="L395" s="16" t="b">
        <v>0</v>
      </c>
    </row>
    <row r="396">
      <c r="A396" s="9"/>
      <c r="B396" s="16"/>
      <c r="C396" s="7" t="str">
        <f>IFERROR(VLOOKUP(B396,'Master data'!$A$1:$F$1000,2,FALSE),"")</f>
        <v/>
      </c>
      <c r="D396" s="7" t="str">
        <f>IFERROR(VLOOKUP(B396,'Master data'!$A$1:$F$1000,6,FALSE),"")</f>
        <v/>
      </c>
      <c r="F396" s="7" t="str">
        <f>IFERROR(VLOOKUP(B396,'Master data'!$A$1:$F$1000,3,FALSE),"")</f>
        <v/>
      </c>
      <c r="I396" s="16"/>
      <c r="J396" s="16"/>
      <c r="K396" s="16" t="b">
        <v>0</v>
      </c>
      <c r="L396" s="16" t="b">
        <v>0</v>
      </c>
    </row>
    <row r="397">
      <c r="A397" s="9"/>
      <c r="B397" s="16"/>
      <c r="C397" s="7" t="str">
        <f>IFERROR(VLOOKUP(B397,'Master data'!$A$1:$F$1000,2,FALSE),"")</f>
        <v/>
      </c>
      <c r="D397" s="7" t="str">
        <f>IFERROR(VLOOKUP(B397,'Master data'!$A$1:$F$1000,6,FALSE),"")</f>
        <v/>
      </c>
      <c r="F397" s="7" t="str">
        <f>IFERROR(VLOOKUP(B397,'Master data'!$A$1:$F$1000,3,FALSE),"")</f>
        <v/>
      </c>
      <c r="I397" s="16"/>
      <c r="J397" s="16"/>
      <c r="K397" s="16" t="b">
        <v>0</v>
      </c>
      <c r="L397" s="16" t="b">
        <v>0</v>
      </c>
    </row>
    <row r="398">
      <c r="A398" s="9"/>
      <c r="B398" s="16"/>
      <c r="C398" s="7" t="str">
        <f>IFERROR(VLOOKUP(B398,'Master data'!$A$1:$F$1000,2,FALSE),"")</f>
        <v/>
      </c>
      <c r="D398" s="7" t="str">
        <f>IFERROR(VLOOKUP(B398,'Master data'!$A$1:$F$1000,6,FALSE),"")</f>
        <v/>
      </c>
      <c r="F398" s="7" t="str">
        <f>IFERROR(VLOOKUP(B398,'Master data'!$A$1:$F$1000,3,FALSE),"")</f>
        <v/>
      </c>
      <c r="I398" s="16"/>
      <c r="J398" s="16"/>
      <c r="K398" s="16" t="b">
        <v>0</v>
      </c>
      <c r="L398" s="16" t="b">
        <v>0</v>
      </c>
    </row>
    <row r="399">
      <c r="A399" s="9"/>
      <c r="B399" s="16"/>
      <c r="C399" s="7" t="str">
        <f>IFERROR(VLOOKUP(B399,'Master data'!$A$1:$F$1000,2,FALSE),"")</f>
        <v/>
      </c>
      <c r="D399" s="7" t="str">
        <f>IFERROR(VLOOKUP(B399,'Master data'!$A$1:$F$1000,6,FALSE),"")</f>
        <v/>
      </c>
      <c r="F399" s="7" t="str">
        <f>IFERROR(VLOOKUP(B399,'Master data'!$A$1:$F$1000,3,FALSE),"")</f>
        <v/>
      </c>
      <c r="I399" s="16"/>
      <c r="J399" s="16"/>
      <c r="K399" s="16" t="b">
        <v>0</v>
      </c>
      <c r="L399" s="16" t="b">
        <v>0</v>
      </c>
    </row>
    <row r="400">
      <c r="A400" s="9"/>
      <c r="B400" s="16"/>
      <c r="C400" s="7" t="str">
        <f>IFERROR(VLOOKUP(B400,'Master data'!$A$1:$F$1000,2,FALSE),"")</f>
        <v/>
      </c>
      <c r="D400" s="7" t="str">
        <f>IFERROR(VLOOKUP(B400,'Master data'!$A$1:$F$1000,6,FALSE),"")</f>
        <v/>
      </c>
      <c r="F400" s="7" t="str">
        <f>IFERROR(VLOOKUP(B400,'Master data'!$A$1:$F$1000,3,FALSE),"")</f>
        <v/>
      </c>
      <c r="I400" s="16"/>
      <c r="J400" s="16"/>
      <c r="K400" s="16" t="b">
        <v>0</v>
      </c>
      <c r="L400" s="16" t="b">
        <v>0</v>
      </c>
    </row>
    <row r="401">
      <c r="A401" s="9"/>
      <c r="B401" s="16"/>
      <c r="C401" s="7" t="str">
        <f>IFERROR(VLOOKUP(B401,'Master data'!$A$1:$F$1000,2,FALSE),"")</f>
        <v/>
      </c>
      <c r="D401" s="7" t="str">
        <f>IFERROR(VLOOKUP(B401,'Master data'!$A$1:$F$1000,6,FALSE),"")</f>
        <v/>
      </c>
      <c r="F401" s="7" t="str">
        <f>IFERROR(VLOOKUP(B401,'Master data'!$A$1:$F$1000,3,FALSE),"")</f>
        <v/>
      </c>
      <c r="I401" s="16"/>
      <c r="J401" s="16"/>
      <c r="K401" s="16" t="b">
        <v>0</v>
      </c>
      <c r="L401" s="16" t="b">
        <v>0</v>
      </c>
    </row>
    <row r="402">
      <c r="A402" s="9"/>
      <c r="B402" s="16"/>
      <c r="C402" s="7" t="str">
        <f>IFERROR(VLOOKUP(B402,'Master data'!$A$1:$F$1000,2,FALSE),"")</f>
        <v/>
      </c>
      <c r="D402" s="7" t="str">
        <f>IFERROR(VLOOKUP(B402,'Master data'!$A$1:$F$1000,6,FALSE),"")</f>
        <v/>
      </c>
      <c r="F402" s="7" t="str">
        <f>IFERROR(VLOOKUP(B402,'Master data'!$A$1:$F$1000,3,FALSE),"")</f>
        <v/>
      </c>
      <c r="I402" s="16"/>
      <c r="J402" s="16"/>
      <c r="K402" s="16" t="b">
        <v>0</v>
      </c>
      <c r="L402" s="16" t="b">
        <v>0</v>
      </c>
    </row>
    <row r="403">
      <c r="A403" s="9"/>
      <c r="B403" s="16"/>
      <c r="C403" s="7" t="str">
        <f>IFERROR(VLOOKUP(B403,'Master data'!$A$1:$F$1000,2,FALSE),"")</f>
        <v/>
      </c>
      <c r="D403" s="7" t="str">
        <f>IFERROR(VLOOKUP(B403,'Master data'!$A$1:$F$1000,6,FALSE),"")</f>
        <v/>
      </c>
      <c r="F403" s="7" t="str">
        <f>IFERROR(VLOOKUP(B403,'Master data'!$A$1:$F$1000,3,FALSE),"")</f>
        <v/>
      </c>
      <c r="I403" s="16"/>
      <c r="J403" s="16"/>
      <c r="K403" s="16" t="b">
        <v>0</v>
      </c>
      <c r="L403" s="16" t="b">
        <v>0</v>
      </c>
    </row>
    <row r="404">
      <c r="A404" s="9"/>
      <c r="B404" s="16"/>
      <c r="C404" s="7" t="str">
        <f>IFERROR(VLOOKUP(B404,'Master data'!$A$1:$F$1000,2,FALSE),"")</f>
        <v/>
      </c>
      <c r="D404" s="7" t="str">
        <f>IFERROR(VLOOKUP(B404,'Master data'!$A$1:$F$1000,6,FALSE),"")</f>
        <v/>
      </c>
      <c r="F404" s="7" t="str">
        <f>IFERROR(VLOOKUP(B404,'Master data'!$A$1:$F$1000,3,FALSE),"")</f>
        <v/>
      </c>
      <c r="I404" s="16"/>
      <c r="J404" s="16"/>
      <c r="K404" s="16" t="b">
        <v>0</v>
      </c>
      <c r="L404" s="16" t="b">
        <v>0</v>
      </c>
    </row>
    <row r="405">
      <c r="A405" s="9"/>
      <c r="B405" s="16"/>
      <c r="C405" s="7" t="str">
        <f>IFERROR(VLOOKUP(B405,'Master data'!$A$1:$F$1000,2,FALSE),"")</f>
        <v/>
      </c>
      <c r="D405" s="7" t="str">
        <f>IFERROR(VLOOKUP(B405,'Master data'!$A$1:$F$1000,6,FALSE),"")</f>
        <v/>
      </c>
      <c r="F405" s="7" t="str">
        <f>IFERROR(VLOOKUP(B405,'Master data'!$A$1:$F$1000,3,FALSE),"")</f>
        <v/>
      </c>
      <c r="I405" s="16"/>
      <c r="J405" s="16"/>
      <c r="K405" s="16" t="b">
        <v>0</v>
      </c>
      <c r="L405" s="16" t="b">
        <v>0</v>
      </c>
    </row>
    <row r="406">
      <c r="A406" s="9"/>
      <c r="B406" s="16"/>
      <c r="C406" s="7" t="str">
        <f>IFERROR(VLOOKUP(B406,'Master data'!$A$1:$F$1000,2,FALSE),"")</f>
        <v/>
      </c>
      <c r="D406" s="7" t="str">
        <f>IFERROR(VLOOKUP(B406,'Master data'!$A$1:$F$1000,6,FALSE),"")</f>
        <v/>
      </c>
      <c r="F406" s="7" t="str">
        <f>IFERROR(VLOOKUP(B406,'Master data'!$A$1:$F$1000,3,FALSE),"")</f>
        <v/>
      </c>
      <c r="I406" s="16"/>
      <c r="J406" s="16"/>
      <c r="K406" s="16" t="b">
        <v>0</v>
      </c>
      <c r="L406" s="16" t="b">
        <v>0</v>
      </c>
    </row>
    <row r="407">
      <c r="A407" s="9"/>
      <c r="B407" s="16"/>
      <c r="C407" s="7" t="str">
        <f>IFERROR(VLOOKUP(B407,'Master data'!$A$1:$F$1000,2,FALSE),"")</f>
        <v/>
      </c>
      <c r="D407" s="7" t="str">
        <f>IFERROR(VLOOKUP(B407,'Master data'!$A$1:$F$1000,6,FALSE),"")</f>
        <v/>
      </c>
      <c r="F407" s="7" t="str">
        <f>IFERROR(VLOOKUP(B407,'Master data'!$A$1:$F$1000,3,FALSE),"")</f>
        <v/>
      </c>
      <c r="I407" s="16"/>
      <c r="J407" s="16"/>
      <c r="K407" s="16" t="b">
        <v>0</v>
      </c>
      <c r="L407" s="16" t="b">
        <v>0</v>
      </c>
    </row>
    <row r="408">
      <c r="A408" s="9"/>
      <c r="B408" s="16"/>
      <c r="C408" s="7" t="str">
        <f>IFERROR(VLOOKUP(B408,'Master data'!$A$1:$F$1000,2,FALSE),"")</f>
        <v/>
      </c>
      <c r="D408" s="7" t="str">
        <f>IFERROR(VLOOKUP(B408,'Master data'!$A$1:$F$1000,6,FALSE),"")</f>
        <v/>
      </c>
      <c r="F408" s="7" t="str">
        <f>IFERROR(VLOOKUP(B408,'Master data'!$A$1:$F$1000,3,FALSE),"")</f>
        <v/>
      </c>
      <c r="I408" s="16"/>
      <c r="J408" s="16"/>
      <c r="K408" s="16" t="b">
        <v>0</v>
      </c>
      <c r="L408" s="16" t="b">
        <v>0</v>
      </c>
    </row>
    <row r="409">
      <c r="A409" s="9"/>
      <c r="B409" s="16"/>
      <c r="C409" s="7" t="str">
        <f>IFERROR(VLOOKUP(B409,'Master data'!$A$1:$F$1000,2,FALSE),"")</f>
        <v/>
      </c>
      <c r="D409" s="7" t="str">
        <f>IFERROR(VLOOKUP(B409,'Master data'!$A$1:$F$1000,6,FALSE),"")</f>
        <v/>
      </c>
      <c r="F409" s="7" t="str">
        <f>IFERROR(VLOOKUP(B409,'Master data'!$A$1:$F$1000,3,FALSE),"")</f>
        <v/>
      </c>
      <c r="I409" s="16"/>
      <c r="J409" s="16"/>
      <c r="K409" s="16" t="b">
        <v>0</v>
      </c>
      <c r="L409" s="16" t="b">
        <v>0</v>
      </c>
    </row>
    <row r="410">
      <c r="A410" s="9"/>
      <c r="B410" s="16"/>
      <c r="C410" s="7" t="str">
        <f>IFERROR(VLOOKUP(B410,'Master data'!$A$1:$F$1000,2,FALSE),"")</f>
        <v/>
      </c>
      <c r="D410" s="7" t="str">
        <f>IFERROR(VLOOKUP(B410,'Master data'!$A$1:$F$1000,6,FALSE),"")</f>
        <v/>
      </c>
      <c r="F410" s="7" t="str">
        <f>IFERROR(VLOOKUP(B410,'Master data'!$A$1:$F$1000,3,FALSE),"")</f>
        <v/>
      </c>
      <c r="I410" s="16"/>
      <c r="J410" s="16"/>
      <c r="K410" s="16" t="b">
        <v>0</v>
      </c>
      <c r="L410" s="16" t="b">
        <v>0</v>
      </c>
    </row>
    <row r="411">
      <c r="A411" s="9"/>
      <c r="B411" s="16"/>
      <c r="C411" s="7" t="str">
        <f>IFERROR(VLOOKUP(B411,'Master data'!$A$1:$F$1000,2,FALSE),"")</f>
        <v/>
      </c>
      <c r="D411" s="7" t="str">
        <f>IFERROR(VLOOKUP(B411,'Master data'!$A$1:$F$1000,6,FALSE),"")</f>
        <v/>
      </c>
      <c r="F411" s="7" t="str">
        <f>IFERROR(VLOOKUP(B411,'Master data'!$A$1:$F$1000,3,FALSE),"")</f>
        <v/>
      </c>
      <c r="I411" s="16"/>
      <c r="J411" s="16"/>
      <c r="K411" s="16" t="b">
        <v>0</v>
      </c>
      <c r="L411" s="16" t="b">
        <v>0</v>
      </c>
    </row>
    <row r="412">
      <c r="A412" s="9"/>
      <c r="B412" s="16"/>
      <c r="C412" s="7" t="str">
        <f>IFERROR(VLOOKUP(B412,'Master data'!$A$1:$F$1000,2,FALSE),"")</f>
        <v/>
      </c>
      <c r="D412" s="7" t="str">
        <f>IFERROR(VLOOKUP(B412,'Master data'!$A$1:$F$1000,6,FALSE),"")</f>
        <v/>
      </c>
      <c r="F412" s="7" t="str">
        <f>IFERROR(VLOOKUP(B412,'Master data'!$A$1:$F$1000,3,FALSE),"")</f>
        <v/>
      </c>
      <c r="I412" s="16"/>
      <c r="J412" s="16"/>
      <c r="K412" s="16" t="b">
        <v>0</v>
      </c>
      <c r="L412" s="16" t="b">
        <v>0</v>
      </c>
    </row>
    <row r="413">
      <c r="A413" s="9"/>
      <c r="B413" s="16"/>
      <c r="C413" s="7" t="str">
        <f>IFERROR(VLOOKUP(B413,'Master data'!$A$1:$F$1000,2,FALSE),"")</f>
        <v/>
      </c>
      <c r="D413" s="7" t="str">
        <f>IFERROR(VLOOKUP(B413,'Master data'!$A$1:$F$1000,6,FALSE),"")</f>
        <v/>
      </c>
      <c r="F413" s="7" t="str">
        <f>IFERROR(VLOOKUP(B413,'Master data'!$A$1:$F$1000,3,FALSE),"")</f>
        <v/>
      </c>
      <c r="I413" s="16"/>
      <c r="J413" s="16"/>
      <c r="K413" s="16" t="b">
        <v>0</v>
      </c>
      <c r="L413" s="16" t="b">
        <v>0</v>
      </c>
    </row>
    <row r="414">
      <c r="A414" s="9"/>
      <c r="B414" s="16"/>
      <c r="C414" s="7" t="str">
        <f>IFERROR(VLOOKUP(B414,'Master data'!$A$1:$F$1000,2,FALSE),"")</f>
        <v/>
      </c>
      <c r="D414" s="7" t="str">
        <f>IFERROR(VLOOKUP(B414,'Master data'!$A$1:$F$1000,6,FALSE),"")</f>
        <v/>
      </c>
      <c r="F414" s="7" t="str">
        <f>IFERROR(VLOOKUP(B414,'Master data'!$A$1:$F$1000,3,FALSE),"")</f>
        <v/>
      </c>
      <c r="I414" s="16"/>
      <c r="J414" s="16"/>
      <c r="K414" s="16" t="b">
        <v>0</v>
      </c>
      <c r="L414" s="16" t="b">
        <v>0</v>
      </c>
    </row>
    <row r="415">
      <c r="A415" s="9"/>
      <c r="B415" s="16"/>
      <c r="C415" s="7" t="str">
        <f>IFERROR(VLOOKUP(B415,'Master data'!$A$1:$F$1000,2,FALSE),"")</f>
        <v/>
      </c>
      <c r="D415" s="7" t="str">
        <f>IFERROR(VLOOKUP(B415,'Master data'!$A$1:$F$1000,6,FALSE),"")</f>
        <v/>
      </c>
      <c r="F415" s="7" t="str">
        <f>IFERROR(VLOOKUP(B415,'Master data'!$A$1:$F$1000,3,FALSE),"")</f>
        <v/>
      </c>
      <c r="I415" s="16"/>
      <c r="J415" s="16"/>
      <c r="K415" s="16" t="b">
        <v>0</v>
      </c>
      <c r="L415" s="16" t="b">
        <v>0</v>
      </c>
    </row>
    <row r="416">
      <c r="A416" s="9"/>
      <c r="B416" s="16"/>
      <c r="C416" s="7" t="str">
        <f>IFERROR(VLOOKUP(B416,'Master data'!$A$1:$F$1000,2,FALSE),"")</f>
        <v/>
      </c>
      <c r="D416" s="7" t="str">
        <f>IFERROR(VLOOKUP(B416,'Master data'!$A$1:$F$1000,6,FALSE),"")</f>
        <v/>
      </c>
      <c r="F416" s="7" t="str">
        <f>IFERROR(VLOOKUP(B416,'Master data'!$A$1:$F$1000,3,FALSE),"")</f>
        <v/>
      </c>
      <c r="I416" s="16"/>
      <c r="J416" s="16"/>
      <c r="K416" s="16" t="b">
        <v>0</v>
      </c>
      <c r="L416" s="16" t="b">
        <v>0</v>
      </c>
    </row>
    <row r="417">
      <c r="A417" s="9"/>
      <c r="B417" s="16"/>
      <c r="C417" s="7" t="str">
        <f>IFERROR(VLOOKUP(B417,'Master data'!$A$1:$F$1000,2,FALSE),"")</f>
        <v/>
      </c>
      <c r="D417" s="7" t="str">
        <f>IFERROR(VLOOKUP(B417,'Master data'!$A$1:$F$1000,6,FALSE),"")</f>
        <v/>
      </c>
      <c r="F417" s="7" t="str">
        <f>IFERROR(VLOOKUP(B417,'Master data'!$A$1:$F$1000,3,FALSE),"")</f>
        <v/>
      </c>
      <c r="I417" s="16"/>
      <c r="J417" s="16"/>
      <c r="K417" s="16" t="b">
        <v>0</v>
      </c>
      <c r="L417" s="16" t="b">
        <v>0</v>
      </c>
    </row>
    <row r="418">
      <c r="A418" s="9"/>
      <c r="B418" s="16"/>
      <c r="C418" s="7" t="str">
        <f>IFERROR(VLOOKUP(B418,'Master data'!$A$1:$F$1000,2,FALSE),"")</f>
        <v/>
      </c>
      <c r="D418" s="7" t="str">
        <f>IFERROR(VLOOKUP(B418,'Master data'!$A$1:$F$1000,6,FALSE),"")</f>
        <v/>
      </c>
      <c r="F418" s="7" t="str">
        <f>IFERROR(VLOOKUP(B418,'Master data'!$A$1:$F$1000,3,FALSE),"")</f>
        <v/>
      </c>
      <c r="I418" s="16"/>
      <c r="J418" s="16"/>
      <c r="K418" s="16" t="b">
        <v>0</v>
      </c>
      <c r="L418" s="16" t="b">
        <v>0</v>
      </c>
    </row>
    <row r="419">
      <c r="A419" s="9"/>
      <c r="B419" s="16"/>
      <c r="C419" s="7" t="str">
        <f>IFERROR(VLOOKUP(B419,'Master data'!$A$1:$F$1000,2,FALSE),"")</f>
        <v/>
      </c>
      <c r="D419" s="7" t="str">
        <f>IFERROR(VLOOKUP(B419,'Master data'!$A$1:$F$1000,6,FALSE),"")</f>
        <v/>
      </c>
      <c r="F419" s="7" t="str">
        <f>IFERROR(VLOOKUP(B419,'Master data'!$A$1:$F$1000,3,FALSE),"")</f>
        <v/>
      </c>
      <c r="I419" s="16"/>
      <c r="J419" s="16"/>
      <c r="K419" s="16" t="b">
        <v>0</v>
      </c>
      <c r="L419" s="16" t="b">
        <v>0</v>
      </c>
    </row>
    <row r="420">
      <c r="A420" s="9"/>
      <c r="B420" s="16"/>
      <c r="C420" s="7" t="str">
        <f>IFERROR(VLOOKUP(B420,'Master data'!$A$1:$F$1000,2,FALSE),"")</f>
        <v/>
      </c>
      <c r="D420" s="7" t="str">
        <f>IFERROR(VLOOKUP(B420,'Master data'!$A$1:$F$1000,6,FALSE),"")</f>
        <v/>
      </c>
      <c r="F420" s="7" t="str">
        <f>IFERROR(VLOOKUP(B420,'Master data'!$A$1:$F$1000,3,FALSE),"")</f>
        <v/>
      </c>
      <c r="I420" s="16"/>
      <c r="J420" s="16"/>
      <c r="K420" s="16" t="b">
        <v>0</v>
      </c>
      <c r="L420" s="16" t="b">
        <v>0</v>
      </c>
    </row>
    <row r="421">
      <c r="A421" s="9"/>
      <c r="B421" s="16"/>
      <c r="C421" s="7" t="str">
        <f>IFERROR(VLOOKUP(B421,'Master data'!$A$1:$F$1000,2,FALSE),"")</f>
        <v/>
      </c>
      <c r="D421" s="7" t="str">
        <f>IFERROR(VLOOKUP(B421,'Master data'!$A$1:$F$1000,6,FALSE),"")</f>
        <v/>
      </c>
      <c r="F421" s="7" t="str">
        <f>IFERROR(VLOOKUP(B421,'Master data'!$A$1:$F$1000,3,FALSE),"")</f>
        <v/>
      </c>
      <c r="I421" s="16"/>
      <c r="J421" s="16"/>
      <c r="K421" s="16" t="b">
        <v>0</v>
      </c>
      <c r="L421" s="16" t="b">
        <v>0</v>
      </c>
    </row>
    <row r="422">
      <c r="A422" s="9"/>
      <c r="B422" s="16"/>
      <c r="C422" s="7" t="str">
        <f>IFERROR(VLOOKUP(B422,'Master data'!$A$1:$F$1000,2,FALSE),"")</f>
        <v/>
      </c>
      <c r="D422" s="7" t="str">
        <f>IFERROR(VLOOKUP(B422,'Master data'!$A$1:$F$1000,6,FALSE),"")</f>
        <v/>
      </c>
      <c r="F422" s="7" t="str">
        <f>IFERROR(VLOOKUP(B422,'Master data'!$A$1:$F$1000,3,FALSE),"")</f>
        <v/>
      </c>
      <c r="I422" s="16"/>
      <c r="J422" s="16"/>
      <c r="K422" s="16" t="b">
        <v>0</v>
      </c>
      <c r="L422" s="16" t="b">
        <v>0</v>
      </c>
    </row>
    <row r="423">
      <c r="A423" s="9"/>
      <c r="B423" s="16"/>
      <c r="C423" s="7" t="str">
        <f>IFERROR(VLOOKUP(B423,'Master data'!$A$1:$F$1000,2,FALSE),"")</f>
        <v/>
      </c>
      <c r="D423" s="7" t="str">
        <f>IFERROR(VLOOKUP(B423,'Master data'!$A$1:$F$1000,6,FALSE),"")</f>
        <v/>
      </c>
      <c r="F423" s="7" t="str">
        <f>IFERROR(VLOOKUP(B423,'Master data'!$A$1:$F$1000,3,FALSE),"")</f>
        <v/>
      </c>
      <c r="I423" s="16"/>
      <c r="J423" s="16"/>
      <c r="K423" s="16" t="b">
        <v>0</v>
      </c>
      <c r="L423" s="16" t="b">
        <v>0</v>
      </c>
    </row>
    <row r="424">
      <c r="A424" s="9"/>
      <c r="B424" s="16"/>
      <c r="C424" s="7" t="str">
        <f>IFERROR(VLOOKUP(B424,'Master data'!$A$1:$F$1000,2,FALSE),"")</f>
        <v/>
      </c>
      <c r="D424" s="7" t="str">
        <f>IFERROR(VLOOKUP(B424,'Master data'!$A$1:$F$1000,6,FALSE),"")</f>
        <v/>
      </c>
      <c r="F424" s="7" t="str">
        <f>IFERROR(VLOOKUP(B424,'Master data'!$A$1:$F$1000,3,FALSE),"")</f>
        <v/>
      </c>
      <c r="I424" s="16"/>
      <c r="J424" s="16"/>
      <c r="K424" s="16" t="b">
        <v>0</v>
      </c>
      <c r="L424" s="16" t="b">
        <v>0</v>
      </c>
    </row>
    <row r="425">
      <c r="A425" s="9"/>
      <c r="B425" s="16"/>
      <c r="C425" s="7" t="str">
        <f>IFERROR(VLOOKUP(B425,'Master data'!$A$1:$F$1000,2,FALSE),"")</f>
        <v/>
      </c>
      <c r="D425" s="7" t="str">
        <f>IFERROR(VLOOKUP(B425,'Master data'!$A$1:$F$1000,6,FALSE),"")</f>
        <v/>
      </c>
      <c r="F425" s="7" t="str">
        <f>IFERROR(VLOOKUP(B425,'Master data'!$A$1:$F$1000,3,FALSE),"")</f>
        <v/>
      </c>
      <c r="I425" s="16"/>
      <c r="J425" s="16"/>
      <c r="K425" s="16" t="b">
        <v>0</v>
      </c>
      <c r="L425" s="16" t="b">
        <v>0</v>
      </c>
    </row>
    <row r="426">
      <c r="A426" s="9"/>
      <c r="B426" s="16"/>
      <c r="C426" s="7" t="str">
        <f>IFERROR(VLOOKUP(B426,'Master data'!$A$1:$F$1000,2,FALSE),"")</f>
        <v/>
      </c>
      <c r="D426" s="7" t="str">
        <f>IFERROR(VLOOKUP(B426,'Master data'!$A$1:$F$1000,6,FALSE),"")</f>
        <v/>
      </c>
      <c r="F426" s="7" t="str">
        <f>IFERROR(VLOOKUP(B426,'Master data'!$A$1:$F$1000,3,FALSE),"")</f>
        <v/>
      </c>
      <c r="I426" s="16"/>
      <c r="J426" s="16"/>
      <c r="K426" s="16" t="b">
        <v>0</v>
      </c>
      <c r="L426" s="16" t="b">
        <v>0</v>
      </c>
    </row>
    <row r="427">
      <c r="A427" s="9"/>
      <c r="B427" s="16"/>
      <c r="C427" s="7" t="str">
        <f>IFERROR(VLOOKUP(B427,'Master data'!$A$1:$F$1000,2,FALSE),"")</f>
        <v/>
      </c>
      <c r="D427" s="7" t="str">
        <f>IFERROR(VLOOKUP(B427,'Master data'!$A$1:$F$1000,6,FALSE),"")</f>
        <v/>
      </c>
      <c r="F427" s="7" t="str">
        <f>IFERROR(VLOOKUP(B427,'Master data'!$A$1:$F$1000,3,FALSE),"")</f>
        <v/>
      </c>
      <c r="I427" s="16"/>
      <c r="J427" s="16"/>
      <c r="K427" s="16" t="b">
        <v>0</v>
      </c>
      <c r="L427" s="16" t="b">
        <v>0</v>
      </c>
    </row>
    <row r="428">
      <c r="A428" s="9"/>
      <c r="B428" s="16"/>
      <c r="C428" s="7" t="str">
        <f>IFERROR(VLOOKUP(B428,'Master data'!$A$1:$F$1000,2,FALSE),"")</f>
        <v/>
      </c>
      <c r="D428" s="7" t="str">
        <f>IFERROR(VLOOKUP(B428,'Master data'!$A$1:$F$1000,6,FALSE),"")</f>
        <v/>
      </c>
      <c r="F428" s="7" t="str">
        <f>IFERROR(VLOOKUP(B428,'Master data'!$A$1:$F$1000,3,FALSE),"")</f>
        <v/>
      </c>
      <c r="I428" s="16"/>
      <c r="J428" s="16"/>
      <c r="K428" s="16" t="b">
        <v>0</v>
      </c>
      <c r="L428" s="16" t="b">
        <v>0</v>
      </c>
    </row>
    <row r="429">
      <c r="A429" s="9"/>
      <c r="B429" s="16"/>
      <c r="C429" s="7" t="str">
        <f>IFERROR(VLOOKUP(B429,'Master data'!$A$1:$F$1000,2,FALSE),"")</f>
        <v/>
      </c>
      <c r="D429" s="7" t="str">
        <f>IFERROR(VLOOKUP(B429,'Master data'!$A$1:$F$1000,6,FALSE),"")</f>
        <v/>
      </c>
      <c r="F429" s="7" t="str">
        <f>IFERROR(VLOOKUP(B429,'Master data'!$A$1:$F$1000,3,FALSE),"")</f>
        <v/>
      </c>
      <c r="I429" s="16"/>
      <c r="J429" s="16"/>
      <c r="K429" s="16" t="b">
        <v>0</v>
      </c>
      <c r="L429" s="16" t="b">
        <v>0</v>
      </c>
    </row>
    <row r="430">
      <c r="A430" s="9"/>
      <c r="B430" s="16"/>
      <c r="C430" s="7" t="str">
        <f>IFERROR(VLOOKUP(B430,'Master data'!$A$1:$F$1000,2,FALSE),"")</f>
        <v/>
      </c>
      <c r="D430" s="7" t="str">
        <f>IFERROR(VLOOKUP(B430,'Master data'!$A$1:$F$1000,6,FALSE),"")</f>
        <v/>
      </c>
      <c r="F430" s="7" t="str">
        <f>IFERROR(VLOOKUP(B430,'Master data'!$A$1:$F$1000,3,FALSE),"")</f>
        <v/>
      </c>
      <c r="I430" s="16"/>
      <c r="J430" s="16"/>
      <c r="K430" s="16" t="b">
        <v>0</v>
      </c>
      <c r="L430" s="16" t="b">
        <v>0</v>
      </c>
    </row>
    <row r="431">
      <c r="A431" s="9"/>
      <c r="B431" s="16"/>
      <c r="C431" s="7" t="str">
        <f>IFERROR(VLOOKUP(B431,'Master data'!$A$1:$F$1000,2,FALSE),"")</f>
        <v/>
      </c>
      <c r="D431" s="7" t="str">
        <f>IFERROR(VLOOKUP(B431,'Master data'!$A$1:$F$1000,6,FALSE),"")</f>
        <v/>
      </c>
      <c r="F431" s="7" t="str">
        <f>IFERROR(VLOOKUP(B431,'Master data'!$A$1:$F$1000,3,FALSE),"")</f>
        <v/>
      </c>
      <c r="I431" s="16"/>
      <c r="J431" s="16"/>
      <c r="K431" s="16" t="b">
        <v>0</v>
      </c>
      <c r="L431" s="16" t="b">
        <v>0</v>
      </c>
    </row>
    <row r="432">
      <c r="A432" s="9"/>
      <c r="B432" s="16"/>
      <c r="C432" s="7" t="str">
        <f>IFERROR(VLOOKUP(B432,'Master data'!$A$1:$F$1000,2,FALSE),"")</f>
        <v/>
      </c>
      <c r="D432" s="7" t="str">
        <f>IFERROR(VLOOKUP(B432,'Master data'!$A$1:$F$1000,6,FALSE),"")</f>
        <v/>
      </c>
      <c r="F432" s="7" t="str">
        <f>IFERROR(VLOOKUP(B432,'Master data'!$A$1:$F$1000,3,FALSE),"")</f>
        <v/>
      </c>
      <c r="I432" s="16"/>
      <c r="J432" s="16"/>
      <c r="K432" s="16" t="b">
        <v>0</v>
      </c>
      <c r="L432" s="16" t="b">
        <v>0</v>
      </c>
    </row>
    <row r="433">
      <c r="A433" s="9"/>
      <c r="B433" s="16"/>
      <c r="C433" s="7" t="str">
        <f>IFERROR(VLOOKUP(B433,'Master data'!$A$1:$F$1000,2,FALSE),"")</f>
        <v/>
      </c>
      <c r="D433" s="7" t="str">
        <f>IFERROR(VLOOKUP(B433,'Master data'!$A$1:$F$1000,6,FALSE),"")</f>
        <v/>
      </c>
      <c r="F433" s="7" t="str">
        <f>IFERROR(VLOOKUP(B433,'Master data'!$A$1:$F$1000,3,FALSE),"")</f>
        <v/>
      </c>
      <c r="I433" s="16"/>
      <c r="J433" s="16"/>
      <c r="K433" s="16" t="b">
        <v>0</v>
      </c>
      <c r="L433" s="16" t="b">
        <v>0</v>
      </c>
    </row>
    <row r="434">
      <c r="A434" s="9"/>
      <c r="B434" s="16"/>
      <c r="C434" s="7" t="str">
        <f>IFERROR(VLOOKUP(B434,'Master data'!$A$1:$F$1000,2,FALSE),"")</f>
        <v/>
      </c>
      <c r="D434" s="7" t="str">
        <f>IFERROR(VLOOKUP(B434,'Master data'!$A$1:$F$1000,6,FALSE),"")</f>
        <v/>
      </c>
      <c r="F434" s="7" t="str">
        <f>IFERROR(VLOOKUP(B434,'Master data'!$A$1:$F$1000,3,FALSE),"")</f>
        <v/>
      </c>
      <c r="I434" s="16"/>
      <c r="J434" s="16"/>
      <c r="K434" s="16" t="b">
        <v>0</v>
      </c>
      <c r="L434" s="16" t="b">
        <v>0</v>
      </c>
    </row>
    <row r="435">
      <c r="A435" s="9"/>
      <c r="B435" s="16"/>
      <c r="C435" s="7" t="str">
        <f>IFERROR(VLOOKUP(B435,'Master data'!$A$1:$F$1000,2,FALSE),"")</f>
        <v/>
      </c>
      <c r="D435" s="7" t="str">
        <f>IFERROR(VLOOKUP(B435,'Master data'!$A$1:$F$1000,6,FALSE),"")</f>
        <v/>
      </c>
      <c r="F435" s="7" t="str">
        <f>IFERROR(VLOOKUP(B435,'Master data'!$A$1:$F$1000,3,FALSE),"")</f>
        <v/>
      </c>
      <c r="I435" s="16"/>
      <c r="J435" s="16"/>
      <c r="K435" s="16" t="b">
        <v>0</v>
      </c>
      <c r="L435" s="16" t="b">
        <v>0</v>
      </c>
    </row>
    <row r="436">
      <c r="A436" s="9"/>
      <c r="B436" s="16"/>
      <c r="C436" s="7" t="str">
        <f>IFERROR(VLOOKUP(B436,'Master data'!$A$1:$F$1000,2,FALSE),"")</f>
        <v/>
      </c>
      <c r="D436" s="7" t="str">
        <f>IFERROR(VLOOKUP(B436,'Master data'!$A$1:$F$1000,6,FALSE),"")</f>
        <v/>
      </c>
      <c r="F436" s="7" t="str">
        <f>IFERROR(VLOOKUP(B436,'Master data'!$A$1:$F$1000,3,FALSE),"")</f>
        <v/>
      </c>
      <c r="I436" s="16"/>
      <c r="J436" s="16"/>
      <c r="K436" s="16" t="b">
        <v>0</v>
      </c>
      <c r="L436" s="16" t="b">
        <v>0</v>
      </c>
    </row>
    <row r="437">
      <c r="A437" s="9"/>
      <c r="B437" s="16"/>
      <c r="C437" s="7" t="str">
        <f>IFERROR(VLOOKUP(B437,'Master data'!$A$1:$F$1000,2,FALSE),"")</f>
        <v/>
      </c>
      <c r="D437" s="7" t="str">
        <f>IFERROR(VLOOKUP(B437,'Master data'!$A$1:$F$1000,6,FALSE),"")</f>
        <v/>
      </c>
      <c r="F437" s="7" t="str">
        <f>IFERROR(VLOOKUP(B437,'Master data'!$A$1:$F$1000,3,FALSE),"")</f>
        <v/>
      </c>
      <c r="I437" s="16"/>
      <c r="J437" s="16"/>
      <c r="K437" s="16" t="b">
        <v>0</v>
      </c>
      <c r="L437" s="16" t="b">
        <v>0</v>
      </c>
    </row>
    <row r="438">
      <c r="A438" s="9"/>
      <c r="B438" s="16"/>
      <c r="C438" s="7" t="str">
        <f>IFERROR(VLOOKUP(B438,'Master data'!$A$1:$F$1000,2,FALSE),"")</f>
        <v/>
      </c>
      <c r="D438" s="7" t="str">
        <f>IFERROR(VLOOKUP(B438,'Master data'!$A$1:$F$1000,6,FALSE),"")</f>
        <v/>
      </c>
      <c r="F438" s="7" t="str">
        <f>IFERROR(VLOOKUP(B438,'Master data'!$A$1:$F$1000,3,FALSE),"")</f>
        <v/>
      </c>
      <c r="I438" s="16"/>
      <c r="J438" s="16"/>
      <c r="K438" s="16" t="b">
        <v>0</v>
      </c>
      <c r="L438" s="16" t="b">
        <v>0</v>
      </c>
    </row>
    <row r="439">
      <c r="A439" s="9"/>
      <c r="B439" s="16"/>
      <c r="C439" s="7" t="str">
        <f>IFERROR(VLOOKUP(B439,'Master data'!$A$1:$F$1000,2,FALSE),"")</f>
        <v/>
      </c>
      <c r="D439" s="7" t="str">
        <f>IFERROR(VLOOKUP(B439,'Master data'!$A$1:$F$1000,6,FALSE),"")</f>
        <v/>
      </c>
      <c r="F439" s="7" t="str">
        <f>IFERROR(VLOOKUP(B439,'Master data'!$A$1:$F$1000,3,FALSE),"")</f>
        <v/>
      </c>
      <c r="I439" s="16"/>
      <c r="J439" s="16"/>
      <c r="K439" s="16" t="b">
        <v>0</v>
      </c>
      <c r="L439" s="16" t="b">
        <v>0</v>
      </c>
    </row>
    <row r="440">
      <c r="A440" s="9"/>
      <c r="B440" s="16"/>
      <c r="C440" s="7" t="str">
        <f>IFERROR(VLOOKUP(B440,'Master data'!$A$1:$F$1000,2,FALSE),"")</f>
        <v/>
      </c>
      <c r="D440" s="7" t="str">
        <f>IFERROR(VLOOKUP(B440,'Master data'!$A$1:$F$1000,6,FALSE),"")</f>
        <v/>
      </c>
      <c r="F440" s="7" t="str">
        <f>IFERROR(VLOOKUP(B440,'Master data'!$A$1:$F$1000,3,FALSE),"")</f>
        <v/>
      </c>
      <c r="I440" s="16"/>
      <c r="J440" s="16"/>
      <c r="K440" s="16" t="b">
        <v>0</v>
      </c>
      <c r="L440" s="16" t="b">
        <v>0</v>
      </c>
    </row>
    <row r="441">
      <c r="A441" s="9"/>
      <c r="B441" s="16"/>
      <c r="C441" s="7" t="str">
        <f>IFERROR(VLOOKUP(B441,'Master data'!$A$1:$F$1000,2,FALSE),"")</f>
        <v/>
      </c>
      <c r="D441" s="7" t="str">
        <f>IFERROR(VLOOKUP(B441,'Master data'!$A$1:$F$1000,6,FALSE),"")</f>
        <v/>
      </c>
      <c r="F441" s="7" t="str">
        <f>IFERROR(VLOOKUP(B441,'Master data'!$A$1:$F$1000,3,FALSE),"")</f>
        <v/>
      </c>
      <c r="I441" s="16"/>
      <c r="J441" s="16"/>
      <c r="K441" s="16" t="b">
        <v>0</v>
      </c>
      <c r="L441" s="16" t="b">
        <v>0</v>
      </c>
    </row>
    <row r="442">
      <c r="A442" s="9"/>
      <c r="B442" s="16"/>
      <c r="C442" s="7" t="str">
        <f>IFERROR(VLOOKUP(B442,'Master data'!$A$1:$F$1000,2,FALSE),"")</f>
        <v/>
      </c>
      <c r="D442" s="7" t="str">
        <f>IFERROR(VLOOKUP(B442,'Master data'!$A$1:$F$1000,6,FALSE),"")</f>
        <v/>
      </c>
      <c r="F442" s="7" t="str">
        <f>IFERROR(VLOOKUP(B442,'Master data'!$A$1:$F$1000,3,FALSE),"")</f>
        <v/>
      </c>
      <c r="I442" s="16"/>
      <c r="J442" s="16"/>
      <c r="K442" s="16" t="b">
        <v>0</v>
      </c>
      <c r="L442" s="16" t="b">
        <v>0</v>
      </c>
    </row>
    <row r="443">
      <c r="A443" s="9"/>
      <c r="B443" s="16"/>
      <c r="C443" s="7" t="str">
        <f>IFERROR(VLOOKUP(B443,'Master data'!$A$1:$F$1000,2,FALSE),"")</f>
        <v/>
      </c>
      <c r="D443" s="7" t="str">
        <f>IFERROR(VLOOKUP(B443,'Master data'!$A$1:$F$1000,6,FALSE),"")</f>
        <v/>
      </c>
      <c r="F443" s="7" t="str">
        <f>IFERROR(VLOOKUP(B443,'Master data'!$A$1:$F$1000,3,FALSE),"")</f>
        <v/>
      </c>
      <c r="I443" s="16"/>
      <c r="J443" s="16"/>
      <c r="K443" s="16" t="b">
        <v>0</v>
      </c>
      <c r="L443" s="16" t="b">
        <v>0</v>
      </c>
    </row>
    <row r="444">
      <c r="A444" s="9"/>
      <c r="B444" s="16"/>
      <c r="C444" s="7" t="str">
        <f>IFERROR(VLOOKUP(B444,'Master data'!$A$1:$F$1000,2,FALSE),"")</f>
        <v/>
      </c>
      <c r="D444" s="7" t="str">
        <f>IFERROR(VLOOKUP(B444,'Master data'!$A$1:$F$1000,6,FALSE),"")</f>
        <v/>
      </c>
      <c r="F444" s="7" t="str">
        <f>IFERROR(VLOOKUP(B444,'Master data'!$A$1:$F$1000,3,FALSE),"")</f>
        <v/>
      </c>
      <c r="I444" s="16"/>
      <c r="J444" s="16"/>
      <c r="K444" s="16" t="b">
        <v>0</v>
      </c>
      <c r="L444" s="16" t="b">
        <v>0</v>
      </c>
    </row>
    <row r="445">
      <c r="A445" s="9"/>
      <c r="B445" s="16"/>
      <c r="C445" s="7" t="str">
        <f>IFERROR(VLOOKUP(B445,'Master data'!$A$1:$F$1000,2,FALSE),"")</f>
        <v/>
      </c>
      <c r="D445" s="7" t="str">
        <f>IFERROR(VLOOKUP(B445,'Master data'!$A$1:$F$1000,6,FALSE),"")</f>
        <v/>
      </c>
      <c r="F445" s="7" t="str">
        <f>IFERROR(VLOOKUP(B445,'Master data'!$A$1:$F$1000,3,FALSE),"")</f>
        <v/>
      </c>
      <c r="I445" s="16"/>
      <c r="J445" s="16"/>
      <c r="K445" s="16" t="b">
        <v>0</v>
      </c>
      <c r="L445" s="16" t="b">
        <v>0</v>
      </c>
    </row>
    <row r="446">
      <c r="A446" s="9"/>
      <c r="B446" s="16"/>
      <c r="C446" s="7" t="str">
        <f>IFERROR(VLOOKUP(B446,'Master data'!$A$1:$F$1000,2,FALSE),"")</f>
        <v/>
      </c>
      <c r="D446" s="7" t="str">
        <f>IFERROR(VLOOKUP(B446,'Master data'!$A$1:$F$1000,6,FALSE),"")</f>
        <v/>
      </c>
      <c r="F446" s="7" t="str">
        <f>IFERROR(VLOOKUP(B446,'Master data'!$A$1:$F$1000,3,FALSE),"")</f>
        <v/>
      </c>
      <c r="I446" s="16"/>
      <c r="J446" s="16"/>
      <c r="K446" s="16" t="b">
        <v>0</v>
      </c>
      <c r="L446" s="16" t="b">
        <v>0</v>
      </c>
    </row>
    <row r="447">
      <c r="A447" s="9"/>
      <c r="B447" s="16"/>
      <c r="C447" s="7" t="str">
        <f>IFERROR(VLOOKUP(B447,'Master data'!$A$1:$F$1000,2,FALSE),"")</f>
        <v/>
      </c>
      <c r="D447" s="7" t="str">
        <f>IFERROR(VLOOKUP(B447,'Master data'!$A$1:$F$1000,6,FALSE),"")</f>
        <v/>
      </c>
      <c r="F447" s="7" t="str">
        <f>IFERROR(VLOOKUP(B447,'Master data'!$A$1:$F$1000,3,FALSE),"")</f>
        <v/>
      </c>
      <c r="I447" s="16"/>
      <c r="J447" s="16"/>
      <c r="K447" s="16" t="b">
        <v>0</v>
      </c>
      <c r="L447" s="16" t="b">
        <v>0</v>
      </c>
    </row>
    <row r="448">
      <c r="A448" s="9"/>
      <c r="B448" s="16"/>
      <c r="C448" s="7" t="str">
        <f>IFERROR(VLOOKUP(B448,'Master data'!$A$1:$F$1000,2,FALSE),"")</f>
        <v/>
      </c>
      <c r="D448" s="7" t="str">
        <f>IFERROR(VLOOKUP(B448,'Master data'!$A$1:$F$1000,6,FALSE),"")</f>
        <v/>
      </c>
      <c r="F448" s="7" t="str">
        <f>IFERROR(VLOOKUP(B448,'Master data'!$A$1:$F$1000,3,FALSE),"")</f>
        <v/>
      </c>
      <c r="I448" s="16"/>
      <c r="J448" s="16"/>
      <c r="K448" s="16" t="b">
        <v>0</v>
      </c>
      <c r="L448" s="16" t="b">
        <v>0</v>
      </c>
    </row>
    <row r="449">
      <c r="A449" s="9"/>
      <c r="B449" s="16"/>
      <c r="C449" s="7" t="str">
        <f>IFERROR(VLOOKUP(B449,'Master data'!$A$1:$F$1000,2,FALSE),"")</f>
        <v/>
      </c>
      <c r="D449" s="7" t="str">
        <f>IFERROR(VLOOKUP(B449,'Master data'!$A$1:$F$1000,6,FALSE),"")</f>
        <v/>
      </c>
      <c r="F449" s="7" t="str">
        <f>IFERROR(VLOOKUP(B449,'Master data'!$A$1:$F$1000,3,FALSE),"")</f>
        <v/>
      </c>
      <c r="I449" s="16"/>
      <c r="J449" s="16"/>
      <c r="K449" s="16" t="b">
        <v>0</v>
      </c>
      <c r="L449" s="16" t="b">
        <v>0</v>
      </c>
    </row>
    <row r="450">
      <c r="A450" s="9"/>
      <c r="B450" s="16"/>
      <c r="C450" s="7" t="str">
        <f>IFERROR(VLOOKUP(B450,'Master data'!$A$1:$F$1000,2,FALSE),"")</f>
        <v/>
      </c>
      <c r="D450" s="7" t="str">
        <f>IFERROR(VLOOKUP(B450,'Master data'!$A$1:$F$1000,6,FALSE),"")</f>
        <v/>
      </c>
      <c r="F450" s="7" t="str">
        <f>IFERROR(VLOOKUP(B450,'Master data'!$A$1:$F$1000,3,FALSE),"")</f>
        <v/>
      </c>
      <c r="I450" s="16"/>
      <c r="J450" s="16"/>
      <c r="K450" s="16" t="b">
        <v>0</v>
      </c>
      <c r="L450" s="16" t="b">
        <v>0</v>
      </c>
    </row>
    <row r="451">
      <c r="A451" s="9"/>
      <c r="B451" s="16"/>
      <c r="C451" s="7" t="str">
        <f>IFERROR(VLOOKUP(B451,'Master data'!$A$1:$F$1000,2,FALSE),"")</f>
        <v/>
      </c>
      <c r="D451" s="7" t="str">
        <f>IFERROR(VLOOKUP(B451,'Master data'!$A$1:$F$1000,6,FALSE),"")</f>
        <v/>
      </c>
      <c r="F451" s="7" t="str">
        <f>IFERROR(VLOOKUP(B451,'Master data'!$A$1:$F$1000,3,FALSE),"")</f>
        <v/>
      </c>
      <c r="I451" s="16"/>
      <c r="J451" s="16"/>
      <c r="K451" s="16" t="b">
        <v>0</v>
      </c>
      <c r="L451" s="16" t="b">
        <v>0</v>
      </c>
    </row>
    <row r="452">
      <c r="A452" s="9"/>
      <c r="B452" s="16"/>
      <c r="C452" s="7" t="str">
        <f>IFERROR(VLOOKUP(B452,'Master data'!$A$1:$F$1000,2,FALSE),"")</f>
        <v/>
      </c>
      <c r="D452" s="7" t="str">
        <f>IFERROR(VLOOKUP(B452,'Master data'!$A$1:$F$1000,6,FALSE),"")</f>
        <v/>
      </c>
      <c r="F452" s="7" t="str">
        <f>IFERROR(VLOOKUP(B452,'Master data'!$A$1:$F$1000,3,FALSE),"")</f>
        <v/>
      </c>
      <c r="I452" s="16"/>
      <c r="J452" s="16"/>
      <c r="K452" s="16" t="b">
        <v>0</v>
      </c>
      <c r="L452" s="16" t="b">
        <v>0</v>
      </c>
    </row>
    <row r="453">
      <c r="A453" s="9"/>
      <c r="B453" s="16"/>
      <c r="C453" s="7" t="str">
        <f>IFERROR(VLOOKUP(B453,'Master data'!$A$1:$F$1000,2,FALSE),"")</f>
        <v/>
      </c>
      <c r="D453" s="7" t="str">
        <f>IFERROR(VLOOKUP(B453,'Master data'!$A$1:$F$1000,6,FALSE),"")</f>
        <v/>
      </c>
      <c r="F453" s="7" t="str">
        <f>IFERROR(VLOOKUP(B453,'Master data'!$A$1:$F$1000,3,FALSE),"")</f>
        <v/>
      </c>
      <c r="I453" s="16"/>
      <c r="J453" s="16"/>
      <c r="K453" s="16" t="b">
        <v>0</v>
      </c>
      <c r="L453" s="16" t="b">
        <v>0</v>
      </c>
    </row>
    <row r="454">
      <c r="A454" s="9"/>
      <c r="B454" s="16"/>
      <c r="C454" s="7" t="str">
        <f>IFERROR(VLOOKUP(B454,'Master data'!$A$1:$F$1000,2,FALSE),"")</f>
        <v/>
      </c>
      <c r="D454" s="7" t="str">
        <f>IFERROR(VLOOKUP(B454,'Master data'!$A$1:$F$1000,6,FALSE),"")</f>
        <v/>
      </c>
      <c r="F454" s="7" t="str">
        <f>IFERROR(VLOOKUP(B454,'Master data'!$A$1:$F$1000,3,FALSE),"")</f>
        <v/>
      </c>
      <c r="I454" s="16"/>
      <c r="J454" s="16"/>
      <c r="K454" s="16" t="b">
        <v>0</v>
      </c>
      <c r="L454" s="16" t="b">
        <v>0</v>
      </c>
    </row>
    <row r="455">
      <c r="A455" s="9"/>
      <c r="B455" s="16"/>
      <c r="C455" s="7" t="str">
        <f>IFERROR(VLOOKUP(B455,'Master data'!$A$1:$F$1000,2,FALSE),"")</f>
        <v/>
      </c>
      <c r="D455" s="7" t="str">
        <f>IFERROR(VLOOKUP(B455,'Master data'!$A$1:$F$1000,6,FALSE),"")</f>
        <v/>
      </c>
      <c r="F455" s="7" t="str">
        <f>IFERROR(VLOOKUP(B455,'Master data'!$A$1:$F$1000,3,FALSE),"")</f>
        <v/>
      </c>
      <c r="I455" s="16"/>
      <c r="J455" s="16"/>
      <c r="K455" s="16" t="b">
        <v>0</v>
      </c>
      <c r="L455" s="16" t="b">
        <v>0</v>
      </c>
    </row>
    <row r="456">
      <c r="A456" s="9"/>
      <c r="B456" s="16"/>
      <c r="C456" s="7" t="str">
        <f>IFERROR(VLOOKUP(B456,'Master data'!$A$1:$F$1000,2,FALSE),"")</f>
        <v/>
      </c>
      <c r="D456" s="7" t="str">
        <f>IFERROR(VLOOKUP(B456,'Master data'!$A$1:$F$1000,6,FALSE),"")</f>
        <v/>
      </c>
      <c r="F456" s="7" t="str">
        <f>IFERROR(VLOOKUP(B456,'Master data'!$A$1:$F$1000,3,FALSE),"")</f>
        <v/>
      </c>
      <c r="I456" s="16"/>
      <c r="J456" s="16"/>
      <c r="K456" s="16" t="b">
        <v>0</v>
      </c>
      <c r="L456" s="16" t="b">
        <v>0</v>
      </c>
    </row>
    <row r="457">
      <c r="A457" s="9"/>
      <c r="B457" s="16"/>
      <c r="C457" s="7" t="str">
        <f>IFERROR(VLOOKUP(B457,'Master data'!$A$1:$F$1000,2,FALSE),"")</f>
        <v/>
      </c>
      <c r="D457" s="7" t="str">
        <f>IFERROR(VLOOKUP(B457,'Master data'!$A$1:$F$1000,6,FALSE),"")</f>
        <v/>
      </c>
      <c r="F457" s="7" t="str">
        <f>IFERROR(VLOOKUP(B457,'Master data'!$A$1:$F$1000,3,FALSE),"")</f>
        <v/>
      </c>
      <c r="I457" s="16"/>
      <c r="J457" s="16"/>
      <c r="K457" s="16" t="b">
        <v>0</v>
      </c>
      <c r="L457" s="16" t="b">
        <v>0</v>
      </c>
    </row>
    <row r="458">
      <c r="A458" s="9"/>
      <c r="B458" s="16"/>
      <c r="C458" s="7" t="str">
        <f>IFERROR(VLOOKUP(B458,'Master data'!$A$1:$F$1000,2,FALSE),"")</f>
        <v/>
      </c>
      <c r="D458" s="7" t="str">
        <f>IFERROR(VLOOKUP(B458,'Master data'!$A$1:$F$1000,6,FALSE),"")</f>
        <v/>
      </c>
      <c r="F458" s="7" t="str">
        <f>IFERROR(VLOOKUP(B458,'Master data'!$A$1:$F$1000,3,FALSE),"")</f>
        <v/>
      </c>
      <c r="I458" s="16"/>
      <c r="J458" s="16"/>
      <c r="K458" s="16" t="b">
        <v>0</v>
      </c>
      <c r="L458" s="16" t="b">
        <v>0</v>
      </c>
    </row>
    <row r="459">
      <c r="A459" s="9"/>
      <c r="B459" s="16"/>
      <c r="C459" s="7" t="str">
        <f>IFERROR(VLOOKUP(B459,'Master data'!$A$1:$F$1000,2,FALSE),"")</f>
        <v/>
      </c>
      <c r="D459" s="7" t="str">
        <f>IFERROR(VLOOKUP(B459,'Master data'!$A$1:$F$1000,6,FALSE),"")</f>
        <v/>
      </c>
      <c r="F459" s="7" t="str">
        <f>IFERROR(VLOOKUP(B459,'Master data'!$A$1:$F$1000,3,FALSE),"")</f>
        <v/>
      </c>
      <c r="I459" s="16"/>
      <c r="J459" s="16"/>
      <c r="K459" s="16" t="b">
        <v>0</v>
      </c>
      <c r="L459" s="16" t="b">
        <v>0</v>
      </c>
    </row>
    <row r="460">
      <c r="A460" s="9"/>
      <c r="B460" s="16"/>
      <c r="C460" s="7" t="str">
        <f>IFERROR(VLOOKUP(B460,'Master data'!$A$1:$F$1000,2,FALSE),"")</f>
        <v/>
      </c>
      <c r="D460" s="7" t="str">
        <f>IFERROR(VLOOKUP(B460,'Master data'!$A$1:$F$1000,6,FALSE),"")</f>
        <v/>
      </c>
      <c r="F460" s="7" t="str">
        <f>IFERROR(VLOOKUP(B460,'Master data'!$A$1:$F$1000,3,FALSE),"")</f>
        <v/>
      </c>
      <c r="I460" s="16"/>
      <c r="J460" s="16"/>
      <c r="K460" s="16" t="b">
        <v>0</v>
      </c>
      <c r="L460" s="16" t="b">
        <v>0</v>
      </c>
    </row>
    <row r="461">
      <c r="A461" s="9"/>
      <c r="B461" s="16"/>
      <c r="C461" s="7" t="str">
        <f>IFERROR(VLOOKUP(B461,'Master data'!$A$1:$F$1000,2,FALSE),"")</f>
        <v/>
      </c>
      <c r="D461" s="7" t="str">
        <f>IFERROR(VLOOKUP(B461,'Master data'!$A$1:$F$1000,6,FALSE),"")</f>
        <v/>
      </c>
      <c r="F461" s="7" t="str">
        <f>IFERROR(VLOOKUP(B461,'Master data'!$A$1:$F$1000,3,FALSE),"")</f>
        <v/>
      </c>
      <c r="I461" s="16"/>
      <c r="J461" s="16"/>
      <c r="K461" s="16" t="b">
        <v>0</v>
      </c>
      <c r="L461" s="16" t="b">
        <v>0</v>
      </c>
    </row>
    <row r="462">
      <c r="A462" s="9"/>
      <c r="B462" s="16"/>
      <c r="C462" s="7" t="str">
        <f>IFERROR(VLOOKUP(B462,'Master data'!$A$1:$F$1000,2,FALSE),"")</f>
        <v/>
      </c>
      <c r="D462" s="7" t="str">
        <f>IFERROR(VLOOKUP(B462,'Master data'!$A$1:$F$1000,6,FALSE),"")</f>
        <v/>
      </c>
      <c r="F462" s="7" t="str">
        <f>IFERROR(VLOOKUP(B462,'Master data'!$A$1:$F$1000,3,FALSE),"")</f>
        <v/>
      </c>
      <c r="I462" s="16"/>
      <c r="J462" s="16"/>
      <c r="K462" s="16" t="b">
        <v>0</v>
      </c>
      <c r="L462" s="16" t="b">
        <v>0</v>
      </c>
    </row>
    <row r="463">
      <c r="A463" s="9"/>
      <c r="B463" s="16"/>
      <c r="C463" s="7" t="str">
        <f>IFERROR(VLOOKUP(B463,'Master data'!$A$1:$F$1000,2,FALSE),"")</f>
        <v/>
      </c>
      <c r="D463" s="7" t="str">
        <f>IFERROR(VLOOKUP(B463,'Master data'!$A$1:$F$1000,6,FALSE),"")</f>
        <v/>
      </c>
      <c r="F463" s="7" t="str">
        <f>IFERROR(VLOOKUP(B463,'Master data'!$A$1:$F$1000,3,FALSE),"")</f>
        <v/>
      </c>
      <c r="I463" s="16"/>
      <c r="J463" s="16"/>
      <c r="K463" s="16" t="b">
        <v>0</v>
      </c>
      <c r="L463" s="16" t="b">
        <v>0</v>
      </c>
    </row>
    <row r="464">
      <c r="A464" s="9"/>
      <c r="B464" s="16"/>
      <c r="C464" s="7" t="str">
        <f>IFERROR(VLOOKUP(B464,'Master data'!$A$1:$F$1000,2,FALSE),"")</f>
        <v/>
      </c>
      <c r="D464" s="7" t="str">
        <f>IFERROR(VLOOKUP(B464,'Master data'!$A$1:$F$1000,6,FALSE),"")</f>
        <v/>
      </c>
      <c r="F464" s="7" t="str">
        <f>IFERROR(VLOOKUP(B464,'Master data'!$A$1:$F$1000,3,FALSE),"")</f>
        <v/>
      </c>
      <c r="I464" s="16"/>
      <c r="J464" s="16"/>
      <c r="K464" s="16" t="b">
        <v>0</v>
      </c>
      <c r="L464" s="16" t="b">
        <v>0</v>
      </c>
    </row>
    <row r="465">
      <c r="A465" s="9"/>
      <c r="B465" s="16"/>
      <c r="C465" s="7" t="str">
        <f>IFERROR(VLOOKUP(B465,'Master data'!$A$1:$F$1000,2,FALSE),"")</f>
        <v/>
      </c>
      <c r="D465" s="7" t="str">
        <f>IFERROR(VLOOKUP(B465,'Master data'!$A$1:$F$1000,6,FALSE),"")</f>
        <v/>
      </c>
      <c r="F465" s="7" t="str">
        <f>IFERROR(VLOOKUP(B465,'Master data'!$A$1:$F$1000,3,FALSE),"")</f>
        <v/>
      </c>
      <c r="I465" s="16"/>
      <c r="J465" s="16"/>
      <c r="K465" s="16" t="b">
        <v>0</v>
      </c>
      <c r="L465" s="16" t="b">
        <v>0</v>
      </c>
    </row>
    <row r="466">
      <c r="A466" s="9"/>
      <c r="B466" s="16"/>
      <c r="C466" s="7" t="str">
        <f>IFERROR(VLOOKUP(B466,'Master data'!$A$1:$F$1000,2,FALSE),"")</f>
        <v/>
      </c>
      <c r="D466" s="7" t="str">
        <f>IFERROR(VLOOKUP(B466,'Master data'!$A$1:$F$1000,6,FALSE),"")</f>
        <v/>
      </c>
      <c r="F466" s="7" t="str">
        <f>IFERROR(VLOOKUP(B466,'Master data'!$A$1:$F$1000,3,FALSE),"")</f>
        <v/>
      </c>
      <c r="I466" s="16"/>
      <c r="J466" s="16"/>
      <c r="K466" s="16" t="b">
        <v>0</v>
      </c>
      <c r="L466" s="16" t="b">
        <v>0</v>
      </c>
    </row>
    <row r="467">
      <c r="A467" s="9"/>
      <c r="B467" s="16"/>
      <c r="C467" s="7" t="str">
        <f>IFERROR(VLOOKUP(B467,'Master data'!$A$1:$F$1000,2,FALSE),"")</f>
        <v/>
      </c>
      <c r="D467" s="7" t="str">
        <f>IFERROR(VLOOKUP(B467,'Master data'!$A$1:$F$1000,6,FALSE),"")</f>
        <v/>
      </c>
      <c r="F467" s="7" t="str">
        <f>IFERROR(VLOOKUP(B467,'Master data'!$A$1:$F$1000,3,FALSE),"")</f>
        <v/>
      </c>
      <c r="I467" s="16"/>
      <c r="J467" s="16"/>
      <c r="K467" s="16" t="b">
        <v>0</v>
      </c>
      <c r="L467" s="16" t="b">
        <v>0</v>
      </c>
    </row>
    <row r="468">
      <c r="A468" s="9"/>
      <c r="B468" s="16"/>
      <c r="C468" s="7" t="str">
        <f>IFERROR(VLOOKUP(B468,'Master data'!$A$1:$F$1000,2,FALSE),"")</f>
        <v/>
      </c>
      <c r="D468" s="7" t="str">
        <f>IFERROR(VLOOKUP(B468,'Master data'!$A$1:$F$1000,6,FALSE),"")</f>
        <v/>
      </c>
      <c r="F468" s="7" t="str">
        <f>IFERROR(VLOOKUP(B468,'Master data'!$A$1:$F$1000,3,FALSE),"")</f>
        <v/>
      </c>
      <c r="I468" s="16"/>
      <c r="J468" s="16"/>
      <c r="K468" s="16" t="b">
        <v>0</v>
      </c>
      <c r="L468" s="16" t="b">
        <v>0</v>
      </c>
    </row>
    <row r="469">
      <c r="A469" s="9"/>
      <c r="B469" s="16"/>
      <c r="C469" s="7" t="str">
        <f>IFERROR(VLOOKUP(B469,'Master data'!$A$1:$F$1000,2,FALSE),"")</f>
        <v/>
      </c>
      <c r="D469" s="7" t="str">
        <f>IFERROR(VLOOKUP(B469,'Master data'!$A$1:$F$1000,6,FALSE),"")</f>
        <v/>
      </c>
      <c r="F469" s="7" t="str">
        <f>IFERROR(VLOOKUP(B469,'Master data'!$A$1:$F$1000,3,FALSE),"")</f>
        <v/>
      </c>
      <c r="I469" s="16"/>
      <c r="J469" s="16"/>
      <c r="K469" s="16" t="b">
        <v>0</v>
      </c>
      <c r="L469" s="16" t="b">
        <v>0</v>
      </c>
    </row>
    <row r="470">
      <c r="A470" s="9"/>
      <c r="B470" s="16"/>
      <c r="C470" s="7" t="str">
        <f>IFERROR(VLOOKUP(B470,'Master data'!$A$1:$F$1000,2,FALSE),"")</f>
        <v/>
      </c>
      <c r="D470" s="7" t="str">
        <f>IFERROR(VLOOKUP(B470,'Master data'!$A$1:$F$1000,6,FALSE),"")</f>
        <v/>
      </c>
      <c r="F470" s="7" t="str">
        <f>IFERROR(VLOOKUP(B470,'Master data'!$A$1:$F$1000,3,FALSE),"")</f>
        <v/>
      </c>
      <c r="I470" s="16"/>
      <c r="J470" s="16"/>
      <c r="K470" s="16" t="b">
        <v>0</v>
      </c>
      <c r="L470" s="16" t="b">
        <v>0</v>
      </c>
    </row>
    <row r="471">
      <c r="A471" s="9"/>
      <c r="B471" s="16"/>
      <c r="C471" s="7" t="str">
        <f>IFERROR(VLOOKUP(B471,'Master data'!$A$1:$F$1000,2,FALSE),"")</f>
        <v/>
      </c>
      <c r="D471" s="7" t="str">
        <f>IFERROR(VLOOKUP(B471,'Master data'!$A$1:$F$1000,6,FALSE),"")</f>
        <v/>
      </c>
      <c r="F471" s="7" t="str">
        <f>IFERROR(VLOOKUP(B471,'Master data'!$A$1:$F$1000,3,FALSE),"")</f>
        <v/>
      </c>
      <c r="I471" s="16"/>
      <c r="J471" s="16"/>
      <c r="K471" s="16" t="b">
        <v>0</v>
      </c>
      <c r="L471" s="16" t="b">
        <v>0</v>
      </c>
    </row>
    <row r="472">
      <c r="A472" s="9"/>
      <c r="B472" s="16"/>
      <c r="C472" s="7" t="str">
        <f>IFERROR(VLOOKUP(B472,'Master data'!$A$1:$F$1000,2,FALSE),"")</f>
        <v/>
      </c>
      <c r="D472" s="7" t="str">
        <f>IFERROR(VLOOKUP(B472,'Master data'!$A$1:$F$1000,6,FALSE),"")</f>
        <v/>
      </c>
      <c r="F472" s="7" t="str">
        <f>IFERROR(VLOOKUP(B472,'Master data'!$A$1:$F$1000,3,FALSE),"")</f>
        <v/>
      </c>
      <c r="I472" s="16"/>
      <c r="J472" s="16"/>
      <c r="K472" s="16" t="b">
        <v>0</v>
      </c>
      <c r="L472" s="16" t="b">
        <v>0</v>
      </c>
    </row>
    <row r="473">
      <c r="A473" s="9"/>
      <c r="B473" s="16"/>
      <c r="C473" s="7" t="str">
        <f>IFERROR(VLOOKUP(B473,'Master data'!$A$1:$F$1000,2,FALSE),"")</f>
        <v/>
      </c>
      <c r="D473" s="7" t="str">
        <f>IFERROR(VLOOKUP(B473,'Master data'!$A$1:$F$1000,6,FALSE),"")</f>
        <v/>
      </c>
      <c r="F473" s="7" t="str">
        <f>IFERROR(VLOOKUP(B473,'Master data'!$A$1:$F$1000,3,FALSE),"")</f>
        <v/>
      </c>
      <c r="I473" s="16"/>
      <c r="J473" s="16"/>
      <c r="K473" s="16" t="b">
        <v>0</v>
      </c>
      <c r="L473" s="16" t="b">
        <v>0</v>
      </c>
    </row>
    <row r="474">
      <c r="A474" s="9"/>
      <c r="B474" s="16"/>
      <c r="C474" s="7" t="str">
        <f>IFERROR(VLOOKUP(B474,'Master data'!$A$1:$F$1000,2,FALSE),"")</f>
        <v/>
      </c>
      <c r="D474" s="7" t="str">
        <f>IFERROR(VLOOKUP(B474,'Master data'!$A$1:$F$1000,6,FALSE),"")</f>
        <v/>
      </c>
      <c r="F474" s="7" t="str">
        <f>IFERROR(VLOOKUP(B474,'Master data'!$A$1:$F$1000,3,FALSE),"")</f>
        <v/>
      </c>
      <c r="I474" s="16"/>
      <c r="J474" s="16"/>
      <c r="K474" s="16" t="b">
        <v>0</v>
      </c>
      <c r="L474" s="16" t="b">
        <v>0</v>
      </c>
    </row>
    <row r="475">
      <c r="A475" s="9"/>
      <c r="B475" s="16"/>
      <c r="C475" s="7" t="str">
        <f>IFERROR(VLOOKUP(B475,'Master data'!$A$1:$F$1000,2,FALSE),"")</f>
        <v/>
      </c>
      <c r="D475" s="7" t="str">
        <f>IFERROR(VLOOKUP(B475,'Master data'!$A$1:$F$1000,6,FALSE),"")</f>
        <v/>
      </c>
      <c r="F475" s="7" t="str">
        <f>IFERROR(VLOOKUP(B475,'Master data'!$A$1:$F$1000,3,FALSE),"")</f>
        <v/>
      </c>
      <c r="I475" s="16"/>
      <c r="J475" s="16"/>
      <c r="K475" s="16" t="b">
        <v>0</v>
      </c>
      <c r="L475" s="16" t="b">
        <v>0</v>
      </c>
    </row>
    <row r="476">
      <c r="A476" s="9"/>
      <c r="B476" s="16"/>
      <c r="C476" s="7" t="str">
        <f>IFERROR(VLOOKUP(B476,'Master data'!$A$1:$F$1000,2,FALSE),"")</f>
        <v/>
      </c>
      <c r="D476" s="7" t="str">
        <f>IFERROR(VLOOKUP(B476,'Master data'!$A$1:$F$1000,6,FALSE),"")</f>
        <v/>
      </c>
      <c r="F476" s="7" t="str">
        <f>IFERROR(VLOOKUP(B476,'Master data'!$A$1:$F$1000,3,FALSE),"")</f>
        <v/>
      </c>
      <c r="I476" s="16"/>
      <c r="J476" s="16"/>
      <c r="K476" s="16" t="b">
        <v>0</v>
      </c>
      <c r="L476" s="16" t="b">
        <v>0</v>
      </c>
    </row>
    <row r="477">
      <c r="A477" s="9"/>
      <c r="B477" s="16"/>
      <c r="C477" s="7" t="str">
        <f>IFERROR(VLOOKUP(B477,'Master data'!$A$1:$F$1000,2,FALSE),"")</f>
        <v/>
      </c>
      <c r="D477" s="7" t="str">
        <f>IFERROR(VLOOKUP(B477,'Master data'!$A$1:$F$1000,6,FALSE),"")</f>
        <v/>
      </c>
      <c r="F477" s="7" t="str">
        <f>IFERROR(VLOOKUP(B477,'Master data'!$A$1:$F$1000,3,FALSE),"")</f>
        <v/>
      </c>
      <c r="I477" s="16"/>
      <c r="J477" s="16"/>
      <c r="K477" s="16" t="b">
        <v>0</v>
      </c>
      <c r="L477" s="16" t="b">
        <v>0</v>
      </c>
    </row>
    <row r="478">
      <c r="A478" s="9"/>
      <c r="B478" s="16"/>
      <c r="C478" s="7" t="str">
        <f>IFERROR(VLOOKUP(B478,'Master data'!$A$1:$F$1000,2,FALSE),"")</f>
        <v/>
      </c>
      <c r="D478" s="7" t="str">
        <f>IFERROR(VLOOKUP(B478,'Master data'!$A$1:$F$1000,6,FALSE),"")</f>
        <v/>
      </c>
      <c r="F478" s="7" t="str">
        <f>IFERROR(VLOOKUP(B478,'Master data'!$A$1:$F$1000,3,FALSE),"")</f>
        <v/>
      </c>
      <c r="I478" s="16"/>
      <c r="J478" s="16"/>
      <c r="K478" s="16" t="b">
        <v>0</v>
      </c>
      <c r="L478" s="16" t="b">
        <v>0</v>
      </c>
    </row>
    <row r="479">
      <c r="A479" s="9"/>
      <c r="B479" s="16"/>
      <c r="C479" s="7" t="str">
        <f>IFERROR(VLOOKUP(B479,'Master data'!$A$1:$F$1000,2,FALSE),"")</f>
        <v/>
      </c>
      <c r="D479" s="7" t="str">
        <f>IFERROR(VLOOKUP(B479,'Master data'!$A$1:$F$1000,6,FALSE),"")</f>
        <v/>
      </c>
      <c r="F479" s="7" t="str">
        <f>IFERROR(VLOOKUP(B479,'Master data'!$A$1:$F$1000,3,FALSE),"")</f>
        <v/>
      </c>
      <c r="I479" s="16"/>
      <c r="J479" s="16"/>
      <c r="K479" s="16" t="b">
        <v>0</v>
      </c>
      <c r="L479" s="16" t="b">
        <v>0</v>
      </c>
    </row>
    <row r="480">
      <c r="A480" s="9"/>
      <c r="B480" s="16"/>
      <c r="C480" s="7" t="str">
        <f>IFERROR(VLOOKUP(B480,'Master data'!$A$1:$F$1000,2,FALSE),"")</f>
        <v/>
      </c>
      <c r="D480" s="7" t="str">
        <f>IFERROR(VLOOKUP(B480,'Master data'!$A$1:$F$1000,6,FALSE),"")</f>
        <v/>
      </c>
      <c r="F480" s="7" t="str">
        <f>IFERROR(VLOOKUP(B480,'Master data'!$A$1:$F$1000,3,FALSE),"")</f>
        <v/>
      </c>
      <c r="I480" s="16"/>
      <c r="J480" s="16"/>
      <c r="K480" s="16" t="b">
        <v>0</v>
      </c>
      <c r="L480" s="16" t="b">
        <v>0</v>
      </c>
    </row>
    <row r="481">
      <c r="A481" s="9"/>
      <c r="B481" s="16"/>
      <c r="C481" s="7" t="str">
        <f>IFERROR(VLOOKUP(B481,'Master data'!$A$1:$F$1000,2,FALSE),"")</f>
        <v/>
      </c>
      <c r="D481" s="7" t="str">
        <f>IFERROR(VLOOKUP(B481,'Master data'!$A$1:$F$1000,6,FALSE),"")</f>
        <v/>
      </c>
      <c r="F481" s="7" t="str">
        <f>IFERROR(VLOOKUP(B481,'Master data'!$A$1:$F$1000,3,FALSE),"")</f>
        <v/>
      </c>
      <c r="I481" s="16"/>
      <c r="J481" s="16"/>
      <c r="K481" s="16" t="b">
        <v>0</v>
      </c>
      <c r="L481" s="16" t="b">
        <v>0</v>
      </c>
    </row>
    <row r="482">
      <c r="A482" s="9"/>
      <c r="B482" s="16"/>
      <c r="C482" s="7" t="str">
        <f>IFERROR(VLOOKUP(B482,'Master data'!$A$1:$F$1000,2,FALSE),"")</f>
        <v/>
      </c>
      <c r="D482" s="7" t="str">
        <f>IFERROR(VLOOKUP(B482,'Master data'!$A$1:$F$1000,6,FALSE),"")</f>
        <v/>
      </c>
      <c r="F482" s="7" t="str">
        <f>IFERROR(VLOOKUP(B482,'Master data'!$A$1:$F$1000,3,FALSE),"")</f>
        <v/>
      </c>
      <c r="I482" s="16"/>
      <c r="J482" s="16"/>
      <c r="K482" s="16" t="b">
        <v>0</v>
      </c>
      <c r="L482" s="16" t="b">
        <v>0</v>
      </c>
    </row>
    <row r="483">
      <c r="A483" s="9"/>
      <c r="B483" s="16"/>
      <c r="C483" s="7" t="str">
        <f>IFERROR(VLOOKUP(B483,'Master data'!$A$1:$F$1000,2,FALSE),"")</f>
        <v/>
      </c>
      <c r="D483" s="7" t="str">
        <f>IFERROR(VLOOKUP(B483,'Master data'!$A$1:$F$1000,6,FALSE),"")</f>
        <v/>
      </c>
      <c r="F483" s="7" t="str">
        <f>IFERROR(VLOOKUP(B483,'Master data'!$A$1:$F$1000,3,FALSE),"")</f>
        <v/>
      </c>
      <c r="I483" s="16"/>
      <c r="J483" s="16"/>
      <c r="K483" s="16" t="b">
        <v>0</v>
      </c>
      <c r="L483" s="16" t="b">
        <v>0</v>
      </c>
    </row>
    <row r="484">
      <c r="A484" s="9"/>
      <c r="B484" s="16"/>
      <c r="C484" s="7" t="str">
        <f>IFERROR(VLOOKUP(B484,'Master data'!$A$1:$F$1000,2,FALSE),"")</f>
        <v/>
      </c>
      <c r="D484" s="7" t="str">
        <f>IFERROR(VLOOKUP(B484,'Master data'!$A$1:$F$1000,6,FALSE),"")</f>
        <v/>
      </c>
      <c r="F484" s="7" t="str">
        <f>IFERROR(VLOOKUP(B484,'Master data'!$A$1:$F$1000,3,FALSE),"")</f>
        <v/>
      </c>
      <c r="I484" s="16"/>
      <c r="J484" s="16"/>
      <c r="K484" s="16" t="b">
        <v>0</v>
      </c>
      <c r="L484" s="16" t="b">
        <v>0</v>
      </c>
    </row>
    <row r="485">
      <c r="A485" s="9"/>
      <c r="B485" s="16"/>
      <c r="C485" s="7" t="str">
        <f>IFERROR(VLOOKUP(B485,'Master data'!$A$1:$F$1000,2,FALSE),"")</f>
        <v/>
      </c>
      <c r="D485" s="7" t="str">
        <f>IFERROR(VLOOKUP(B485,'Master data'!$A$1:$F$1000,6,FALSE),"")</f>
        <v/>
      </c>
      <c r="F485" s="7" t="str">
        <f>IFERROR(VLOOKUP(B485,'Master data'!$A$1:$F$1000,3,FALSE),"")</f>
        <v/>
      </c>
      <c r="I485" s="16"/>
      <c r="J485" s="16"/>
      <c r="K485" s="16" t="b">
        <v>0</v>
      </c>
      <c r="L485" s="16" t="b">
        <v>0</v>
      </c>
    </row>
    <row r="486">
      <c r="A486" s="9"/>
      <c r="B486" s="16"/>
      <c r="C486" s="7" t="str">
        <f>IFERROR(VLOOKUP(B486,'Master data'!$A$1:$F$1000,2,FALSE),"")</f>
        <v/>
      </c>
      <c r="D486" s="7" t="str">
        <f>IFERROR(VLOOKUP(B486,'Master data'!$A$1:$F$1000,6,FALSE),"")</f>
        <v/>
      </c>
      <c r="F486" s="7" t="str">
        <f>IFERROR(VLOOKUP(B486,'Master data'!$A$1:$F$1000,3,FALSE),"")</f>
        <v/>
      </c>
      <c r="I486" s="16"/>
      <c r="J486" s="16"/>
      <c r="K486" s="16" t="b">
        <v>0</v>
      </c>
      <c r="L486" s="16" t="b">
        <v>0</v>
      </c>
    </row>
    <row r="487">
      <c r="A487" s="9"/>
      <c r="B487" s="16"/>
      <c r="C487" s="7" t="str">
        <f>IFERROR(VLOOKUP(B487,'Master data'!$A$1:$F$1000,2,FALSE),"")</f>
        <v/>
      </c>
      <c r="D487" s="7" t="str">
        <f>IFERROR(VLOOKUP(B487,'Master data'!$A$1:$F$1000,6,FALSE),"")</f>
        <v/>
      </c>
      <c r="F487" s="7" t="str">
        <f>IFERROR(VLOOKUP(B487,'Master data'!$A$1:$F$1000,3,FALSE),"")</f>
        <v/>
      </c>
      <c r="I487" s="16"/>
      <c r="J487" s="16"/>
      <c r="K487" s="16" t="b">
        <v>0</v>
      </c>
      <c r="L487" s="16" t="b">
        <v>0</v>
      </c>
    </row>
    <row r="488">
      <c r="A488" s="9"/>
      <c r="B488" s="16"/>
      <c r="C488" s="7" t="str">
        <f>IFERROR(VLOOKUP(B488,'Master data'!$A$1:$F$1000,2,FALSE),"")</f>
        <v/>
      </c>
      <c r="D488" s="7" t="str">
        <f>IFERROR(VLOOKUP(B488,'Master data'!$A$1:$F$1000,6,FALSE),"")</f>
        <v/>
      </c>
      <c r="F488" s="7" t="str">
        <f>IFERROR(VLOOKUP(B488,'Master data'!$A$1:$F$1000,3,FALSE),"")</f>
        <v/>
      </c>
      <c r="I488" s="16"/>
      <c r="J488" s="16"/>
      <c r="K488" s="16" t="b">
        <v>0</v>
      </c>
      <c r="L488" s="16" t="b">
        <v>0</v>
      </c>
    </row>
    <row r="489">
      <c r="A489" s="9"/>
      <c r="B489" s="16"/>
      <c r="C489" s="7" t="str">
        <f>IFERROR(VLOOKUP(B489,'Master data'!$A$1:$F$1000,2,FALSE),"")</f>
        <v/>
      </c>
      <c r="D489" s="7" t="str">
        <f>IFERROR(VLOOKUP(B489,'Master data'!$A$1:$F$1000,6,FALSE),"")</f>
        <v/>
      </c>
      <c r="F489" s="7" t="str">
        <f>IFERROR(VLOOKUP(B489,'Master data'!$A$1:$F$1000,3,FALSE),"")</f>
        <v/>
      </c>
      <c r="I489" s="16"/>
      <c r="J489" s="16"/>
      <c r="K489" s="16" t="b">
        <v>0</v>
      </c>
      <c r="L489" s="16" t="b">
        <v>0</v>
      </c>
    </row>
    <row r="490">
      <c r="A490" s="9"/>
      <c r="B490" s="16"/>
      <c r="C490" s="7" t="str">
        <f>IFERROR(VLOOKUP(B490,'Master data'!$A$1:$F$1000,2,FALSE),"")</f>
        <v/>
      </c>
      <c r="D490" s="7" t="str">
        <f>IFERROR(VLOOKUP(B490,'Master data'!$A$1:$F$1000,6,FALSE),"")</f>
        <v/>
      </c>
      <c r="F490" s="7" t="str">
        <f>IFERROR(VLOOKUP(B490,'Master data'!$A$1:$F$1000,3,FALSE),"")</f>
        <v/>
      </c>
      <c r="I490" s="16"/>
      <c r="J490" s="16"/>
      <c r="K490" s="16" t="b">
        <v>0</v>
      </c>
      <c r="L490" s="16" t="b">
        <v>0</v>
      </c>
    </row>
    <row r="491">
      <c r="A491" s="9"/>
      <c r="B491" s="16"/>
      <c r="C491" s="7" t="str">
        <f>IFERROR(VLOOKUP(B491,'Master data'!$A$1:$F$1000,2,FALSE),"")</f>
        <v/>
      </c>
      <c r="D491" s="7" t="str">
        <f>IFERROR(VLOOKUP(B491,'Master data'!$A$1:$F$1000,6,FALSE),"")</f>
        <v/>
      </c>
      <c r="F491" s="7" t="str">
        <f>IFERROR(VLOOKUP(B491,'Master data'!$A$1:$F$1000,3,FALSE),"")</f>
        <v/>
      </c>
      <c r="I491" s="16"/>
      <c r="J491" s="16"/>
      <c r="K491" s="16" t="b">
        <v>0</v>
      </c>
      <c r="L491" s="16" t="b">
        <v>0</v>
      </c>
    </row>
    <row r="492">
      <c r="A492" s="9"/>
      <c r="B492" s="16"/>
      <c r="C492" s="7" t="str">
        <f>IFERROR(VLOOKUP(B492,'Master data'!$A$1:$F$1000,2,FALSE),"")</f>
        <v/>
      </c>
      <c r="D492" s="7" t="str">
        <f>IFERROR(VLOOKUP(B492,'Master data'!$A$1:$F$1000,6,FALSE),"")</f>
        <v/>
      </c>
      <c r="F492" s="7" t="str">
        <f>IFERROR(VLOOKUP(B492,'Master data'!$A$1:$F$1000,3,FALSE),"")</f>
        <v/>
      </c>
      <c r="I492" s="16"/>
      <c r="J492" s="16"/>
      <c r="K492" s="16" t="b">
        <v>0</v>
      </c>
      <c r="L492" s="16" t="b">
        <v>0</v>
      </c>
    </row>
    <row r="493">
      <c r="A493" s="9"/>
      <c r="B493" s="16"/>
      <c r="C493" s="7" t="str">
        <f>IFERROR(VLOOKUP(B493,'Master data'!$A$1:$F$1000,2,FALSE),"")</f>
        <v/>
      </c>
      <c r="D493" s="7" t="str">
        <f>IFERROR(VLOOKUP(B493,'Master data'!$A$1:$F$1000,6,FALSE),"")</f>
        <v/>
      </c>
      <c r="F493" s="7" t="str">
        <f>IFERROR(VLOOKUP(B493,'Master data'!$A$1:$F$1000,3,FALSE),"")</f>
        <v/>
      </c>
      <c r="I493" s="16"/>
      <c r="J493" s="16"/>
      <c r="K493" s="16" t="b">
        <v>0</v>
      </c>
      <c r="L493" s="16" t="b">
        <v>0</v>
      </c>
    </row>
    <row r="494">
      <c r="A494" s="9"/>
      <c r="B494" s="16"/>
      <c r="C494" s="7" t="str">
        <f>IFERROR(VLOOKUP(B494,'Master data'!$A$1:$F$1000,2,FALSE),"")</f>
        <v/>
      </c>
      <c r="D494" s="7" t="str">
        <f>IFERROR(VLOOKUP(B494,'Master data'!$A$1:$F$1000,6,FALSE),"")</f>
        <v/>
      </c>
      <c r="F494" s="7" t="str">
        <f>IFERROR(VLOOKUP(B494,'Master data'!$A$1:$F$1000,3,FALSE),"")</f>
        <v/>
      </c>
      <c r="I494" s="16"/>
      <c r="J494" s="16"/>
      <c r="K494" s="16" t="b">
        <v>0</v>
      </c>
      <c r="L494" s="16" t="b">
        <v>0</v>
      </c>
    </row>
    <row r="495">
      <c r="A495" s="9"/>
      <c r="B495" s="16"/>
      <c r="C495" s="7" t="str">
        <f>IFERROR(VLOOKUP(B495,'Master data'!$A$1:$F$1000,2,FALSE),"")</f>
        <v/>
      </c>
      <c r="D495" s="7" t="str">
        <f>IFERROR(VLOOKUP(B495,'Master data'!$A$1:$F$1000,6,FALSE),"")</f>
        <v/>
      </c>
      <c r="F495" s="7" t="str">
        <f>IFERROR(VLOOKUP(B495,'Master data'!$A$1:$F$1000,3,FALSE),"")</f>
        <v/>
      </c>
      <c r="I495" s="16"/>
      <c r="J495" s="16"/>
      <c r="K495" s="16" t="b">
        <v>0</v>
      </c>
      <c r="L495" s="16" t="b">
        <v>0</v>
      </c>
    </row>
    <row r="496">
      <c r="A496" s="9"/>
      <c r="B496" s="16"/>
      <c r="C496" s="7" t="str">
        <f>IFERROR(VLOOKUP(B496,'Master data'!$A$1:$F$1000,2,FALSE),"")</f>
        <v/>
      </c>
      <c r="D496" s="7" t="str">
        <f>IFERROR(VLOOKUP(B496,'Master data'!$A$1:$F$1000,6,FALSE),"")</f>
        <v/>
      </c>
      <c r="F496" s="7" t="str">
        <f>IFERROR(VLOOKUP(B496,'Master data'!$A$1:$F$1000,3,FALSE),"")</f>
        <v/>
      </c>
      <c r="I496" s="16"/>
      <c r="J496" s="16"/>
      <c r="K496" s="16" t="b">
        <v>0</v>
      </c>
      <c r="L496" s="16" t="b">
        <v>0</v>
      </c>
    </row>
    <row r="497">
      <c r="A497" s="9"/>
      <c r="B497" s="16"/>
      <c r="C497" s="7" t="str">
        <f>IFERROR(VLOOKUP(B497,'Master data'!$A$1:$F$1000,2,FALSE),"")</f>
        <v/>
      </c>
      <c r="D497" s="7" t="str">
        <f>IFERROR(VLOOKUP(B497,'Master data'!$A$1:$F$1000,6,FALSE),"")</f>
        <v/>
      </c>
      <c r="F497" s="7" t="str">
        <f>IFERROR(VLOOKUP(B497,'Master data'!$A$1:$F$1000,3,FALSE),"")</f>
        <v/>
      </c>
      <c r="I497" s="16"/>
      <c r="J497" s="16"/>
      <c r="K497" s="16" t="b">
        <v>0</v>
      </c>
      <c r="L497" s="16" t="b">
        <v>0</v>
      </c>
    </row>
    <row r="498">
      <c r="A498" s="9"/>
      <c r="B498" s="16"/>
      <c r="C498" s="7" t="str">
        <f>IFERROR(VLOOKUP(B498,'Master data'!$A$1:$F$1000,2,FALSE),"")</f>
        <v/>
      </c>
      <c r="D498" s="7" t="str">
        <f>IFERROR(VLOOKUP(B498,'Master data'!$A$1:$F$1000,6,FALSE),"")</f>
        <v/>
      </c>
      <c r="F498" s="7" t="str">
        <f>IFERROR(VLOOKUP(B498,'Master data'!$A$1:$F$1000,3,FALSE),"")</f>
        <v/>
      </c>
      <c r="I498" s="16"/>
      <c r="J498" s="16"/>
      <c r="K498" s="16" t="b">
        <v>0</v>
      </c>
      <c r="L498" s="16" t="b">
        <v>0</v>
      </c>
    </row>
    <row r="499">
      <c r="A499" s="9"/>
      <c r="B499" s="16"/>
      <c r="C499" s="7" t="str">
        <f>IFERROR(VLOOKUP(B499,'Master data'!$A$1:$F$1000,2,FALSE),"")</f>
        <v/>
      </c>
      <c r="D499" s="7" t="str">
        <f>IFERROR(VLOOKUP(B499,'Master data'!$A$1:$F$1000,6,FALSE),"")</f>
        <v/>
      </c>
      <c r="F499" s="7" t="str">
        <f>IFERROR(VLOOKUP(B499,'Master data'!$A$1:$F$1000,3,FALSE),"")</f>
        <v/>
      </c>
      <c r="I499" s="16"/>
      <c r="J499" s="16"/>
      <c r="K499" s="16" t="b">
        <v>0</v>
      </c>
      <c r="L499" s="16" t="b">
        <v>0</v>
      </c>
    </row>
    <row r="500">
      <c r="A500" s="9"/>
      <c r="B500" s="16"/>
      <c r="C500" s="7" t="str">
        <f>IFERROR(VLOOKUP(B500,'Master data'!$A$1:$F$1000,2,FALSE),"")</f>
        <v/>
      </c>
      <c r="D500" s="7" t="str">
        <f>IFERROR(VLOOKUP(B500,'Master data'!$A$1:$F$1000,6,FALSE),"")</f>
        <v/>
      </c>
      <c r="F500" s="7" t="str">
        <f>IFERROR(VLOOKUP(B500,'Master data'!$A$1:$F$1000,3,FALSE),"")</f>
        <v/>
      </c>
      <c r="I500" s="16"/>
      <c r="J500" s="16"/>
      <c r="K500" s="16" t="b">
        <v>0</v>
      </c>
      <c r="L500" s="16" t="b">
        <v>0</v>
      </c>
    </row>
    <row r="501">
      <c r="A501" s="9"/>
      <c r="B501" s="16"/>
      <c r="C501" s="7" t="str">
        <f>IFERROR(VLOOKUP(B501,'Master data'!$A$1:$F$1000,2,FALSE),"")</f>
        <v/>
      </c>
      <c r="D501" s="7" t="str">
        <f>IFERROR(VLOOKUP(B501,'Master data'!$A$1:$F$1000,6,FALSE),"")</f>
        <v/>
      </c>
      <c r="F501" s="7" t="str">
        <f>IFERROR(VLOOKUP(B501,'Master data'!$A$1:$F$1000,3,FALSE),"")</f>
        <v/>
      </c>
      <c r="I501" s="16"/>
      <c r="J501" s="16"/>
      <c r="K501" s="16" t="b">
        <v>0</v>
      </c>
      <c r="L501" s="16" t="b">
        <v>0</v>
      </c>
    </row>
    <row r="502">
      <c r="A502" s="9"/>
      <c r="B502" s="16"/>
      <c r="C502" s="7" t="str">
        <f>IFERROR(VLOOKUP(B502,'Master data'!$A$1:$F$1000,2,FALSE),"")</f>
        <v/>
      </c>
      <c r="D502" s="7" t="str">
        <f>IFERROR(VLOOKUP(B502,'Master data'!$A$1:$F$1000,6,FALSE),"")</f>
        <v/>
      </c>
      <c r="F502" s="7" t="str">
        <f>IFERROR(VLOOKUP(B502,'Master data'!$A$1:$F$1000,3,FALSE),"")</f>
        <v/>
      </c>
      <c r="I502" s="16"/>
      <c r="J502" s="16"/>
      <c r="K502" s="16" t="b">
        <v>0</v>
      </c>
      <c r="L502" s="16" t="b">
        <v>0</v>
      </c>
    </row>
    <row r="503">
      <c r="A503" s="9"/>
      <c r="B503" s="16"/>
      <c r="C503" s="7" t="str">
        <f>IFERROR(VLOOKUP(B503,'Master data'!$A$1:$F$1000,2,FALSE),"")</f>
        <v/>
      </c>
      <c r="D503" s="7" t="str">
        <f>IFERROR(VLOOKUP(B503,'Master data'!$A$1:$F$1000,6,FALSE),"")</f>
        <v/>
      </c>
      <c r="F503" s="7" t="str">
        <f>IFERROR(VLOOKUP(B503,'Master data'!$A$1:$F$1000,3,FALSE),"")</f>
        <v/>
      </c>
      <c r="I503" s="16"/>
      <c r="J503" s="16"/>
      <c r="K503" s="16" t="b">
        <v>0</v>
      </c>
      <c r="L503" s="16" t="b">
        <v>0</v>
      </c>
    </row>
    <row r="504">
      <c r="A504" s="9"/>
      <c r="B504" s="16"/>
      <c r="C504" s="7" t="str">
        <f>IFERROR(VLOOKUP(B504,'Master data'!$A$1:$F$1000,2,FALSE),"")</f>
        <v/>
      </c>
      <c r="D504" s="7" t="str">
        <f>IFERROR(VLOOKUP(B504,'Master data'!$A$1:$F$1000,6,FALSE),"")</f>
        <v/>
      </c>
      <c r="F504" s="7" t="str">
        <f>IFERROR(VLOOKUP(B504,'Master data'!$A$1:$F$1000,3,FALSE),"")</f>
        <v/>
      </c>
      <c r="I504" s="16"/>
      <c r="J504" s="16"/>
      <c r="K504" s="16" t="b">
        <v>0</v>
      </c>
      <c r="L504" s="16" t="b">
        <v>0</v>
      </c>
    </row>
    <row r="505">
      <c r="A505" s="9"/>
      <c r="B505" s="16"/>
      <c r="C505" s="7" t="str">
        <f>IFERROR(VLOOKUP(B505,'Master data'!$A$1:$F$1000,2,FALSE),"")</f>
        <v/>
      </c>
      <c r="D505" s="7" t="str">
        <f>IFERROR(VLOOKUP(B505,'Master data'!$A$1:$F$1000,6,FALSE),"")</f>
        <v/>
      </c>
      <c r="F505" s="7" t="str">
        <f>IFERROR(VLOOKUP(B505,'Master data'!$A$1:$F$1000,3,FALSE),"")</f>
        <v/>
      </c>
      <c r="I505" s="16"/>
      <c r="J505" s="16"/>
      <c r="K505" s="16" t="b">
        <v>0</v>
      </c>
      <c r="L505" s="16" t="b">
        <v>0</v>
      </c>
    </row>
    <row r="506">
      <c r="A506" s="9"/>
      <c r="B506" s="16"/>
      <c r="C506" s="7" t="str">
        <f>IFERROR(VLOOKUP(B506,'Master data'!$A$1:$F$1000,2,FALSE),"")</f>
        <v/>
      </c>
      <c r="D506" s="7" t="str">
        <f>IFERROR(VLOOKUP(B506,'Master data'!$A$1:$F$1000,6,FALSE),"")</f>
        <v/>
      </c>
      <c r="F506" s="7" t="str">
        <f>IFERROR(VLOOKUP(B506,'Master data'!$A$1:$F$1000,3,FALSE),"")</f>
        <v/>
      </c>
      <c r="I506" s="16"/>
      <c r="J506" s="16"/>
      <c r="K506" s="16" t="b">
        <v>0</v>
      </c>
      <c r="L506" s="16" t="b">
        <v>0</v>
      </c>
    </row>
    <row r="507">
      <c r="A507" s="9"/>
      <c r="B507" s="16"/>
      <c r="C507" s="7" t="str">
        <f>IFERROR(VLOOKUP(B507,'Master data'!$A$1:$F$1000,2,FALSE),"")</f>
        <v/>
      </c>
      <c r="D507" s="7" t="str">
        <f>IFERROR(VLOOKUP(B507,'Master data'!$A$1:$F$1000,6,FALSE),"")</f>
        <v/>
      </c>
      <c r="F507" s="7" t="str">
        <f>IFERROR(VLOOKUP(B507,'Master data'!$A$1:$F$1000,3,FALSE),"")</f>
        <v/>
      </c>
      <c r="I507" s="16"/>
      <c r="J507" s="16"/>
      <c r="K507" s="16" t="b">
        <v>0</v>
      </c>
      <c r="L507" s="16" t="b">
        <v>0</v>
      </c>
    </row>
    <row r="508">
      <c r="A508" s="9"/>
      <c r="B508" s="16"/>
      <c r="C508" s="7" t="str">
        <f>IFERROR(VLOOKUP(B508,'Master data'!$A$1:$F$1000,2,FALSE),"")</f>
        <v/>
      </c>
      <c r="D508" s="7" t="str">
        <f>IFERROR(VLOOKUP(B508,'Master data'!$A$1:$F$1000,6,FALSE),"")</f>
        <v/>
      </c>
      <c r="F508" s="7" t="str">
        <f>IFERROR(VLOOKUP(B508,'Master data'!$A$1:$F$1000,3,FALSE),"")</f>
        <v/>
      </c>
      <c r="I508" s="16"/>
      <c r="J508" s="16"/>
      <c r="K508" s="16" t="b">
        <v>0</v>
      </c>
      <c r="L508" s="16" t="b">
        <v>0</v>
      </c>
    </row>
    <row r="509">
      <c r="A509" s="9"/>
      <c r="B509" s="16"/>
      <c r="C509" s="7" t="str">
        <f>IFERROR(VLOOKUP(B509,'Master data'!$A$1:$F$1000,2,FALSE),"")</f>
        <v/>
      </c>
      <c r="D509" s="7" t="str">
        <f>IFERROR(VLOOKUP(B509,'Master data'!$A$1:$F$1000,6,FALSE),"")</f>
        <v/>
      </c>
      <c r="F509" s="7" t="str">
        <f>IFERROR(VLOOKUP(B509,'Master data'!$A$1:$F$1000,3,FALSE),"")</f>
        <v/>
      </c>
      <c r="I509" s="16"/>
      <c r="J509" s="16"/>
      <c r="K509" s="16" t="b">
        <v>0</v>
      </c>
      <c r="L509" s="16" t="b">
        <v>0</v>
      </c>
    </row>
    <row r="510">
      <c r="A510" s="9"/>
      <c r="B510" s="16"/>
      <c r="C510" s="7" t="str">
        <f>IFERROR(VLOOKUP(B510,'Master data'!$A$1:$F$1000,2,FALSE),"")</f>
        <v/>
      </c>
      <c r="D510" s="7" t="str">
        <f>IFERROR(VLOOKUP(B510,'Master data'!$A$1:$F$1000,6,FALSE),"")</f>
        <v/>
      </c>
      <c r="F510" s="7" t="str">
        <f>IFERROR(VLOOKUP(B510,'Master data'!$A$1:$F$1000,3,FALSE),"")</f>
        <v/>
      </c>
      <c r="I510" s="16"/>
      <c r="J510" s="16"/>
      <c r="K510" s="16" t="b">
        <v>0</v>
      </c>
      <c r="L510" s="16" t="b">
        <v>0</v>
      </c>
    </row>
    <row r="511">
      <c r="A511" s="9"/>
      <c r="B511" s="16"/>
      <c r="C511" s="7" t="str">
        <f>IFERROR(VLOOKUP(B511,'Master data'!$A$1:$F$1000,2,FALSE),"")</f>
        <v/>
      </c>
      <c r="D511" s="7" t="str">
        <f>IFERROR(VLOOKUP(B511,'Master data'!$A$1:$F$1000,6,FALSE),"")</f>
        <v/>
      </c>
      <c r="F511" s="7" t="str">
        <f>IFERROR(VLOOKUP(B511,'Master data'!$A$1:$F$1000,3,FALSE),"")</f>
        <v/>
      </c>
      <c r="I511" s="16"/>
      <c r="J511" s="16"/>
      <c r="K511" s="16" t="b">
        <v>0</v>
      </c>
      <c r="L511" s="16" t="b">
        <v>0</v>
      </c>
    </row>
    <row r="512">
      <c r="A512" s="9"/>
      <c r="B512" s="16"/>
      <c r="C512" s="7" t="str">
        <f>IFERROR(VLOOKUP(B512,'Master data'!$A$1:$F$1000,2,FALSE),"")</f>
        <v/>
      </c>
      <c r="D512" s="7" t="str">
        <f>IFERROR(VLOOKUP(B512,'Master data'!$A$1:$F$1000,6,FALSE),"")</f>
        <v/>
      </c>
      <c r="F512" s="7" t="str">
        <f>IFERROR(VLOOKUP(B512,'Master data'!$A$1:$F$1000,3,FALSE),"")</f>
        <v/>
      </c>
      <c r="I512" s="16"/>
      <c r="J512" s="16"/>
      <c r="K512" s="16" t="b">
        <v>0</v>
      </c>
      <c r="L512" s="16" t="b">
        <v>0</v>
      </c>
    </row>
    <row r="513">
      <c r="A513" s="9"/>
      <c r="B513" s="16"/>
      <c r="C513" s="7" t="str">
        <f>IFERROR(VLOOKUP(B513,'Master data'!$A$1:$F$1000,2,FALSE),"")</f>
        <v/>
      </c>
      <c r="D513" s="7" t="str">
        <f>IFERROR(VLOOKUP(B513,'Master data'!$A$1:$F$1000,6,FALSE),"")</f>
        <v/>
      </c>
      <c r="F513" s="7" t="str">
        <f>IFERROR(VLOOKUP(B513,'Master data'!$A$1:$F$1000,3,FALSE),"")</f>
        <v/>
      </c>
      <c r="I513" s="16"/>
      <c r="J513" s="16"/>
      <c r="K513" s="16" t="b">
        <v>0</v>
      </c>
      <c r="L513" s="16" t="b">
        <v>0</v>
      </c>
    </row>
    <row r="514">
      <c r="A514" s="9"/>
      <c r="B514" s="16"/>
      <c r="C514" s="7" t="str">
        <f>IFERROR(VLOOKUP(B514,'Master data'!$A$1:$F$1000,2,FALSE),"")</f>
        <v/>
      </c>
      <c r="D514" s="7" t="str">
        <f>IFERROR(VLOOKUP(B514,'Master data'!$A$1:$F$1000,6,FALSE),"")</f>
        <v/>
      </c>
      <c r="F514" s="7" t="str">
        <f>IFERROR(VLOOKUP(B514,'Master data'!$A$1:$F$1000,3,FALSE),"")</f>
        <v/>
      </c>
      <c r="I514" s="16"/>
      <c r="J514" s="16"/>
      <c r="K514" s="16" t="b">
        <v>0</v>
      </c>
      <c r="L514" s="16" t="b">
        <v>0</v>
      </c>
    </row>
    <row r="515">
      <c r="A515" s="9"/>
      <c r="B515" s="16"/>
      <c r="C515" s="7" t="str">
        <f>IFERROR(VLOOKUP(B515,'Master data'!$A$1:$F$1000,2,FALSE),"")</f>
        <v/>
      </c>
      <c r="D515" s="7" t="str">
        <f>IFERROR(VLOOKUP(B515,'Master data'!$A$1:$F$1000,6,FALSE),"")</f>
        <v/>
      </c>
      <c r="F515" s="7" t="str">
        <f>IFERROR(VLOOKUP(B515,'Master data'!$A$1:$F$1000,3,FALSE),"")</f>
        <v/>
      </c>
      <c r="I515" s="16"/>
      <c r="J515" s="16"/>
      <c r="K515" s="16" t="b">
        <v>0</v>
      </c>
      <c r="L515" s="16" t="b">
        <v>0</v>
      </c>
    </row>
    <row r="516">
      <c r="A516" s="9"/>
      <c r="B516" s="16"/>
      <c r="C516" s="7" t="str">
        <f>IFERROR(VLOOKUP(B516,'Master data'!$A$1:$F$1000,2,FALSE),"")</f>
        <v/>
      </c>
      <c r="D516" s="7" t="str">
        <f>IFERROR(VLOOKUP(B516,'Master data'!$A$1:$F$1000,6,FALSE),"")</f>
        <v/>
      </c>
      <c r="F516" s="7" t="str">
        <f>IFERROR(VLOOKUP(B516,'Master data'!$A$1:$F$1000,3,FALSE),"")</f>
        <v/>
      </c>
      <c r="I516" s="16"/>
      <c r="J516" s="16"/>
      <c r="K516" s="16" t="b">
        <v>0</v>
      </c>
      <c r="L516" s="16" t="b">
        <v>0</v>
      </c>
    </row>
    <row r="517">
      <c r="A517" s="9"/>
      <c r="B517" s="16"/>
      <c r="C517" s="7" t="str">
        <f>IFERROR(VLOOKUP(B517,'Master data'!$A$1:$F$1000,2,FALSE),"")</f>
        <v/>
      </c>
      <c r="D517" s="7" t="str">
        <f>IFERROR(VLOOKUP(B517,'Master data'!$A$1:$F$1000,6,FALSE),"")</f>
        <v/>
      </c>
      <c r="F517" s="7" t="str">
        <f>IFERROR(VLOOKUP(B517,'Master data'!$A$1:$F$1000,3,FALSE),"")</f>
        <v/>
      </c>
      <c r="I517" s="16"/>
      <c r="J517" s="16"/>
      <c r="K517" s="16" t="b">
        <v>0</v>
      </c>
      <c r="L517" s="16" t="b">
        <v>0</v>
      </c>
    </row>
    <row r="518">
      <c r="A518" s="9"/>
      <c r="B518" s="16"/>
      <c r="C518" s="7" t="str">
        <f>IFERROR(VLOOKUP(B518,'Master data'!$A$1:$F$1000,2,FALSE),"")</f>
        <v/>
      </c>
      <c r="D518" s="7" t="str">
        <f>IFERROR(VLOOKUP(B518,'Master data'!$A$1:$F$1000,6,FALSE),"")</f>
        <v/>
      </c>
      <c r="F518" s="7" t="str">
        <f>IFERROR(VLOOKUP(B518,'Master data'!$A$1:$F$1000,3,FALSE),"")</f>
        <v/>
      </c>
      <c r="I518" s="16"/>
      <c r="J518" s="16"/>
      <c r="K518" s="16" t="b">
        <v>0</v>
      </c>
      <c r="L518" s="16" t="b">
        <v>0</v>
      </c>
    </row>
    <row r="519">
      <c r="A519" s="9"/>
      <c r="B519" s="16"/>
      <c r="C519" s="7" t="str">
        <f>IFERROR(VLOOKUP(B519,'Master data'!$A$1:$F$1000,2,FALSE),"")</f>
        <v/>
      </c>
      <c r="D519" s="7" t="str">
        <f>IFERROR(VLOOKUP(B519,'Master data'!$A$1:$F$1000,6,FALSE),"")</f>
        <v/>
      </c>
      <c r="F519" s="7" t="str">
        <f>IFERROR(VLOOKUP(B519,'Master data'!$A$1:$F$1000,3,FALSE),"")</f>
        <v/>
      </c>
      <c r="I519" s="16"/>
      <c r="J519" s="16"/>
      <c r="K519" s="16" t="b">
        <v>0</v>
      </c>
      <c r="L519" s="16" t="b">
        <v>0</v>
      </c>
    </row>
    <row r="520">
      <c r="A520" s="9"/>
      <c r="B520" s="16"/>
      <c r="C520" s="7" t="str">
        <f>IFERROR(VLOOKUP(B520,'Master data'!$A$1:$F$1000,2,FALSE),"")</f>
        <v/>
      </c>
      <c r="D520" s="7" t="str">
        <f>IFERROR(VLOOKUP(B520,'Master data'!$A$1:$F$1000,6,FALSE),"")</f>
        <v/>
      </c>
      <c r="F520" s="7" t="str">
        <f>IFERROR(VLOOKUP(B520,'Master data'!$A$1:$F$1000,3,FALSE),"")</f>
        <v/>
      </c>
      <c r="I520" s="16"/>
      <c r="J520" s="16"/>
      <c r="K520" s="16" t="b">
        <v>0</v>
      </c>
      <c r="L520" s="16" t="b">
        <v>0</v>
      </c>
    </row>
    <row r="521">
      <c r="A521" s="9"/>
      <c r="B521" s="16"/>
      <c r="C521" s="7" t="str">
        <f>IFERROR(VLOOKUP(B521,'Master data'!$A$1:$F$1000,2,FALSE),"")</f>
        <v/>
      </c>
      <c r="D521" s="7" t="str">
        <f>IFERROR(VLOOKUP(B521,'Master data'!$A$1:$F$1000,6,FALSE),"")</f>
        <v/>
      </c>
      <c r="F521" s="7" t="str">
        <f>IFERROR(VLOOKUP(B521,'Master data'!$A$1:$F$1000,3,FALSE),"")</f>
        <v/>
      </c>
      <c r="I521" s="16"/>
      <c r="J521" s="16"/>
      <c r="K521" s="16" t="b">
        <v>0</v>
      </c>
      <c r="L521" s="16" t="b">
        <v>0</v>
      </c>
    </row>
    <row r="522">
      <c r="A522" s="9"/>
      <c r="B522" s="16"/>
      <c r="C522" s="7" t="str">
        <f>IFERROR(VLOOKUP(B522,'Master data'!$A$1:$F$1000,2,FALSE),"")</f>
        <v/>
      </c>
      <c r="D522" s="7" t="str">
        <f>IFERROR(VLOOKUP(B522,'Master data'!$A$1:$F$1000,6,FALSE),"")</f>
        <v/>
      </c>
      <c r="F522" s="7" t="str">
        <f>IFERROR(VLOOKUP(B522,'Master data'!$A$1:$F$1000,3,FALSE),"")</f>
        <v/>
      </c>
      <c r="I522" s="16"/>
      <c r="J522" s="16"/>
      <c r="K522" s="16" t="b">
        <v>0</v>
      </c>
      <c r="L522" s="16" t="b">
        <v>0</v>
      </c>
    </row>
    <row r="523">
      <c r="A523" s="9"/>
      <c r="B523" s="16"/>
      <c r="C523" s="7" t="str">
        <f>IFERROR(VLOOKUP(B523,'Master data'!$A$1:$F$1000,2,FALSE),"")</f>
        <v/>
      </c>
      <c r="D523" s="7" t="str">
        <f>IFERROR(VLOOKUP(B523,'Master data'!$A$1:$F$1000,6,FALSE),"")</f>
        <v/>
      </c>
      <c r="F523" s="7" t="str">
        <f>IFERROR(VLOOKUP(B523,'Master data'!$A$1:$F$1000,3,FALSE),"")</f>
        <v/>
      </c>
      <c r="I523" s="16"/>
      <c r="J523" s="16"/>
      <c r="K523" s="16" t="b">
        <v>0</v>
      </c>
      <c r="L523" s="16" t="b">
        <v>0</v>
      </c>
    </row>
    <row r="524">
      <c r="A524" s="9"/>
      <c r="B524" s="16"/>
      <c r="C524" s="7" t="str">
        <f>IFERROR(VLOOKUP(B524,'Master data'!$A$1:$F$1000,2,FALSE),"")</f>
        <v/>
      </c>
      <c r="D524" s="7" t="str">
        <f>IFERROR(VLOOKUP(B524,'Master data'!$A$1:$F$1000,6,FALSE),"")</f>
        <v/>
      </c>
      <c r="F524" s="7" t="str">
        <f>IFERROR(VLOOKUP(B524,'Master data'!$A$1:$F$1000,3,FALSE),"")</f>
        <v/>
      </c>
      <c r="I524" s="16"/>
      <c r="J524" s="16"/>
      <c r="K524" s="16" t="b">
        <v>0</v>
      </c>
      <c r="L524" s="16" t="b">
        <v>0</v>
      </c>
    </row>
    <row r="525">
      <c r="A525" s="9"/>
      <c r="B525" s="16"/>
      <c r="C525" s="7" t="str">
        <f>IFERROR(VLOOKUP(B525,'Master data'!$A$1:$F$1000,2,FALSE),"")</f>
        <v/>
      </c>
      <c r="D525" s="7" t="str">
        <f>IFERROR(VLOOKUP(B525,'Master data'!$A$1:$F$1000,6,FALSE),"")</f>
        <v/>
      </c>
      <c r="F525" s="7" t="str">
        <f>IFERROR(VLOOKUP(B525,'Master data'!$A$1:$F$1000,3,FALSE),"")</f>
        <v/>
      </c>
      <c r="I525" s="16"/>
      <c r="J525" s="16"/>
      <c r="K525" s="16" t="b">
        <v>0</v>
      </c>
      <c r="L525" s="16" t="b">
        <v>0</v>
      </c>
    </row>
    <row r="526">
      <c r="A526" s="9"/>
      <c r="B526" s="16"/>
      <c r="C526" s="7" t="str">
        <f>IFERROR(VLOOKUP(B526,'Master data'!$A$1:$F$1000,2,FALSE),"")</f>
        <v/>
      </c>
      <c r="D526" s="7" t="str">
        <f>IFERROR(VLOOKUP(B526,'Master data'!$A$1:$F$1000,6,FALSE),"")</f>
        <v/>
      </c>
      <c r="F526" s="7" t="str">
        <f>IFERROR(VLOOKUP(B526,'Master data'!$A$1:$F$1000,3,FALSE),"")</f>
        <v/>
      </c>
      <c r="I526" s="16"/>
      <c r="J526" s="16"/>
      <c r="K526" s="16" t="b">
        <v>0</v>
      </c>
      <c r="L526" s="16" t="b">
        <v>0</v>
      </c>
    </row>
    <row r="527">
      <c r="A527" s="9"/>
      <c r="B527" s="16"/>
      <c r="C527" s="7" t="str">
        <f>IFERROR(VLOOKUP(B527,'Master data'!$A$1:$F$1000,2,FALSE),"")</f>
        <v/>
      </c>
      <c r="D527" s="7" t="str">
        <f>IFERROR(VLOOKUP(B527,'Master data'!$A$1:$F$1000,6,FALSE),"")</f>
        <v/>
      </c>
      <c r="F527" s="7" t="str">
        <f>IFERROR(VLOOKUP(B527,'Master data'!$A$1:$F$1000,3,FALSE),"")</f>
        <v/>
      </c>
      <c r="I527" s="16"/>
      <c r="J527" s="16"/>
      <c r="K527" s="16" t="b">
        <v>0</v>
      </c>
      <c r="L527" s="16" t="b">
        <v>0</v>
      </c>
    </row>
    <row r="528">
      <c r="A528" s="9"/>
      <c r="B528" s="16"/>
      <c r="C528" s="7" t="str">
        <f>IFERROR(VLOOKUP(B528,'Master data'!$A$1:$F$1000,2,FALSE),"")</f>
        <v/>
      </c>
      <c r="D528" s="7" t="str">
        <f>IFERROR(VLOOKUP(B528,'Master data'!$A$1:$F$1000,6,FALSE),"")</f>
        <v/>
      </c>
      <c r="F528" s="7" t="str">
        <f>IFERROR(VLOOKUP(B528,'Master data'!$A$1:$F$1000,3,FALSE),"")</f>
        <v/>
      </c>
      <c r="I528" s="16"/>
      <c r="J528" s="16"/>
      <c r="K528" s="16" t="b">
        <v>0</v>
      </c>
      <c r="L528" s="16" t="b">
        <v>0</v>
      </c>
    </row>
    <row r="529">
      <c r="A529" s="9"/>
      <c r="B529" s="16"/>
      <c r="C529" s="7" t="str">
        <f>IFERROR(VLOOKUP(B529,'Master data'!$A$1:$F$1000,2,FALSE),"")</f>
        <v/>
      </c>
      <c r="D529" s="7" t="str">
        <f>IFERROR(VLOOKUP(B529,'Master data'!$A$1:$F$1000,6,FALSE),"")</f>
        <v/>
      </c>
      <c r="F529" s="7" t="str">
        <f>IFERROR(VLOOKUP(B529,'Master data'!$A$1:$F$1000,3,FALSE),"")</f>
        <v/>
      </c>
      <c r="I529" s="16"/>
      <c r="J529" s="16"/>
      <c r="K529" s="16" t="b">
        <v>0</v>
      </c>
      <c r="L529" s="16" t="b">
        <v>0</v>
      </c>
    </row>
    <row r="530">
      <c r="A530" s="9"/>
      <c r="B530" s="16"/>
      <c r="C530" s="7" t="str">
        <f>IFERROR(VLOOKUP(B530,'Master data'!$A$1:$F$1000,2,FALSE),"")</f>
        <v/>
      </c>
      <c r="D530" s="7" t="str">
        <f>IFERROR(VLOOKUP(B530,'Master data'!$A$1:$F$1000,6,FALSE),"")</f>
        <v/>
      </c>
      <c r="F530" s="7" t="str">
        <f>IFERROR(VLOOKUP(B530,'Master data'!$A$1:$F$1000,3,FALSE),"")</f>
        <v/>
      </c>
      <c r="I530" s="16"/>
      <c r="J530" s="16"/>
      <c r="K530" s="16" t="b">
        <v>0</v>
      </c>
      <c r="L530" s="16" t="b">
        <v>0</v>
      </c>
    </row>
    <row r="531">
      <c r="A531" s="9"/>
      <c r="B531" s="16"/>
      <c r="C531" s="7" t="str">
        <f>IFERROR(VLOOKUP(B531,'Master data'!$A$1:$F$1000,2,FALSE),"")</f>
        <v/>
      </c>
      <c r="D531" s="7" t="str">
        <f>IFERROR(VLOOKUP(B531,'Master data'!$A$1:$F$1000,6,FALSE),"")</f>
        <v/>
      </c>
      <c r="F531" s="7" t="str">
        <f>IFERROR(VLOOKUP(B531,'Master data'!$A$1:$F$1000,3,FALSE),"")</f>
        <v/>
      </c>
      <c r="I531" s="16"/>
      <c r="J531" s="16"/>
      <c r="K531" s="16" t="b">
        <v>0</v>
      </c>
      <c r="L531" s="16" t="b">
        <v>0</v>
      </c>
    </row>
    <row r="532">
      <c r="A532" s="9"/>
      <c r="B532" s="16"/>
      <c r="C532" s="7" t="str">
        <f>IFERROR(VLOOKUP(B532,'Master data'!$A$1:$F$1000,2,FALSE),"")</f>
        <v/>
      </c>
      <c r="D532" s="7" t="str">
        <f>IFERROR(VLOOKUP(B532,'Master data'!$A$1:$F$1000,6,FALSE),"")</f>
        <v/>
      </c>
      <c r="F532" s="7" t="str">
        <f>IFERROR(VLOOKUP(B532,'Master data'!$A$1:$F$1000,3,FALSE),"")</f>
        <v/>
      </c>
      <c r="I532" s="16"/>
      <c r="J532" s="16"/>
      <c r="K532" s="16" t="b">
        <v>0</v>
      </c>
      <c r="L532" s="16" t="b">
        <v>0</v>
      </c>
    </row>
    <row r="533">
      <c r="A533" s="9"/>
      <c r="B533" s="16"/>
      <c r="C533" s="7" t="str">
        <f>IFERROR(VLOOKUP(B533,'Master data'!$A$1:$F$1000,2,FALSE),"")</f>
        <v/>
      </c>
      <c r="D533" s="7" t="str">
        <f>IFERROR(VLOOKUP(B533,'Master data'!$A$1:$F$1000,6,FALSE),"")</f>
        <v/>
      </c>
      <c r="F533" s="7" t="str">
        <f>IFERROR(VLOOKUP(B533,'Master data'!$A$1:$F$1000,3,FALSE),"")</f>
        <v/>
      </c>
      <c r="I533" s="16"/>
      <c r="J533" s="16"/>
      <c r="K533" s="16" t="b">
        <v>0</v>
      </c>
      <c r="L533" s="16" t="b">
        <v>0</v>
      </c>
    </row>
    <row r="534">
      <c r="A534" s="9"/>
      <c r="B534" s="16"/>
      <c r="C534" s="7" t="str">
        <f>IFERROR(VLOOKUP(B534,'Master data'!$A$1:$F$1000,2,FALSE),"")</f>
        <v/>
      </c>
      <c r="D534" s="7" t="str">
        <f>IFERROR(VLOOKUP(B534,'Master data'!$A$1:$F$1000,6,FALSE),"")</f>
        <v/>
      </c>
      <c r="F534" s="7" t="str">
        <f>IFERROR(VLOOKUP(B534,'Master data'!$A$1:$F$1000,3,FALSE),"")</f>
        <v/>
      </c>
      <c r="I534" s="16"/>
      <c r="J534" s="16"/>
      <c r="K534" s="16" t="b">
        <v>0</v>
      </c>
      <c r="L534" s="16" t="b">
        <v>0</v>
      </c>
    </row>
    <row r="535">
      <c r="A535" s="9"/>
      <c r="B535" s="16"/>
      <c r="C535" s="7" t="str">
        <f>IFERROR(VLOOKUP(B535,'Master data'!$A$1:$F$1000,2,FALSE),"")</f>
        <v/>
      </c>
      <c r="D535" s="7" t="str">
        <f>IFERROR(VLOOKUP(B535,'Master data'!$A$1:$F$1000,6,FALSE),"")</f>
        <v/>
      </c>
      <c r="F535" s="7" t="str">
        <f>IFERROR(VLOOKUP(B535,'Master data'!$A$1:$F$1000,3,FALSE),"")</f>
        <v/>
      </c>
      <c r="I535" s="16"/>
      <c r="J535" s="16"/>
      <c r="K535" s="16" t="b">
        <v>0</v>
      </c>
      <c r="L535" s="16" t="b">
        <v>0</v>
      </c>
    </row>
    <row r="536">
      <c r="A536" s="9"/>
      <c r="B536" s="16"/>
      <c r="C536" s="7" t="str">
        <f>IFERROR(VLOOKUP(B536,'Master data'!$A$1:$F$1000,2,FALSE),"")</f>
        <v/>
      </c>
      <c r="D536" s="7" t="str">
        <f>IFERROR(VLOOKUP(B536,'Master data'!$A$1:$F$1000,6,FALSE),"")</f>
        <v/>
      </c>
      <c r="F536" s="7" t="str">
        <f>IFERROR(VLOOKUP(B536,'Master data'!$A$1:$F$1000,3,FALSE),"")</f>
        <v/>
      </c>
      <c r="I536" s="16"/>
      <c r="J536" s="16"/>
      <c r="K536" s="16" t="b">
        <v>0</v>
      </c>
      <c r="L536" s="16" t="b">
        <v>0</v>
      </c>
    </row>
    <row r="537">
      <c r="A537" s="9"/>
      <c r="B537" s="16"/>
      <c r="C537" s="7" t="str">
        <f>IFERROR(VLOOKUP(B537,'Master data'!$A$1:$F$1000,2,FALSE),"")</f>
        <v/>
      </c>
      <c r="D537" s="7" t="str">
        <f>IFERROR(VLOOKUP(B537,'Master data'!$A$1:$F$1000,6,FALSE),"")</f>
        <v/>
      </c>
      <c r="F537" s="7" t="str">
        <f>IFERROR(VLOOKUP(B537,'Master data'!$A$1:$F$1000,3,FALSE),"")</f>
        <v/>
      </c>
      <c r="I537" s="16"/>
      <c r="J537" s="16"/>
      <c r="K537" s="16" t="b">
        <v>0</v>
      </c>
      <c r="L537" s="16" t="b">
        <v>0</v>
      </c>
    </row>
    <row r="538">
      <c r="A538" s="9"/>
      <c r="B538" s="16"/>
      <c r="C538" s="7" t="str">
        <f>IFERROR(VLOOKUP(B538,'Master data'!$A$1:$F$1000,2,FALSE),"")</f>
        <v/>
      </c>
      <c r="D538" s="7" t="str">
        <f>IFERROR(VLOOKUP(B538,'Master data'!$A$1:$F$1000,6,FALSE),"")</f>
        <v/>
      </c>
      <c r="F538" s="7" t="str">
        <f>IFERROR(VLOOKUP(B538,'Master data'!$A$1:$F$1000,3,FALSE),"")</f>
        <v/>
      </c>
      <c r="I538" s="16"/>
      <c r="J538" s="16"/>
      <c r="K538" s="16" t="b">
        <v>0</v>
      </c>
      <c r="L538" s="16" t="b">
        <v>0</v>
      </c>
    </row>
    <row r="539">
      <c r="A539" s="9"/>
      <c r="B539" s="16"/>
      <c r="C539" s="7" t="str">
        <f>IFERROR(VLOOKUP(B539,'Master data'!$A$1:$F$1000,2,FALSE),"")</f>
        <v/>
      </c>
      <c r="D539" s="7" t="str">
        <f>IFERROR(VLOOKUP(B539,'Master data'!$A$1:$F$1000,6,FALSE),"")</f>
        <v/>
      </c>
      <c r="F539" s="7" t="str">
        <f>IFERROR(VLOOKUP(B539,'Master data'!$A$1:$F$1000,3,FALSE),"")</f>
        <v/>
      </c>
      <c r="I539" s="16"/>
      <c r="J539" s="16"/>
      <c r="K539" s="16" t="b">
        <v>0</v>
      </c>
      <c r="L539" s="16" t="b">
        <v>0</v>
      </c>
    </row>
    <row r="540">
      <c r="A540" s="9"/>
      <c r="B540" s="16"/>
      <c r="C540" s="7" t="str">
        <f>IFERROR(VLOOKUP(B540,'Master data'!$A$1:$F$1000,2,FALSE),"")</f>
        <v/>
      </c>
      <c r="D540" s="7" t="str">
        <f>IFERROR(VLOOKUP(B540,'Master data'!$A$1:$F$1000,6,FALSE),"")</f>
        <v/>
      </c>
      <c r="F540" s="7" t="str">
        <f>IFERROR(VLOOKUP(B540,'Master data'!$A$1:$F$1000,3,FALSE),"")</f>
        <v/>
      </c>
      <c r="I540" s="16"/>
      <c r="J540" s="16"/>
      <c r="K540" s="16" t="b">
        <v>0</v>
      </c>
      <c r="L540" s="16" t="b">
        <v>0</v>
      </c>
    </row>
    <row r="541">
      <c r="A541" s="9"/>
      <c r="B541" s="16"/>
      <c r="C541" s="7" t="str">
        <f>IFERROR(VLOOKUP(B541,'Master data'!$A$1:$F$1000,2,FALSE),"")</f>
        <v/>
      </c>
      <c r="D541" s="7" t="str">
        <f>IFERROR(VLOOKUP(B541,'Master data'!$A$1:$F$1000,6,FALSE),"")</f>
        <v/>
      </c>
      <c r="F541" s="7" t="str">
        <f>IFERROR(VLOOKUP(B541,'Master data'!$A$1:$F$1000,3,FALSE),"")</f>
        <v/>
      </c>
      <c r="I541" s="16"/>
      <c r="J541" s="16"/>
      <c r="K541" s="16" t="b">
        <v>0</v>
      </c>
      <c r="L541" s="16" t="b">
        <v>0</v>
      </c>
    </row>
    <row r="542">
      <c r="A542" s="9"/>
      <c r="B542" s="16"/>
      <c r="C542" s="7" t="str">
        <f>IFERROR(VLOOKUP(B542,'Master data'!$A$1:$F$1000,2,FALSE),"")</f>
        <v/>
      </c>
      <c r="D542" s="7" t="str">
        <f>IFERROR(VLOOKUP(B542,'Master data'!$A$1:$F$1000,6,FALSE),"")</f>
        <v/>
      </c>
      <c r="F542" s="7" t="str">
        <f>IFERROR(VLOOKUP(B542,'Master data'!$A$1:$F$1000,3,FALSE),"")</f>
        <v/>
      </c>
      <c r="I542" s="16"/>
      <c r="J542" s="16"/>
      <c r="K542" s="16" t="b">
        <v>0</v>
      </c>
      <c r="L542" s="16" t="b">
        <v>0</v>
      </c>
    </row>
    <row r="543">
      <c r="A543" s="9"/>
      <c r="B543" s="16"/>
      <c r="C543" s="7" t="str">
        <f>IFERROR(VLOOKUP(B543,'Master data'!$A$1:$F$1000,2,FALSE),"")</f>
        <v/>
      </c>
      <c r="D543" s="7" t="str">
        <f>IFERROR(VLOOKUP(B543,'Master data'!$A$1:$F$1000,6,FALSE),"")</f>
        <v/>
      </c>
      <c r="F543" s="7" t="str">
        <f>IFERROR(VLOOKUP(B543,'Master data'!$A$1:$F$1000,3,FALSE),"")</f>
        <v/>
      </c>
      <c r="I543" s="16"/>
      <c r="J543" s="16"/>
      <c r="K543" s="16" t="b">
        <v>0</v>
      </c>
      <c r="L543" s="16" t="b">
        <v>0</v>
      </c>
    </row>
    <row r="544">
      <c r="A544" s="9"/>
      <c r="B544" s="16"/>
      <c r="C544" s="7" t="str">
        <f>IFERROR(VLOOKUP(B544,'Master data'!$A$1:$F$1000,2,FALSE),"")</f>
        <v/>
      </c>
      <c r="D544" s="7" t="str">
        <f>IFERROR(VLOOKUP(B544,'Master data'!$A$1:$F$1000,6,FALSE),"")</f>
        <v/>
      </c>
      <c r="F544" s="7" t="str">
        <f>IFERROR(VLOOKUP(B544,'Master data'!$A$1:$F$1000,3,FALSE),"")</f>
        <v/>
      </c>
      <c r="I544" s="16"/>
      <c r="J544" s="16"/>
      <c r="K544" s="16" t="b">
        <v>0</v>
      </c>
      <c r="L544" s="16" t="b">
        <v>0</v>
      </c>
    </row>
    <row r="545">
      <c r="A545" s="9"/>
      <c r="B545" s="16"/>
      <c r="C545" s="7" t="str">
        <f>IFERROR(VLOOKUP(B545,'Master data'!$A$1:$F$1000,2,FALSE),"")</f>
        <v/>
      </c>
      <c r="D545" s="7" t="str">
        <f>IFERROR(VLOOKUP(B545,'Master data'!$A$1:$F$1000,6,FALSE),"")</f>
        <v/>
      </c>
      <c r="F545" s="7" t="str">
        <f>IFERROR(VLOOKUP(B545,'Master data'!$A$1:$F$1000,3,FALSE),"")</f>
        <v/>
      </c>
      <c r="I545" s="16"/>
      <c r="J545" s="16"/>
      <c r="K545" s="16" t="b">
        <v>0</v>
      </c>
      <c r="L545" s="16" t="b">
        <v>0</v>
      </c>
    </row>
    <row r="546">
      <c r="A546" s="9"/>
      <c r="B546" s="16"/>
      <c r="C546" s="7" t="str">
        <f>IFERROR(VLOOKUP(B546,'Master data'!$A$1:$F$1000,2,FALSE),"")</f>
        <v/>
      </c>
      <c r="D546" s="7" t="str">
        <f>IFERROR(VLOOKUP(B546,'Master data'!$A$1:$F$1000,6,FALSE),"")</f>
        <v/>
      </c>
      <c r="F546" s="7" t="str">
        <f>IFERROR(VLOOKUP(B546,'Master data'!$A$1:$F$1000,3,FALSE),"")</f>
        <v/>
      </c>
      <c r="I546" s="16"/>
      <c r="J546" s="16"/>
      <c r="K546" s="16" t="b">
        <v>0</v>
      </c>
      <c r="L546" s="16" t="b">
        <v>0</v>
      </c>
    </row>
    <row r="547">
      <c r="A547" s="9"/>
      <c r="B547" s="16"/>
      <c r="C547" s="7" t="str">
        <f>IFERROR(VLOOKUP(B547,'Master data'!$A$1:$F$1000,2,FALSE),"")</f>
        <v/>
      </c>
      <c r="D547" s="7" t="str">
        <f>IFERROR(VLOOKUP(B547,'Master data'!$A$1:$F$1000,6,FALSE),"")</f>
        <v/>
      </c>
      <c r="F547" s="7" t="str">
        <f>IFERROR(VLOOKUP(B547,'Master data'!$A$1:$F$1000,3,FALSE),"")</f>
        <v/>
      </c>
      <c r="I547" s="16"/>
      <c r="J547" s="16"/>
      <c r="K547" s="16" t="b">
        <v>0</v>
      </c>
      <c r="L547" s="16" t="b">
        <v>0</v>
      </c>
    </row>
    <row r="548">
      <c r="A548" s="9"/>
      <c r="B548" s="16"/>
      <c r="C548" s="7" t="str">
        <f>IFERROR(VLOOKUP(B548,'Master data'!$A$1:$F$1000,2,FALSE),"")</f>
        <v/>
      </c>
      <c r="D548" s="7" t="str">
        <f>IFERROR(VLOOKUP(B548,'Master data'!$A$1:$F$1000,6,FALSE),"")</f>
        <v/>
      </c>
      <c r="F548" s="7" t="str">
        <f>IFERROR(VLOOKUP(B548,'Master data'!$A$1:$F$1000,3,FALSE),"")</f>
        <v/>
      </c>
      <c r="I548" s="16"/>
      <c r="J548" s="16"/>
      <c r="K548" s="16" t="b">
        <v>0</v>
      </c>
      <c r="L548" s="16" t="b">
        <v>0</v>
      </c>
    </row>
    <row r="549">
      <c r="A549" s="9"/>
      <c r="B549" s="16"/>
      <c r="C549" s="7" t="str">
        <f>IFERROR(VLOOKUP(B549,'Master data'!$A$1:$F$1000,2,FALSE),"")</f>
        <v/>
      </c>
      <c r="D549" s="7" t="str">
        <f>IFERROR(VLOOKUP(B549,'Master data'!$A$1:$F$1000,6,FALSE),"")</f>
        <v/>
      </c>
      <c r="F549" s="7" t="str">
        <f>IFERROR(VLOOKUP(B549,'Master data'!$A$1:$F$1000,3,FALSE),"")</f>
        <v/>
      </c>
      <c r="I549" s="16"/>
      <c r="J549" s="16"/>
      <c r="K549" s="16" t="b">
        <v>0</v>
      </c>
      <c r="L549" s="16" t="b">
        <v>0</v>
      </c>
    </row>
    <row r="550">
      <c r="A550" s="9"/>
      <c r="B550" s="16"/>
      <c r="C550" s="7" t="str">
        <f>IFERROR(VLOOKUP(B550,'Master data'!$A$1:$F$1000,2,FALSE),"")</f>
        <v/>
      </c>
      <c r="D550" s="7" t="str">
        <f>IFERROR(VLOOKUP(B550,'Master data'!$A$1:$F$1000,6,FALSE),"")</f>
        <v/>
      </c>
      <c r="F550" s="7" t="str">
        <f>IFERROR(VLOOKUP(B550,'Master data'!$A$1:$F$1000,3,FALSE),"")</f>
        <v/>
      </c>
      <c r="I550" s="16"/>
      <c r="J550" s="16"/>
      <c r="K550" s="16" t="b">
        <v>0</v>
      </c>
      <c r="L550" s="16" t="b">
        <v>0</v>
      </c>
    </row>
    <row r="551">
      <c r="A551" s="9"/>
      <c r="B551" s="16"/>
      <c r="C551" s="7" t="str">
        <f>IFERROR(VLOOKUP(B551,'Master data'!$A$1:$F$1000,2,FALSE),"")</f>
        <v/>
      </c>
      <c r="D551" s="7" t="str">
        <f>IFERROR(VLOOKUP(B551,'Master data'!$A$1:$F$1000,6,FALSE),"")</f>
        <v/>
      </c>
      <c r="F551" s="7" t="str">
        <f>IFERROR(VLOOKUP(B551,'Master data'!$A$1:$F$1000,3,FALSE),"")</f>
        <v/>
      </c>
      <c r="I551" s="16"/>
      <c r="J551" s="16"/>
      <c r="K551" s="16" t="b">
        <v>0</v>
      </c>
      <c r="L551" s="16" t="b">
        <v>0</v>
      </c>
    </row>
    <row r="552">
      <c r="A552" s="9"/>
      <c r="B552" s="16"/>
      <c r="C552" s="7" t="str">
        <f>IFERROR(VLOOKUP(B552,'Master data'!$A$1:$F$1000,2,FALSE),"")</f>
        <v/>
      </c>
      <c r="D552" s="7" t="str">
        <f>IFERROR(VLOOKUP(B552,'Master data'!$A$1:$F$1000,6,FALSE),"")</f>
        <v/>
      </c>
      <c r="F552" s="7" t="str">
        <f>IFERROR(VLOOKUP(B552,'Master data'!$A$1:$F$1000,3,FALSE),"")</f>
        <v/>
      </c>
      <c r="I552" s="16"/>
      <c r="J552" s="16"/>
      <c r="K552" s="16" t="b">
        <v>0</v>
      </c>
      <c r="L552" s="16" t="b">
        <v>0</v>
      </c>
    </row>
    <row r="553">
      <c r="A553" s="9"/>
      <c r="B553" s="16"/>
      <c r="C553" s="7" t="str">
        <f>IFERROR(VLOOKUP(B553,'Master data'!$A$1:$F$1000,2,FALSE),"")</f>
        <v/>
      </c>
      <c r="D553" s="7" t="str">
        <f>IFERROR(VLOOKUP(B553,'Master data'!$A$1:$F$1000,6,FALSE),"")</f>
        <v/>
      </c>
      <c r="F553" s="7" t="str">
        <f>IFERROR(VLOOKUP(B553,'Master data'!$A$1:$F$1000,3,FALSE),"")</f>
        <v/>
      </c>
      <c r="I553" s="16"/>
      <c r="J553" s="16"/>
      <c r="K553" s="16" t="b">
        <v>0</v>
      </c>
      <c r="L553" s="16" t="b">
        <v>0</v>
      </c>
    </row>
    <row r="554">
      <c r="A554" s="9"/>
      <c r="B554" s="16"/>
      <c r="C554" s="7" t="str">
        <f>IFERROR(VLOOKUP(B554,'Master data'!$A$1:$F$1000,2,FALSE),"")</f>
        <v/>
      </c>
      <c r="D554" s="7" t="str">
        <f>IFERROR(VLOOKUP(B554,'Master data'!$A$1:$F$1000,6,FALSE),"")</f>
        <v/>
      </c>
      <c r="F554" s="7" t="str">
        <f>IFERROR(VLOOKUP(B554,'Master data'!$A$1:$F$1000,3,FALSE),"")</f>
        <v/>
      </c>
      <c r="I554" s="16"/>
      <c r="J554" s="16"/>
      <c r="K554" s="16" t="b">
        <v>0</v>
      </c>
      <c r="L554" s="16" t="b">
        <v>0</v>
      </c>
    </row>
    <row r="555">
      <c r="A555" s="9"/>
      <c r="B555" s="16"/>
      <c r="C555" s="7" t="str">
        <f>IFERROR(VLOOKUP(B555,'Master data'!$A$1:$F$1000,2,FALSE),"")</f>
        <v/>
      </c>
      <c r="D555" s="7" t="str">
        <f>IFERROR(VLOOKUP(B555,'Master data'!$A$1:$F$1000,6,FALSE),"")</f>
        <v/>
      </c>
      <c r="F555" s="7" t="str">
        <f>IFERROR(VLOOKUP(B555,'Master data'!$A$1:$F$1000,3,FALSE),"")</f>
        <v/>
      </c>
      <c r="I555" s="16"/>
      <c r="J555" s="16"/>
      <c r="K555" s="16" t="b">
        <v>0</v>
      </c>
      <c r="L555" s="16" t="b">
        <v>0</v>
      </c>
    </row>
    <row r="556">
      <c r="A556" s="9"/>
      <c r="B556" s="16"/>
      <c r="C556" s="7" t="str">
        <f>IFERROR(VLOOKUP(B556,'Master data'!$A$1:$F$1000,2,FALSE),"")</f>
        <v/>
      </c>
      <c r="D556" s="7" t="str">
        <f>IFERROR(VLOOKUP(B556,'Master data'!$A$1:$F$1000,6,FALSE),"")</f>
        <v/>
      </c>
      <c r="F556" s="7" t="str">
        <f>IFERROR(VLOOKUP(B556,'Master data'!$A$1:$F$1000,3,FALSE),"")</f>
        <v/>
      </c>
      <c r="I556" s="16"/>
      <c r="J556" s="16"/>
      <c r="K556" s="16" t="b">
        <v>0</v>
      </c>
      <c r="L556" s="16" t="b">
        <v>0</v>
      </c>
    </row>
    <row r="557">
      <c r="A557" s="9"/>
      <c r="B557" s="16"/>
      <c r="C557" s="7" t="str">
        <f>IFERROR(VLOOKUP(B557,'Master data'!$A$1:$F$1000,2,FALSE),"")</f>
        <v/>
      </c>
      <c r="D557" s="7" t="str">
        <f>IFERROR(VLOOKUP(B557,'Master data'!$A$1:$F$1000,6,FALSE),"")</f>
        <v/>
      </c>
      <c r="F557" s="7" t="str">
        <f>IFERROR(VLOOKUP(B557,'Master data'!$A$1:$F$1000,3,FALSE),"")</f>
        <v/>
      </c>
      <c r="I557" s="16"/>
      <c r="J557" s="16"/>
      <c r="K557" s="16" t="b">
        <v>0</v>
      </c>
      <c r="L557" s="16" t="b">
        <v>0</v>
      </c>
    </row>
    <row r="558">
      <c r="A558" s="9"/>
      <c r="B558" s="16"/>
      <c r="C558" s="7" t="str">
        <f>IFERROR(VLOOKUP(B558,'Master data'!$A$1:$F$1000,2,FALSE),"")</f>
        <v/>
      </c>
      <c r="D558" s="7" t="str">
        <f>IFERROR(VLOOKUP(B558,'Master data'!$A$1:$F$1000,6,FALSE),"")</f>
        <v/>
      </c>
      <c r="F558" s="7" t="str">
        <f>IFERROR(VLOOKUP(B558,'Master data'!$A$1:$F$1000,3,FALSE),"")</f>
        <v/>
      </c>
      <c r="I558" s="16"/>
      <c r="J558" s="16"/>
      <c r="K558" s="16" t="b">
        <v>0</v>
      </c>
      <c r="L558" s="16" t="b">
        <v>0</v>
      </c>
    </row>
    <row r="559">
      <c r="A559" s="9"/>
      <c r="B559" s="16"/>
      <c r="C559" s="7" t="str">
        <f>IFERROR(VLOOKUP(B559,'Master data'!$A$1:$F$1000,2,FALSE),"")</f>
        <v/>
      </c>
      <c r="D559" s="7" t="str">
        <f>IFERROR(VLOOKUP(B559,'Master data'!$A$1:$F$1000,6,FALSE),"")</f>
        <v/>
      </c>
      <c r="F559" s="7" t="str">
        <f>IFERROR(VLOOKUP(B559,'Master data'!$A$1:$F$1000,3,FALSE),"")</f>
        <v/>
      </c>
      <c r="I559" s="16"/>
      <c r="J559" s="16"/>
      <c r="K559" s="16" t="b">
        <v>0</v>
      </c>
      <c r="L559" s="16" t="b">
        <v>0</v>
      </c>
    </row>
    <row r="560">
      <c r="A560" s="9"/>
      <c r="B560" s="16"/>
      <c r="C560" s="7" t="str">
        <f>IFERROR(VLOOKUP(B560,'Master data'!$A$1:$F$1000,2,FALSE),"")</f>
        <v/>
      </c>
      <c r="D560" s="7" t="str">
        <f>IFERROR(VLOOKUP(B560,'Master data'!$A$1:$F$1000,6,FALSE),"")</f>
        <v/>
      </c>
      <c r="F560" s="7" t="str">
        <f>IFERROR(VLOOKUP(B560,'Master data'!$A$1:$F$1000,3,FALSE),"")</f>
        <v/>
      </c>
      <c r="I560" s="16"/>
      <c r="J560" s="16"/>
      <c r="K560" s="16" t="b">
        <v>0</v>
      </c>
      <c r="L560" s="16" t="b">
        <v>0</v>
      </c>
    </row>
    <row r="561">
      <c r="A561" s="9"/>
      <c r="B561" s="16"/>
      <c r="C561" s="7" t="str">
        <f>IFERROR(VLOOKUP(B561,'Master data'!$A$1:$F$1000,2,FALSE),"")</f>
        <v/>
      </c>
      <c r="D561" s="7" t="str">
        <f>IFERROR(VLOOKUP(B561,'Master data'!$A$1:$F$1000,6,FALSE),"")</f>
        <v/>
      </c>
      <c r="F561" s="7" t="str">
        <f>IFERROR(VLOOKUP(B561,'Master data'!$A$1:$F$1000,3,FALSE),"")</f>
        <v/>
      </c>
      <c r="I561" s="16"/>
      <c r="J561" s="16"/>
      <c r="K561" s="16" t="b">
        <v>0</v>
      </c>
      <c r="L561" s="16" t="b">
        <v>0</v>
      </c>
    </row>
    <row r="562">
      <c r="A562" s="9"/>
      <c r="B562" s="16"/>
      <c r="C562" s="7" t="str">
        <f>IFERROR(VLOOKUP(B562,'Master data'!$A$1:$F$1000,2,FALSE),"")</f>
        <v/>
      </c>
      <c r="D562" s="7" t="str">
        <f>IFERROR(VLOOKUP(B562,'Master data'!$A$1:$F$1000,6,FALSE),"")</f>
        <v/>
      </c>
      <c r="F562" s="7" t="str">
        <f>IFERROR(VLOOKUP(B562,'Master data'!$A$1:$F$1000,3,FALSE),"")</f>
        <v/>
      </c>
      <c r="I562" s="16"/>
      <c r="J562" s="16"/>
      <c r="K562" s="16" t="b">
        <v>0</v>
      </c>
      <c r="L562" s="16" t="b">
        <v>0</v>
      </c>
    </row>
    <row r="563">
      <c r="A563" s="9"/>
      <c r="B563" s="16"/>
      <c r="C563" s="7" t="str">
        <f>IFERROR(VLOOKUP(B563,'Master data'!$A$1:$F$1000,2,FALSE),"")</f>
        <v/>
      </c>
      <c r="D563" s="7" t="str">
        <f>IFERROR(VLOOKUP(B563,'Master data'!$A$1:$F$1000,6,FALSE),"")</f>
        <v/>
      </c>
      <c r="F563" s="7" t="str">
        <f>IFERROR(VLOOKUP(B563,'Master data'!$A$1:$F$1000,3,FALSE),"")</f>
        <v/>
      </c>
      <c r="I563" s="16"/>
      <c r="J563" s="16"/>
      <c r="K563" s="16" t="b">
        <v>0</v>
      </c>
      <c r="L563" s="16" t="b">
        <v>0</v>
      </c>
    </row>
    <row r="564">
      <c r="A564" s="9"/>
      <c r="B564" s="16"/>
      <c r="C564" s="7" t="str">
        <f>IFERROR(VLOOKUP(B564,'Master data'!$A$1:$F$1000,2,FALSE),"")</f>
        <v/>
      </c>
      <c r="D564" s="7" t="str">
        <f>IFERROR(VLOOKUP(B564,'Master data'!$A$1:$F$1000,6,FALSE),"")</f>
        <v/>
      </c>
      <c r="F564" s="7" t="str">
        <f>IFERROR(VLOOKUP(B564,'Master data'!$A$1:$F$1000,3,FALSE),"")</f>
        <v/>
      </c>
      <c r="I564" s="16"/>
      <c r="J564" s="16"/>
      <c r="K564" s="16" t="b">
        <v>0</v>
      </c>
      <c r="L564" s="16" t="b">
        <v>0</v>
      </c>
    </row>
    <row r="565">
      <c r="A565" s="9"/>
      <c r="B565" s="16"/>
      <c r="C565" s="7" t="str">
        <f>IFERROR(VLOOKUP(B565,'Master data'!$A$1:$F$1000,2,FALSE),"")</f>
        <v/>
      </c>
      <c r="D565" s="7" t="str">
        <f>IFERROR(VLOOKUP(B565,'Master data'!$A$1:$F$1000,6,FALSE),"")</f>
        <v/>
      </c>
      <c r="F565" s="7" t="str">
        <f>IFERROR(VLOOKUP(B565,'Master data'!$A$1:$F$1000,3,FALSE),"")</f>
        <v/>
      </c>
      <c r="I565" s="16"/>
      <c r="J565" s="16"/>
      <c r="K565" s="16" t="b">
        <v>0</v>
      </c>
      <c r="L565" s="16" t="b">
        <v>0</v>
      </c>
    </row>
    <row r="566">
      <c r="A566" s="9"/>
      <c r="B566" s="16"/>
      <c r="C566" s="7" t="str">
        <f>IFERROR(VLOOKUP(B566,'Master data'!$A$1:$F$1000,2,FALSE),"")</f>
        <v/>
      </c>
      <c r="D566" s="7" t="str">
        <f>IFERROR(VLOOKUP(B566,'Master data'!$A$1:$F$1000,6,FALSE),"")</f>
        <v/>
      </c>
      <c r="F566" s="7" t="str">
        <f>IFERROR(VLOOKUP(B566,'Master data'!$A$1:$F$1000,3,FALSE),"")</f>
        <v/>
      </c>
      <c r="I566" s="16"/>
      <c r="J566" s="16"/>
      <c r="K566" s="16" t="b">
        <v>0</v>
      </c>
      <c r="L566" s="16" t="b">
        <v>0</v>
      </c>
    </row>
    <row r="567">
      <c r="A567" s="9"/>
      <c r="B567" s="16"/>
      <c r="C567" s="7" t="str">
        <f>IFERROR(VLOOKUP(B567,'Master data'!$A$1:$F$1000,2,FALSE),"")</f>
        <v/>
      </c>
      <c r="D567" s="7" t="str">
        <f>IFERROR(VLOOKUP(B567,'Master data'!$A$1:$F$1000,6,FALSE),"")</f>
        <v/>
      </c>
      <c r="F567" s="7" t="str">
        <f>IFERROR(VLOOKUP(B567,'Master data'!$A$1:$F$1000,3,FALSE),"")</f>
        <v/>
      </c>
      <c r="I567" s="16"/>
      <c r="J567" s="16"/>
      <c r="K567" s="16" t="b">
        <v>0</v>
      </c>
      <c r="L567" s="16" t="b">
        <v>0</v>
      </c>
    </row>
    <row r="568">
      <c r="A568" s="9"/>
      <c r="B568" s="16"/>
      <c r="C568" s="7" t="str">
        <f>IFERROR(VLOOKUP(B568,'Master data'!$A$1:$F$1000,2,FALSE),"")</f>
        <v/>
      </c>
      <c r="D568" s="7" t="str">
        <f>IFERROR(VLOOKUP(B568,'Master data'!$A$1:$F$1000,6,FALSE),"")</f>
        <v/>
      </c>
      <c r="F568" s="7" t="str">
        <f>IFERROR(VLOOKUP(B568,'Master data'!$A$1:$F$1000,3,FALSE),"")</f>
        <v/>
      </c>
      <c r="I568" s="16"/>
      <c r="J568" s="16"/>
      <c r="K568" s="16" t="b">
        <v>0</v>
      </c>
      <c r="L568" s="16" t="b">
        <v>0</v>
      </c>
    </row>
    <row r="569">
      <c r="A569" s="9"/>
      <c r="B569" s="16"/>
      <c r="C569" s="7" t="str">
        <f>IFERROR(VLOOKUP(B569,'Master data'!$A$1:$F$1000,2,FALSE),"")</f>
        <v/>
      </c>
      <c r="D569" s="7" t="str">
        <f>IFERROR(VLOOKUP(B569,'Master data'!$A$1:$F$1000,6,FALSE),"")</f>
        <v/>
      </c>
      <c r="F569" s="7" t="str">
        <f>IFERROR(VLOOKUP(B569,'Master data'!$A$1:$F$1000,3,FALSE),"")</f>
        <v/>
      </c>
      <c r="I569" s="16"/>
      <c r="J569" s="16"/>
      <c r="K569" s="16" t="b">
        <v>0</v>
      </c>
      <c r="L569" s="16" t="b">
        <v>0</v>
      </c>
    </row>
    <row r="570">
      <c r="A570" s="9"/>
      <c r="B570" s="16"/>
      <c r="C570" s="7" t="str">
        <f>IFERROR(VLOOKUP(B570,'Master data'!$A$1:$F$1000,2,FALSE),"")</f>
        <v/>
      </c>
      <c r="D570" s="7" t="str">
        <f>IFERROR(VLOOKUP(B570,'Master data'!$A$1:$F$1000,6,FALSE),"")</f>
        <v/>
      </c>
      <c r="F570" s="7" t="str">
        <f>IFERROR(VLOOKUP(B570,'Master data'!$A$1:$F$1000,3,FALSE),"")</f>
        <v/>
      </c>
      <c r="I570" s="16"/>
      <c r="J570" s="16"/>
      <c r="K570" s="16" t="b">
        <v>0</v>
      </c>
      <c r="L570" s="16" t="b">
        <v>0</v>
      </c>
    </row>
    <row r="571">
      <c r="A571" s="9"/>
      <c r="B571" s="16"/>
      <c r="C571" s="7" t="str">
        <f>IFERROR(VLOOKUP(B571,'Master data'!$A$1:$F$1000,2,FALSE),"")</f>
        <v/>
      </c>
      <c r="D571" s="7" t="str">
        <f>IFERROR(VLOOKUP(B571,'Master data'!$A$1:$F$1000,6,FALSE),"")</f>
        <v/>
      </c>
      <c r="F571" s="7" t="str">
        <f>IFERROR(VLOOKUP(B571,'Master data'!$A$1:$F$1000,3,FALSE),"")</f>
        <v/>
      </c>
      <c r="I571" s="16"/>
      <c r="J571" s="16"/>
      <c r="K571" s="16" t="b">
        <v>0</v>
      </c>
      <c r="L571" s="16" t="b">
        <v>0</v>
      </c>
    </row>
    <row r="572">
      <c r="A572" s="9"/>
      <c r="B572" s="16"/>
      <c r="C572" s="7" t="str">
        <f>IFERROR(VLOOKUP(B572,'Master data'!$A$1:$F$1000,2,FALSE),"")</f>
        <v/>
      </c>
      <c r="D572" s="7" t="str">
        <f>IFERROR(VLOOKUP(B572,'Master data'!$A$1:$F$1000,6,FALSE),"")</f>
        <v/>
      </c>
      <c r="F572" s="7" t="str">
        <f>IFERROR(VLOOKUP(B572,'Master data'!$A$1:$F$1000,3,FALSE),"")</f>
        <v/>
      </c>
      <c r="I572" s="16"/>
      <c r="J572" s="16"/>
      <c r="K572" s="16" t="b">
        <v>0</v>
      </c>
      <c r="L572" s="16" t="b">
        <v>0</v>
      </c>
    </row>
    <row r="573">
      <c r="A573" s="9"/>
      <c r="B573" s="16"/>
      <c r="C573" s="7" t="str">
        <f>IFERROR(VLOOKUP(B573,'Master data'!$A$1:$F$1000,2,FALSE),"")</f>
        <v/>
      </c>
      <c r="D573" s="7" t="str">
        <f>IFERROR(VLOOKUP(B573,'Master data'!$A$1:$F$1000,6,FALSE),"")</f>
        <v/>
      </c>
      <c r="F573" s="7" t="str">
        <f>IFERROR(VLOOKUP(B573,'Master data'!$A$1:$F$1000,3,FALSE),"")</f>
        <v/>
      </c>
      <c r="I573" s="16"/>
      <c r="J573" s="16"/>
      <c r="K573" s="16" t="b">
        <v>0</v>
      </c>
      <c r="L573" s="16" t="b">
        <v>0</v>
      </c>
    </row>
    <row r="574">
      <c r="A574" s="9"/>
      <c r="B574" s="16"/>
      <c r="C574" s="7" t="str">
        <f>IFERROR(VLOOKUP(B574,'Master data'!$A$1:$F$1000,2,FALSE),"")</f>
        <v/>
      </c>
      <c r="D574" s="7" t="str">
        <f>IFERROR(VLOOKUP(B574,'Master data'!$A$1:$F$1000,6,FALSE),"")</f>
        <v/>
      </c>
      <c r="F574" s="7" t="str">
        <f>IFERROR(VLOOKUP(B574,'Master data'!$A$1:$F$1000,3,FALSE),"")</f>
        <v/>
      </c>
      <c r="I574" s="16"/>
      <c r="J574" s="16"/>
      <c r="K574" s="16" t="b">
        <v>0</v>
      </c>
      <c r="L574" s="16" t="b">
        <v>0</v>
      </c>
    </row>
    <row r="575">
      <c r="A575" s="9"/>
      <c r="B575" s="16"/>
      <c r="C575" s="7" t="str">
        <f>IFERROR(VLOOKUP(B575,'Master data'!$A$1:$F$1000,2,FALSE),"")</f>
        <v/>
      </c>
      <c r="D575" s="7" t="str">
        <f>IFERROR(VLOOKUP(B575,'Master data'!$A$1:$F$1000,6,FALSE),"")</f>
        <v/>
      </c>
      <c r="F575" s="7" t="str">
        <f>IFERROR(VLOOKUP(B575,'Master data'!$A$1:$F$1000,3,FALSE),"")</f>
        <v/>
      </c>
      <c r="I575" s="16"/>
      <c r="J575" s="16"/>
      <c r="K575" s="16" t="b">
        <v>0</v>
      </c>
      <c r="L575" s="16" t="b">
        <v>0</v>
      </c>
    </row>
    <row r="576">
      <c r="A576" s="9"/>
      <c r="B576" s="16"/>
      <c r="C576" s="7" t="str">
        <f>IFERROR(VLOOKUP(B576,'Master data'!$A$1:$F$1000,2,FALSE),"")</f>
        <v/>
      </c>
      <c r="D576" s="7" t="str">
        <f>IFERROR(VLOOKUP(B576,'Master data'!$A$1:$F$1000,6,FALSE),"")</f>
        <v/>
      </c>
      <c r="F576" s="7" t="str">
        <f>IFERROR(VLOOKUP(B576,'Master data'!$A$1:$F$1000,3,FALSE),"")</f>
        <v/>
      </c>
      <c r="I576" s="16"/>
      <c r="J576" s="16"/>
      <c r="K576" s="16" t="b">
        <v>0</v>
      </c>
      <c r="L576" s="16" t="b">
        <v>0</v>
      </c>
    </row>
    <row r="577">
      <c r="A577" s="9"/>
      <c r="B577" s="16"/>
      <c r="C577" s="7" t="str">
        <f>IFERROR(VLOOKUP(B577,'Master data'!$A$1:$F$1000,2,FALSE),"")</f>
        <v/>
      </c>
      <c r="D577" s="7" t="str">
        <f>IFERROR(VLOOKUP(B577,'Master data'!$A$1:$F$1000,6,FALSE),"")</f>
        <v/>
      </c>
      <c r="F577" s="7" t="str">
        <f>IFERROR(VLOOKUP(B577,'Master data'!$A$1:$F$1000,3,FALSE),"")</f>
        <v/>
      </c>
      <c r="I577" s="16"/>
      <c r="J577" s="16"/>
      <c r="K577" s="16" t="b">
        <v>0</v>
      </c>
      <c r="L577" s="16" t="b">
        <v>0</v>
      </c>
    </row>
    <row r="578">
      <c r="A578" s="9"/>
      <c r="B578" s="16"/>
      <c r="C578" s="7" t="str">
        <f>IFERROR(VLOOKUP(B578,'Master data'!$A$1:$F$1000,2,FALSE),"")</f>
        <v/>
      </c>
      <c r="D578" s="7" t="str">
        <f>IFERROR(VLOOKUP(B578,'Master data'!$A$1:$F$1000,6,FALSE),"")</f>
        <v/>
      </c>
      <c r="F578" s="7" t="str">
        <f>IFERROR(VLOOKUP(B578,'Master data'!$A$1:$F$1000,3,FALSE),"")</f>
        <v/>
      </c>
      <c r="I578" s="16"/>
      <c r="J578" s="16"/>
      <c r="K578" s="16" t="b">
        <v>0</v>
      </c>
      <c r="L578" s="16" t="b">
        <v>0</v>
      </c>
    </row>
    <row r="579">
      <c r="A579" s="9"/>
      <c r="B579" s="16"/>
      <c r="C579" s="7" t="str">
        <f>IFERROR(VLOOKUP(B579,'Master data'!$A$1:$F$1000,2,FALSE),"")</f>
        <v/>
      </c>
      <c r="D579" s="7" t="str">
        <f>IFERROR(VLOOKUP(B579,'Master data'!$A$1:$F$1000,6,FALSE),"")</f>
        <v/>
      </c>
      <c r="F579" s="7" t="str">
        <f>IFERROR(VLOOKUP(B579,'Master data'!$A$1:$F$1000,3,FALSE),"")</f>
        <v/>
      </c>
      <c r="I579" s="16"/>
      <c r="J579" s="16"/>
      <c r="K579" s="16" t="b">
        <v>0</v>
      </c>
      <c r="L579" s="16" t="b">
        <v>0</v>
      </c>
    </row>
    <row r="580">
      <c r="A580" s="9"/>
      <c r="B580" s="16"/>
      <c r="C580" s="7" t="str">
        <f>IFERROR(VLOOKUP(B580,'Master data'!$A$1:$F$1000,2,FALSE),"")</f>
        <v/>
      </c>
      <c r="D580" s="7" t="str">
        <f>IFERROR(VLOOKUP(B580,'Master data'!$A$1:$F$1000,6,FALSE),"")</f>
        <v/>
      </c>
      <c r="F580" s="7" t="str">
        <f>IFERROR(VLOOKUP(B580,'Master data'!$A$1:$F$1000,3,FALSE),"")</f>
        <v/>
      </c>
      <c r="I580" s="16"/>
      <c r="J580" s="16"/>
      <c r="K580" s="16" t="b">
        <v>0</v>
      </c>
      <c r="L580" s="16" t="b">
        <v>0</v>
      </c>
    </row>
    <row r="581">
      <c r="A581" s="9"/>
      <c r="B581" s="16"/>
      <c r="C581" s="7" t="str">
        <f>IFERROR(VLOOKUP(B581,'Master data'!$A$1:$F$1000,2,FALSE),"")</f>
        <v/>
      </c>
      <c r="D581" s="7" t="str">
        <f>IFERROR(VLOOKUP(B581,'Master data'!$A$1:$F$1000,6,FALSE),"")</f>
        <v/>
      </c>
      <c r="F581" s="7" t="str">
        <f>IFERROR(VLOOKUP(B581,'Master data'!$A$1:$F$1000,3,FALSE),"")</f>
        <v/>
      </c>
      <c r="I581" s="16"/>
      <c r="J581" s="16"/>
      <c r="K581" s="16" t="b">
        <v>0</v>
      </c>
      <c r="L581" s="16" t="b">
        <v>0</v>
      </c>
    </row>
    <row r="582">
      <c r="A582" s="9"/>
      <c r="B582" s="16"/>
      <c r="C582" s="7" t="str">
        <f>IFERROR(VLOOKUP(B582,'Master data'!$A$1:$F$1000,2,FALSE),"")</f>
        <v/>
      </c>
      <c r="D582" s="7" t="str">
        <f>IFERROR(VLOOKUP(B582,'Master data'!$A$1:$F$1000,6,FALSE),"")</f>
        <v/>
      </c>
      <c r="F582" s="7" t="str">
        <f>IFERROR(VLOOKUP(B582,'Master data'!$A$1:$F$1000,3,FALSE),"")</f>
        <v/>
      </c>
      <c r="I582" s="16"/>
      <c r="J582" s="16"/>
      <c r="K582" s="16" t="b">
        <v>0</v>
      </c>
      <c r="L582" s="16" t="b">
        <v>0</v>
      </c>
    </row>
    <row r="583">
      <c r="A583" s="9"/>
      <c r="B583" s="16"/>
      <c r="C583" s="7" t="str">
        <f>IFERROR(VLOOKUP(B583,'Master data'!$A$1:$F$1000,2,FALSE),"")</f>
        <v/>
      </c>
      <c r="D583" s="7" t="str">
        <f>IFERROR(VLOOKUP(B583,'Master data'!$A$1:$F$1000,6,FALSE),"")</f>
        <v/>
      </c>
      <c r="F583" s="7" t="str">
        <f>IFERROR(VLOOKUP(B583,'Master data'!$A$1:$F$1000,3,FALSE),"")</f>
        <v/>
      </c>
      <c r="I583" s="16"/>
      <c r="J583" s="16"/>
      <c r="K583" s="16" t="b">
        <v>0</v>
      </c>
      <c r="L583" s="16" t="b">
        <v>0</v>
      </c>
    </row>
    <row r="584">
      <c r="A584" s="9"/>
      <c r="B584" s="16"/>
      <c r="C584" s="7" t="str">
        <f>IFERROR(VLOOKUP(B584,'Master data'!$A$1:$F$1000,2,FALSE),"")</f>
        <v/>
      </c>
      <c r="D584" s="7" t="str">
        <f>IFERROR(VLOOKUP(B584,'Master data'!$A$1:$F$1000,6,FALSE),"")</f>
        <v/>
      </c>
      <c r="F584" s="7" t="str">
        <f>IFERROR(VLOOKUP(B584,'Master data'!$A$1:$F$1000,3,FALSE),"")</f>
        <v/>
      </c>
      <c r="I584" s="16"/>
      <c r="J584" s="16"/>
      <c r="K584" s="16" t="b">
        <v>0</v>
      </c>
      <c r="L584" s="16" t="b">
        <v>0</v>
      </c>
    </row>
    <row r="585">
      <c r="A585" s="9"/>
      <c r="B585" s="16"/>
      <c r="C585" s="7" t="str">
        <f>IFERROR(VLOOKUP(B585,'Master data'!$A$1:$F$1000,2,FALSE),"")</f>
        <v/>
      </c>
      <c r="D585" s="7" t="str">
        <f>IFERROR(VLOOKUP(B585,'Master data'!$A$1:$F$1000,6,FALSE),"")</f>
        <v/>
      </c>
      <c r="F585" s="7" t="str">
        <f>IFERROR(VLOOKUP(B585,'Master data'!$A$1:$F$1000,3,FALSE),"")</f>
        <v/>
      </c>
      <c r="I585" s="16"/>
      <c r="J585" s="16"/>
      <c r="K585" s="16" t="b">
        <v>0</v>
      </c>
      <c r="L585" s="16" t="b">
        <v>0</v>
      </c>
    </row>
    <row r="586">
      <c r="A586" s="9"/>
      <c r="B586" s="16"/>
      <c r="C586" s="7" t="str">
        <f>IFERROR(VLOOKUP(B586,'Master data'!$A$1:$F$1000,2,FALSE),"")</f>
        <v/>
      </c>
      <c r="D586" s="7" t="str">
        <f>IFERROR(VLOOKUP(B586,'Master data'!$A$1:$F$1000,6,FALSE),"")</f>
        <v/>
      </c>
      <c r="F586" s="7" t="str">
        <f>IFERROR(VLOOKUP(B586,'Master data'!$A$1:$F$1000,3,FALSE),"")</f>
        <v/>
      </c>
      <c r="I586" s="16"/>
      <c r="J586" s="16"/>
      <c r="K586" s="16" t="b">
        <v>0</v>
      </c>
      <c r="L586" s="16" t="b">
        <v>0</v>
      </c>
    </row>
    <row r="587">
      <c r="A587" s="9"/>
      <c r="B587" s="16"/>
      <c r="C587" s="7" t="str">
        <f>IFERROR(VLOOKUP(B587,'Master data'!$A$1:$F$1000,2,FALSE),"")</f>
        <v/>
      </c>
      <c r="D587" s="7" t="str">
        <f>IFERROR(VLOOKUP(B587,'Master data'!$A$1:$F$1000,6,FALSE),"")</f>
        <v/>
      </c>
      <c r="F587" s="7" t="str">
        <f>IFERROR(VLOOKUP(B587,'Master data'!$A$1:$F$1000,3,FALSE),"")</f>
        <v/>
      </c>
      <c r="I587" s="16"/>
      <c r="J587" s="16"/>
      <c r="K587" s="16" t="b">
        <v>0</v>
      </c>
      <c r="L587" s="16" t="b">
        <v>0</v>
      </c>
    </row>
    <row r="588">
      <c r="A588" s="9"/>
      <c r="B588" s="16"/>
      <c r="C588" s="7" t="str">
        <f>IFERROR(VLOOKUP(B588,'Master data'!$A$1:$F$1000,2,FALSE),"")</f>
        <v/>
      </c>
      <c r="D588" s="7" t="str">
        <f>IFERROR(VLOOKUP(B588,'Master data'!$A$1:$F$1000,6,FALSE),"")</f>
        <v/>
      </c>
      <c r="F588" s="7" t="str">
        <f>IFERROR(VLOOKUP(B588,'Master data'!$A$1:$F$1000,3,FALSE),"")</f>
        <v/>
      </c>
      <c r="I588" s="16"/>
      <c r="J588" s="16"/>
      <c r="K588" s="16" t="b">
        <v>0</v>
      </c>
      <c r="L588" s="16" t="b">
        <v>0</v>
      </c>
    </row>
    <row r="589">
      <c r="A589" s="9"/>
      <c r="B589" s="16"/>
      <c r="C589" s="7" t="str">
        <f>IFERROR(VLOOKUP(B589,'Master data'!$A$1:$F$1000,2,FALSE),"")</f>
        <v/>
      </c>
      <c r="D589" s="7" t="str">
        <f>IFERROR(VLOOKUP(B589,'Master data'!$A$1:$F$1000,6,FALSE),"")</f>
        <v/>
      </c>
      <c r="F589" s="7" t="str">
        <f>IFERROR(VLOOKUP(B589,'Master data'!$A$1:$F$1000,3,FALSE),"")</f>
        <v/>
      </c>
      <c r="I589" s="16"/>
      <c r="J589" s="16"/>
      <c r="K589" s="16" t="b">
        <v>0</v>
      </c>
      <c r="L589" s="16" t="b">
        <v>0</v>
      </c>
    </row>
    <row r="590">
      <c r="A590" s="9"/>
      <c r="B590" s="16"/>
      <c r="C590" s="7" t="str">
        <f>IFERROR(VLOOKUP(B590,'Master data'!$A$1:$F$1000,2,FALSE),"")</f>
        <v/>
      </c>
      <c r="D590" s="7" t="str">
        <f>IFERROR(VLOOKUP(B590,'Master data'!$A$1:$F$1000,6,FALSE),"")</f>
        <v/>
      </c>
      <c r="F590" s="7" t="str">
        <f>IFERROR(VLOOKUP(B590,'Master data'!$A$1:$F$1000,3,FALSE),"")</f>
        <v/>
      </c>
      <c r="I590" s="16"/>
      <c r="J590" s="16"/>
      <c r="K590" s="16" t="b">
        <v>0</v>
      </c>
      <c r="L590" s="16" t="b">
        <v>0</v>
      </c>
    </row>
    <row r="591">
      <c r="A591" s="9"/>
      <c r="B591" s="16"/>
      <c r="C591" s="7" t="str">
        <f>IFERROR(VLOOKUP(B591,'Master data'!$A$1:$F$1000,2,FALSE),"")</f>
        <v/>
      </c>
      <c r="D591" s="7" t="str">
        <f>IFERROR(VLOOKUP(B591,'Master data'!$A$1:$F$1000,6,FALSE),"")</f>
        <v/>
      </c>
      <c r="F591" s="7" t="str">
        <f>IFERROR(VLOOKUP(B591,'Master data'!$A$1:$F$1000,3,FALSE),"")</f>
        <v/>
      </c>
      <c r="I591" s="16"/>
      <c r="J591" s="16"/>
      <c r="K591" s="16" t="b">
        <v>0</v>
      </c>
      <c r="L591" s="16" t="b">
        <v>0</v>
      </c>
    </row>
    <row r="592">
      <c r="A592" s="9"/>
      <c r="B592" s="16"/>
      <c r="C592" s="7" t="str">
        <f>IFERROR(VLOOKUP(B592,'Master data'!$A$1:$F$1000,2,FALSE),"")</f>
        <v/>
      </c>
      <c r="D592" s="7" t="str">
        <f>IFERROR(VLOOKUP(B592,'Master data'!$A$1:$F$1000,6,FALSE),"")</f>
        <v/>
      </c>
      <c r="F592" s="7" t="str">
        <f>IFERROR(VLOOKUP(B592,'Master data'!$A$1:$F$1000,3,FALSE),"")</f>
        <v/>
      </c>
      <c r="I592" s="16"/>
      <c r="J592" s="16"/>
      <c r="K592" s="16" t="b">
        <v>0</v>
      </c>
      <c r="L592" s="16" t="b">
        <v>0</v>
      </c>
    </row>
    <row r="593">
      <c r="A593" s="9"/>
      <c r="B593" s="16"/>
      <c r="C593" s="7" t="str">
        <f>IFERROR(VLOOKUP(B593,'Master data'!$A$1:$F$1000,2,FALSE),"")</f>
        <v/>
      </c>
      <c r="D593" s="7" t="str">
        <f>IFERROR(VLOOKUP(B593,'Master data'!$A$1:$F$1000,6,FALSE),"")</f>
        <v/>
      </c>
      <c r="F593" s="7" t="str">
        <f>IFERROR(VLOOKUP(B593,'Master data'!$A$1:$F$1000,3,FALSE),"")</f>
        <v/>
      </c>
      <c r="I593" s="16"/>
      <c r="J593" s="16"/>
      <c r="K593" s="16" t="b">
        <v>0</v>
      </c>
      <c r="L593" s="16" t="b">
        <v>0</v>
      </c>
    </row>
    <row r="594">
      <c r="A594" s="9"/>
      <c r="B594" s="16"/>
      <c r="C594" s="7" t="str">
        <f>IFERROR(VLOOKUP(B594,'Master data'!$A$1:$F$1000,2,FALSE),"")</f>
        <v/>
      </c>
      <c r="D594" s="7" t="str">
        <f>IFERROR(VLOOKUP(B594,'Master data'!$A$1:$F$1000,6,FALSE),"")</f>
        <v/>
      </c>
      <c r="F594" s="7" t="str">
        <f>IFERROR(VLOOKUP(B594,'Master data'!$A$1:$F$1000,3,FALSE),"")</f>
        <v/>
      </c>
      <c r="I594" s="16"/>
      <c r="J594" s="16"/>
      <c r="K594" s="16" t="b">
        <v>0</v>
      </c>
      <c r="L594" s="16" t="b">
        <v>0</v>
      </c>
    </row>
    <row r="595">
      <c r="A595" s="9"/>
      <c r="B595" s="16"/>
      <c r="C595" s="7" t="str">
        <f>IFERROR(VLOOKUP(B595,'Master data'!$A$1:$F$1000,2,FALSE),"")</f>
        <v/>
      </c>
      <c r="D595" s="7" t="str">
        <f>IFERROR(VLOOKUP(B595,'Master data'!$A$1:$F$1000,6,FALSE),"")</f>
        <v/>
      </c>
      <c r="F595" s="7" t="str">
        <f>IFERROR(VLOOKUP(B595,'Master data'!$A$1:$F$1000,3,FALSE),"")</f>
        <v/>
      </c>
      <c r="I595" s="16"/>
      <c r="J595" s="16"/>
      <c r="K595" s="16" t="b">
        <v>0</v>
      </c>
      <c r="L595" s="16" t="b">
        <v>0</v>
      </c>
    </row>
    <row r="596">
      <c r="A596" s="9"/>
      <c r="B596" s="16"/>
      <c r="C596" s="7" t="str">
        <f>IFERROR(VLOOKUP(B596,'Master data'!$A$1:$F$1000,2,FALSE),"")</f>
        <v/>
      </c>
      <c r="D596" s="7" t="str">
        <f>IFERROR(VLOOKUP(B596,'Master data'!$A$1:$F$1000,6,FALSE),"")</f>
        <v/>
      </c>
      <c r="F596" s="7" t="str">
        <f>IFERROR(VLOOKUP(B596,'Master data'!$A$1:$F$1000,3,FALSE),"")</f>
        <v/>
      </c>
      <c r="I596" s="16"/>
      <c r="J596" s="16"/>
      <c r="K596" s="16" t="b">
        <v>0</v>
      </c>
      <c r="L596" s="16" t="b">
        <v>0</v>
      </c>
    </row>
    <row r="597">
      <c r="A597" s="9"/>
      <c r="B597" s="16"/>
      <c r="C597" s="7" t="str">
        <f>IFERROR(VLOOKUP(B597,'Master data'!$A$1:$F$1000,2,FALSE),"")</f>
        <v/>
      </c>
      <c r="D597" s="7" t="str">
        <f>IFERROR(VLOOKUP(B597,'Master data'!$A$1:$F$1000,6,FALSE),"")</f>
        <v/>
      </c>
      <c r="F597" s="7" t="str">
        <f>IFERROR(VLOOKUP(B597,'Master data'!$A$1:$F$1000,3,FALSE),"")</f>
        <v/>
      </c>
      <c r="I597" s="16"/>
      <c r="J597" s="16"/>
      <c r="K597" s="16" t="b">
        <v>0</v>
      </c>
      <c r="L597" s="16" t="b">
        <v>0</v>
      </c>
    </row>
    <row r="598">
      <c r="A598" s="9"/>
      <c r="B598" s="16"/>
      <c r="C598" s="7" t="str">
        <f>IFERROR(VLOOKUP(B598,'Master data'!$A$1:$F$1000,2,FALSE),"")</f>
        <v/>
      </c>
      <c r="D598" s="7" t="str">
        <f>IFERROR(VLOOKUP(B598,'Master data'!$A$1:$F$1000,6,FALSE),"")</f>
        <v/>
      </c>
      <c r="F598" s="7" t="str">
        <f>IFERROR(VLOOKUP(B598,'Master data'!$A$1:$F$1000,3,FALSE),"")</f>
        <v/>
      </c>
      <c r="I598" s="16"/>
      <c r="J598" s="16"/>
      <c r="K598" s="16" t="b">
        <v>0</v>
      </c>
      <c r="L598" s="16" t="b">
        <v>0</v>
      </c>
    </row>
    <row r="599">
      <c r="A599" s="9"/>
      <c r="B599" s="16"/>
      <c r="C599" s="7" t="str">
        <f>IFERROR(VLOOKUP(B599,'Master data'!$A$1:$F$1000,2,FALSE),"")</f>
        <v/>
      </c>
      <c r="D599" s="7" t="str">
        <f>IFERROR(VLOOKUP(B599,'Master data'!$A$1:$F$1000,6,FALSE),"")</f>
        <v/>
      </c>
      <c r="F599" s="7" t="str">
        <f>IFERROR(VLOOKUP(B599,'Master data'!$A$1:$F$1000,3,FALSE),"")</f>
        <v/>
      </c>
      <c r="I599" s="16"/>
      <c r="J599" s="16"/>
      <c r="K599" s="16" t="b">
        <v>0</v>
      </c>
      <c r="L599" s="16" t="b">
        <v>0</v>
      </c>
    </row>
    <row r="600">
      <c r="A600" s="9"/>
      <c r="B600" s="16"/>
      <c r="C600" s="7" t="str">
        <f>IFERROR(VLOOKUP(B600,'Master data'!$A$1:$F$1000,2,FALSE),"")</f>
        <v/>
      </c>
      <c r="D600" s="7" t="str">
        <f>IFERROR(VLOOKUP(B600,'Master data'!$A$1:$F$1000,6,FALSE),"")</f>
        <v/>
      </c>
      <c r="F600" s="7" t="str">
        <f>IFERROR(VLOOKUP(B600,'Master data'!$A$1:$F$1000,3,FALSE),"")</f>
        <v/>
      </c>
      <c r="I600" s="16"/>
      <c r="J600" s="16"/>
      <c r="K600" s="16" t="b">
        <v>0</v>
      </c>
      <c r="L600" s="16" t="b">
        <v>0</v>
      </c>
    </row>
    <row r="601">
      <c r="A601" s="9"/>
      <c r="B601" s="16"/>
      <c r="C601" s="7" t="str">
        <f>IFERROR(VLOOKUP(B601,'Master data'!$A$1:$F$1000,2,FALSE),"")</f>
        <v/>
      </c>
      <c r="D601" s="7" t="str">
        <f>IFERROR(VLOOKUP(B601,'Master data'!$A$1:$F$1000,6,FALSE),"")</f>
        <v/>
      </c>
      <c r="F601" s="7" t="str">
        <f>IFERROR(VLOOKUP(B601,'Master data'!$A$1:$F$1000,3,FALSE),"")</f>
        <v/>
      </c>
      <c r="I601" s="16"/>
      <c r="J601" s="16"/>
      <c r="K601" s="16" t="b">
        <v>0</v>
      </c>
      <c r="L601" s="16" t="b">
        <v>0</v>
      </c>
    </row>
    <row r="602">
      <c r="A602" s="9"/>
      <c r="B602" s="16"/>
      <c r="C602" s="7" t="str">
        <f>IFERROR(VLOOKUP(B602,'Master data'!$A$1:$F$1000,2,FALSE),"")</f>
        <v/>
      </c>
      <c r="D602" s="7" t="str">
        <f>IFERROR(VLOOKUP(B602,'Master data'!$A$1:$F$1000,6,FALSE),"")</f>
        <v/>
      </c>
      <c r="F602" s="7" t="str">
        <f>IFERROR(VLOOKUP(B602,'Master data'!$A$1:$F$1000,3,FALSE),"")</f>
        <v/>
      </c>
      <c r="I602" s="16"/>
      <c r="J602" s="16"/>
      <c r="K602" s="16" t="b">
        <v>0</v>
      </c>
      <c r="L602" s="16" t="b">
        <v>0</v>
      </c>
    </row>
    <row r="603">
      <c r="A603" s="9"/>
      <c r="B603" s="16"/>
      <c r="C603" s="7" t="str">
        <f>IFERROR(VLOOKUP(B603,'Master data'!$A$1:$F$1000,2,FALSE),"")</f>
        <v/>
      </c>
      <c r="D603" s="7" t="str">
        <f>IFERROR(VLOOKUP(B603,'Master data'!$A$1:$F$1000,6,FALSE),"")</f>
        <v/>
      </c>
      <c r="F603" s="7" t="str">
        <f>IFERROR(VLOOKUP(B603,'Master data'!$A$1:$F$1000,3,FALSE),"")</f>
        <v/>
      </c>
      <c r="I603" s="16"/>
      <c r="J603" s="16"/>
      <c r="K603" s="16" t="b">
        <v>0</v>
      </c>
      <c r="L603" s="16" t="b">
        <v>0</v>
      </c>
    </row>
    <row r="604">
      <c r="A604" s="9"/>
      <c r="B604" s="16"/>
      <c r="C604" s="7" t="str">
        <f>IFERROR(VLOOKUP(B604,'Master data'!$A$1:$F$1000,2,FALSE),"")</f>
        <v/>
      </c>
      <c r="D604" s="7" t="str">
        <f>IFERROR(VLOOKUP(B604,'Master data'!$A$1:$F$1000,6,FALSE),"")</f>
        <v/>
      </c>
      <c r="F604" s="7" t="str">
        <f>IFERROR(VLOOKUP(B604,'Master data'!$A$1:$F$1000,3,FALSE),"")</f>
        <v/>
      </c>
      <c r="I604" s="16"/>
      <c r="J604" s="16"/>
      <c r="K604" s="16" t="b">
        <v>0</v>
      </c>
      <c r="L604" s="16" t="b">
        <v>0</v>
      </c>
    </row>
    <row r="605">
      <c r="A605" s="9"/>
      <c r="B605" s="16"/>
      <c r="C605" s="7" t="str">
        <f>IFERROR(VLOOKUP(B605,'Master data'!$A$1:$F$1000,2,FALSE),"")</f>
        <v/>
      </c>
      <c r="D605" s="7" t="str">
        <f>IFERROR(VLOOKUP(B605,'Master data'!$A$1:$F$1000,6,FALSE),"")</f>
        <v/>
      </c>
      <c r="F605" s="7" t="str">
        <f>IFERROR(VLOOKUP(B605,'Master data'!$A$1:$F$1000,3,FALSE),"")</f>
        <v/>
      </c>
      <c r="I605" s="16"/>
      <c r="J605" s="16"/>
      <c r="K605" s="16" t="b">
        <v>0</v>
      </c>
      <c r="L605" s="16" t="b">
        <v>0</v>
      </c>
    </row>
    <row r="606">
      <c r="A606" s="9"/>
      <c r="B606" s="16"/>
      <c r="C606" s="7" t="str">
        <f>IFERROR(VLOOKUP(B606,'Master data'!$A$1:$F$1000,2,FALSE),"")</f>
        <v/>
      </c>
      <c r="D606" s="7" t="str">
        <f>IFERROR(VLOOKUP(B606,'Master data'!$A$1:$F$1000,6,FALSE),"")</f>
        <v/>
      </c>
      <c r="F606" s="7" t="str">
        <f>IFERROR(VLOOKUP(B606,'Master data'!$A$1:$F$1000,3,FALSE),"")</f>
        <v/>
      </c>
      <c r="I606" s="16"/>
      <c r="J606" s="16"/>
      <c r="K606" s="16" t="b">
        <v>0</v>
      </c>
      <c r="L606" s="16" t="b">
        <v>0</v>
      </c>
    </row>
    <row r="607">
      <c r="A607" s="9"/>
      <c r="B607" s="16"/>
      <c r="C607" s="7" t="str">
        <f>IFERROR(VLOOKUP(B607,'Master data'!$A$1:$F$1000,2,FALSE),"")</f>
        <v/>
      </c>
      <c r="D607" s="7" t="str">
        <f>IFERROR(VLOOKUP(B607,'Master data'!$A$1:$F$1000,6,FALSE),"")</f>
        <v/>
      </c>
      <c r="F607" s="7" t="str">
        <f>IFERROR(VLOOKUP(B607,'Master data'!$A$1:$F$1000,3,FALSE),"")</f>
        <v/>
      </c>
      <c r="I607" s="16"/>
      <c r="J607" s="16"/>
      <c r="K607" s="16" t="b">
        <v>0</v>
      </c>
      <c r="L607" s="16" t="b">
        <v>0</v>
      </c>
    </row>
    <row r="608">
      <c r="A608" s="9"/>
      <c r="B608" s="16"/>
      <c r="C608" s="7" t="str">
        <f>IFERROR(VLOOKUP(B608,'Master data'!$A$1:$F$1000,2,FALSE),"")</f>
        <v/>
      </c>
      <c r="D608" s="7" t="str">
        <f>IFERROR(VLOOKUP(B608,'Master data'!$A$1:$F$1000,6,FALSE),"")</f>
        <v/>
      </c>
      <c r="F608" s="7" t="str">
        <f>IFERROR(VLOOKUP(B608,'Master data'!$A$1:$F$1000,3,FALSE),"")</f>
        <v/>
      </c>
      <c r="I608" s="16"/>
      <c r="J608" s="16"/>
      <c r="K608" s="16" t="b">
        <v>0</v>
      </c>
      <c r="L608" s="16" t="b">
        <v>0</v>
      </c>
    </row>
    <row r="609">
      <c r="A609" s="9"/>
      <c r="B609" s="16"/>
      <c r="C609" s="7" t="str">
        <f>IFERROR(VLOOKUP(B609,'Master data'!$A$1:$F$1000,2,FALSE),"")</f>
        <v/>
      </c>
      <c r="D609" s="7" t="str">
        <f>IFERROR(VLOOKUP(B609,'Master data'!$A$1:$F$1000,6,FALSE),"")</f>
        <v/>
      </c>
      <c r="F609" s="7" t="str">
        <f>IFERROR(VLOOKUP(B609,'Master data'!$A$1:$F$1000,3,FALSE),"")</f>
        <v/>
      </c>
      <c r="I609" s="16"/>
      <c r="J609" s="16"/>
      <c r="K609" s="16" t="b">
        <v>0</v>
      </c>
      <c r="L609" s="16" t="b">
        <v>0</v>
      </c>
    </row>
    <row r="610">
      <c r="A610" s="9"/>
      <c r="B610" s="16"/>
      <c r="C610" s="7" t="str">
        <f>IFERROR(VLOOKUP(B610,'Master data'!$A$1:$F$1000,2,FALSE),"")</f>
        <v/>
      </c>
      <c r="D610" s="7" t="str">
        <f>IFERROR(VLOOKUP(B610,'Master data'!$A$1:$F$1000,6,FALSE),"")</f>
        <v/>
      </c>
      <c r="F610" s="7" t="str">
        <f>IFERROR(VLOOKUP(B610,'Master data'!$A$1:$F$1000,3,FALSE),"")</f>
        <v/>
      </c>
      <c r="I610" s="16"/>
      <c r="J610" s="16"/>
      <c r="K610" s="16" t="b">
        <v>0</v>
      </c>
      <c r="L610" s="16" t="b">
        <v>0</v>
      </c>
    </row>
    <row r="611">
      <c r="A611" s="9"/>
      <c r="B611" s="16"/>
      <c r="C611" s="7" t="str">
        <f>IFERROR(VLOOKUP(B611,'Master data'!$A$1:$F$1000,2,FALSE),"")</f>
        <v/>
      </c>
      <c r="D611" s="7" t="str">
        <f>IFERROR(VLOOKUP(B611,'Master data'!$A$1:$F$1000,6,FALSE),"")</f>
        <v/>
      </c>
      <c r="F611" s="7" t="str">
        <f>IFERROR(VLOOKUP(B611,'Master data'!$A$1:$F$1000,3,FALSE),"")</f>
        <v/>
      </c>
      <c r="I611" s="16"/>
      <c r="J611" s="16"/>
      <c r="K611" s="16" t="b">
        <v>0</v>
      </c>
      <c r="L611" s="16" t="b">
        <v>0</v>
      </c>
    </row>
    <row r="612">
      <c r="A612" s="9"/>
      <c r="B612" s="16"/>
      <c r="C612" s="7" t="str">
        <f>IFERROR(VLOOKUP(B612,'Master data'!$A$1:$F$1000,2,FALSE),"")</f>
        <v/>
      </c>
      <c r="D612" s="7" t="str">
        <f>IFERROR(VLOOKUP(B612,'Master data'!$A$1:$F$1000,6,FALSE),"")</f>
        <v/>
      </c>
      <c r="F612" s="7" t="str">
        <f>IFERROR(VLOOKUP(B612,'Master data'!$A$1:$F$1000,3,FALSE),"")</f>
        <v/>
      </c>
      <c r="I612" s="16"/>
      <c r="J612" s="16"/>
      <c r="K612" s="16" t="b">
        <v>0</v>
      </c>
      <c r="L612" s="16" t="b">
        <v>0</v>
      </c>
    </row>
    <row r="613">
      <c r="A613" s="9"/>
      <c r="B613" s="16"/>
      <c r="C613" s="7" t="str">
        <f>IFERROR(VLOOKUP(B613,'Master data'!$A$1:$F$1000,2,FALSE),"")</f>
        <v/>
      </c>
      <c r="D613" s="7" t="str">
        <f>IFERROR(VLOOKUP(B613,'Master data'!$A$1:$F$1000,6,FALSE),"")</f>
        <v/>
      </c>
      <c r="F613" s="7" t="str">
        <f>IFERROR(VLOOKUP(B613,'Master data'!$A$1:$F$1000,3,FALSE),"")</f>
        <v/>
      </c>
      <c r="I613" s="16"/>
      <c r="J613" s="16"/>
      <c r="K613" s="16" t="b">
        <v>0</v>
      </c>
      <c r="L613" s="16" t="b">
        <v>0</v>
      </c>
    </row>
    <row r="614">
      <c r="A614" s="9"/>
      <c r="B614" s="16"/>
      <c r="C614" s="7" t="str">
        <f>IFERROR(VLOOKUP(B614,'Master data'!$A$1:$F$1000,2,FALSE),"")</f>
        <v/>
      </c>
      <c r="D614" s="7" t="str">
        <f>IFERROR(VLOOKUP(B614,'Master data'!$A$1:$F$1000,6,FALSE),"")</f>
        <v/>
      </c>
      <c r="F614" s="7" t="str">
        <f>IFERROR(VLOOKUP(B614,'Master data'!$A$1:$F$1000,3,FALSE),"")</f>
        <v/>
      </c>
      <c r="I614" s="16"/>
      <c r="J614" s="16"/>
      <c r="K614" s="16" t="b">
        <v>0</v>
      </c>
      <c r="L614" s="16" t="b">
        <v>0</v>
      </c>
    </row>
    <row r="615">
      <c r="A615" s="9"/>
      <c r="B615" s="16"/>
      <c r="C615" s="7" t="str">
        <f>IFERROR(VLOOKUP(B615,'Master data'!$A$1:$F$1000,2,FALSE),"")</f>
        <v/>
      </c>
      <c r="D615" s="7" t="str">
        <f>IFERROR(VLOOKUP(B615,'Master data'!$A$1:$F$1000,6,FALSE),"")</f>
        <v/>
      </c>
      <c r="F615" s="7" t="str">
        <f>IFERROR(VLOOKUP(B615,'Master data'!$A$1:$F$1000,3,FALSE),"")</f>
        <v/>
      </c>
      <c r="I615" s="16"/>
      <c r="J615" s="16"/>
      <c r="K615" s="16" t="b">
        <v>0</v>
      </c>
      <c r="L615" s="16" t="b">
        <v>0</v>
      </c>
    </row>
    <row r="616">
      <c r="A616" s="9"/>
      <c r="B616" s="16"/>
      <c r="C616" s="7" t="str">
        <f>IFERROR(VLOOKUP(B616,'Master data'!$A$1:$F$1000,2,FALSE),"")</f>
        <v/>
      </c>
      <c r="D616" s="7" t="str">
        <f>IFERROR(VLOOKUP(B616,'Master data'!$A$1:$F$1000,6,FALSE),"")</f>
        <v/>
      </c>
      <c r="F616" s="7" t="str">
        <f>IFERROR(VLOOKUP(B616,'Master data'!$A$1:$F$1000,3,FALSE),"")</f>
        <v/>
      </c>
      <c r="I616" s="16"/>
      <c r="J616" s="16"/>
      <c r="K616" s="16" t="b">
        <v>0</v>
      </c>
      <c r="L616" s="16" t="b">
        <v>0</v>
      </c>
    </row>
    <row r="617">
      <c r="A617" s="9"/>
      <c r="B617" s="16"/>
      <c r="C617" s="7" t="str">
        <f>IFERROR(VLOOKUP(B617,'Master data'!$A$1:$F$1000,2,FALSE),"")</f>
        <v/>
      </c>
      <c r="D617" s="7" t="str">
        <f>IFERROR(VLOOKUP(B617,'Master data'!$A$1:$F$1000,6,FALSE),"")</f>
        <v/>
      </c>
      <c r="F617" s="7" t="str">
        <f>IFERROR(VLOOKUP(B617,'Master data'!$A$1:$F$1000,3,FALSE),"")</f>
        <v/>
      </c>
      <c r="I617" s="16"/>
      <c r="J617" s="16"/>
      <c r="K617" s="16" t="b">
        <v>0</v>
      </c>
      <c r="L617" s="16" t="b">
        <v>0</v>
      </c>
    </row>
    <row r="618">
      <c r="A618" s="9"/>
      <c r="B618" s="16"/>
      <c r="C618" s="7" t="str">
        <f>IFERROR(VLOOKUP(B618,'Master data'!$A$1:$F$1000,2,FALSE),"")</f>
        <v/>
      </c>
      <c r="D618" s="7" t="str">
        <f>IFERROR(VLOOKUP(B618,'Master data'!$A$1:$F$1000,6,FALSE),"")</f>
        <v/>
      </c>
      <c r="F618" s="7" t="str">
        <f>IFERROR(VLOOKUP(B618,'Master data'!$A$1:$F$1000,3,FALSE),"")</f>
        <v/>
      </c>
      <c r="I618" s="16"/>
      <c r="J618" s="16"/>
      <c r="K618" s="16" t="b">
        <v>0</v>
      </c>
      <c r="L618" s="16" t="b">
        <v>0</v>
      </c>
    </row>
    <row r="619">
      <c r="A619" s="9"/>
      <c r="B619" s="16"/>
      <c r="C619" s="7" t="str">
        <f>IFERROR(VLOOKUP(B619,'Master data'!$A$1:$F$1000,2,FALSE),"")</f>
        <v/>
      </c>
      <c r="D619" s="7" t="str">
        <f>IFERROR(VLOOKUP(B619,'Master data'!$A$1:$F$1000,6,FALSE),"")</f>
        <v/>
      </c>
      <c r="F619" s="7" t="str">
        <f>IFERROR(VLOOKUP(B619,'Master data'!$A$1:$F$1000,3,FALSE),"")</f>
        <v/>
      </c>
      <c r="I619" s="16"/>
      <c r="J619" s="16"/>
      <c r="K619" s="16" t="b">
        <v>0</v>
      </c>
      <c r="L619" s="16" t="b">
        <v>0</v>
      </c>
    </row>
    <row r="620">
      <c r="A620" s="9"/>
      <c r="B620" s="16"/>
      <c r="C620" s="7" t="str">
        <f>IFERROR(VLOOKUP(B620,'Master data'!$A$1:$F$1000,2,FALSE),"")</f>
        <v/>
      </c>
      <c r="D620" s="7" t="str">
        <f>IFERROR(VLOOKUP(B620,'Master data'!$A$1:$F$1000,6,FALSE),"")</f>
        <v/>
      </c>
      <c r="F620" s="7" t="str">
        <f>IFERROR(VLOOKUP(B620,'Master data'!$A$1:$F$1000,3,FALSE),"")</f>
        <v/>
      </c>
      <c r="I620" s="16"/>
      <c r="J620" s="16"/>
      <c r="K620" s="16" t="b">
        <v>0</v>
      </c>
      <c r="L620" s="16" t="b">
        <v>0</v>
      </c>
    </row>
    <row r="621">
      <c r="A621" s="9"/>
      <c r="B621" s="16"/>
      <c r="C621" s="7" t="str">
        <f>IFERROR(VLOOKUP(B621,'Master data'!$A$1:$F$1000,2,FALSE),"")</f>
        <v/>
      </c>
      <c r="D621" s="7" t="str">
        <f>IFERROR(VLOOKUP(B621,'Master data'!$A$1:$F$1000,6,FALSE),"")</f>
        <v/>
      </c>
      <c r="F621" s="7" t="str">
        <f>IFERROR(VLOOKUP(B621,'Master data'!$A$1:$F$1000,3,FALSE),"")</f>
        <v/>
      </c>
      <c r="I621" s="16"/>
      <c r="J621" s="16"/>
      <c r="K621" s="16" t="b">
        <v>0</v>
      </c>
      <c r="L621" s="16" t="b">
        <v>0</v>
      </c>
    </row>
    <row r="622">
      <c r="A622" s="9"/>
      <c r="B622" s="16"/>
      <c r="C622" s="7" t="str">
        <f>IFERROR(VLOOKUP(B622,'Master data'!$A$1:$F$1000,2,FALSE),"")</f>
        <v/>
      </c>
      <c r="D622" s="7" t="str">
        <f>IFERROR(VLOOKUP(B622,'Master data'!$A$1:$F$1000,6,FALSE),"")</f>
        <v/>
      </c>
      <c r="F622" s="7" t="str">
        <f>IFERROR(VLOOKUP(B622,'Master data'!$A$1:$F$1000,3,FALSE),"")</f>
        <v/>
      </c>
      <c r="I622" s="16"/>
      <c r="J622" s="16"/>
      <c r="K622" s="16" t="b">
        <v>0</v>
      </c>
      <c r="L622" s="16" t="b">
        <v>0</v>
      </c>
    </row>
    <row r="623">
      <c r="A623" s="9"/>
      <c r="B623" s="16"/>
      <c r="C623" s="7" t="str">
        <f>IFERROR(VLOOKUP(B623,'Master data'!$A$1:$F$1000,2,FALSE),"")</f>
        <v/>
      </c>
      <c r="D623" s="7" t="str">
        <f>IFERROR(VLOOKUP(B623,'Master data'!$A$1:$F$1000,6,FALSE),"")</f>
        <v/>
      </c>
      <c r="F623" s="7" t="str">
        <f>IFERROR(VLOOKUP(B623,'Master data'!$A$1:$F$1000,3,FALSE),"")</f>
        <v/>
      </c>
      <c r="I623" s="16"/>
      <c r="J623" s="16"/>
      <c r="K623" s="16" t="b">
        <v>0</v>
      </c>
      <c r="L623" s="16" t="b">
        <v>0</v>
      </c>
    </row>
    <row r="624">
      <c r="A624" s="9"/>
      <c r="B624" s="16"/>
      <c r="C624" s="7" t="str">
        <f>IFERROR(VLOOKUP(B624,'Master data'!$A$1:$F$1000,2,FALSE),"")</f>
        <v/>
      </c>
      <c r="D624" s="7" t="str">
        <f>IFERROR(VLOOKUP(B624,'Master data'!$A$1:$F$1000,6,FALSE),"")</f>
        <v/>
      </c>
      <c r="F624" s="7" t="str">
        <f>IFERROR(VLOOKUP(B624,'Master data'!$A$1:$F$1000,3,FALSE),"")</f>
        <v/>
      </c>
      <c r="I624" s="16"/>
      <c r="J624" s="16"/>
      <c r="K624" s="16" t="b">
        <v>0</v>
      </c>
      <c r="L624" s="16" t="b">
        <v>0</v>
      </c>
    </row>
    <row r="625">
      <c r="A625" s="9"/>
      <c r="B625" s="16"/>
      <c r="C625" s="7" t="str">
        <f>IFERROR(VLOOKUP(B625,'Master data'!$A$1:$F$1000,2,FALSE),"")</f>
        <v/>
      </c>
      <c r="D625" s="7" t="str">
        <f>IFERROR(VLOOKUP(B625,'Master data'!$A$1:$F$1000,6,FALSE),"")</f>
        <v/>
      </c>
      <c r="F625" s="7" t="str">
        <f>IFERROR(VLOOKUP(B625,'Master data'!$A$1:$F$1000,3,FALSE),"")</f>
        <v/>
      </c>
      <c r="I625" s="16"/>
      <c r="J625" s="16"/>
      <c r="K625" s="16" t="b">
        <v>0</v>
      </c>
      <c r="L625" s="16" t="b">
        <v>0</v>
      </c>
    </row>
    <row r="626">
      <c r="A626" s="9"/>
      <c r="B626" s="16"/>
      <c r="C626" s="7" t="str">
        <f>IFERROR(VLOOKUP(B626,'Master data'!$A$1:$F$1000,2,FALSE),"")</f>
        <v/>
      </c>
      <c r="D626" s="7" t="str">
        <f>IFERROR(VLOOKUP(B626,'Master data'!$A$1:$F$1000,6,FALSE),"")</f>
        <v/>
      </c>
      <c r="F626" s="7" t="str">
        <f>IFERROR(VLOOKUP(B626,'Master data'!$A$1:$F$1000,3,FALSE),"")</f>
        <v/>
      </c>
      <c r="I626" s="16"/>
      <c r="J626" s="16"/>
      <c r="K626" s="16" t="b">
        <v>0</v>
      </c>
      <c r="L626" s="16" t="b">
        <v>0</v>
      </c>
    </row>
    <row r="627">
      <c r="A627" s="9"/>
      <c r="B627" s="16"/>
      <c r="C627" s="7" t="str">
        <f>IFERROR(VLOOKUP(B627,'Master data'!$A$1:$F$1000,2,FALSE),"")</f>
        <v/>
      </c>
      <c r="D627" s="7" t="str">
        <f>IFERROR(VLOOKUP(B627,'Master data'!$A$1:$F$1000,6,FALSE),"")</f>
        <v/>
      </c>
      <c r="F627" s="7" t="str">
        <f>IFERROR(VLOOKUP(B627,'Master data'!$A$1:$F$1000,3,FALSE),"")</f>
        <v/>
      </c>
      <c r="I627" s="16"/>
      <c r="J627" s="16"/>
      <c r="K627" s="16" t="b">
        <v>0</v>
      </c>
      <c r="L627" s="16" t="b">
        <v>0</v>
      </c>
    </row>
    <row r="628">
      <c r="A628" s="9"/>
      <c r="B628" s="16"/>
      <c r="C628" s="7" t="str">
        <f>IFERROR(VLOOKUP(B628,'Master data'!$A$1:$F$1000,2,FALSE),"")</f>
        <v/>
      </c>
      <c r="D628" s="7" t="str">
        <f>IFERROR(VLOOKUP(B628,'Master data'!$A$1:$F$1000,6,FALSE),"")</f>
        <v/>
      </c>
      <c r="F628" s="7" t="str">
        <f>IFERROR(VLOOKUP(B628,'Master data'!$A$1:$F$1000,3,FALSE),"")</f>
        <v/>
      </c>
      <c r="I628" s="16"/>
      <c r="J628" s="16"/>
      <c r="K628" s="16" t="b">
        <v>0</v>
      </c>
      <c r="L628" s="16" t="b">
        <v>0</v>
      </c>
    </row>
    <row r="629">
      <c r="A629" s="9"/>
      <c r="B629" s="16"/>
      <c r="C629" s="7" t="str">
        <f>IFERROR(VLOOKUP(B629,'Master data'!$A$1:$F$1000,2,FALSE),"")</f>
        <v/>
      </c>
      <c r="D629" s="7" t="str">
        <f>IFERROR(VLOOKUP(B629,'Master data'!$A$1:$F$1000,6,FALSE),"")</f>
        <v/>
      </c>
      <c r="F629" s="7" t="str">
        <f>IFERROR(VLOOKUP(B629,'Master data'!$A$1:$F$1000,3,FALSE),"")</f>
        <v/>
      </c>
      <c r="I629" s="16"/>
      <c r="J629" s="16"/>
      <c r="K629" s="16" t="b">
        <v>0</v>
      </c>
      <c r="L629" s="16" t="b">
        <v>0</v>
      </c>
    </row>
    <row r="630">
      <c r="A630" s="9"/>
      <c r="B630" s="16"/>
      <c r="C630" s="7" t="str">
        <f>IFERROR(VLOOKUP(B630,'Master data'!$A$1:$F$1000,2,FALSE),"")</f>
        <v/>
      </c>
      <c r="D630" s="7" t="str">
        <f>IFERROR(VLOOKUP(B630,'Master data'!$A$1:$F$1000,6,FALSE),"")</f>
        <v/>
      </c>
      <c r="F630" s="7" t="str">
        <f>IFERROR(VLOOKUP(B630,'Master data'!$A$1:$F$1000,3,FALSE),"")</f>
        <v/>
      </c>
      <c r="I630" s="16"/>
      <c r="J630" s="16"/>
      <c r="K630" s="16" t="b">
        <v>0</v>
      </c>
      <c r="L630" s="16" t="b">
        <v>0</v>
      </c>
    </row>
    <row r="631">
      <c r="A631" s="9"/>
      <c r="B631" s="16"/>
      <c r="C631" s="7" t="str">
        <f>IFERROR(VLOOKUP(B631,'Master data'!$A$1:$F$1000,2,FALSE),"")</f>
        <v/>
      </c>
      <c r="D631" s="7" t="str">
        <f>IFERROR(VLOOKUP(B631,'Master data'!$A$1:$F$1000,6,FALSE),"")</f>
        <v/>
      </c>
      <c r="F631" s="7" t="str">
        <f>IFERROR(VLOOKUP(B631,'Master data'!$A$1:$F$1000,3,FALSE),"")</f>
        <v/>
      </c>
      <c r="I631" s="16"/>
      <c r="J631" s="16"/>
      <c r="K631" s="16" t="b">
        <v>0</v>
      </c>
      <c r="L631" s="16" t="b">
        <v>0</v>
      </c>
    </row>
    <row r="632">
      <c r="A632" s="9"/>
      <c r="B632" s="16"/>
      <c r="C632" s="7" t="str">
        <f>IFERROR(VLOOKUP(B632,'Master data'!$A$1:$F$1000,2,FALSE),"")</f>
        <v/>
      </c>
      <c r="D632" s="7" t="str">
        <f>IFERROR(VLOOKUP(B632,'Master data'!$A$1:$F$1000,6,FALSE),"")</f>
        <v/>
      </c>
      <c r="F632" s="7" t="str">
        <f>IFERROR(VLOOKUP(B632,'Master data'!$A$1:$F$1000,3,FALSE),"")</f>
        <v/>
      </c>
      <c r="I632" s="16"/>
      <c r="J632" s="16"/>
      <c r="K632" s="16" t="b">
        <v>0</v>
      </c>
      <c r="L632" s="16" t="b">
        <v>0</v>
      </c>
    </row>
    <row r="633">
      <c r="A633" s="9"/>
      <c r="B633" s="16"/>
      <c r="C633" s="7" t="str">
        <f>IFERROR(VLOOKUP(B633,'Master data'!$A$1:$F$1000,2,FALSE),"")</f>
        <v/>
      </c>
      <c r="D633" s="7" t="str">
        <f>IFERROR(VLOOKUP(B633,'Master data'!$A$1:$F$1000,6,FALSE),"")</f>
        <v/>
      </c>
      <c r="F633" s="7" t="str">
        <f>IFERROR(VLOOKUP(B633,'Master data'!$A$1:$F$1000,3,FALSE),"")</f>
        <v/>
      </c>
      <c r="I633" s="16"/>
      <c r="J633" s="16"/>
      <c r="K633" s="16" t="b">
        <v>0</v>
      </c>
      <c r="L633" s="16" t="b">
        <v>0</v>
      </c>
    </row>
    <row r="634">
      <c r="A634" s="9"/>
      <c r="B634" s="16"/>
      <c r="C634" s="7" t="str">
        <f>IFERROR(VLOOKUP(B634,'Master data'!$A$1:$F$1000,2,FALSE),"")</f>
        <v/>
      </c>
      <c r="D634" s="7" t="str">
        <f>IFERROR(VLOOKUP(B634,'Master data'!$A$1:$F$1000,6,FALSE),"")</f>
        <v/>
      </c>
      <c r="F634" s="7" t="str">
        <f>IFERROR(VLOOKUP(B634,'Master data'!$A$1:$F$1000,3,FALSE),"")</f>
        <v/>
      </c>
      <c r="I634" s="16"/>
      <c r="J634" s="16"/>
      <c r="K634" s="16" t="b">
        <v>0</v>
      </c>
      <c r="L634" s="16" t="b">
        <v>0</v>
      </c>
    </row>
    <row r="635">
      <c r="A635" s="9"/>
      <c r="B635" s="16"/>
      <c r="C635" s="7" t="str">
        <f>IFERROR(VLOOKUP(B635,'Master data'!$A$1:$F$1000,2,FALSE),"")</f>
        <v/>
      </c>
      <c r="D635" s="7" t="str">
        <f>IFERROR(VLOOKUP(B635,'Master data'!$A$1:$F$1000,6,FALSE),"")</f>
        <v/>
      </c>
      <c r="F635" s="7" t="str">
        <f>IFERROR(VLOOKUP(B635,'Master data'!$A$1:$F$1000,3,FALSE),"")</f>
        <v/>
      </c>
      <c r="I635" s="16"/>
      <c r="J635" s="16"/>
      <c r="K635" s="16" t="b">
        <v>0</v>
      </c>
      <c r="L635" s="16" t="b">
        <v>0</v>
      </c>
    </row>
    <row r="636">
      <c r="A636" s="9"/>
      <c r="B636" s="16"/>
      <c r="C636" s="7" t="str">
        <f>IFERROR(VLOOKUP(B636,'Master data'!$A$1:$F$1000,2,FALSE),"")</f>
        <v/>
      </c>
      <c r="D636" s="7" t="str">
        <f>IFERROR(VLOOKUP(B636,'Master data'!$A$1:$F$1000,6,FALSE),"")</f>
        <v/>
      </c>
      <c r="F636" s="7" t="str">
        <f>IFERROR(VLOOKUP(B636,'Master data'!$A$1:$F$1000,3,FALSE),"")</f>
        <v/>
      </c>
      <c r="I636" s="16"/>
      <c r="J636" s="16"/>
      <c r="K636" s="16" t="b">
        <v>0</v>
      </c>
      <c r="L636" s="16" t="b">
        <v>0</v>
      </c>
    </row>
    <row r="637">
      <c r="A637" s="9"/>
      <c r="B637" s="16"/>
      <c r="C637" s="7" t="str">
        <f>IFERROR(VLOOKUP(B637,'Master data'!$A$1:$F$1000,2,FALSE),"")</f>
        <v/>
      </c>
      <c r="D637" s="7" t="str">
        <f>IFERROR(VLOOKUP(B637,'Master data'!$A$1:$F$1000,6,FALSE),"")</f>
        <v/>
      </c>
      <c r="F637" s="7" t="str">
        <f>IFERROR(VLOOKUP(B637,'Master data'!$A$1:$F$1000,3,FALSE),"")</f>
        <v/>
      </c>
      <c r="I637" s="16"/>
      <c r="J637" s="16"/>
      <c r="K637" s="16" t="b">
        <v>0</v>
      </c>
      <c r="L637" s="16" t="b">
        <v>0</v>
      </c>
    </row>
    <row r="638">
      <c r="A638" s="9"/>
      <c r="B638" s="16"/>
      <c r="C638" s="7" t="str">
        <f>IFERROR(VLOOKUP(B638,'Master data'!$A$1:$F$1000,2,FALSE),"")</f>
        <v/>
      </c>
      <c r="D638" s="7" t="str">
        <f>IFERROR(VLOOKUP(B638,'Master data'!$A$1:$F$1000,6,FALSE),"")</f>
        <v/>
      </c>
      <c r="F638" s="7" t="str">
        <f>IFERROR(VLOOKUP(B638,'Master data'!$A$1:$F$1000,3,FALSE),"")</f>
        <v/>
      </c>
      <c r="I638" s="16"/>
      <c r="J638" s="16"/>
      <c r="K638" s="16" t="b">
        <v>0</v>
      </c>
      <c r="L638" s="16" t="b">
        <v>0</v>
      </c>
    </row>
    <row r="639">
      <c r="A639" s="9"/>
      <c r="B639" s="16"/>
      <c r="C639" s="7" t="str">
        <f>IFERROR(VLOOKUP(B639,'Master data'!$A$1:$F$1000,2,FALSE),"")</f>
        <v/>
      </c>
      <c r="D639" s="7" t="str">
        <f>IFERROR(VLOOKUP(B639,'Master data'!$A$1:$F$1000,6,FALSE),"")</f>
        <v/>
      </c>
      <c r="F639" s="7" t="str">
        <f>IFERROR(VLOOKUP(B639,'Master data'!$A$1:$F$1000,3,FALSE),"")</f>
        <v/>
      </c>
      <c r="I639" s="16"/>
      <c r="J639" s="16"/>
      <c r="K639" s="16" t="b">
        <v>0</v>
      </c>
      <c r="L639" s="16" t="b">
        <v>0</v>
      </c>
    </row>
    <row r="640">
      <c r="A640" s="9"/>
      <c r="B640" s="16"/>
      <c r="C640" s="7" t="str">
        <f>IFERROR(VLOOKUP(B640,'Master data'!$A$1:$F$1000,2,FALSE),"")</f>
        <v/>
      </c>
      <c r="D640" s="7" t="str">
        <f>IFERROR(VLOOKUP(B640,'Master data'!$A$1:$F$1000,6,FALSE),"")</f>
        <v/>
      </c>
      <c r="F640" s="7" t="str">
        <f>IFERROR(VLOOKUP(B640,'Master data'!$A$1:$F$1000,3,FALSE),"")</f>
        <v/>
      </c>
      <c r="I640" s="16"/>
      <c r="J640" s="16"/>
      <c r="K640" s="16" t="b">
        <v>0</v>
      </c>
      <c r="L640" s="16" t="b">
        <v>0</v>
      </c>
    </row>
    <row r="641">
      <c r="A641" s="9"/>
      <c r="B641" s="16"/>
      <c r="C641" s="7" t="str">
        <f>IFERROR(VLOOKUP(B641,'Master data'!$A$1:$F$1000,2,FALSE),"")</f>
        <v/>
      </c>
      <c r="D641" s="7" t="str">
        <f>IFERROR(VLOOKUP(B641,'Master data'!$A$1:$F$1000,6,FALSE),"")</f>
        <v/>
      </c>
      <c r="F641" s="7" t="str">
        <f>IFERROR(VLOOKUP(B641,'Master data'!$A$1:$F$1000,3,FALSE),"")</f>
        <v/>
      </c>
      <c r="I641" s="16"/>
      <c r="J641" s="16"/>
      <c r="K641" s="16" t="b">
        <v>0</v>
      </c>
      <c r="L641" s="16" t="b">
        <v>0</v>
      </c>
    </row>
    <row r="642">
      <c r="A642" s="9"/>
      <c r="B642" s="16"/>
      <c r="C642" s="7" t="str">
        <f>IFERROR(VLOOKUP(B642,'Master data'!$A$1:$F$1000,2,FALSE),"")</f>
        <v/>
      </c>
      <c r="D642" s="7" t="str">
        <f>IFERROR(VLOOKUP(B642,'Master data'!$A$1:$F$1000,6,FALSE),"")</f>
        <v/>
      </c>
      <c r="F642" s="7" t="str">
        <f>IFERROR(VLOOKUP(B642,'Master data'!$A$1:$F$1000,3,FALSE),"")</f>
        <v/>
      </c>
      <c r="I642" s="16"/>
      <c r="J642" s="16"/>
      <c r="K642" s="16" t="b">
        <v>0</v>
      </c>
      <c r="L642" s="16" t="b">
        <v>0</v>
      </c>
    </row>
    <row r="643">
      <c r="A643" s="9"/>
      <c r="B643" s="16"/>
      <c r="C643" s="7" t="str">
        <f>IFERROR(VLOOKUP(B643,'Master data'!$A$1:$F$1000,2,FALSE),"")</f>
        <v/>
      </c>
      <c r="D643" s="7" t="str">
        <f>IFERROR(VLOOKUP(B643,'Master data'!$A$1:$F$1000,6,FALSE),"")</f>
        <v/>
      </c>
      <c r="F643" s="7" t="str">
        <f>IFERROR(VLOOKUP(B643,'Master data'!$A$1:$F$1000,3,FALSE),"")</f>
        <v/>
      </c>
      <c r="I643" s="16"/>
      <c r="J643" s="16"/>
      <c r="K643" s="16" t="b">
        <v>0</v>
      </c>
      <c r="L643" s="16" t="b">
        <v>0</v>
      </c>
    </row>
    <row r="644">
      <c r="A644" s="9"/>
      <c r="B644" s="16"/>
      <c r="C644" s="7" t="str">
        <f>IFERROR(VLOOKUP(B644,'Master data'!$A$1:$F$1000,2,FALSE),"")</f>
        <v/>
      </c>
      <c r="D644" s="7" t="str">
        <f>IFERROR(VLOOKUP(B644,'Master data'!$A$1:$F$1000,6,FALSE),"")</f>
        <v/>
      </c>
      <c r="F644" s="7" t="str">
        <f>IFERROR(VLOOKUP(B644,'Master data'!$A$1:$F$1000,3,FALSE),"")</f>
        <v/>
      </c>
      <c r="I644" s="16"/>
      <c r="J644" s="16"/>
      <c r="K644" s="16" t="b">
        <v>0</v>
      </c>
      <c r="L644" s="16" t="b">
        <v>0</v>
      </c>
    </row>
    <row r="645">
      <c r="A645" s="9"/>
      <c r="B645" s="16"/>
      <c r="C645" s="7" t="str">
        <f>IFERROR(VLOOKUP(B645,'Master data'!$A$1:$F$1000,2,FALSE),"")</f>
        <v/>
      </c>
      <c r="D645" s="7" t="str">
        <f>IFERROR(VLOOKUP(B645,'Master data'!$A$1:$F$1000,6,FALSE),"")</f>
        <v/>
      </c>
      <c r="F645" s="7" t="str">
        <f>IFERROR(VLOOKUP(B645,'Master data'!$A$1:$F$1000,3,FALSE),"")</f>
        <v/>
      </c>
      <c r="I645" s="16"/>
      <c r="J645" s="16"/>
      <c r="K645" s="16" t="b">
        <v>0</v>
      </c>
      <c r="L645" s="16" t="b">
        <v>0</v>
      </c>
    </row>
    <row r="646">
      <c r="A646" s="9"/>
      <c r="B646" s="16"/>
      <c r="C646" s="7" t="str">
        <f>IFERROR(VLOOKUP(B646,'Master data'!$A$1:$F$1000,2,FALSE),"")</f>
        <v/>
      </c>
      <c r="D646" s="7" t="str">
        <f>IFERROR(VLOOKUP(B646,'Master data'!$A$1:$F$1000,6,FALSE),"")</f>
        <v/>
      </c>
      <c r="F646" s="7" t="str">
        <f>IFERROR(VLOOKUP(B646,'Master data'!$A$1:$F$1000,3,FALSE),"")</f>
        <v/>
      </c>
      <c r="I646" s="16"/>
      <c r="J646" s="16"/>
      <c r="K646" s="16" t="b">
        <v>0</v>
      </c>
      <c r="L646" s="16" t="b">
        <v>0</v>
      </c>
    </row>
    <row r="647">
      <c r="A647" s="9"/>
      <c r="B647" s="16"/>
      <c r="C647" s="7" t="str">
        <f>IFERROR(VLOOKUP(B647,'Master data'!$A$1:$F$1000,2,FALSE),"")</f>
        <v/>
      </c>
      <c r="D647" s="7" t="str">
        <f>IFERROR(VLOOKUP(B647,'Master data'!$A$1:$F$1000,6,FALSE),"")</f>
        <v/>
      </c>
      <c r="F647" s="7" t="str">
        <f>IFERROR(VLOOKUP(B647,'Master data'!$A$1:$F$1000,3,FALSE),"")</f>
        <v/>
      </c>
      <c r="I647" s="16"/>
      <c r="J647" s="16"/>
      <c r="K647" s="16" t="b">
        <v>0</v>
      </c>
      <c r="L647" s="16" t="b">
        <v>0</v>
      </c>
    </row>
    <row r="648">
      <c r="A648" s="9"/>
      <c r="B648" s="16"/>
      <c r="C648" s="7" t="str">
        <f>IFERROR(VLOOKUP(B648,'Master data'!$A$1:$F$1000,2,FALSE),"")</f>
        <v/>
      </c>
      <c r="D648" s="7" t="str">
        <f>IFERROR(VLOOKUP(B648,'Master data'!$A$1:$F$1000,6,FALSE),"")</f>
        <v/>
      </c>
      <c r="F648" s="7" t="str">
        <f>IFERROR(VLOOKUP(B648,'Master data'!$A$1:$F$1000,3,FALSE),"")</f>
        <v/>
      </c>
      <c r="I648" s="16"/>
      <c r="J648" s="16"/>
      <c r="K648" s="16" t="b">
        <v>0</v>
      </c>
      <c r="L648" s="16" t="b">
        <v>0</v>
      </c>
    </row>
    <row r="649">
      <c r="A649" s="9"/>
      <c r="B649" s="16"/>
      <c r="C649" s="7" t="str">
        <f>IFERROR(VLOOKUP(B649,'Master data'!$A$1:$F$1000,2,FALSE),"")</f>
        <v/>
      </c>
      <c r="D649" s="7" t="str">
        <f>IFERROR(VLOOKUP(B649,'Master data'!$A$1:$F$1000,6,FALSE),"")</f>
        <v/>
      </c>
      <c r="F649" s="7" t="str">
        <f>IFERROR(VLOOKUP(B649,'Master data'!$A$1:$F$1000,3,FALSE),"")</f>
        <v/>
      </c>
      <c r="I649" s="16"/>
      <c r="J649" s="16"/>
      <c r="K649" s="16" t="b">
        <v>0</v>
      </c>
      <c r="L649" s="16" t="b">
        <v>0</v>
      </c>
    </row>
    <row r="650">
      <c r="A650" s="9"/>
      <c r="B650" s="16"/>
      <c r="C650" s="7" t="str">
        <f>IFERROR(VLOOKUP(B650,'Master data'!$A$1:$F$1000,2,FALSE),"")</f>
        <v/>
      </c>
      <c r="D650" s="7" t="str">
        <f>IFERROR(VLOOKUP(B650,'Master data'!$A$1:$F$1000,6,FALSE),"")</f>
        <v/>
      </c>
      <c r="F650" s="7" t="str">
        <f>IFERROR(VLOOKUP(B650,'Master data'!$A$1:$F$1000,3,FALSE),"")</f>
        <v/>
      </c>
      <c r="I650" s="16"/>
      <c r="J650" s="16"/>
      <c r="K650" s="16" t="b">
        <v>0</v>
      </c>
      <c r="L650" s="16" t="b">
        <v>0</v>
      </c>
    </row>
    <row r="651">
      <c r="A651" s="9"/>
      <c r="B651" s="16"/>
      <c r="C651" s="7" t="str">
        <f>IFERROR(VLOOKUP(B651,'Master data'!$A$1:$F$1000,2,FALSE),"")</f>
        <v/>
      </c>
      <c r="D651" s="7" t="str">
        <f>IFERROR(VLOOKUP(B651,'Master data'!$A$1:$F$1000,6,FALSE),"")</f>
        <v/>
      </c>
      <c r="F651" s="7" t="str">
        <f>IFERROR(VLOOKUP(B651,'Master data'!$A$1:$F$1000,3,FALSE),"")</f>
        <v/>
      </c>
      <c r="I651" s="16"/>
      <c r="J651" s="16"/>
      <c r="K651" s="16" t="b">
        <v>0</v>
      </c>
      <c r="L651" s="16" t="b">
        <v>0</v>
      </c>
    </row>
    <row r="652">
      <c r="A652" s="9"/>
      <c r="B652" s="16"/>
      <c r="C652" s="7" t="str">
        <f>IFERROR(VLOOKUP(B652,'Master data'!$A$1:$F$1000,2,FALSE),"")</f>
        <v/>
      </c>
      <c r="D652" s="7" t="str">
        <f>IFERROR(VLOOKUP(B652,'Master data'!$A$1:$F$1000,6,FALSE),"")</f>
        <v/>
      </c>
      <c r="F652" s="7" t="str">
        <f>IFERROR(VLOOKUP(B652,'Master data'!$A$1:$F$1000,3,FALSE),"")</f>
        <v/>
      </c>
      <c r="I652" s="16"/>
      <c r="J652" s="16"/>
      <c r="K652" s="16" t="b">
        <v>0</v>
      </c>
      <c r="L652" s="16" t="b">
        <v>0</v>
      </c>
    </row>
    <row r="653">
      <c r="A653" s="9"/>
      <c r="B653" s="16"/>
      <c r="C653" s="7" t="str">
        <f>IFERROR(VLOOKUP(B653,'Master data'!$A$1:$F$1000,2,FALSE),"")</f>
        <v/>
      </c>
      <c r="D653" s="7" t="str">
        <f>IFERROR(VLOOKUP(B653,'Master data'!$A$1:$F$1000,6,FALSE),"")</f>
        <v/>
      </c>
      <c r="F653" s="7" t="str">
        <f>IFERROR(VLOOKUP(B653,'Master data'!$A$1:$F$1000,3,FALSE),"")</f>
        <v/>
      </c>
      <c r="I653" s="16"/>
      <c r="J653" s="16"/>
      <c r="K653" s="16" t="b">
        <v>0</v>
      </c>
      <c r="L653" s="16" t="b">
        <v>0</v>
      </c>
    </row>
    <row r="654">
      <c r="A654" s="9"/>
      <c r="B654" s="16"/>
      <c r="C654" s="7" t="str">
        <f>IFERROR(VLOOKUP(B654,'Master data'!$A$1:$F$1000,2,FALSE),"")</f>
        <v/>
      </c>
      <c r="D654" s="7" t="str">
        <f>IFERROR(VLOOKUP(B654,'Master data'!$A$1:$F$1000,6,FALSE),"")</f>
        <v/>
      </c>
      <c r="F654" s="7" t="str">
        <f>IFERROR(VLOOKUP(B654,'Master data'!$A$1:$F$1000,3,FALSE),"")</f>
        <v/>
      </c>
      <c r="I654" s="16"/>
      <c r="J654" s="16"/>
      <c r="K654" s="16" t="b">
        <v>0</v>
      </c>
      <c r="L654" s="16" t="b">
        <v>0</v>
      </c>
    </row>
    <row r="655">
      <c r="A655" s="9"/>
      <c r="B655" s="16"/>
      <c r="C655" s="7" t="str">
        <f>IFERROR(VLOOKUP(B655,'Master data'!$A$1:$F$1000,2,FALSE),"")</f>
        <v/>
      </c>
      <c r="D655" s="7" t="str">
        <f>IFERROR(VLOOKUP(B655,'Master data'!$A$1:$F$1000,6,FALSE),"")</f>
        <v/>
      </c>
      <c r="F655" s="7" t="str">
        <f>IFERROR(VLOOKUP(B655,'Master data'!$A$1:$F$1000,3,FALSE),"")</f>
        <v/>
      </c>
      <c r="I655" s="16"/>
      <c r="J655" s="16"/>
      <c r="K655" s="16" t="b">
        <v>0</v>
      </c>
      <c r="L655" s="16" t="b">
        <v>0</v>
      </c>
    </row>
    <row r="656">
      <c r="A656" s="9"/>
      <c r="B656" s="16"/>
      <c r="C656" s="7" t="str">
        <f>IFERROR(VLOOKUP(B656,'Master data'!$A$1:$F$1000,2,FALSE),"")</f>
        <v/>
      </c>
      <c r="D656" s="7" t="str">
        <f>IFERROR(VLOOKUP(B656,'Master data'!$A$1:$F$1000,6,FALSE),"")</f>
        <v/>
      </c>
      <c r="F656" s="7" t="str">
        <f>IFERROR(VLOOKUP(B656,'Master data'!$A$1:$F$1000,3,FALSE),"")</f>
        <v/>
      </c>
      <c r="I656" s="16"/>
      <c r="J656" s="16"/>
      <c r="K656" s="16" t="b">
        <v>0</v>
      </c>
      <c r="L656" s="16" t="b">
        <v>0</v>
      </c>
    </row>
    <row r="657">
      <c r="A657" s="9"/>
      <c r="B657" s="16"/>
      <c r="C657" s="7" t="str">
        <f>IFERROR(VLOOKUP(B657,'Master data'!$A$1:$F$1000,2,FALSE),"")</f>
        <v/>
      </c>
      <c r="D657" s="7" t="str">
        <f>IFERROR(VLOOKUP(B657,'Master data'!$A$1:$F$1000,6,FALSE),"")</f>
        <v/>
      </c>
      <c r="F657" s="7" t="str">
        <f>IFERROR(VLOOKUP(B657,'Master data'!$A$1:$F$1000,3,FALSE),"")</f>
        <v/>
      </c>
      <c r="I657" s="16"/>
      <c r="J657" s="16"/>
      <c r="K657" s="16" t="b">
        <v>0</v>
      </c>
      <c r="L657" s="16" t="b">
        <v>0</v>
      </c>
    </row>
    <row r="658">
      <c r="A658" s="9"/>
      <c r="B658" s="16"/>
      <c r="C658" s="7" t="str">
        <f>IFERROR(VLOOKUP(B658,'Master data'!$A$1:$F$1000,2,FALSE),"")</f>
        <v/>
      </c>
      <c r="D658" s="7" t="str">
        <f>IFERROR(VLOOKUP(B658,'Master data'!$A$1:$F$1000,6,FALSE),"")</f>
        <v/>
      </c>
      <c r="F658" s="7" t="str">
        <f>IFERROR(VLOOKUP(B658,'Master data'!$A$1:$F$1000,3,FALSE),"")</f>
        <v/>
      </c>
      <c r="I658" s="16"/>
      <c r="J658" s="16"/>
      <c r="K658" s="16" t="b">
        <v>0</v>
      </c>
      <c r="L658" s="16" t="b">
        <v>0</v>
      </c>
    </row>
    <row r="659">
      <c r="A659" s="9"/>
      <c r="B659" s="16"/>
      <c r="C659" s="7" t="str">
        <f>IFERROR(VLOOKUP(B659,'Master data'!$A$1:$F$1000,2,FALSE),"")</f>
        <v/>
      </c>
      <c r="D659" s="7" t="str">
        <f>IFERROR(VLOOKUP(B659,'Master data'!$A$1:$F$1000,6,FALSE),"")</f>
        <v/>
      </c>
      <c r="F659" s="7" t="str">
        <f>IFERROR(VLOOKUP(B659,'Master data'!$A$1:$F$1000,3,FALSE),"")</f>
        <v/>
      </c>
      <c r="I659" s="16"/>
      <c r="J659" s="16"/>
      <c r="K659" s="16" t="b">
        <v>0</v>
      </c>
      <c r="L659" s="16" t="b">
        <v>0</v>
      </c>
    </row>
    <row r="660">
      <c r="A660" s="9"/>
      <c r="B660" s="16"/>
      <c r="C660" s="7" t="str">
        <f>IFERROR(VLOOKUP(B660,'Master data'!$A$1:$F$1000,2,FALSE),"")</f>
        <v/>
      </c>
      <c r="D660" s="7" t="str">
        <f>IFERROR(VLOOKUP(B660,'Master data'!$A$1:$F$1000,6,FALSE),"")</f>
        <v/>
      </c>
      <c r="F660" s="7" t="str">
        <f>IFERROR(VLOOKUP(B660,'Master data'!$A$1:$F$1000,3,FALSE),"")</f>
        <v/>
      </c>
      <c r="I660" s="16"/>
      <c r="J660" s="16"/>
      <c r="K660" s="16" t="b">
        <v>0</v>
      </c>
      <c r="L660" s="16" t="b">
        <v>0</v>
      </c>
    </row>
    <row r="661">
      <c r="A661" s="9"/>
      <c r="B661" s="16"/>
      <c r="C661" s="7" t="str">
        <f>IFERROR(VLOOKUP(B661,'Master data'!$A$1:$F$1000,2,FALSE),"")</f>
        <v/>
      </c>
      <c r="D661" s="7" t="str">
        <f>IFERROR(VLOOKUP(B661,'Master data'!$A$1:$F$1000,6,FALSE),"")</f>
        <v/>
      </c>
      <c r="F661" s="7" t="str">
        <f>IFERROR(VLOOKUP(B661,'Master data'!$A$1:$F$1000,3,FALSE),"")</f>
        <v/>
      </c>
      <c r="I661" s="16"/>
      <c r="J661" s="16"/>
      <c r="K661" s="16" t="b">
        <v>0</v>
      </c>
      <c r="L661" s="16" t="b">
        <v>0</v>
      </c>
    </row>
    <row r="662">
      <c r="A662" s="9"/>
      <c r="B662" s="16"/>
      <c r="C662" s="7" t="str">
        <f>IFERROR(VLOOKUP(B662,'Master data'!$A$1:$F$1000,2,FALSE),"")</f>
        <v/>
      </c>
      <c r="D662" s="7" t="str">
        <f>IFERROR(VLOOKUP(B662,'Master data'!$A$1:$F$1000,6,FALSE),"")</f>
        <v/>
      </c>
      <c r="F662" s="7" t="str">
        <f>IFERROR(VLOOKUP(B662,'Master data'!$A$1:$F$1000,3,FALSE),"")</f>
        <v/>
      </c>
      <c r="I662" s="16"/>
      <c r="J662" s="16"/>
      <c r="K662" s="16" t="b">
        <v>0</v>
      </c>
      <c r="L662" s="16" t="b">
        <v>0</v>
      </c>
    </row>
    <row r="663">
      <c r="A663" s="9"/>
      <c r="B663" s="16"/>
      <c r="C663" s="7" t="str">
        <f>IFERROR(VLOOKUP(B663,'Master data'!$A$1:$F$1000,2,FALSE),"")</f>
        <v/>
      </c>
      <c r="D663" s="7" t="str">
        <f>IFERROR(VLOOKUP(B663,'Master data'!$A$1:$F$1000,6,FALSE),"")</f>
        <v/>
      </c>
      <c r="F663" s="7" t="str">
        <f>IFERROR(VLOOKUP(B663,'Master data'!$A$1:$F$1000,3,FALSE),"")</f>
        <v/>
      </c>
      <c r="I663" s="16"/>
      <c r="J663" s="16"/>
      <c r="K663" s="16" t="b">
        <v>0</v>
      </c>
      <c r="L663" s="16" t="b">
        <v>0</v>
      </c>
    </row>
    <row r="664">
      <c r="A664" s="9"/>
      <c r="B664" s="16"/>
      <c r="C664" s="7" t="str">
        <f>IFERROR(VLOOKUP(B664,'Master data'!$A$1:$F$1000,2,FALSE),"")</f>
        <v/>
      </c>
      <c r="D664" s="7" t="str">
        <f>IFERROR(VLOOKUP(B664,'Master data'!$A$1:$F$1000,6,FALSE),"")</f>
        <v/>
      </c>
      <c r="F664" s="7" t="str">
        <f>IFERROR(VLOOKUP(B664,'Master data'!$A$1:$F$1000,3,FALSE),"")</f>
        <v/>
      </c>
      <c r="I664" s="16"/>
      <c r="J664" s="16"/>
      <c r="K664" s="16" t="b">
        <v>0</v>
      </c>
      <c r="L664" s="16" t="b">
        <v>0</v>
      </c>
    </row>
    <row r="665">
      <c r="A665" s="9"/>
      <c r="B665" s="16"/>
      <c r="C665" s="7" t="str">
        <f>IFERROR(VLOOKUP(B665,'Master data'!$A$1:$F$1000,2,FALSE),"")</f>
        <v/>
      </c>
      <c r="D665" s="7" t="str">
        <f>IFERROR(VLOOKUP(B665,'Master data'!$A$1:$F$1000,6,FALSE),"")</f>
        <v/>
      </c>
      <c r="F665" s="7" t="str">
        <f>IFERROR(VLOOKUP(B665,'Master data'!$A$1:$F$1000,3,FALSE),"")</f>
        <v/>
      </c>
      <c r="I665" s="16"/>
      <c r="J665" s="16"/>
      <c r="K665" s="16" t="b">
        <v>0</v>
      </c>
      <c r="L665" s="16" t="b">
        <v>0</v>
      </c>
    </row>
    <row r="666">
      <c r="A666" s="9"/>
      <c r="B666" s="16"/>
      <c r="C666" s="7" t="str">
        <f>IFERROR(VLOOKUP(B666,'Master data'!$A$1:$F$1000,2,FALSE),"")</f>
        <v/>
      </c>
      <c r="D666" s="7" t="str">
        <f>IFERROR(VLOOKUP(B666,'Master data'!$A$1:$F$1000,6,FALSE),"")</f>
        <v/>
      </c>
      <c r="F666" s="7" t="str">
        <f>IFERROR(VLOOKUP(B666,'Master data'!$A$1:$F$1000,3,FALSE),"")</f>
        <v/>
      </c>
      <c r="I666" s="16"/>
      <c r="J666" s="16"/>
      <c r="K666" s="16" t="b">
        <v>0</v>
      </c>
      <c r="L666" s="16" t="b">
        <v>0</v>
      </c>
    </row>
    <row r="667">
      <c r="A667" s="9"/>
      <c r="B667" s="16"/>
      <c r="C667" s="7" t="str">
        <f>IFERROR(VLOOKUP(B667,'Master data'!$A$1:$F$1000,2,FALSE),"")</f>
        <v/>
      </c>
      <c r="D667" s="7" t="str">
        <f>IFERROR(VLOOKUP(B667,'Master data'!$A$1:$F$1000,6,FALSE),"")</f>
        <v/>
      </c>
      <c r="F667" s="7" t="str">
        <f>IFERROR(VLOOKUP(B667,'Master data'!$A$1:$F$1000,3,FALSE),"")</f>
        <v/>
      </c>
      <c r="I667" s="16"/>
      <c r="J667" s="16"/>
      <c r="K667" s="16" t="b">
        <v>0</v>
      </c>
      <c r="L667" s="16" t="b">
        <v>0</v>
      </c>
    </row>
    <row r="668">
      <c r="A668" s="9"/>
      <c r="B668" s="16"/>
      <c r="C668" s="7" t="str">
        <f>IFERROR(VLOOKUP(B668,'Master data'!$A$1:$F$1000,2,FALSE),"")</f>
        <v/>
      </c>
      <c r="D668" s="7" t="str">
        <f>IFERROR(VLOOKUP(B668,'Master data'!$A$1:$F$1000,6,FALSE),"")</f>
        <v/>
      </c>
      <c r="F668" s="7" t="str">
        <f>IFERROR(VLOOKUP(B668,'Master data'!$A$1:$F$1000,3,FALSE),"")</f>
        <v/>
      </c>
      <c r="I668" s="16"/>
      <c r="J668" s="16"/>
      <c r="K668" s="16" t="b">
        <v>0</v>
      </c>
      <c r="L668" s="16" t="b">
        <v>0</v>
      </c>
    </row>
    <row r="669">
      <c r="A669" s="9"/>
      <c r="B669" s="16"/>
      <c r="C669" s="7" t="str">
        <f>IFERROR(VLOOKUP(B669,'Master data'!$A$1:$F$1000,2,FALSE),"")</f>
        <v/>
      </c>
      <c r="D669" s="7" t="str">
        <f>IFERROR(VLOOKUP(B669,'Master data'!$A$1:$F$1000,6,FALSE),"")</f>
        <v/>
      </c>
      <c r="F669" s="7" t="str">
        <f>IFERROR(VLOOKUP(B669,'Master data'!$A$1:$F$1000,3,FALSE),"")</f>
        <v/>
      </c>
      <c r="I669" s="16"/>
      <c r="J669" s="16"/>
      <c r="K669" s="16" t="b">
        <v>0</v>
      </c>
      <c r="L669" s="16" t="b">
        <v>0</v>
      </c>
    </row>
    <row r="670">
      <c r="A670" s="9"/>
      <c r="B670" s="16"/>
      <c r="C670" s="7" t="str">
        <f>IFERROR(VLOOKUP(B670,'Master data'!$A$1:$F$1000,2,FALSE),"")</f>
        <v/>
      </c>
      <c r="D670" s="7" t="str">
        <f>IFERROR(VLOOKUP(B670,'Master data'!$A$1:$F$1000,6,FALSE),"")</f>
        <v/>
      </c>
      <c r="F670" s="7" t="str">
        <f>IFERROR(VLOOKUP(B670,'Master data'!$A$1:$F$1000,3,FALSE),"")</f>
        <v/>
      </c>
      <c r="I670" s="16"/>
      <c r="J670" s="16"/>
      <c r="K670" s="16" t="b">
        <v>0</v>
      </c>
      <c r="L670" s="16" t="b">
        <v>0</v>
      </c>
    </row>
    <row r="671">
      <c r="A671" s="9"/>
      <c r="B671" s="16"/>
      <c r="C671" s="7" t="str">
        <f>IFERROR(VLOOKUP(B671,'Master data'!$A$1:$F$1000,2,FALSE),"")</f>
        <v/>
      </c>
      <c r="D671" s="7" t="str">
        <f>IFERROR(VLOOKUP(B671,'Master data'!$A$1:$F$1000,6,FALSE),"")</f>
        <v/>
      </c>
      <c r="F671" s="7" t="str">
        <f>IFERROR(VLOOKUP(B671,'Master data'!$A$1:$F$1000,3,FALSE),"")</f>
        <v/>
      </c>
      <c r="I671" s="16"/>
      <c r="J671" s="16"/>
      <c r="K671" s="16" t="b">
        <v>0</v>
      </c>
      <c r="L671" s="16" t="b">
        <v>0</v>
      </c>
    </row>
    <row r="672">
      <c r="A672" s="9"/>
      <c r="B672" s="16"/>
      <c r="C672" s="7" t="str">
        <f>IFERROR(VLOOKUP(B672,'Master data'!$A$1:$F$1000,2,FALSE),"")</f>
        <v/>
      </c>
      <c r="D672" s="7" t="str">
        <f>IFERROR(VLOOKUP(B672,'Master data'!$A$1:$F$1000,6,FALSE),"")</f>
        <v/>
      </c>
      <c r="F672" s="7" t="str">
        <f>IFERROR(VLOOKUP(B672,'Master data'!$A$1:$F$1000,3,FALSE),"")</f>
        <v/>
      </c>
      <c r="I672" s="16"/>
      <c r="J672" s="16"/>
      <c r="K672" s="16" t="b">
        <v>0</v>
      </c>
      <c r="L672" s="16" t="b">
        <v>0</v>
      </c>
    </row>
    <row r="673">
      <c r="A673" s="9"/>
      <c r="B673" s="16"/>
      <c r="C673" s="7" t="str">
        <f>IFERROR(VLOOKUP(B673,'Master data'!$A$1:$F$1000,2,FALSE),"")</f>
        <v/>
      </c>
      <c r="D673" s="7" t="str">
        <f>IFERROR(VLOOKUP(B673,'Master data'!$A$1:$F$1000,6,FALSE),"")</f>
        <v/>
      </c>
      <c r="F673" s="7" t="str">
        <f>IFERROR(VLOOKUP(B673,'Master data'!$A$1:$F$1000,3,FALSE),"")</f>
        <v/>
      </c>
      <c r="I673" s="16"/>
      <c r="J673" s="16"/>
      <c r="K673" s="16" t="b">
        <v>0</v>
      </c>
      <c r="L673" s="16" t="b">
        <v>0</v>
      </c>
    </row>
    <row r="674">
      <c r="A674" s="9"/>
      <c r="B674" s="16"/>
      <c r="C674" s="7" t="str">
        <f>IFERROR(VLOOKUP(B674,'Master data'!$A$1:$F$1000,2,FALSE),"")</f>
        <v/>
      </c>
      <c r="D674" s="7" t="str">
        <f>IFERROR(VLOOKUP(B674,'Master data'!$A$1:$F$1000,6,FALSE),"")</f>
        <v/>
      </c>
      <c r="F674" s="7" t="str">
        <f>IFERROR(VLOOKUP(B674,'Master data'!$A$1:$F$1000,3,FALSE),"")</f>
        <v/>
      </c>
      <c r="I674" s="16"/>
      <c r="J674" s="16"/>
      <c r="K674" s="16" t="b">
        <v>0</v>
      </c>
      <c r="L674" s="16" t="b">
        <v>0</v>
      </c>
    </row>
    <row r="675">
      <c r="A675" s="9"/>
      <c r="B675" s="16"/>
      <c r="C675" s="7" t="str">
        <f>IFERROR(VLOOKUP(B675,'Master data'!$A$1:$F$1000,2,FALSE),"")</f>
        <v/>
      </c>
      <c r="D675" s="7" t="str">
        <f>IFERROR(VLOOKUP(B675,'Master data'!$A$1:$F$1000,6,FALSE),"")</f>
        <v/>
      </c>
      <c r="F675" s="7" t="str">
        <f>IFERROR(VLOOKUP(B675,'Master data'!$A$1:$F$1000,3,FALSE),"")</f>
        <v/>
      </c>
      <c r="I675" s="16"/>
      <c r="J675" s="16"/>
      <c r="K675" s="16" t="b">
        <v>0</v>
      </c>
      <c r="L675" s="16" t="b">
        <v>0</v>
      </c>
    </row>
    <row r="676">
      <c r="A676" s="9"/>
      <c r="B676" s="16"/>
      <c r="C676" s="7" t="str">
        <f>IFERROR(VLOOKUP(B676,'Master data'!$A$1:$F$1000,2,FALSE),"")</f>
        <v/>
      </c>
      <c r="D676" s="7" t="str">
        <f>IFERROR(VLOOKUP(B676,'Master data'!$A$1:$F$1000,6,FALSE),"")</f>
        <v/>
      </c>
      <c r="F676" s="7" t="str">
        <f>IFERROR(VLOOKUP(B676,'Master data'!$A$1:$F$1000,3,FALSE),"")</f>
        <v/>
      </c>
      <c r="I676" s="16"/>
      <c r="J676" s="16"/>
      <c r="K676" s="16" t="b">
        <v>0</v>
      </c>
      <c r="L676" s="16" t="b">
        <v>0</v>
      </c>
    </row>
    <row r="677">
      <c r="A677" s="9"/>
      <c r="B677" s="16"/>
      <c r="C677" s="7" t="str">
        <f>IFERROR(VLOOKUP(B677,'Master data'!$A$1:$F$1000,2,FALSE),"")</f>
        <v/>
      </c>
      <c r="D677" s="7" t="str">
        <f>IFERROR(VLOOKUP(B677,'Master data'!$A$1:$F$1000,6,FALSE),"")</f>
        <v/>
      </c>
      <c r="F677" s="7" t="str">
        <f>IFERROR(VLOOKUP(B677,'Master data'!$A$1:$F$1000,3,FALSE),"")</f>
        <v/>
      </c>
      <c r="I677" s="16"/>
      <c r="J677" s="16"/>
      <c r="K677" s="16" t="b">
        <v>0</v>
      </c>
      <c r="L677" s="16" t="b">
        <v>0</v>
      </c>
    </row>
    <row r="678">
      <c r="A678" s="9"/>
      <c r="B678" s="16"/>
      <c r="C678" s="7" t="str">
        <f>IFERROR(VLOOKUP(B678,'Master data'!$A$1:$F$1000,2,FALSE),"")</f>
        <v/>
      </c>
      <c r="D678" s="7" t="str">
        <f>IFERROR(VLOOKUP(B678,'Master data'!$A$1:$F$1000,6,FALSE),"")</f>
        <v/>
      </c>
      <c r="F678" s="7" t="str">
        <f>IFERROR(VLOOKUP(B678,'Master data'!$A$1:$F$1000,3,FALSE),"")</f>
        <v/>
      </c>
      <c r="I678" s="16"/>
      <c r="J678" s="16"/>
      <c r="K678" s="16" t="b">
        <v>0</v>
      </c>
      <c r="L678" s="16" t="b">
        <v>0</v>
      </c>
    </row>
    <row r="679">
      <c r="A679" s="9"/>
      <c r="B679" s="16"/>
      <c r="C679" s="7" t="str">
        <f>IFERROR(VLOOKUP(B679,'Master data'!$A$1:$F$1000,2,FALSE),"")</f>
        <v/>
      </c>
      <c r="D679" s="7" t="str">
        <f>IFERROR(VLOOKUP(B679,'Master data'!$A$1:$F$1000,6,FALSE),"")</f>
        <v/>
      </c>
      <c r="F679" s="7" t="str">
        <f>IFERROR(VLOOKUP(B679,'Master data'!$A$1:$F$1000,3,FALSE),"")</f>
        <v/>
      </c>
      <c r="I679" s="16"/>
      <c r="J679" s="16"/>
      <c r="K679" s="16" t="b">
        <v>0</v>
      </c>
      <c r="L679" s="16" t="b">
        <v>0</v>
      </c>
    </row>
    <row r="680">
      <c r="A680" s="9"/>
      <c r="B680" s="16"/>
      <c r="C680" s="7" t="str">
        <f>IFERROR(VLOOKUP(B680,'Master data'!$A$1:$F$1000,2,FALSE),"")</f>
        <v/>
      </c>
      <c r="D680" s="7" t="str">
        <f>IFERROR(VLOOKUP(B680,'Master data'!$A$1:$F$1000,6,FALSE),"")</f>
        <v/>
      </c>
      <c r="F680" s="7" t="str">
        <f>IFERROR(VLOOKUP(B680,'Master data'!$A$1:$F$1000,3,FALSE),"")</f>
        <v/>
      </c>
      <c r="I680" s="16"/>
      <c r="J680" s="16"/>
      <c r="K680" s="16" t="b">
        <v>0</v>
      </c>
      <c r="L680" s="16" t="b">
        <v>0</v>
      </c>
    </row>
    <row r="681">
      <c r="A681" s="9"/>
      <c r="B681" s="16"/>
      <c r="C681" s="7" t="str">
        <f>IFERROR(VLOOKUP(B681,'Master data'!$A$1:$F$1000,2,FALSE),"")</f>
        <v/>
      </c>
      <c r="D681" s="7" t="str">
        <f>IFERROR(VLOOKUP(B681,'Master data'!$A$1:$F$1000,6,FALSE),"")</f>
        <v/>
      </c>
      <c r="F681" s="7" t="str">
        <f>IFERROR(VLOOKUP(B681,'Master data'!$A$1:$F$1000,3,FALSE),"")</f>
        <v/>
      </c>
      <c r="I681" s="16"/>
      <c r="J681" s="16"/>
      <c r="K681" s="16" t="b">
        <v>0</v>
      </c>
      <c r="L681" s="16" t="b">
        <v>0</v>
      </c>
    </row>
    <row r="682">
      <c r="A682" s="9"/>
      <c r="B682" s="16"/>
      <c r="C682" s="7" t="str">
        <f>IFERROR(VLOOKUP(B682,'Master data'!$A$1:$F$1000,2,FALSE),"")</f>
        <v/>
      </c>
      <c r="D682" s="7" t="str">
        <f>IFERROR(VLOOKUP(B682,'Master data'!$A$1:$F$1000,6,FALSE),"")</f>
        <v/>
      </c>
      <c r="F682" s="7" t="str">
        <f>IFERROR(VLOOKUP(B682,'Master data'!$A$1:$F$1000,3,FALSE),"")</f>
        <v/>
      </c>
      <c r="I682" s="16"/>
      <c r="J682" s="16"/>
      <c r="K682" s="16" t="b">
        <v>0</v>
      </c>
      <c r="L682" s="16" t="b">
        <v>0</v>
      </c>
    </row>
    <row r="683">
      <c r="A683" s="9"/>
      <c r="B683" s="16"/>
      <c r="C683" s="7" t="str">
        <f>IFERROR(VLOOKUP(B683,'Master data'!$A$1:$F$1000,2,FALSE),"")</f>
        <v/>
      </c>
      <c r="D683" s="7" t="str">
        <f>IFERROR(VLOOKUP(B683,'Master data'!$A$1:$F$1000,6,FALSE),"")</f>
        <v/>
      </c>
      <c r="F683" s="7" t="str">
        <f>IFERROR(VLOOKUP(B683,'Master data'!$A$1:$F$1000,3,FALSE),"")</f>
        <v/>
      </c>
      <c r="I683" s="16"/>
      <c r="J683" s="16"/>
      <c r="K683" s="16" t="b">
        <v>0</v>
      </c>
      <c r="L683" s="16" t="b">
        <v>0</v>
      </c>
    </row>
    <row r="684">
      <c r="A684" s="9"/>
      <c r="B684" s="16"/>
      <c r="C684" s="7" t="str">
        <f>IFERROR(VLOOKUP(B684,'Master data'!$A$1:$F$1000,2,FALSE),"")</f>
        <v/>
      </c>
      <c r="D684" s="7" t="str">
        <f>IFERROR(VLOOKUP(B684,'Master data'!$A$1:$F$1000,6,FALSE),"")</f>
        <v/>
      </c>
      <c r="F684" s="7" t="str">
        <f>IFERROR(VLOOKUP(B684,'Master data'!$A$1:$F$1000,3,FALSE),"")</f>
        <v/>
      </c>
      <c r="I684" s="16"/>
      <c r="J684" s="16"/>
      <c r="K684" s="16" t="b">
        <v>0</v>
      </c>
      <c r="L684" s="16" t="b">
        <v>0</v>
      </c>
    </row>
    <row r="685">
      <c r="A685" s="9"/>
      <c r="B685" s="16"/>
      <c r="C685" s="7" t="str">
        <f>IFERROR(VLOOKUP(B685,'Master data'!$A$1:$F$1000,2,FALSE),"")</f>
        <v/>
      </c>
      <c r="D685" s="7" t="str">
        <f>IFERROR(VLOOKUP(B685,'Master data'!$A$1:$F$1000,6,FALSE),"")</f>
        <v/>
      </c>
      <c r="F685" s="7" t="str">
        <f>IFERROR(VLOOKUP(B685,'Master data'!$A$1:$F$1000,3,FALSE),"")</f>
        <v/>
      </c>
      <c r="I685" s="16"/>
      <c r="J685" s="16"/>
      <c r="K685" s="16" t="b">
        <v>0</v>
      </c>
      <c r="L685" s="16" t="b">
        <v>0</v>
      </c>
    </row>
    <row r="686">
      <c r="A686" s="9"/>
      <c r="B686" s="16"/>
      <c r="C686" s="7" t="str">
        <f>IFERROR(VLOOKUP(B686,'Master data'!$A$1:$F$1000,2,FALSE),"")</f>
        <v/>
      </c>
      <c r="D686" s="7" t="str">
        <f>IFERROR(VLOOKUP(B686,'Master data'!$A$1:$F$1000,6,FALSE),"")</f>
        <v/>
      </c>
      <c r="F686" s="7" t="str">
        <f>IFERROR(VLOOKUP(B686,'Master data'!$A$1:$F$1000,3,FALSE),"")</f>
        <v/>
      </c>
      <c r="I686" s="16"/>
      <c r="J686" s="16"/>
      <c r="K686" s="16" t="b">
        <v>0</v>
      </c>
      <c r="L686" s="16" t="b">
        <v>0</v>
      </c>
    </row>
    <row r="687">
      <c r="A687" s="9"/>
      <c r="B687" s="16"/>
      <c r="C687" s="7" t="str">
        <f>IFERROR(VLOOKUP(B687,'Master data'!$A$1:$F$1000,2,FALSE),"")</f>
        <v/>
      </c>
      <c r="D687" s="7" t="str">
        <f>IFERROR(VLOOKUP(B687,'Master data'!$A$1:$F$1000,6,FALSE),"")</f>
        <v/>
      </c>
      <c r="F687" s="7" t="str">
        <f>IFERROR(VLOOKUP(B687,'Master data'!$A$1:$F$1000,3,FALSE),"")</f>
        <v/>
      </c>
      <c r="I687" s="16"/>
      <c r="J687" s="16"/>
      <c r="K687" s="16" t="b">
        <v>0</v>
      </c>
      <c r="L687" s="16" t="b">
        <v>0</v>
      </c>
    </row>
    <row r="688">
      <c r="A688" s="9"/>
      <c r="B688" s="16"/>
      <c r="C688" s="7" t="str">
        <f>IFERROR(VLOOKUP(B688,'Master data'!$A$1:$F$1000,2,FALSE),"")</f>
        <v/>
      </c>
      <c r="D688" s="7" t="str">
        <f>IFERROR(VLOOKUP(B688,'Master data'!$A$1:$F$1000,6,FALSE),"")</f>
        <v/>
      </c>
      <c r="F688" s="7" t="str">
        <f>IFERROR(VLOOKUP(B688,'Master data'!$A$1:$F$1000,3,FALSE),"")</f>
        <v/>
      </c>
      <c r="I688" s="16"/>
      <c r="J688" s="16"/>
      <c r="K688" s="16" t="b">
        <v>0</v>
      </c>
      <c r="L688" s="16" t="b">
        <v>0</v>
      </c>
    </row>
    <row r="689">
      <c r="A689" s="9"/>
      <c r="B689" s="16"/>
      <c r="C689" s="7" t="str">
        <f>IFERROR(VLOOKUP(B689,'Master data'!$A$1:$F$1000,2,FALSE),"")</f>
        <v/>
      </c>
      <c r="D689" s="7" t="str">
        <f>IFERROR(VLOOKUP(B689,'Master data'!$A$1:$F$1000,6,FALSE),"")</f>
        <v/>
      </c>
      <c r="F689" s="7" t="str">
        <f>IFERROR(VLOOKUP(B689,'Master data'!$A$1:$F$1000,3,FALSE),"")</f>
        <v/>
      </c>
      <c r="I689" s="16"/>
      <c r="J689" s="16"/>
      <c r="K689" s="16" t="b">
        <v>0</v>
      </c>
      <c r="L689" s="16" t="b">
        <v>0</v>
      </c>
    </row>
    <row r="690">
      <c r="A690" s="9"/>
      <c r="B690" s="16"/>
      <c r="C690" s="7" t="str">
        <f>IFERROR(VLOOKUP(B690,'Master data'!$A$1:$F$1000,2,FALSE),"")</f>
        <v/>
      </c>
      <c r="D690" s="7" t="str">
        <f>IFERROR(VLOOKUP(B690,'Master data'!$A$1:$F$1000,6,FALSE),"")</f>
        <v/>
      </c>
      <c r="F690" s="7" t="str">
        <f>IFERROR(VLOOKUP(B690,'Master data'!$A$1:$F$1000,3,FALSE),"")</f>
        <v/>
      </c>
      <c r="I690" s="16"/>
      <c r="J690" s="16"/>
      <c r="K690" s="16" t="b">
        <v>0</v>
      </c>
      <c r="L690" s="16" t="b">
        <v>0</v>
      </c>
    </row>
    <row r="691">
      <c r="A691" s="9"/>
      <c r="B691" s="16"/>
      <c r="C691" s="7" t="str">
        <f>IFERROR(VLOOKUP(B691,'Master data'!$A$1:$F$1000,2,FALSE),"")</f>
        <v/>
      </c>
      <c r="D691" s="7" t="str">
        <f>IFERROR(VLOOKUP(B691,'Master data'!$A$1:$F$1000,6,FALSE),"")</f>
        <v/>
      </c>
      <c r="F691" s="7" t="str">
        <f>IFERROR(VLOOKUP(B691,'Master data'!$A$1:$F$1000,3,FALSE),"")</f>
        <v/>
      </c>
      <c r="I691" s="16"/>
      <c r="J691" s="16"/>
      <c r="K691" s="16" t="b">
        <v>0</v>
      </c>
      <c r="L691" s="16" t="b">
        <v>0</v>
      </c>
    </row>
    <row r="692">
      <c r="A692" s="9"/>
      <c r="B692" s="16"/>
      <c r="C692" s="7" t="str">
        <f>IFERROR(VLOOKUP(B692,'Master data'!$A$1:$F$1000,2,FALSE),"")</f>
        <v/>
      </c>
      <c r="D692" s="7" t="str">
        <f>IFERROR(VLOOKUP(B692,'Master data'!$A$1:$F$1000,6,FALSE),"")</f>
        <v/>
      </c>
      <c r="F692" s="7" t="str">
        <f>IFERROR(VLOOKUP(B692,'Master data'!$A$1:$F$1000,3,FALSE),"")</f>
        <v/>
      </c>
      <c r="I692" s="16"/>
      <c r="J692" s="16"/>
      <c r="K692" s="16" t="b">
        <v>0</v>
      </c>
      <c r="L692" s="16" t="b">
        <v>0</v>
      </c>
    </row>
    <row r="693">
      <c r="A693" s="9"/>
      <c r="B693" s="16"/>
      <c r="C693" s="7" t="str">
        <f>IFERROR(VLOOKUP(B693,'Master data'!$A$1:$F$1000,2,FALSE),"")</f>
        <v/>
      </c>
      <c r="D693" s="7" t="str">
        <f>IFERROR(VLOOKUP(B693,'Master data'!$A$1:$F$1000,6,FALSE),"")</f>
        <v/>
      </c>
      <c r="F693" s="7" t="str">
        <f>IFERROR(VLOOKUP(B693,'Master data'!$A$1:$F$1000,3,FALSE),"")</f>
        <v/>
      </c>
      <c r="I693" s="16"/>
      <c r="J693" s="16"/>
      <c r="K693" s="16" t="b">
        <v>0</v>
      </c>
      <c r="L693" s="16" t="b">
        <v>0</v>
      </c>
    </row>
    <row r="694">
      <c r="A694" s="9"/>
      <c r="B694" s="16"/>
      <c r="C694" s="7" t="str">
        <f>IFERROR(VLOOKUP(B694,'Master data'!$A$1:$F$1000,2,FALSE),"")</f>
        <v/>
      </c>
      <c r="D694" s="7" t="str">
        <f>IFERROR(VLOOKUP(B694,'Master data'!$A$1:$F$1000,6,FALSE),"")</f>
        <v/>
      </c>
      <c r="F694" s="7" t="str">
        <f>IFERROR(VLOOKUP(B694,'Master data'!$A$1:$F$1000,3,FALSE),"")</f>
        <v/>
      </c>
      <c r="I694" s="16"/>
      <c r="J694" s="16"/>
      <c r="K694" s="16" t="b">
        <v>0</v>
      </c>
      <c r="L694" s="16" t="b">
        <v>0</v>
      </c>
    </row>
    <row r="695">
      <c r="A695" s="9"/>
      <c r="B695" s="16"/>
      <c r="C695" s="7" t="str">
        <f>IFERROR(VLOOKUP(B695,'Master data'!$A$1:$F$1000,2,FALSE),"")</f>
        <v/>
      </c>
      <c r="D695" s="7" t="str">
        <f>IFERROR(VLOOKUP(B695,'Master data'!$A$1:$F$1000,6,FALSE),"")</f>
        <v/>
      </c>
      <c r="F695" s="7" t="str">
        <f>IFERROR(VLOOKUP(B695,'Master data'!$A$1:$F$1000,3,FALSE),"")</f>
        <v/>
      </c>
      <c r="I695" s="16"/>
      <c r="J695" s="16"/>
      <c r="K695" s="16" t="b">
        <v>0</v>
      </c>
      <c r="L695" s="16" t="b">
        <v>0</v>
      </c>
    </row>
    <row r="696">
      <c r="A696" s="9"/>
      <c r="B696" s="16"/>
      <c r="C696" s="7" t="str">
        <f>IFERROR(VLOOKUP(B696,'Master data'!$A$1:$F$1000,2,FALSE),"")</f>
        <v/>
      </c>
      <c r="D696" s="7" t="str">
        <f>IFERROR(VLOOKUP(B696,'Master data'!$A$1:$F$1000,6,FALSE),"")</f>
        <v/>
      </c>
      <c r="F696" s="7" t="str">
        <f>IFERROR(VLOOKUP(B696,'Master data'!$A$1:$F$1000,3,FALSE),"")</f>
        <v/>
      </c>
      <c r="I696" s="16"/>
      <c r="J696" s="16"/>
      <c r="K696" s="16" t="b">
        <v>0</v>
      </c>
      <c r="L696" s="16" t="b">
        <v>0</v>
      </c>
    </row>
    <row r="697">
      <c r="A697" s="9"/>
      <c r="B697" s="16"/>
      <c r="C697" s="7" t="str">
        <f>IFERROR(VLOOKUP(B697,'Master data'!$A$1:$F$1000,2,FALSE),"")</f>
        <v/>
      </c>
      <c r="D697" s="7" t="str">
        <f>IFERROR(VLOOKUP(B697,'Master data'!$A$1:$F$1000,6,FALSE),"")</f>
        <v/>
      </c>
      <c r="F697" s="7" t="str">
        <f>IFERROR(VLOOKUP(B697,'Master data'!$A$1:$F$1000,3,FALSE),"")</f>
        <v/>
      </c>
      <c r="I697" s="16"/>
      <c r="J697" s="16"/>
      <c r="K697" s="16" t="b">
        <v>0</v>
      </c>
      <c r="L697" s="16" t="b">
        <v>0</v>
      </c>
    </row>
    <row r="698">
      <c r="A698" s="9"/>
      <c r="B698" s="16"/>
      <c r="C698" s="7" t="str">
        <f>IFERROR(VLOOKUP(B698,'Master data'!$A$1:$F$1000,2,FALSE),"")</f>
        <v/>
      </c>
      <c r="D698" s="7" t="str">
        <f>IFERROR(VLOOKUP(B698,'Master data'!$A$1:$F$1000,6,FALSE),"")</f>
        <v/>
      </c>
      <c r="F698" s="7" t="str">
        <f>IFERROR(VLOOKUP(B698,'Master data'!$A$1:$F$1000,3,FALSE),"")</f>
        <v/>
      </c>
      <c r="I698" s="16"/>
      <c r="J698" s="16"/>
      <c r="K698" s="16" t="b">
        <v>0</v>
      </c>
      <c r="L698" s="16" t="b">
        <v>0</v>
      </c>
    </row>
    <row r="699">
      <c r="A699" s="9"/>
      <c r="B699" s="16"/>
      <c r="C699" s="7" t="str">
        <f>IFERROR(VLOOKUP(B699,'Master data'!$A$1:$F$1000,2,FALSE),"")</f>
        <v/>
      </c>
      <c r="D699" s="7" t="str">
        <f>IFERROR(VLOOKUP(B699,'Master data'!$A$1:$F$1000,6,FALSE),"")</f>
        <v/>
      </c>
      <c r="F699" s="7" t="str">
        <f>IFERROR(VLOOKUP(B699,'Master data'!$A$1:$F$1000,3,FALSE),"")</f>
        <v/>
      </c>
      <c r="I699" s="16"/>
      <c r="J699" s="16"/>
      <c r="K699" s="16" t="b">
        <v>0</v>
      </c>
      <c r="L699" s="16" t="b">
        <v>0</v>
      </c>
    </row>
    <row r="700">
      <c r="A700" s="9"/>
      <c r="B700" s="16"/>
      <c r="C700" s="7" t="str">
        <f>IFERROR(VLOOKUP(B700,'Master data'!$A$1:$F$1000,2,FALSE),"")</f>
        <v/>
      </c>
      <c r="D700" s="7" t="str">
        <f>IFERROR(VLOOKUP(B700,'Master data'!$A$1:$F$1000,6,FALSE),"")</f>
        <v/>
      </c>
      <c r="F700" s="7" t="str">
        <f>IFERROR(VLOOKUP(B700,'Master data'!$A$1:$F$1000,3,FALSE),"")</f>
        <v/>
      </c>
      <c r="I700" s="16"/>
      <c r="J700" s="16"/>
      <c r="K700" s="16" t="b">
        <v>0</v>
      </c>
      <c r="L700" s="16" t="b">
        <v>0</v>
      </c>
    </row>
    <row r="701">
      <c r="A701" s="9"/>
      <c r="B701" s="16"/>
      <c r="C701" s="7" t="str">
        <f>IFERROR(VLOOKUP(B701,'Master data'!$A$1:$F$1000,2,FALSE),"")</f>
        <v/>
      </c>
      <c r="D701" s="7" t="str">
        <f>IFERROR(VLOOKUP(B701,'Master data'!$A$1:$F$1000,6,FALSE),"")</f>
        <v/>
      </c>
      <c r="F701" s="7" t="str">
        <f>IFERROR(VLOOKUP(B701,'Master data'!$A$1:$F$1000,3,FALSE),"")</f>
        <v/>
      </c>
      <c r="I701" s="16"/>
      <c r="J701" s="16"/>
      <c r="K701" s="16" t="b">
        <v>0</v>
      </c>
      <c r="L701" s="16" t="b">
        <v>0</v>
      </c>
    </row>
    <row r="702">
      <c r="A702" s="9"/>
      <c r="B702" s="16"/>
      <c r="C702" s="7" t="str">
        <f>IFERROR(VLOOKUP(B702,'Master data'!$A$1:$F$1000,2,FALSE),"")</f>
        <v/>
      </c>
      <c r="D702" s="7" t="str">
        <f>IFERROR(VLOOKUP(B702,'Master data'!$A$1:$F$1000,6,FALSE),"")</f>
        <v/>
      </c>
      <c r="F702" s="7" t="str">
        <f>IFERROR(VLOOKUP(B702,'Master data'!$A$1:$F$1000,3,FALSE),"")</f>
        <v/>
      </c>
      <c r="I702" s="16"/>
      <c r="J702" s="16"/>
      <c r="K702" s="16" t="b">
        <v>0</v>
      </c>
      <c r="L702" s="16" t="b">
        <v>0</v>
      </c>
    </row>
    <row r="703">
      <c r="A703" s="9"/>
      <c r="B703" s="16"/>
      <c r="C703" s="7" t="str">
        <f>IFERROR(VLOOKUP(B703,'Master data'!$A$1:$F$1000,2,FALSE),"")</f>
        <v/>
      </c>
      <c r="D703" s="7" t="str">
        <f>IFERROR(VLOOKUP(B703,'Master data'!$A$1:$F$1000,6,FALSE),"")</f>
        <v/>
      </c>
      <c r="F703" s="7" t="str">
        <f>IFERROR(VLOOKUP(B703,'Master data'!$A$1:$F$1000,3,FALSE),"")</f>
        <v/>
      </c>
      <c r="I703" s="16"/>
      <c r="J703" s="16"/>
      <c r="K703" s="16" t="b">
        <v>0</v>
      </c>
      <c r="L703" s="16" t="b">
        <v>0</v>
      </c>
    </row>
    <row r="704">
      <c r="A704" s="9"/>
      <c r="B704" s="16"/>
      <c r="C704" s="7" t="str">
        <f>IFERROR(VLOOKUP(B704,'Master data'!$A$1:$F$1000,2,FALSE),"")</f>
        <v/>
      </c>
      <c r="D704" s="7" t="str">
        <f>IFERROR(VLOOKUP(B704,'Master data'!$A$1:$F$1000,6,FALSE),"")</f>
        <v/>
      </c>
      <c r="F704" s="7" t="str">
        <f>IFERROR(VLOOKUP(B704,'Master data'!$A$1:$F$1000,3,FALSE),"")</f>
        <v/>
      </c>
      <c r="I704" s="16"/>
      <c r="J704" s="16"/>
      <c r="K704" s="16" t="b">
        <v>0</v>
      </c>
      <c r="L704" s="16" t="b">
        <v>0</v>
      </c>
    </row>
    <row r="705">
      <c r="A705" s="9"/>
      <c r="B705" s="16"/>
      <c r="C705" s="7" t="str">
        <f>IFERROR(VLOOKUP(B705,'Master data'!$A$1:$F$1000,2,FALSE),"")</f>
        <v/>
      </c>
      <c r="D705" s="7" t="str">
        <f>IFERROR(VLOOKUP(B705,'Master data'!$A$1:$F$1000,6,FALSE),"")</f>
        <v/>
      </c>
      <c r="F705" s="7" t="str">
        <f>IFERROR(VLOOKUP(B705,'Master data'!$A$1:$F$1000,3,FALSE),"")</f>
        <v/>
      </c>
      <c r="I705" s="16"/>
      <c r="J705" s="16"/>
      <c r="K705" s="16" t="b">
        <v>0</v>
      </c>
      <c r="L705" s="16" t="b">
        <v>0</v>
      </c>
    </row>
    <row r="706">
      <c r="A706" s="9"/>
      <c r="B706" s="16"/>
      <c r="C706" s="7" t="str">
        <f>IFERROR(VLOOKUP(B706,'Master data'!$A$1:$F$1000,2,FALSE),"")</f>
        <v/>
      </c>
      <c r="D706" s="7" t="str">
        <f>IFERROR(VLOOKUP(B706,'Master data'!$A$1:$F$1000,6,FALSE),"")</f>
        <v/>
      </c>
      <c r="F706" s="7" t="str">
        <f>IFERROR(VLOOKUP(B706,'Master data'!$A$1:$F$1000,3,FALSE),"")</f>
        <v/>
      </c>
      <c r="I706" s="16"/>
      <c r="J706" s="16"/>
      <c r="K706" s="16" t="b">
        <v>0</v>
      </c>
      <c r="L706" s="16" t="b">
        <v>0</v>
      </c>
    </row>
    <row r="707">
      <c r="A707" s="9"/>
      <c r="B707" s="16"/>
      <c r="C707" s="7" t="str">
        <f>IFERROR(VLOOKUP(B707,'Master data'!$A$1:$F$1000,2,FALSE),"")</f>
        <v/>
      </c>
      <c r="D707" s="7" t="str">
        <f>IFERROR(VLOOKUP(B707,'Master data'!$A$1:$F$1000,6,FALSE),"")</f>
        <v/>
      </c>
      <c r="F707" s="7" t="str">
        <f>IFERROR(VLOOKUP(B707,'Master data'!$A$1:$F$1000,3,FALSE),"")</f>
        <v/>
      </c>
      <c r="I707" s="16"/>
      <c r="J707" s="16"/>
      <c r="K707" s="16" t="b">
        <v>0</v>
      </c>
      <c r="L707" s="16" t="b">
        <v>0</v>
      </c>
    </row>
    <row r="708">
      <c r="A708" s="9"/>
      <c r="B708" s="16"/>
      <c r="C708" s="7" t="str">
        <f>IFERROR(VLOOKUP(B708,'Master data'!$A$1:$F$1000,2,FALSE),"")</f>
        <v/>
      </c>
      <c r="D708" s="7" t="str">
        <f>IFERROR(VLOOKUP(B708,'Master data'!$A$1:$F$1000,6,FALSE),"")</f>
        <v/>
      </c>
      <c r="F708" s="7" t="str">
        <f>IFERROR(VLOOKUP(B708,'Master data'!$A$1:$F$1000,3,FALSE),"")</f>
        <v/>
      </c>
      <c r="I708" s="16"/>
      <c r="J708" s="16"/>
      <c r="K708" s="16" t="b">
        <v>0</v>
      </c>
      <c r="L708" s="16" t="b">
        <v>0</v>
      </c>
    </row>
    <row r="709">
      <c r="A709" s="9"/>
      <c r="B709" s="16"/>
      <c r="C709" s="7" t="str">
        <f>IFERROR(VLOOKUP(B709,'Master data'!$A$1:$F$1000,2,FALSE),"")</f>
        <v/>
      </c>
      <c r="D709" s="7" t="str">
        <f>IFERROR(VLOOKUP(B709,'Master data'!$A$1:$F$1000,6,FALSE),"")</f>
        <v/>
      </c>
      <c r="F709" s="7" t="str">
        <f>IFERROR(VLOOKUP(B709,'Master data'!$A$1:$F$1000,3,FALSE),"")</f>
        <v/>
      </c>
      <c r="I709" s="16"/>
      <c r="J709" s="16"/>
      <c r="K709" s="16" t="b">
        <v>0</v>
      </c>
      <c r="L709" s="16" t="b">
        <v>0</v>
      </c>
    </row>
    <row r="710">
      <c r="A710" s="9"/>
      <c r="B710" s="16"/>
      <c r="C710" s="7" t="str">
        <f>IFERROR(VLOOKUP(B710,'Master data'!$A$1:$F$1000,2,FALSE),"")</f>
        <v/>
      </c>
      <c r="D710" s="7" t="str">
        <f>IFERROR(VLOOKUP(B710,'Master data'!$A$1:$F$1000,6,FALSE),"")</f>
        <v/>
      </c>
      <c r="F710" s="7" t="str">
        <f>IFERROR(VLOOKUP(B710,'Master data'!$A$1:$F$1000,3,FALSE),"")</f>
        <v/>
      </c>
      <c r="I710" s="16"/>
      <c r="J710" s="16"/>
      <c r="K710" s="16" t="b">
        <v>0</v>
      </c>
      <c r="L710" s="16" t="b">
        <v>0</v>
      </c>
    </row>
    <row r="711">
      <c r="A711" s="9"/>
      <c r="B711" s="16"/>
      <c r="C711" s="7" t="str">
        <f>IFERROR(VLOOKUP(B711,'Master data'!$A$1:$F$1000,2,FALSE),"")</f>
        <v/>
      </c>
      <c r="D711" s="7" t="str">
        <f>IFERROR(VLOOKUP(B711,'Master data'!$A$1:$F$1000,6,FALSE),"")</f>
        <v/>
      </c>
      <c r="F711" s="7" t="str">
        <f>IFERROR(VLOOKUP(B711,'Master data'!$A$1:$F$1000,3,FALSE),"")</f>
        <v/>
      </c>
      <c r="I711" s="16"/>
      <c r="J711" s="16"/>
      <c r="K711" s="16" t="b">
        <v>0</v>
      </c>
      <c r="L711" s="16" t="b">
        <v>0</v>
      </c>
    </row>
    <row r="712">
      <c r="A712" s="9"/>
      <c r="B712" s="16"/>
      <c r="C712" s="7" t="str">
        <f>IFERROR(VLOOKUP(B712,'Master data'!$A$1:$F$1000,2,FALSE),"")</f>
        <v/>
      </c>
      <c r="D712" s="7" t="str">
        <f>IFERROR(VLOOKUP(B712,'Master data'!$A$1:$F$1000,6,FALSE),"")</f>
        <v/>
      </c>
      <c r="F712" s="7" t="str">
        <f>IFERROR(VLOOKUP(B712,'Master data'!$A$1:$F$1000,3,FALSE),"")</f>
        <v/>
      </c>
      <c r="I712" s="16"/>
      <c r="J712" s="16"/>
      <c r="K712" s="16" t="b">
        <v>0</v>
      </c>
      <c r="L712" s="16" t="b">
        <v>0</v>
      </c>
    </row>
    <row r="713">
      <c r="A713" s="9"/>
      <c r="B713" s="16"/>
      <c r="C713" s="7" t="str">
        <f>IFERROR(VLOOKUP(B713,'Master data'!$A$1:$F$1000,2,FALSE),"")</f>
        <v/>
      </c>
      <c r="D713" s="7" t="str">
        <f>IFERROR(VLOOKUP(B713,'Master data'!$A$1:$F$1000,6,FALSE),"")</f>
        <v/>
      </c>
      <c r="F713" s="7" t="str">
        <f>IFERROR(VLOOKUP(B713,'Master data'!$A$1:$F$1000,3,FALSE),"")</f>
        <v/>
      </c>
      <c r="I713" s="16"/>
      <c r="J713" s="16"/>
      <c r="K713" s="16" t="b">
        <v>0</v>
      </c>
      <c r="L713" s="16" t="b">
        <v>0</v>
      </c>
    </row>
    <row r="714">
      <c r="A714" s="9"/>
      <c r="B714" s="16"/>
      <c r="C714" s="7" t="str">
        <f>IFERROR(VLOOKUP(B714,'Master data'!$A$1:$F$1000,2,FALSE),"")</f>
        <v/>
      </c>
      <c r="D714" s="7" t="str">
        <f>IFERROR(VLOOKUP(B714,'Master data'!$A$1:$F$1000,6,FALSE),"")</f>
        <v/>
      </c>
      <c r="F714" s="7" t="str">
        <f>IFERROR(VLOOKUP(B714,'Master data'!$A$1:$F$1000,3,FALSE),"")</f>
        <v/>
      </c>
      <c r="I714" s="16"/>
      <c r="J714" s="16"/>
      <c r="K714" s="16" t="b">
        <v>0</v>
      </c>
      <c r="L714" s="16" t="b">
        <v>0</v>
      </c>
    </row>
    <row r="715">
      <c r="A715" s="9"/>
      <c r="B715" s="16"/>
      <c r="C715" s="7" t="str">
        <f>IFERROR(VLOOKUP(B715,'Master data'!$A$1:$F$1000,2,FALSE),"")</f>
        <v/>
      </c>
      <c r="D715" s="7" t="str">
        <f>IFERROR(VLOOKUP(B715,'Master data'!$A$1:$F$1000,6,FALSE),"")</f>
        <v/>
      </c>
      <c r="F715" s="7" t="str">
        <f>IFERROR(VLOOKUP(B715,'Master data'!$A$1:$F$1000,3,FALSE),"")</f>
        <v/>
      </c>
      <c r="I715" s="16"/>
      <c r="J715" s="16"/>
      <c r="K715" s="16" t="b">
        <v>0</v>
      </c>
      <c r="L715" s="16" t="b">
        <v>0</v>
      </c>
    </row>
    <row r="716">
      <c r="A716" s="9"/>
      <c r="B716" s="16"/>
      <c r="C716" s="7" t="str">
        <f>IFERROR(VLOOKUP(B716,'Master data'!$A$1:$F$1000,2,FALSE),"")</f>
        <v/>
      </c>
      <c r="D716" s="7" t="str">
        <f>IFERROR(VLOOKUP(B716,'Master data'!$A$1:$F$1000,6,FALSE),"")</f>
        <v/>
      </c>
      <c r="F716" s="7" t="str">
        <f>IFERROR(VLOOKUP(B716,'Master data'!$A$1:$F$1000,3,FALSE),"")</f>
        <v/>
      </c>
      <c r="I716" s="16"/>
      <c r="J716" s="16"/>
      <c r="K716" s="16" t="b">
        <v>0</v>
      </c>
      <c r="L716" s="16" t="b">
        <v>0</v>
      </c>
    </row>
    <row r="717">
      <c r="A717" s="9"/>
      <c r="B717" s="16"/>
      <c r="C717" s="7" t="str">
        <f>IFERROR(VLOOKUP(B717,'Master data'!$A$1:$F$1000,2,FALSE),"")</f>
        <v/>
      </c>
      <c r="D717" s="7" t="str">
        <f>IFERROR(VLOOKUP(B717,'Master data'!$A$1:$F$1000,6,FALSE),"")</f>
        <v/>
      </c>
      <c r="F717" s="7" t="str">
        <f>IFERROR(VLOOKUP(B717,'Master data'!$A$1:$F$1000,3,FALSE),"")</f>
        <v/>
      </c>
      <c r="I717" s="16"/>
      <c r="J717" s="16"/>
      <c r="K717" s="16" t="b">
        <v>0</v>
      </c>
      <c r="L717" s="16" t="b">
        <v>0</v>
      </c>
    </row>
    <row r="718">
      <c r="A718" s="9"/>
      <c r="B718" s="16"/>
      <c r="C718" s="7" t="str">
        <f>IFERROR(VLOOKUP(B718,'Master data'!$A$1:$F$1000,2,FALSE),"")</f>
        <v/>
      </c>
      <c r="D718" s="7" t="str">
        <f>IFERROR(VLOOKUP(B718,'Master data'!$A$1:$F$1000,6,FALSE),"")</f>
        <v/>
      </c>
      <c r="F718" s="7" t="str">
        <f>IFERROR(VLOOKUP(B718,'Master data'!$A$1:$F$1000,3,FALSE),"")</f>
        <v/>
      </c>
      <c r="I718" s="16"/>
      <c r="J718" s="16"/>
      <c r="K718" s="16" t="b">
        <v>0</v>
      </c>
      <c r="L718" s="16" t="b">
        <v>0</v>
      </c>
    </row>
    <row r="719">
      <c r="A719" s="9"/>
      <c r="B719" s="16"/>
      <c r="C719" s="7" t="str">
        <f>IFERROR(VLOOKUP(B719,'Master data'!$A$1:$F$1000,2,FALSE),"")</f>
        <v/>
      </c>
      <c r="D719" s="7" t="str">
        <f>IFERROR(VLOOKUP(B719,'Master data'!$A$1:$F$1000,6,FALSE),"")</f>
        <v/>
      </c>
      <c r="F719" s="7" t="str">
        <f>IFERROR(VLOOKUP(B719,'Master data'!$A$1:$F$1000,3,FALSE),"")</f>
        <v/>
      </c>
      <c r="I719" s="16"/>
      <c r="J719" s="16"/>
      <c r="K719" s="16" t="b">
        <v>0</v>
      </c>
      <c r="L719" s="16" t="b">
        <v>0</v>
      </c>
    </row>
    <row r="720">
      <c r="A720" s="9"/>
      <c r="B720" s="16"/>
      <c r="C720" s="7" t="str">
        <f>IFERROR(VLOOKUP(B720,'Master data'!$A$1:$F$1000,2,FALSE),"")</f>
        <v/>
      </c>
      <c r="D720" s="7" t="str">
        <f>IFERROR(VLOOKUP(B720,'Master data'!$A$1:$F$1000,6,FALSE),"")</f>
        <v/>
      </c>
      <c r="F720" s="7" t="str">
        <f>IFERROR(VLOOKUP(B720,'Master data'!$A$1:$F$1000,3,FALSE),"")</f>
        <v/>
      </c>
      <c r="I720" s="16"/>
      <c r="J720" s="16"/>
      <c r="K720" s="16" t="b">
        <v>0</v>
      </c>
      <c r="L720" s="16" t="b">
        <v>0</v>
      </c>
    </row>
    <row r="721">
      <c r="A721" s="9"/>
      <c r="B721" s="16"/>
      <c r="C721" s="7" t="str">
        <f>IFERROR(VLOOKUP(B721,'Master data'!$A$1:$F$1000,2,FALSE),"")</f>
        <v/>
      </c>
      <c r="D721" s="7" t="str">
        <f>IFERROR(VLOOKUP(B721,'Master data'!$A$1:$F$1000,6,FALSE),"")</f>
        <v/>
      </c>
      <c r="F721" s="7" t="str">
        <f>IFERROR(VLOOKUP(B721,'Master data'!$A$1:$F$1000,3,FALSE),"")</f>
        <v/>
      </c>
      <c r="I721" s="16"/>
      <c r="J721" s="16"/>
      <c r="K721" s="16" t="b">
        <v>0</v>
      </c>
      <c r="L721" s="16" t="b">
        <v>0</v>
      </c>
    </row>
    <row r="722">
      <c r="A722" s="9"/>
      <c r="B722" s="16"/>
      <c r="C722" s="7" t="str">
        <f>IFERROR(VLOOKUP(B722,'Master data'!$A$1:$F$1000,2,FALSE),"")</f>
        <v/>
      </c>
      <c r="D722" s="7" t="str">
        <f>IFERROR(VLOOKUP(B722,'Master data'!$A$1:$F$1000,6,FALSE),"")</f>
        <v/>
      </c>
      <c r="F722" s="7" t="str">
        <f>IFERROR(VLOOKUP(B722,'Master data'!$A$1:$F$1000,3,FALSE),"")</f>
        <v/>
      </c>
      <c r="I722" s="16"/>
      <c r="J722" s="16"/>
      <c r="K722" s="16" t="b">
        <v>0</v>
      </c>
      <c r="L722" s="16" t="b">
        <v>0</v>
      </c>
    </row>
    <row r="723">
      <c r="A723" s="9"/>
      <c r="B723" s="16"/>
      <c r="C723" s="7" t="str">
        <f>IFERROR(VLOOKUP(B723,'Master data'!$A$1:$F$1000,2,FALSE),"")</f>
        <v/>
      </c>
      <c r="D723" s="7" t="str">
        <f>IFERROR(VLOOKUP(B723,'Master data'!$A$1:$F$1000,6,FALSE),"")</f>
        <v/>
      </c>
      <c r="F723" s="7" t="str">
        <f>IFERROR(VLOOKUP(B723,'Master data'!$A$1:$F$1000,3,FALSE),"")</f>
        <v/>
      </c>
      <c r="I723" s="16"/>
      <c r="J723" s="16"/>
      <c r="K723" s="16" t="b">
        <v>0</v>
      </c>
      <c r="L723" s="16" t="b">
        <v>0</v>
      </c>
    </row>
    <row r="724">
      <c r="A724" s="9"/>
      <c r="B724" s="16"/>
      <c r="C724" s="7" t="str">
        <f>IFERROR(VLOOKUP(B724,'Master data'!$A$1:$F$1000,2,FALSE),"")</f>
        <v/>
      </c>
      <c r="D724" s="7" t="str">
        <f>IFERROR(VLOOKUP(B724,'Master data'!$A$1:$F$1000,6,FALSE),"")</f>
        <v/>
      </c>
      <c r="F724" s="7" t="str">
        <f>IFERROR(VLOOKUP(B724,'Master data'!$A$1:$F$1000,3,FALSE),"")</f>
        <v/>
      </c>
      <c r="I724" s="16"/>
      <c r="J724" s="16"/>
      <c r="K724" s="16" t="b">
        <v>0</v>
      </c>
      <c r="L724" s="16" t="b">
        <v>0</v>
      </c>
    </row>
    <row r="725">
      <c r="A725" s="9"/>
      <c r="B725" s="16"/>
      <c r="C725" s="7" t="str">
        <f>IFERROR(VLOOKUP(B725,'Master data'!$A$1:$F$1000,2,FALSE),"")</f>
        <v/>
      </c>
      <c r="D725" s="7" t="str">
        <f>IFERROR(VLOOKUP(B725,'Master data'!$A$1:$F$1000,6,FALSE),"")</f>
        <v/>
      </c>
      <c r="F725" s="7" t="str">
        <f>IFERROR(VLOOKUP(B725,'Master data'!$A$1:$F$1000,3,FALSE),"")</f>
        <v/>
      </c>
      <c r="I725" s="16"/>
      <c r="J725" s="16"/>
      <c r="K725" s="16" t="b">
        <v>0</v>
      </c>
      <c r="L725" s="16" t="b">
        <v>0</v>
      </c>
    </row>
    <row r="726">
      <c r="A726" s="9"/>
      <c r="B726" s="16"/>
      <c r="C726" s="7" t="str">
        <f>IFERROR(VLOOKUP(B726,'Master data'!$A$1:$F$1000,2,FALSE),"")</f>
        <v/>
      </c>
      <c r="D726" s="7" t="str">
        <f>IFERROR(VLOOKUP(B726,'Master data'!$A$1:$F$1000,6,FALSE),"")</f>
        <v/>
      </c>
      <c r="F726" s="7" t="str">
        <f>IFERROR(VLOOKUP(B726,'Master data'!$A$1:$F$1000,3,FALSE),"")</f>
        <v/>
      </c>
      <c r="I726" s="16"/>
      <c r="J726" s="16"/>
      <c r="K726" s="16" t="b">
        <v>0</v>
      </c>
      <c r="L726" s="16" t="b">
        <v>0</v>
      </c>
    </row>
    <row r="727">
      <c r="A727" s="9"/>
      <c r="B727" s="16"/>
      <c r="C727" s="7" t="str">
        <f>IFERROR(VLOOKUP(B727,'Master data'!$A$1:$F$1000,2,FALSE),"")</f>
        <v/>
      </c>
      <c r="D727" s="7" t="str">
        <f>IFERROR(VLOOKUP(B727,'Master data'!$A$1:$F$1000,6,FALSE),"")</f>
        <v/>
      </c>
      <c r="F727" s="7" t="str">
        <f>IFERROR(VLOOKUP(B727,'Master data'!$A$1:$F$1000,3,FALSE),"")</f>
        <v/>
      </c>
      <c r="I727" s="16"/>
      <c r="J727" s="16"/>
      <c r="K727" s="16" t="b">
        <v>0</v>
      </c>
      <c r="L727" s="16" t="b">
        <v>0</v>
      </c>
    </row>
    <row r="728">
      <c r="A728" s="9"/>
      <c r="B728" s="16"/>
      <c r="C728" s="7" t="str">
        <f>IFERROR(VLOOKUP(B728,'Master data'!$A$1:$F$1000,2,FALSE),"")</f>
        <v/>
      </c>
      <c r="D728" s="7" t="str">
        <f>IFERROR(VLOOKUP(B728,'Master data'!$A$1:$F$1000,6,FALSE),"")</f>
        <v/>
      </c>
      <c r="F728" s="7" t="str">
        <f>IFERROR(VLOOKUP(B728,'Master data'!$A$1:$F$1000,3,FALSE),"")</f>
        <v/>
      </c>
      <c r="I728" s="16"/>
      <c r="J728" s="16"/>
      <c r="K728" s="16" t="b">
        <v>0</v>
      </c>
      <c r="L728" s="16" t="b">
        <v>0</v>
      </c>
    </row>
    <row r="729">
      <c r="A729" s="9"/>
      <c r="B729" s="16"/>
      <c r="C729" s="7" t="str">
        <f>IFERROR(VLOOKUP(B729,'Master data'!$A$1:$F$1000,2,FALSE),"")</f>
        <v/>
      </c>
      <c r="D729" s="7" t="str">
        <f>IFERROR(VLOOKUP(B729,'Master data'!$A$1:$F$1000,6,FALSE),"")</f>
        <v/>
      </c>
      <c r="F729" s="7" t="str">
        <f>IFERROR(VLOOKUP(B729,'Master data'!$A$1:$F$1000,3,FALSE),"")</f>
        <v/>
      </c>
      <c r="I729" s="16"/>
      <c r="J729" s="16"/>
      <c r="K729" s="16" t="b">
        <v>0</v>
      </c>
      <c r="L729" s="16" t="b">
        <v>0</v>
      </c>
    </row>
    <row r="730">
      <c r="A730" s="9"/>
      <c r="B730" s="16"/>
      <c r="C730" s="7" t="str">
        <f>IFERROR(VLOOKUP(B730,'Master data'!$A$1:$F$1000,2,FALSE),"")</f>
        <v/>
      </c>
      <c r="D730" s="7" t="str">
        <f>IFERROR(VLOOKUP(B730,'Master data'!$A$1:$F$1000,6,FALSE),"")</f>
        <v/>
      </c>
      <c r="F730" s="7" t="str">
        <f>IFERROR(VLOOKUP(B730,'Master data'!$A$1:$F$1000,3,FALSE),"")</f>
        <v/>
      </c>
      <c r="I730" s="16"/>
      <c r="J730" s="16"/>
      <c r="K730" s="16" t="b">
        <v>0</v>
      </c>
      <c r="L730" s="16" t="b">
        <v>0</v>
      </c>
    </row>
    <row r="731">
      <c r="A731" s="9"/>
      <c r="B731" s="16"/>
      <c r="C731" s="7" t="str">
        <f>IFERROR(VLOOKUP(B731,'Master data'!$A$1:$F$1000,2,FALSE),"")</f>
        <v/>
      </c>
      <c r="D731" s="7" t="str">
        <f>IFERROR(VLOOKUP(B731,'Master data'!$A$1:$F$1000,6,FALSE),"")</f>
        <v/>
      </c>
      <c r="F731" s="7" t="str">
        <f>IFERROR(VLOOKUP(B731,'Master data'!$A$1:$F$1000,3,FALSE),"")</f>
        <v/>
      </c>
      <c r="I731" s="16"/>
      <c r="J731" s="16"/>
      <c r="K731" s="16" t="b">
        <v>0</v>
      </c>
      <c r="L731" s="16" t="b">
        <v>0</v>
      </c>
    </row>
    <row r="732">
      <c r="A732" s="9"/>
      <c r="B732" s="16"/>
      <c r="C732" s="7" t="str">
        <f>IFERROR(VLOOKUP(B732,'Master data'!$A$1:$F$1000,2,FALSE),"")</f>
        <v/>
      </c>
      <c r="D732" s="7" t="str">
        <f>IFERROR(VLOOKUP(B732,'Master data'!$A$1:$F$1000,6,FALSE),"")</f>
        <v/>
      </c>
      <c r="F732" s="7" t="str">
        <f>IFERROR(VLOOKUP(B732,'Master data'!$A$1:$F$1000,3,FALSE),"")</f>
        <v/>
      </c>
      <c r="I732" s="16"/>
      <c r="J732" s="16"/>
      <c r="K732" s="16" t="b">
        <v>0</v>
      </c>
      <c r="L732" s="16" t="b">
        <v>0</v>
      </c>
    </row>
    <row r="733">
      <c r="A733" s="9"/>
      <c r="B733" s="16"/>
      <c r="C733" s="7" t="str">
        <f>IFERROR(VLOOKUP(B733,'Master data'!$A$1:$F$1000,2,FALSE),"")</f>
        <v/>
      </c>
      <c r="D733" s="7" t="str">
        <f>IFERROR(VLOOKUP(B733,'Master data'!$A$1:$F$1000,6,FALSE),"")</f>
        <v/>
      </c>
      <c r="F733" s="7" t="str">
        <f>IFERROR(VLOOKUP(B733,'Master data'!$A$1:$F$1000,3,FALSE),"")</f>
        <v/>
      </c>
      <c r="I733" s="16"/>
      <c r="J733" s="16"/>
      <c r="K733" s="16" t="b">
        <v>0</v>
      </c>
      <c r="L733" s="16" t="b">
        <v>0</v>
      </c>
    </row>
    <row r="734">
      <c r="A734" s="9"/>
      <c r="B734" s="16"/>
      <c r="C734" s="7" t="str">
        <f>IFERROR(VLOOKUP(B734,'Master data'!$A$1:$F$1000,2,FALSE),"")</f>
        <v/>
      </c>
      <c r="D734" s="7" t="str">
        <f>IFERROR(VLOOKUP(B734,'Master data'!$A$1:$F$1000,6,FALSE),"")</f>
        <v/>
      </c>
      <c r="F734" s="7" t="str">
        <f>IFERROR(VLOOKUP(B734,'Master data'!$A$1:$F$1000,3,FALSE),"")</f>
        <v/>
      </c>
      <c r="I734" s="16"/>
      <c r="J734" s="16"/>
      <c r="K734" s="16" t="b">
        <v>0</v>
      </c>
      <c r="L734" s="16" t="b">
        <v>0</v>
      </c>
    </row>
    <row r="735">
      <c r="A735" s="9"/>
      <c r="B735" s="16"/>
      <c r="C735" s="7" t="str">
        <f>IFERROR(VLOOKUP(B735,'Master data'!$A$1:$F$1000,2,FALSE),"")</f>
        <v/>
      </c>
      <c r="D735" s="7" t="str">
        <f>IFERROR(VLOOKUP(B735,'Master data'!$A$1:$F$1000,6,FALSE),"")</f>
        <v/>
      </c>
      <c r="F735" s="7" t="str">
        <f>IFERROR(VLOOKUP(B735,'Master data'!$A$1:$F$1000,3,FALSE),"")</f>
        <v/>
      </c>
      <c r="I735" s="16"/>
      <c r="J735" s="16"/>
      <c r="K735" s="16" t="b">
        <v>0</v>
      </c>
      <c r="L735" s="16" t="b">
        <v>0</v>
      </c>
    </row>
    <row r="736">
      <c r="A736" s="9"/>
      <c r="B736" s="16"/>
      <c r="C736" s="7" t="str">
        <f>IFERROR(VLOOKUP(B736,'Master data'!$A$1:$F$1000,2,FALSE),"")</f>
        <v/>
      </c>
      <c r="D736" s="7" t="str">
        <f>IFERROR(VLOOKUP(B736,'Master data'!$A$1:$F$1000,6,FALSE),"")</f>
        <v/>
      </c>
      <c r="F736" s="7" t="str">
        <f>IFERROR(VLOOKUP(B736,'Master data'!$A$1:$F$1000,3,FALSE),"")</f>
        <v/>
      </c>
      <c r="I736" s="16"/>
      <c r="J736" s="16"/>
      <c r="K736" s="16" t="b">
        <v>0</v>
      </c>
      <c r="L736" s="16" t="b">
        <v>0</v>
      </c>
    </row>
    <row r="737">
      <c r="A737" s="9"/>
      <c r="B737" s="16"/>
      <c r="C737" s="7" t="str">
        <f>IFERROR(VLOOKUP(B737,'Master data'!$A$1:$F$1000,2,FALSE),"")</f>
        <v/>
      </c>
      <c r="D737" s="7" t="str">
        <f>IFERROR(VLOOKUP(B737,'Master data'!$A$1:$F$1000,6,FALSE),"")</f>
        <v/>
      </c>
      <c r="F737" s="7" t="str">
        <f>IFERROR(VLOOKUP(B737,'Master data'!$A$1:$F$1000,3,FALSE),"")</f>
        <v/>
      </c>
      <c r="I737" s="16"/>
      <c r="J737" s="16"/>
      <c r="K737" s="16" t="b">
        <v>0</v>
      </c>
      <c r="L737" s="16" t="b">
        <v>0</v>
      </c>
    </row>
    <row r="738">
      <c r="A738" s="9"/>
      <c r="B738" s="16"/>
      <c r="C738" s="7" t="str">
        <f>IFERROR(VLOOKUP(B738,'Master data'!$A$1:$F$1000,2,FALSE),"")</f>
        <v/>
      </c>
      <c r="D738" s="7" t="str">
        <f>IFERROR(VLOOKUP(B738,'Master data'!$A$1:$F$1000,6,FALSE),"")</f>
        <v/>
      </c>
      <c r="F738" s="7" t="str">
        <f>IFERROR(VLOOKUP(B738,'Master data'!$A$1:$F$1000,3,FALSE),"")</f>
        <v/>
      </c>
      <c r="I738" s="16"/>
      <c r="J738" s="16"/>
      <c r="K738" s="16" t="b">
        <v>0</v>
      </c>
      <c r="L738" s="16" t="b">
        <v>0</v>
      </c>
    </row>
    <row r="739">
      <c r="A739" s="9"/>
      <c r="B739" s="16"/>
      <c r="C739" s="7" t="str">
        <f>IFERROR(VLOOKUP(B739,'Master data'!$A$1:$F$1000,2,FALSE),"")</f>
        <v/>
      </c>
      <c r="D739" s="7" t="str">
        <f>IFERROR(VLOOKUP(B739,'Master data'!$A$1:$F$1000,6,FALSE),"")</f>
        <v/>
      </c>
      <c r="F739" s="7" t="str">
        <f>IFERROR(VLOOKUP(B739,'Master data'!$A$1:$F$1000,3,FALSE),"")</f>
        <v/>
      </c>
      <c r="I739" s="16"/>
      <c r="J739" s="16"/>
      <c r="K739" s="16" t="b">
        <v>0</v>
      </c>
      <c r="L739" s="16" t="b">
        <v>0</v>
      </c>
    </row>
    <row r="740">
      <c r="A740" s="9"/>
      <c r="B740" s="16"/>
      <c r="C740" s="7" t="str">
        <f>IFERROR(VLOOKUP(B740,'Master data'!$A$1:$F$1000,2,FALSE),"")</f>
        <v/>
      </c>
      <c r="D740" s="7" t="str">
        <f>IFERROR(VLOOKUP(B740,'Master data'!$A$1:$F$1000,6,FALSE),"")</f>
        <v/>
      </c>
      <c r="F740" s="7" t="str">
        <f>IFERROR(VLOOKUP(B740,'Master data'!$A$1:$F$1000,3,FALSE),"")</f>
        <v/>
      </c>
      <c r="I740" s="16"/>
      <c r="J740" s="16"/>
      <c r="K740" s="16" t="b">
        <v>0</v>
      </c>
      <c r="L740" s="16" t="b">
        <v>0</v>
      </c>
    </row>
    <row r="741">
      <c r="A741" s="9"/>
      <c r="B741" s="16"/>
      <c r="C741" s="7" t="str">
        <f>IFERROR(VLOOKUP(B741,'Master data'!$A$1:$F$1000,2,FALSE),"")</f>
        <v/>
      </c>
      <c r="D741" s="7" t="str">
        <f>IFERROR(VLOOKUP(B741,'Master data'!$A$1:$F$1000,6,FALSE),"")</f>
        <v/>
      </c>
      <c r="F741" s="7" t="str">
        <f>IFERROR(VLOOKUP(B741,'Master data'!$A$1:$F$1000,3,FALSE),"")</f>
        <v/>
      </c>
      <c r="I741" s="16"/>
      <c r="J741" s="16"/>
      <c r="K741" s="16" t="b">
        <v>0</v>
      </c>
      <c r="L741" s="16" t="b">
        <v>0</v>
      </c>
    </row>
    <row r="742">
      <c r="A742" s="9"/>
      <c r="B742" s="16"/>
      <c r="C742" s="7" t="str">
        <f>IFERROR(VLOOKUP(B742,'Master data'!$A$1:$F$1000,2,FALSE),"")</f>
        <v/>
      </c>
      <c r="D742" s="7" t="str">
        <f>IFERROR(VLOOKUP(B742,'Master data'!$A$1:$F$1000,6,FALSE),"")</f>
        <v/>
      </c>
      <c r="F742" s="7" t="str">
        <f>IFERROR(VLOOKUP(B742,'Master data'!$A$1:$F$1000,3,FALSE),"")</f>
        <v/>
      </c>
      <c r="I742" s="16"/>
      <c r="J742" s="16"/>
      <c r="K742" s="16" t="b">
        <v>0</v>
      </c>
      <c r="L742" s="16" t="b">
        <v>0</v>
      </c>
    </row>
    <row r="743">
      <c r="A743" s="9"/>
      <c r="B743" s="16"/>
      <c r="C743" s="7" t="str">
        <f>IFERROR(VLOOKUP(B743,'Master data'!$A$1:$F$1000,2,FALSE),"")</f>
        <v/>
      </c>
      <c r="D743" s="7" t="str">
        <f>IFERROR(VLOOKUP(B743,'Master data'!$A$1:$F$1000,6,FALSE),"")</f>
        <v/>
      </c>
      <c r="F743" s="7" t="str">
        <f>IFERROR(VLOOKUP(B743,'Master data'!$A$1:$F$1000,3,FALSE),"")</f>
        <v/>
      </c>
      <c r="I743" s="16"/>
      <c r="J743" s="16"/>
      <c r="K743" s="16" t="b">
        <v>0</v>
      </c>
      <c r="L743" s="16" t="b">
        <v>0</v>
      </c>
    </row>
    <row r="744">
      <c r="A744" s="9"/>
      <c r="B744" s="16"/>
      <c r="C744" s="7" t="str">
        <f>IFERROR(VLOOKUP(B744,'Master data'!$A$1:$F$1000,2,FALSE),"")</f>
        <v/>
      </c>
      <c r="D744" s="7" t="str">
        <f>IFERROR(VLOOKUP(B744,'Master data'!$A$1:$F$1000,6,FALSE),"")</f>
        <v/>
      </c>
      <c r="F744" s="7" t="str">
        <f>IFERROR(VLOOKUP(B744,'Master data'!$A$1:$F$1000,3,FALSE),"")</f>
        <v/>
      </c>
      <c r="I744" s="16"/>
      <c r="J744" s="16"/>
      <c r="K744" s="16" t="b">
        <v>0</v>
      </c>
      <c r="L744" s="16" t="b">
        <v>0</v>
      </c>
    </row>
    <row r="745">
      <c r="A745" s="9"/>
      <c r="B745" s="16"/>
      <c r="C745" s="7" t="str">
        <f>IFERROR(VLOOKUP(B745,'Master data'!$A$1:$F$1000,2,FALSE),"")</f>
        <v/>
      </c>
      <c r="D745" s="7" t="str">
        <f>IFERROR(VLOOKUP(B745,'Master data'!$A$1:$F$1000,6,FALSE),"")</f>
        <v/>
      </c>
      <c r="F745" s="7" t="str">
        <f>IFERROR(VLOOKUP(B745,'Master data'!$A$1:$F$1000,3,FALSE),"")</f>
        <v/>
      </c>
      <c r="I745" s="16"/>
      <c r="J745" s="16"/>
      <c r="K745" s="16" t="b">
        <v>0</v>
      </c>
      <c r="L745" s="16" t="b">
        <v>0</v>
      </c>
    </row>
    <row r="746">
      <c r="A746" s="9"/>
      <c r="B746" s="16"/>
      <c r="C746" s="7" t="str">
        <f>IFERROR(VLOOKUP(B746,'Master data'!$A$1:$F$1000,2,FALSE),"")</f>
        <v/>
      </c>
      <c r="D746" s="7" t="str">
        <f>IFERROR(VLOOKUP(B746,'Master data'!$A$1:$F$1000,6,FALSE),"")</f>
        <v/>
      </c>
      <c r="F746" s="7" t="str">
        <f>IFERROR(VLOOKUP(B746,'Master data'!$A$1:$F$1000,3,FALSE),"")</f>
        <v/>
      </c>
      <c r="I746" s="16"/>
      <c r="J746" s="16"/>
      <c r="K746" s="16" t="b">
        <v>0</v>
      </c>
      <c r="L746" s="16" t="b">
        <v>0</v>
      </c>
    </row>
    <row r="747">
      <c r="A747" s="9"/>
      <c r="B747" s="16"/>
      <c r="C747" s="7" t="str">
        <f>IFERROR(VLOOKUP(B747,'Master data'!$A$1:$F$1000,2,FALSE),"")</f>
        <v/>
      </c>
      <c r="D747" s="7" t="str">
        <f>IFERROR(VLOOKUP(B747,'Master data'!$A$1:$F$1000,6,FALSE),"")</f>
        <v/>
      </c>
      <c r="F747" s="7" t="str">
        <f>IFERROR(VLOOKUP(B747,'Master data'!$A$1:$F$1000,3,FALSE),"")</f>
        <v/>
      </c>
      <c r="I747" s="16"/>
      <c r="J747" s="16"/>
      <c r="K747" s="16" t="b">
        <v>0</v>
      </c>
      <c r="L747" s="16" t="b">
        <v>0</v>
      </c>
    </row>
    <row r="748">
      <c r="A748" s="9"/>
      <c r="B748" s="16"/>
      <c r="C748" s="7" t="str">
        <f>IFERROR(VLOOKUP(B748,'Master data'!$A$1:$F$1000,2,FALSE),"")</f>
        <v/>
      </c>
      <c r="D748" s="7" t="str">
        <f>IFERROR(VLOOKUP(B748,'Master data'!$A$1:$F$1000,6,FALSE),"")</f>
        <v/>
      </c>
      <c r="F748" s="7" t="str">
        <f>IFERROR(VLOOKUP(B748,'Master data'!$A$1:$F$1000,3,FALSE),"")</f>
        <v/>
      </c>
      <c r="I748" s="16"/>
      <c r="J748" s="16"/>
      <c r="K748" s="16" t="b">
        <v>0</v>
      </c>
      <c r="L748" s="16" t="b">
        <v>0</v>
      </c>
    </row>
    <row r="749">
      <c r="A749" s="9"/>
      <c r="B749" s="16"/>
      <c r="C749" s="7" t="str">
        <f>IFERROR(VLOOKUP(B749,'Master data'!$A$1:$F$1000,2,FALSE),"")</f>
        <v/>
      </c>
      <c r="D749" s="7" t="str">
        <f>IFERROR(VLOOKUP(B749,'Master data'!$A$1:$F$1000,6,FALSE),"")</f>
        <v/>
      </c>
      <c r="F749" s="7" t="str">
        <f>IFERROR(VLOOKUP(B749,'Master data'!$A$1:$F$1000,3,FALSE),"")</f>
        <v/>
      </c>
      <c r="I749" s="16"/>
      <c r="J749" s="16"/>
      <c r="K749" s="16" t="b">
        <v>0</v>
      </c>
      <c r="L749" s="16" t="b">
        <v>0</v>
      </c>
    </row>
    <row r="750">
      <c r="A750" s="9"/>
      <c r="B750" s="16"/>
      <c r="C750" s="7" t="str">
        <f>IFERROR(VLOOKUP(B750,'Master data'!$A$1:$F$1000,2,FALSE),"")</f>
        <v/>
      </c>
      <c r="D750" s="7" t="str">
        <f>IFERROR(VLOOKUP(B750,'Master data'!$A$1:$F$1000,6,FALSE),"")</f>
        <v/>
      </c>
      <c r="F750" s="7" t="str">
        <f>IFERROR(VLOOKUP(B750,'Master data'!$A$1:$F$1000,3,FALSE),"")</f>
        <v/>
      </c>
      <c r="I750" s="16"/>
      <c r="J750" s="16"/>
      <c r="K750" s="16" t="b">
        <v>0</v>
      </c>
      <c r="L750" s="16" t="b">
        <v>0</v>
      </c>
    </row>
    <row r="751">
      <c r="A751" s="9"/>
      <c r="B751" s="16"/>
      <c r="C751" s="7" t="str">
        <f>IFERROR(VLOOKUP(B751,'Master data'!$A$1:$F$1000,2,FALSE),"")</f>
        <v/>
      </c>
      <c r="D751" s="7" t="str">
        <f>IFERROR(VLOOKUP(B751,'Master data'!$A$1:$F$1000,6,FALSE),"")</f>
        <v/>
      </c>
      <c r="F751" s="7" t="str">
        <f>IFERROR(VLOOKUP(B751,'Master data'!$A$1:$F$1000,3,FALSE),"")</f>
        <v/>
      </c>
      <c r="I751" s="16"/>
      <c r="J751" s="16"/>
      <c r="K751" s="16" t="b">
        <v>0</v>
      </c>
      <c r="L751" s="16" t="b">
        <v>0</v>
      </c>
    </row>
    <row r="752">
      <c r="A752" s="9"/>
      <c r="B752" s="16"/>
      <c r="C752" s="7" t="str">
        <f>IFERROR(VLOOKUP(B752,'Master data'!$A$1:$F$1000,2,FALSE),"")</f>
        <v/>
      </c>
      <c r="D752" s="7" t="str">
        <f>IFERROR(VLOOKUP(B752,'Master data'!$A$1:$F$1000,6,FALSE),"")</f>
        <v/>
      </c>
      <c r="F752" s="7" t="str">
        <f>IFERROR(VLOOKUP(B752,'Master data'!$A$1:$F$1000,3,FALSE),"")</f>
        <v/>
      </c>
      <c r="I752" s="16"/>
      <c r="J752" s="16"/>
      <c r="K752" s="16" t="b">
        <v>0</v>
      </c>
      <c r="L752" s="16" t="b">
        <v>0</v>
      </c>
    </row>
    <row r="753">
      <c r="A753" s="9"/>
      <c r="B753" s="16"/>
      <c r="C753" s="7" t="str">
        <f>IFERROR(VLOOKUP(B753,'Master data'!$A$1:$F$1000,2,FALSE),"")</f>
        <v/>
      </c>
      <c r="D753" s="7" t="str">
        <f>IFERROR(VLOOKUP(B753,'Master data'!$A$1:$F$1000,6,FALSE),"")</f>
        <v/>
      </c>
      <c r="F753" s="7" t="str">
        <f>IFERROR(VLOOKUP(B753,'Master data'!$A$1:$F$1000,3,FALSE),"")</f>
        <v/>
      </c>
      <c r="I753" s="16"/>
      <c r="J753" s="16"/>
      <c r="K753" s="16" t="b">
        <v>0</v>
      </c>
      <c r="L753" s="16" t="b">
        <v>0</v>
      </c>
    </row>
    <row r="754">
      <c r="A754" s="9"/>
      <c r="B754" s="16"/>
      <c r="C754" s="7" t="str">
        <f>IFERROR(VLOOKUP(B754,'Master data'!$A$1:$F$1000,2,FALSE),"")</f>
        <v/>
      </c>
      <c r="D754" s="7" t="str">
        <f>IFERROR(VLOOKUP(B754,'Master data'!$A$1:$F$1000,6,FALSE),"")</f>
        <v/>
      </c>
      <c r="F754" s="7" t="str">
        <f>IFERROR(VLOOKUP(B754,'Master data'!$A$1:$F$1000,3,FALSE),"")</f>
        <v/>
      </c>
      <c r="I754" s="16"/>
      <c r="J754" s="16"/>
      <c r="K754" s="16" t="b">
        <v>0</v>
      </c>
      <c r="L754" s="16" t="b">
        <v>0</v>
      </c>
    </row>
    <row r="755">
      <c r="A755" s="9"/>
      <c r="B755" s="16"/>
      <c r="C755" s="7" t="str">
        <f>IFERROR(VLOOKUP(B755,'Master data'!$A$1:$F$1000,2,FALSE),"")</f>
        <v/>
      </c>
      <c r="D755" s="7" t="str">
        <f>IFERROR(VLOOKUP(B755,'Master data'!$A$1:$F$1000,6,FALSE),"")</f>
        <v/>
      </c>
      <c r="F755" s="7" t="str">
        <f>IFERROR(VLOOKUP(B755,'Master data'!$A$1:$F$1000,3,FALSE),"")</f>
        <v/>
      </c>
      <c r="I755" s="16"/>
      <c r="J755" s="16"/>
      <c r="K755" s="16" t="b">
        <v>0</v>
      </c>
      <c r="L755" s="16" t="b">
        <v>0</v>
      </c>
    </row>
    <row r="756">
      <c r="A756" s="9"/>
      <c r="B756" s="16"/>
      <c r="C756" s="7" t="str">
        <f>IFERROR(VLOOKUP(B756,'Master data'!$A$1:$F$1000,2,FALSE),"")</f>
        <v/>
      </c>
      <c r="D756" s="7" t="str">
        <f>IFERROR(VLOOKUP(B756,'Master data'!$A$1:$F$1000,6,FALSE),"")</f>
        <v/>
      </c>
      <c r="F756" s="7" t="str">
        <f>IFERROR(VLOOKUP(B756,'Master data'!$A$1:$F$1000,3,FALSE),"")</f>
        <v/>
      </c>
      <c r="I756" s="16"/>
      <c r="J756" s="16"/>
      <c r="K756" s="16" t="b">
        <v>0</v>
      </c>
      <c r="L756" s="16" t="b">
        <v>0</v>
      </c>
    </row>
    <row r="757">
      <c r="A757" s="9"/>
      <c r="B757" s="16"/>
      <c r="C757" s="7" t="str">
        <f>IFERROR(VLOOKUP(B757,'Master data'!$A$1:$F$1000,2,FALSE),"")</f>
        <v/>
      </c>
      <c r="D757" s="7" t="str">
        <f>IFERROR(VLOOKUP(B757,'Master data'!$A$1:$F$1000,6,FALSE),"")</f>
        <v/>
      </c>
      <c r="F757" s="7" t="str">
        <f>IFERROR(VLOOKUP(B757,'Master data'!$A$1:$F$1000,3,FALSE),"")</f>
        <v/>
      </c>
      <c r="I757" s="16"/>
      <c r="J757" s="16"/>
      <c r="K757" s="16" t="b">
        <v>0</v>
      </c>
      <c r="L757" s="16" t="b">
        <v>0</v>
      </c>
    </row>
    <row r="758">
      <c r="A758" s="9"/>
      <c r="B758" s="16"/>
      <c r="C758" s="7" t="str">
        <f>IFERROR(VLOOKUP(B758,'Master data'!$A$1:$F$1000,2,FALSE),"")</f>
        <v/>
      </c>
      <c r="D758" s="7" t="str">
        <f>IFERROR(VLOOKUP(B758,'Master data'!$A$1:$F$1000,6,FALSE),"")</f>
        <v/>
      </c>
      <c r="F758" s="7" t="str">
        <f>IFERROR(VLOOKUP(B758,'Master data'!$A$1:$F$1000,3,FALSE),"")</f>
        <v/>
      </c>
      <c r="I758" s="16"/>
      <c r="J758" s="16"/>
      <c r="K758" s="16" t="b">
        <v>0</v>
      </c>
      <c r="L758" s="16" t="b">
        <v>0</v>
      </c>
    </row>
    <row r="759">
      <c r="A759" s="9"/>
      <c r="B759" s="16"/>
      <c r="C759" s="7" t="str">
        <f>IFERROR(VLOOKUP(B759,'Master data'!$A$1:$F$1000,2,FALSE),"")</f>
        <v/>
      </c>
      <c r="D759" s="7" t="str">
        <f>IFERROR(VLOOKUP(B759,'Master data'!$A$1:$F$1000,6,FALSE),"")</f>
        <v/>
      </c>
      <c r="F759" s="7" t="str">
        <f>IFERROR(VLOOKUP(B759,'Master data'!$A$1:$F$1000,3,FALSE),"")</f>
        <v/>
      </c>
      <c r="I759" s="16"/>
      <c r="J759" s="16"/>
      <c r="K759" s="16" t="b">
        <v>0</v>
      </c>
      <c r="L759" s="16" t="b">
        <v>0</v>
      </c>
    </row>
    <row r="760">
      <c r="A760" s="9"/>
      <c r="B760" s="16"/>
      <c r="C760" s="7" t="str">
        <f>IFERROR(VLOOKUP(B760,'Master data'!$A$1:$F$1000,2,FALSE),"")</f>
        <v/>
      </c>
      <c r="D760" s="7" t="str">
        <f>IFERROR(VLOOKUP(B760,'Master data'!$A$1:$F$1000,6,FALSE),"")</f>
        <v/>
      </c>
      <c r="F760" s="7" t="str">
        <f>IFERROR(VLOOKUP(B760,'Master data'!$A$1:$F$1000,3,FALSE),"")</f>
        <v/>
      </c>
      <c r="I760" s="16"/>
      <c r="J760" s="16"/>
      <c r="K760" s="16" t="b">
        <v>0</v>
      </c>
      <c r="L760" s="16" t="b">
        <v>0</v>
      </c>
    </row>
    <row r="761">
      <c r="A761" s="9"/>
      <c r="B761" s="16"/>
      <c r="C761" s="7" t="str">
        <f>IFERROR(VLOOKUP(B761,'Master data'!$A$1:$F$1000,2,FALSE),"")</f>
        <v/>
      </c>
      <c r="D761" s="7" t="str">
        <f>IFERROR(VLOOKUP(B761,'Master data'!$A$1:$F$1000,6,FALSE),"")</f>
        <v/>
      </c>
      <c r="F761" s="7" t="str">
        <f>IFERROR(VLOOKUP(B761,'Master data'!$A$1:$F$1000,3,FALSE),"")</f>
        <v/>
      </c>
      <c r="I761" s="16"/>
      <c r="J761" s="16"/>
      <c r="K761" s="16" t="b">
        <v>0</v>
      </c>
      <c r="L761" s="16" t="b">
        <v>0</v>
      </c>
    </row>
    <row r="762">
      <c r="A762" s="9"/>
      <c r="B762" s="16"/>
      <c r="C762" s="7" t="str">
        <f>IFERROR(VLOOKUP(B762,'Master data'!$A$1:$F$1000,2,FALSE),"")</f>
        <v/>
      </c>
      <c r="D762" s="7" t="str">
        <f>IFERROR(VLOOKUP(B762,'Master data'!$A$1:$F$1000,6,FALSE),"")</f>
        <v/>
      </c>
      <c r="F762" s="7" t="str">
        <f>IFERROR(VLOOKUP(B762,'Master data'!$A$1:$F$1000,3,FALSE),"")</f>
        <v/>
      </c>
      <c r="I762" s="16"/>
      <c r="J762" s="16"/>
      <c r="K762" s="16" t="b">
        <v>0</v>
      </c>
      <c r="L762" s="16" t="b">
        <v>0</v>
      </c>
    </row>
    <row r="763">
      <c r="A763" s="9"/>
      <c r="B763" s="16"/>
      <c r="C763" s="7" t="str">
        <f>IFERROR(VLOOKUP(B763,'Master data'!$A$1:$F$1000,2,FALSE),"")</f>
        <v/>
      </c>
      <c r="D763" s="7" t="str">
        <f>IFERROR(VLOOKUP(B763,'Master data'!$A$1:$F$1000,6,FALSE),"")</f>
        <v/>
      </c>
      <c r="F763" s="7" t="str">
        <f>IFERROR(VLOOKUP(B763,'Master data'!$A$1:$F$1000,3,FALSE),"")</f>
        <v/>
      </c>
      <c r="I763" s="16"/>
      <c r="J763" s="16"/>
      <c r="K763" s="16" t="b">
        <v>0</v>
      </c>
      <c r="L763" s="16" t="b">
        <v>0</v>
      </c>
    </row>
    <row r="764">
      <c r="A764" s="9"/>
      <c r="B764" s="16"/>
      <c r="C764" s="7" t="str">
        <f>IFERROR(VLOOKUP(B764,'Master data'!$A$1:$F$1000,2,FALSE),"")</f>
        <v/>
      </c>
      <c r="D764" s="7" t="str">
        <f>IFERROR(VLOOKUP(B764,'Master data'!$A$1:$F$1000,6,FALSE),"")</f>
        <v/>
      </c>
      <c r="F764" s="7" t="str">
        <f>IFERROR(VLOOKUP(B764,'Master data'!$A$1:$F$1000,3,FALSE),"")</f>
        <v/>
      </c>
      <c r="I764" s="16"/>
      <c r="J764" s="16"/>
      <c r="K764" s="16" t="b">
        <v>0</v>
      </c>
      <c r="L764" s="16" t="b">
        <v>0</v>
      </c>
    </row>
    <row r="765">
      <c r="A765" s="9"/>
      <c r="B765" s="16"/>
      <c r="C765" s="7" t="str">
        <f>IFERROR(VLOOKUP(B765,'Master data'!$A$1:$F$1000,2,FALSE),"")</f>
        <v/>
      </c>
      <c r="D765" s="7" t="str">
        <f>IFERROR(VLOOKUP(B765,'Master data'!$A$1:$F$1000,6,FALSE),"")</f>
        <v/>
      </c>
      <c r="F765" s="7" t="str">
        <f>IFERROR(VLOOKUP(B765,'Master data'!$A$1:$F$1000,3,FALSE),"")</f>
        <v/>
      </c>
      <c r="I765" s="16"/>
      <c r="J765" s="16"/>
      <c r="K765" s="16" t="b">
        <v>0</v>
      </c>
      <c r="L765" s="16" t="b">
        <v>0</v>
      </c>
    </row>
    <row r="766">
      <c r="A766" s="9"/>
      <c r="B766" s="16"/>
      <c r="C766" s="7" t="str">
        <f>IFERROR(VLOOKUP(B766,'Master data'!$A$1:$F$1000,2,FALSE),"")</f>
        <v/>
      </c>
      <c r="D766" s="7" t="str">
        <f>IFERROR(VLOOKUP(B766,'Master data'!$A$1:$F$1000,6,FALSE),"")</f>
        <v/>
      </c>
      <c r="F766" s="7" t="str">
        <f>IFERROR(VLOOKUP(B766,'Master data'!$A$1:$F$1000,3,FALSE),"")</f>
        <v/>
      </c>
      <c r="I766" s="16"/>
      <c r="J766" s="16"/>
      <c r="K766" s="16" t="b">
        <v>0</v>
      </c>
      <c r="L766" s="16" t="b">
        <v>0</v>
      </c>
    </row>
    <row r="767">
      <c r="A767" s="9"/>
      <c r="B767" s="16"/>
      <c r="C767" s="7" t="str">
        <f>IFERROR(VLOOKUP(B767,'Master data'!$A$1:$F$1000,2,FALSE),"")</f>
        <v/>
      </c>
      <c r="D767" s="7" t="str">
        <f>IFERROR(VLOOKUP(B767,'Master data'!$A$1:$F$1000,6,FALSE),"")</f>
        <v/>
      </c>
      <c r="F767" s="7" t="str">
        <f>IFERROR(VLOOKUP(B767,'Master data'!$A$1:$F$1000,3,FALSE),"")</f>
        <v/>
      </c>
      <c r="I767" s="16"/>
      <c r="J767" s="16"/>
      <c r="K767" s="16" t="b">
        <v>0</v>
      </c>
      <c r="L767" s="16" t="b">
        <v>0</v>
      </c>
    </row>
    <row r="768">
      <c r="A768" s="9"/>
      <c r="B768" s="16"/>
      <c r="C768" s="7" t="str">
        <f>IFERROR(VLOOKUP(B768,'Master data'!$A$1:$F$1000,2,FALSE),"")</f>
        <v/>
      </c>
      <c r="D768" s="7" t="str">
        <f>IFERROR(VLOOKUP(B768,'Master data'!$A$1:$F$1000,6,FALSE),"")</f>
        <v/>
      </c>
      <c r="F768" s="7" t="str">
        <f>IFERROR(VLOOKUP(B768,'Master data'!$A$1:$F$1000,3,FALSE),"")</f>
        <v/>
      </c>
      <c r="I768" s="16"/>
      <c r="J768" s="16"/>
      <c r="K768" s="16" t="b">
        <v>0</v>
      </c>
      <c r="L768" s="16" t="b">
        <v>0</v>
      </c>
    </row>
    <row r="769">
      <c r="A769" s="9"/>
      <c r="B769" s="16"/>
      <c r="C769" s="7" t="str">
        <f>IFERROR(VLOOKUP(B769,'Master data'!$A$1:$F$1000,2,FALSE),"")</f>
        <v/>
      </c>
      <c r="D769" s="7" t="str">
        <f>IFERROR(VLOOKUP(B769,'Master data'!$A$1:$F$1000,6,FALSE),"")</f>
        <v/>
      </c>
      <c r="F769" s="7" t="str">
        <f>IFERROR(VLOOKUP(B769,'Master data'!$A$1:$F$1000,3,FALSE),"")</f>
        <v/>
      </c>
      <c r="I769" s="16"/>
      <c r="J769" s="16"/>
      <c r="K769" s="16" t="b">
        <v>0</v>
      </c>
      <c r="L769" s="16" t="b">
        <v>0</v>
      </c>
    </row>
    <row r="770">
      <c r="A770" s="9"/>
      <c r="B770" s="16"/>
      <c r="C770" s="7" t="str">
        <f>IFERROR(VLOOKUP(B770,'Master data'!$A$1:$F$1000,2,FALSE),"")</f>
        <v/>
      </c>
      <c r="D770" s="7" t="str">
        <f>IFERROR(VLOOKUP(B770,'Master data'!$A$1:$F$1000,6,FALSE),"")</f>
        <v/>
      </c>
      <c r="F770" s="7" t="str">
        <f>IFERROR(VLOOKUP(B770,'Master data'!$A$1:$F$1000,3,FALSE),"")</f>
        <v/>
      </c>
      <c r="I770" s="16"/>
      <c r="J770" s="16"/>
      <c r="K770" s="16" t="b">
        <v>0</v>
      </c>
      <c r="L770" s="16" t="b">
        <v>0</v>
      </c>
    </row>
    <row r="771">
      <c r="A771" s="9"/>
      <c r="B771" s="16"/>
      <c r="C771" s="7" t="str">
        <f>IFERROR(VLOOKUP(B771,'Master data'!$A$1:$F$1000,2,FALSE),"")</f>
        <v/>
      </c>
      <c r="D771" s="7" t="str">
        <f>IFERROR(VLOOKUP(B771,'Master data'!$A$1:$F$1000,6,FALSE),"")</f>
        <v/>
      </c>
      <c r="F771" s="7" t="str">
        <f>IFERROR(VLOOKUP(B771,'Master data'!$A$1:$F$1000,3,FALSE),"")</f>
        <v/>
      </c>
      <c r="I771" s="16"/>
      <c r="J771" s="16"/>
      <c r="K771" s="16" t="b">
        <v>0</v>
      </c>
      <c r="L771" s="16" t="b">
        <v>0</v>
      </c>
    </row>
    <row r="772">
      <c r="A772" s="9"/>
      <c r="B772" s="16"/>
      <c r="C772" s="7" t="str">
        <f>IFERROR(VLOOKUP(B772,'Master data'!$A$1:$F$1000,2,FALSE),"")</f>
        <v/>
      </c>
      <c r="D772" s="7" t="str">
        <f>IFERROR(VLOOKUP(B772,'Master data'!$A$1:$F$1000,6,FALSE),"")</f>
        <v/>
      </c>
      <c r="F772" s="7" t="str">
        <f>IFERROR(VLOOKUP(B772,'Master data'!$A$1:$F$1000,3,FALSE),"")</f>
        <v/>
      </c>
      <c r="I772" s="16"/>
      <c r="J772" s="16"/>
      <c r="K772" s="16" t="b">
        <v>0</v>
      </c>
      <c r="L772" s="16" t="b">
        <v>0</v>
      </c>
    </row>
    <row r="773">
      <c r="A773" s="9"/>
      <c r="B773" s="16"/>
      <c r="C773" s="7" t="str">
        <f>IFERROR(VLOOKUP(B773,'Master data'!$A$1:$F$1000,2,FALSE),"")</f>
        <v/>
      </c>
      <c r="D773" s="7" t="str">
        <f>IFERROR(VLOOKUP(B773,'Master data'!$A$1:$F$1000,6,FALSE),"")</f>
        <v/>
      </c>
      <c r="F773" s="7" t="str">
        <f>IFERROR(VLOOKUP(B773,'Master data'!$A$1:$F$1000,3,FALSE),"")</f>
        <v/>
      </c>
      <c r="I773" s="16"/>
      <c r="J773" s="16"/>
      <c r="K773" s="16" t="b">
        <v>0</v>
      </c>
      <c r="L773" s="16" t="b">
        <v>0</v>
      </c>
    </row>
    <row r="774">
      <c r="A774" s="9"/>
      <c r="B774" s="16"/>
      <c r="C774" s="7" t="str">
        <f>IFERROR(VLOOKUP(B774,'Master data'!$A$1:$F$1000,2,FALSE),"")</f>
        <v/>
      </c>
      <c r="D774" s="7" t="str">
        <f>IFERROR(VLOOKUP(B774,'Master data'!$A$1:$F$1000,6,FALSE),"")</f>
        <v/>
      </c>
      <c r="F774" s="7" t="str">
        <f>IFERROR(VLOOKUP(B774,'Master data'!$A$1:$F$1000,3,FALSE),"")</f>
        <v/>
      </c>
      <c r="I774" s="16"/>
      <c r="J774" s="16"/>
      <c r="K774" s="16" t="b">
        <v>0</v>
      </c>
      <c r="L774" s="16" t="b">
        <v>0</v>
      </c>
    </row>
    <row r="775">
      <c r="A775" s="9"/>
      <c r="B775" s="16"/>
      <c r="C775" s="7" t="str">
        <f>IFERROR(VLOOKUP(B775,'Master data'!$A$1:$F$1000,2,FALSE),"")</f>
        <v/>
      </c>
      <c r="D775" s="7" t="str">
        <f>IFERROR(VLOOKUP(B775,'Master data'!$A$1:$F$1000,6,FALSE),"")</f>
        <v/>
      </c>
      <c r="F775" s="7" t="str">
        <f>IFERROR(VLOOKUP(B775,'Master data'!$A$1:$F$1000,3,FALSE),"")</f>
        <v/>
      </c>
      <c r="I775" s="16"/>
      <c r="J775" s="16"/>
      <c r="K775" s="16" t="b">
        <v>0</v>
      </c>
      <c r="L775" s="16" t="b">
        <v>0</v>
      </c>
    </row>
    <row r="776">
      <c r="A776" s="9"/>
      <c r="B776" s="16"/>
      <c r="C776" s="7" t="str">
        <f>IFERROR(VLOOKUP(B776,'Master data'!$A$1:$F$1000,2,FALSE),"")</f>
        <v/>
      </c>
      <c r="D776" s="7" t="str">
        <f>IFERROR(VLOOKUP(B776,'Master data'!$A$1:$F$1000,6,FALSE),"")</f>
        <v/>
      </c>
      <c r="F776" s="7" t="str">
        <f>IFERROR(VLOOKUP(B776,'Master data'!$A$1:$F$1000,3,FALSE),"")</f>
        <v/>
      </c>
      <c r="I776" s="16"/>
      <c r="J776" s="16"/>
      <c r="K776" s="16" t="b">
        <v>0</v>
      </c>
      <c r="L776" s="16" t="b">
        <v>0</v>
      </c>
    </row>
    <row r="777">
      <c r="A777" s="9"/>
      <c r="B777" s="16"/>
      <c r="C777" s="7" t="str">
        <f>IFERROR(VLOOKUP(B777,'Master data'!$A$1:$F$1000,2,FALSE),"")</f>
        <v/>
      </c>
      <c r="D777" s="7" t="str">
        <f>IFERROR(VLOOKUP(B777,'Master data'!$A$1:$F$1000,6,FALSE),"")</f>
        <v/>
      </c>
      <c r="F777" s="7" t="str">
        <f>IFERROR(VLOOKUP(B777,'Master data'!$A$1:$F$1000,3,FALSE),"")</f>
        <v/>
      </c>
      <c r="I777" s="16"/>
      <c r="J777" s="16"/>
      <c r="K777" s="16" t="b">
        <v>0</v>
      </c>
      <c r="L777" s="16" t="b">
        <v>0</v>
      </c>
    </row>
    <row r="778">
      <c r="A778" s="9"/>
      <c r="B778" s="16"/>
      <c r="C778" s="7" t="str">
        <f>IFERROR(VLOOKUP(B778,'Master data'!$A$1:$F$1000,2,FALSE),"")</f>
        <v/>
      </c>
      <c r="D778" s="7" t="str">
        <f>IFERROR(VLOOKUP(B778,'Master data'!$A$1:$F$1000,6,FALSE),"")</f>
        <v/>
      </c>
      <c r="F778" s="7" t="str">
        <f>IFERROR(VLOOKUP(B778,'Master data'!$A$1:$F$1000,3,FALSE),"")</f>
        <v/>
      </c>
      <c r="I778" s="16"/>
      <c r="J778" s="16"/>
      <c r="K778" s="16" t="b">
        <v>0</v>
      </c>
      <c r="L778" s="16" t="b">
        <v>0</v>
      </c>
    </row>
    <row r="779">
      <c r="A779" s="9"/>
      <c r="B779" s="16"/>
      <c r="C779" s="7" t="str">
        <f>IFERROR(VLOOKUP(B779,'Master data'!$A$1:$F$1000,2,FALSE),"")</f>
        <v/>
      </c>
      <c r="D779" s="7" t="str">
        <f>IFERROR(VLOOKUP(B779,'Master data'!$A$1:$F$1000,6,FALSE),"")</f>
        <v/>
      </c>
      <c r="F779" s="7" t="str">
        <f>IFERROR(VLOOKUP(B779,'Master data'!$A$1:$F$1000,3,FALSE),"")</f>
        <v/>
      </c>
      <c r="I779" s="16"/>
      <c r="J779" s="16"/>
      <c r="K779" s="16" t="b">
        <v>0</v>
      </c>
      <c r="L779" s="16" t="b">
        <v>0</v>
      </c>
    </row>
    <row r="780">
      <c r="A780" s="9"/>
      <c r="B780" s="16"/>
      <c r="C780" s="7" t="str">
        <f>IFERROR(VLOOKUP(B780,'Master data'!$A$1:$F$1000,2,FALSE),"")</f>
        <v/>
      </c>
      <c r="D780" s="7" t="str">
        <f>IFERROR(VLOOKUP(B780,'Master data'!$A$1:$F$1000,6,FALSE),"")</f>
        <v/>
      </c>
      <c r="F780" s="7" t="str">
        <f>IFERROR(VLOOKUP(B780,'Master data'!$A$1:$F$1000,3,FALSE),"")</f>
        <v/>
      </c>
      <c r="I780" s="16"/>
      <c r="J780" s="16"/>
      <c r="K780" s="16" t="b">
        <v>0</v>
      </c>
      <c r="L780" s="16" t="b">
        <v>0</v>
      </c>
    </row>
    <row r="781">
      <c r="A781" s="9"/>
      <c r="B781" s="16"/>
      <c r="C781" s="7" t="str">
        <f>IFERROR(VLOOKUP(B781,'Master data'!$A$1:$F$1000,2,FALSE),"")</f>
        <v/>
      </c>
      <c r="D781" s="7" t="str">
        <f>IFERROR(VLOOKUP(B781,'Master data'!$A$1:$F$1000,6,FALSE),"")</f>
        <v/>
      </c>
      <c r="F781" s="7" t="str">
        <f>IFERROR(VLOOKUP(B781,'Master data'!$A$1:$F$1000,3,FALSE),"")</f>
        <v/>
      </c>
      <c r="I781" s="16"/>
      <c r="J781" s="16"/>
      <c r="K781" s="16" t="b">
        <v>0</v>
      </c>
      <c r="L781" s="16" t="b">
        <v>0</v>
      </c>
    </row>
    <row r="782">
      <c r="A782" s="9"/>
      <c r="B782" s="16"/>
      <c r="C782" s="7" t="str">
        <f>IFERROR(VLOOKUP(B782,'Master data'!$A$1:$F$1000,2,FALSE),"")</f>
        <v/>
      </c>
      <c r="D782" s="7" t="str">
        <f>IFERROR(VLOOKUP(B782,'Master data'!$A$1:$F$1000,6,FALSE),"")</f>
        <v/>
      </c>
      <c r="F782" s="7" t="str">
        <f>IFERROR(VLOOKUP(B782,'Master data'!$A$1:$F$1000,3,FALSE),"")</f>
        <v/>
      </c>
      <c r="I782" s="16"/>
      <c r="J782" s="16"/>
      <c r="K782" s="16" t="b">
        <v>0</v>
      </c>
      <c r="L782" s="16" t="b">
        <v>0</v>
      </c>
    </row>
    <row r="783">
      <c r="A783" s="9"/>
      <c r="B783" s="16"/>
      <c r="C783" s="7" t="str">
        <f>IFERROR(VLOOKUP(B783,'Master data'!$A$1:$F$1000,2,FALSE),"")</f>
        <v/>
      </c>
      <c r="D783" s="7" t="str">
        <f>IFERROR(VLOOKUP(B783,'Master data'!$A$1:$F$1000,6,FALSE),"")</f>
        <v/>
      </c>
      <c r="F783" s="7" t="str">
        <f>IFERROR(VLOOKUP(B783,'Master data'!$A$1:$F$1000,3,FALSE),"")</f>
        <v/>
      </c>
      <c r="I783" s="16"/>
      <c r="J783" s="16"/>
      <c r="K783" s="16" t="b">
        <v>0</v>
      </c>
      <c r="L783" s="16" t="b">
        <v>0</v>
      </c>
    </row>
    <row r="784">
      <c r="A784" s="9"/>
      <c r="B784" s="16"/>
      <c r="C784" s="7" t="str">
        <f>IFERROR(VLOOKUP(B784,'Master data'!$A$1:$F$1000,2,FALSE),"")</f>
        <v/>
      </c>
      <c r="D784" s="7" t="str">
        <f>IFERROR(VLOOKUP(B784,'Master data'!$A$1:$F$1000,6,FALSE),"")</f>
        <v/>
      </c>
      <c r="F784" s="7" t="str">
        <f>IFERROR(VLOOKUP(B784,'Master data'!$A$1:$F$1000,3,FALSE),"")</f>
        <v/>
      </c>
      <c r="I784" s="16"/>
      <c r="J784" s="16"/>
      <c r="K784" s="16" t="b">
        <v>0</v>
      </c>
      <c r="L784" s="16" t="b">
        <v>0</v>
      </c>
    </row>
    <row r="785">
      <c r="A785" s="9"/>
      <c r="B785" s="16"/>
      <c r="C785" s="7" t="str">
        <f>IFERROR(VLOOKUP(B785,'Master data'!$A$1:$F$1000,2,FALSE),"")</f>
        <v/>
      </c>
      <c r="D785" s="7" t="str">
        <f>IFERROR(VLOOKUP(B785,'Master data'!$A$1:$F$1000,6,FALSE),"")</f>
        <v/>
      </c>
      <c r="F785" s="7" t="str">
        <f>IFERROR(VLOOKUP(B785,'Master data'!$A$1:$F$1000,3,FALSE),"")</f>
        <v/>
      </c>
      <c r="I785" s="16"/>
      <c r="J785" s="16"/>
      <c r="K785" s="16" t="b">
        <v>0</v>
      </c>
      <c r="L785" s="16" t="b">
        <v>0</v>
      </c>
    </row>
    <row r="786">
      <c r="A786" s="9"/>
      <c r="B786" s="16"/>
      <c r="C786" s="7" t="str">
        <f>IFERROR(VLOOKUP(B786,'Master data'!$A$1:$F$1000,2,FALSE),"")</f>
        <v/>
      </c>
      <c r="D786" s="7" t="str">
        <f>IFERROR(VLOOKUP(B786,'Master data'!$A$1:$F$1000,6,FALSE),"")</f>
        <v/>
      </c>
      <c r="F786" s="7" t="str">
        <f>IFERROR(VLOOKUP(B786,'Master data'!$A$1:$F$1000,3,FALSE),"")</f>
        <v/>
      </c>
      <c r="I786" s="16"/>
      <c r="J786" s="16"/>
      <c r="K786" s="16" t="b">
        <v>0</v>
      </c>
      <c r="L786" s="16" t="b">
        <v>0</v>
      </c>
    </row>
    <row r="787">
      <c r="A787" s="9"/>
      <c r="B787" s="16"/>
      <c r="C787" s="7" t="str">
        <f>IFERROR(VLOOKUP(B787,'Master data'!$A$1:$F$1000,2,FALSE),"")</f>
        <v/>
      </c>
      <c r="D787" s="7" t="str">
        <f>IFERROR(VLOOKUP(B787,'Master data'!$A$1:$F$1000,6,FALSE),"")</f>
        <v/>
      </c>
      <c r="F787" s="7" t="str">
        <f>IFERROR(VLOOKUP(B787,'Master data'!$A$1:$F$1000,3,FALSE),"")</f>
        <v/>
      </c>
      <c r="I787" s="16"/>
      <c r="J787" s="16"/>
      <c r="K787" s="16" t="b">
        <v>0</v>
      </c>
      <c r="L787" s="16" t="b">
        <v>0</v>
      </c>
    </row>
    <row r="788">
      <c r="A788" s="9"/>
      <c r="B788" s="16"/>
      <c r="C788" s="7" t="str">
        <f>IFERROR(VLOOKUP(B788,'Master data'!$A$1:$F$1000,2,FALSE),"")</f>
        <v/>
      </c>
      <c r="D788" s="7" t="str">
        <f>IFERROR(VLOOKUP(B788,'Master data'!$A$1:$F$1000,6,FALSE),"")</f>
        <v/>
      </c>
      <c r="F788" s="7" t="str">
        <f>IFERROR(VLOOKUP(B788,'Master data'!$A$1:$F$1000,3,FALSE),"")</f>
        <v/>
      </c>
      <c r="I788" s="16"/>
      <c r="J788" s="16"/>
      <c r="K788" s="16" t="b">
        <v>0</v>
      </c>
      <c r="L788" s="16" t="b">
        <v>0</v>
      </c>
    </row>
    <row r="789">
      <c r="A789" s="9"/>
      <c r="B789" s="16"/>
      <c r="C789" s="7" t="str">
        <f>IFERROR(VLOOKUP(B789,'Master data'!$A$1:$F$1000,2,FALSE),"")</f>
        <v/>
      </c>
      <c r="D789" s="7" t="str">
        <f>IFERROR(VLOOKUP(B789,'Master data'!$A$1:$F$1000,6,FALSE),"")</f>
        <v/>
      </c>
      <c r="F789" s="7" t="str">
        <f>IFERROR(VLOOKUP(B789,'Master data'!$A$1:$F$1000,3,FALSE),"")</f>
        <v/>
      </c>
      <c r="I789" s="16"/>
      <c r="J789" s="16"/>
      <c r="K789" s="16" t="b">
        <v>0</v>
      </c>
      <c r="L789" s="16" t="b">
        <v>0</v>
      </c>
    </row>
    <row r="790">
      <c r="A790" s="9"/>
      <c r="B790" s="16"/>
      <c r="C790" s="7" t="str">
        <f>IFERROR(VLOOKUP(B790,'Master data'!$A$1:$F$1000,2,FALSE),"")</f>
        <v/>
      </c>
      <c r="D790" s="7" t="str">
        <f>IFERROR(VLOOKUP(B790,'Master data'!$A$1:$F$1000,6,FALSE),"")</f>
        <v/>
      </c>
      <c r="F790" s="7" t="str">
        <f>IFERROR(VLOOKUP(B790,'Master data'!$A$1:$F$1000,3,FALSE),"")</f>
        <v/>
      </c>
      <c r="I790" s="16"/>
      <c r="J790" s="16"/>
      <c r="K790" s="16" t="b">
        <v>0</v>
      </c>
      <c r="L790" s="16" t="b">
        <v>0</v>
      </c>
    </row>
    <row r="791">
      <c r="A791" s="9"/>
      <c r="B791" s="16"/>
      <c r="C791" s="7" t="str">
        <f>IFERROR(VLOOKUP(B791,'Master data'!$A$1:$F$1000,2,FALSE),"")</f>
        <v/>
      </c>
      <c r="D791" s="7" t="str">
        <f>IFERROR(VLOOKUP(B791,'Master data'!$A$1:$F$1000,6,FALSE),"")</f>
        <v/>
      </c>
      <c r="F791" s="7" t="str">
        <f>IFERROR(VLOOKUP(B791,'Master data'!$A$1:$F$1000,3,FALSE),"")</f>
        <v/>
      </c>
      <c r="I791" s="16"/>
      <c r="J791" s="16"/>
      <c r="K791" s="16" t="b">
        <v>0</v>
      </c>
      <c r="L791" s="16" t="b">
        <v>0</v>
      </c>
    </row>
    <row r="792">
      <c r="A792" s="9"/>
      <c r="B792" s="16"/>
      <c r="C792" s="7" t="str">
        <f>IFERROR(VLOOKUP(B792,'Master data'!$A$1:$F$1000,2,FALSE),"")</f>
        <v/>
      </c>
      <c r="D792" s="7" t="str">
        <f>IFERROR(VLOOKUP(B792,'Master data'!$A$1:$F$1000,6,FALSE),"")</f>
        <v/>
      </c>
      <c r="F792" s="7" t="str">
        <f>IFERROR(VLOOKUP(B792,'Master data'!$A$1:$F$1000,3,FALSE),"")</f>
        <v/>
      </c>
      <c r="I792" s="16"/>
      <c r="J792" s="16"/>
      <c r="K792" s="16" t="b">
        <v>0</v>
      </c>
      <c r="L792" s="16" t="b">
        <v>0</v>
      </c>
    </row>
    <row r="793">
      <c r="A793" s="9"/>
      <c r="B793" s="16"/>
      <c r="C793" s="7" t="str">
        <f>IFERROR(VLOOKUP(B793,'Master data'!$A$1:$F$1000,2,FALSE),"")</f>
        <v/>
      </c>
      <c r="D793" s="7" t="str">
        <f>IFERROR(VLOOKUP(B793,'Master data'!$A$1:$F$1000,6,FALSE),"")</f>
        <v/>
      </c>
      <c r="F793" s="7" t="str">
        <f>IFERROR(VLOOKUP(B793,'Master data'!$A$1:$F$1000,3,FALSE),"")</f>
        <v/>
      </c>
      <c r="I793" s="16"/>
      <c r="J793" s="16"/>
      <c r="K793" s="16" t="b">
        <v>0</v>
      </c>
      <c r="L793" s="16" t="b">
        <v>0</v>
      </c>
    </row>
    <row r="794">
      <c r="A794" s="9"/>
      <c r="B794" s="16"/>
      <c r="C794" s="7" t="str">
        <f>IFERROR(VLOOKUP(B794,'Master data'!$A$1:$F$1000,2,FALSE),"")</f>
        <v/>
      </c>
      <c r="D794" s="7" t="str">
        <f>IFERROR(VLOOKUP(B794,'Master data'!$A$1:$F$1000,6,FALSE),"")</f>
        <v/>
      </c>
      <c r="F794" s="7" t="str">
        <f>IFERROR(VLOOKUP(B794,'Master data'!$A$1:$F$1000,3,FALSE),"")</f>
        <v/>
      </c>
      <c r="I794" s="16"/>
      <c r="J794" s="16"/>
      <c r="K794" s="16" t="b">
        <v>0</v>
      </c>
      <c r="L794" s="16" t="b">
        <v>0</v>
      </c>
    </row>
    <row r="795">
      <c r="A795" s="9"/>
      <c r="B795" s="16"/>
      <c r="C795" s="7" t="str">
        <f>IFERROR(VLOOKUP(B795,'Master data'!$A$1:$F$1000,2,FALSE),"")</f>
        <v/>
      </c>
      <c r="D795" s="7" t="str">
        <f>IFERROR(VLOOKUP(B795,'Master data'!$A$1:$F$1000,6,FALSE),"")</f>
        <v/>
      </c>
      <c r="F795" s="7" t="str">
        <f>IFERROR(VLOOKUP(B795,'Master data'!$A$1:$F$1000,3,FALSE),"")</f>
        <v/>
      </c>
      <c r="I795" s="16"/>
      <c r="J795" s="16"/>
      <c r="K795" s="16" t="b">
        <v>0</v>
      </c>
      <c r="L795" s="16" t="b">
        <v>0</v>
      </c>
    </row>
    <row r="796">
      <c r="A796" s="9"/>
      <c r="B796" s="16"/>
      <c r="C796" s="7" t="str">
        <f>IFERROR(VLOOKUP(B796,'Master data'!$A$1:$F$1000,2,FALSE),"")</f>
        <v/>
      </c>
      <c r="D796" s="7" t="str">
        <f>IFERROR(VLOOKUP(B796,'Master data'!$A$1:$F$1000,6,FALSE),"")</f>
        <v/>
      </c>
      <c r="F796" s="7" t="str">
        <f>IFERROR(VLOOKUP(B796,'Master data'!$A$1:$F$1000,3,FALSE),"")</f>
        <v/>
      </c>
      <c r="I796" s="16"/>
      <c r="J796" s="16"/>
      <c r="K796" s="16" t="b">
        <v>0</v>
      </c>
      <c r="L796" s="16" t="b">
        <v>0</v>
      </c>
    </row>
    <row r="797">
      <c r="A797" s="9"/>
      <c r="B797" s="16"/>
      <c r="C797" s="7" t="str">
        <f>IFERROR(VLOOKUP(B797,'Master data'!$A$1:$F$1000,2,FALSE),"")</f>
        <v/>
      </c>
      <c r="D797" s="7" t="str">
        <f>IFERROR(VLOOKUP(B797,'Master data'!$A$1:$F$1000,6,FALSE),"")</f>
        <v/>
      </c>
      <c r="F797" s="7" t="str">
        <f>IFERROR(VLOOKUP(B797,'Master data'!$A$1:$F$1000,3,FALSE),"")</f>
        <v/>
      </c>
      <c r="I797" s="16"/>
      <c r="J797" s="16"/>
      <c r="K797" s="16" t="b">
        <v>0</v>
      </c>
      <c r="L797" s="16" t="b">
        <v>0</v>
      </c>
    </row>
    <row r="798">
      <c r="A798" s="9"/>
      <c r="B798" s="16"/>
      <c r="C798" s="7" t="str">
        <f>IFERROR(VLOOKUP(B798,'Master data'!$A$1:$F$1000,2,FALSE),"")</f>
        <v/>
      </c>
      <c r="D798" s="7" t="str">
        <f>IFERROR(VLOOKUP(B798,'Master data'!$A$1:$F$1000,6,FALSE),"")</f>
        <v/>
      </c>
      <c r="F798" s="7" t="str">
        <f>IFERROR(VLOOKUP(B798,'Master data'!$A$1:$F$1000,3,FALSE),"")</f>
        <v/>
      </c>
      <c r="I798" s="16"/>
      <c r="J798" s="16"/>
      <c r="K798" s="16" t="b">
        <v>0</v>
      </c>
      <c r="L798" s="16" t="b">
        <v>0</v>
      </c>
    </row>
    <row r="799">
      <c r="A799" s="9"/>
      <c r="B799" s="16"/>
      <c r="C799" s="7" t="str">
        <f>IFERROR(VLOOKUP(B799,'Master data'!$A$1:$F$1000,2,FALSE),"")</f>
        <v/>
      </c>
      <c r="D799" s="7" t="str">
        <f>IFERROR(VLOOKUP(B799,'Master data'!$A$1:$F$1000,6,FALSE),"")</f>
        <v/>
      </c>
      <c r="F799" s="7" t="str">
        <f>IFERROR(VLOOKUP(B799,'Master data'!$A$1:$F$1000,3,FALSE),"")</f>
        <v/>
      </c>
      <c r="I799" s="16"/>
      <c r="J799" s="16"/>
      <c r="K799" s="16" t="b">
        <v>0</v>
      </c>
      <c r="L799" s="16" t="b">
        <v>0</v>
      </c>
    </row>
    <row r="800">
      <c r="A800" s="9"/>
      <c r="B800" s="16"/>
      <c r="C800" s="7" t="str">
        <f>IFERROR(VLOOKUP(B800,'Master data'!$A$1:$F$1000,2,FALSE),"")</f>
        <v/>
      </c>
      <c r="D800" s="7" t="str">
        <f>IFERROR(VLOOKUP(B800,'Master data'!$A$1:$F$1000,6,FALSE),"")</f>
        <v/>
      </c>
      <c r="F800" s="7" t="str">
        <f>IFERROR(VLOOKUP(B800,'Master data'!$A$1:$F$1000,3,FALSE),"")</f>
        <v/>
      </c>
      <c r="I800" s="16"/>
      <c r="J800" s="16"/>
      <c r="K800" s="16" t="b">
        <v>0</v>
      </c>
      <c r="L800" s="16" t="b">
        <v>0</v>
      </c>
    </row>
    <row r="801">
      <c r="A801" s="9"/>
      <c r="B801" s="16"/>
      <c r="C801" s="7" t="str">
        <f>IFERROR(VLOOKUP(B801,'Master data'!$A$1:$F$1000,2,FALSE),"")</f>
        <v/>
      </c>
      <c r="D801" s="7" t="str">
        <f>IFERROR(VLOOKUP(B801,'Master data'!$A$1:$F$1000,6,FALSE),"")</f>
        <v/>
      </c>
      <c r="F801" s="7" t="str">
        <f>IFERROR(VLOOKUP(B801,'Master data'!$A$1:$F$1000,3,FALSE),"")</f>
        <v/>
      </c>
      <c r="I801" s="16"/>
      <c r="J801" s="16"/>
      <c r="K801" s="16" t="b">
        <v>0</v>
      </c>
      <c r="L801" s="16" t="b">
        <v>0</v>
      </c>
    </row>
    <row r="802">
      <c r="A802" s="9"/>
      <c r="B802" s="16"/>
      <c r="C802" s="7" t="str">
        <f>IFERROR(VLOOKUP(B802,'Master data'!$A$1:$F$1000,2,FALSE),"")</f>
        <v/>
      </c>
      <c r="D802" s="7" t="str">
        <f>IFERROR(VLOOKUP(B802,'Master data'!$A$1:$F$1000,6,FALSE),"")</f>
        <v/>
      </c>
      <c r="F802" s="7" t="str">
        <f>IFERROR(VLOOKUP(B802,'Master data'!$A$1:$F$1000,3,FALSE),"")</f>
        <v/>
      </c>
      <c r="I802" s="16"/>
      <c r="J802" s="16"/>
      <c r="K802" s="16" t="b">
        <v>0</v>
      </c>
      <c r="L802" s="16" t="b">
        <v>0</v>
      </c>
    </row>
    <row r="803">
      <c r="A803" s="9"/>
      <c r="B803" s="16"/>
      <c r="C803" s="7" t="str">
        <f>IFERROR(VLOOKUP(B803,'Master data'!$A$1:$F$1000,2,FALSE),"")</f>
        <v/>
      </c>
      <c r="D803" s="7" t="str">
        <f>IFERROR(VLOOKUP(B803,'Master data'!$A$1:$F$1000,6,FALSE),"")</f>
        <v/>
      </c>
      <c r="F803" s="7" t="str">
        <f>IFERROR(VLOOKUP(B803,'Master data'!$A$1:$F$1000,3,FALSE),"")</f>
        <v/>
      </c>
      <c r="I803" s="16"/>
      <c r="J803" s="16"/>
      <c r="K803" s="16" t="b">
        <v>0</v>
      </c>
      <c r="L803" s="16" t="b">
        <v>0</v>
      </c>
    </row>
    <row r="804">
      <c r="A804" s="9"/>
      <c r="B804" s="16"/>
      <c r="C804" s="7" t="str">
        <f>IFERROR(VLOOKUP(B804,'Master data'!$A$1:$F$1000,2,FALSE),"")</f>
        <v/>
      </c>
      <c r="D804" s="7" t="str">
        <f>IFERROR(VLOOKUP(B804,'Master data'!$A$1:$F$1000,6,FALSE),"")</f>
        <v/>
      </c>
      <c r="F804" s="7" t="str">
        <f>IFERROR(VLOOKUP(B804,'Master data'!$A$1:$F$1000,3,FALSE),"")</f>
        <v/>
      </c>
      <c r="I804" s="16"/>
      <c r="J804" s="16"/>
      <c r="K804" s="16" t="b">
        <v>0</v>
      </c>
      <c r="L804" s="16" t="b">
        <v>0</v>
      </c>
    </row>
    <row r="805">
      <c r="A805" s="9"/>
      <c r="B805" s="16"/>
      <c r="C805" s="7" t="str">
        <f>IFERROR(VLOOKUP(B805,'Master data'!$A$1:$F$1000,2,FALSE),"")</f>
        <v/>
      </c>
      <c r="D805" s="7" t="str">
        <f>IFERROR(VLOOKUP(B805,'Master data'!$A$1:$F$1000,6,FALSE),"")</f>
        <v/>
      </c>
      <c r="F805" s="7" t="str">
        <f>IFERROR(VLOOKUP(B805,'Master data'!$A$1:$F$1000,3,FALSE),"")</f>
        <v/>
      </c>
      <c r="I805" s="16"/>
      <c r="J805" s="16"/>
      <c r="K805" s="16" t="b">
        <v>0</v>
      </c>
      <c r="L805" s="16" t="b">
        <v>0</v>
      </c>
    </row>
    <row r="806">
      <c r="A806" s="9"/>
      <c r="B806" s="16"/>
      <c r="C806" s="7" t="str">
        <f>IFERROR(VLOOKUP(B806,'Master data'!$A$1:$F$1000,2,FALSE),"")</f>
        <v/>
      </c>
      <c r="D806" s="7" t="str">
        <f>IFERROR(VLOOKUP(B806,'Master data'!$A$1:$F$1000,6,FALSE),"")</f>
        <v/>
      </c>
      <c r="F806" s="7" t="str">
        <f>IFERROR(VLOOKUP(B806,'Master data'!$A$1:$F$1000,3,FALSE),"")</f>
        <v/>
      </c>
      <c r="I806" s="16"/>
      <c r="J806" s="16"/>
      <c r="K806" s="16" t="b">
        <v>0</v>
      </c>
      <c r="L806" s="16" t="b">
        <v>0</v>
      </c>
    </row>
    <row r="807">
      <c r="A807" s="9"/>
      <c r="B807" s="16"/>
      <c r="C807" s="7" t="str">
        <f>IFERROR(VLOOKUP(B807,'Master data'!$A$1:$F$1000,2,FALSE),"")</f>
        <v/>
      </c>
      <c r="D807" s="7" t="str">
        <f>IFERROR(VLOOKUP(B807,'Master data'!$A$1:$F$1000,6,FALSE),"")</f>
        <v/>
      </c>
      <c r="F807" s="7" t="str">
        <f>IFERROR(VLOOKUP(B807,'Master data'!$A$1:$F$1000,3,FALSE),"")</f>
        <v/>
      </c>
      <c r="I807" s="16"/>
      <c r="J807" s="16"/>
      <c r="K807" s="16" t="b">
        <v>0</v>
      </c>
      <c r="L807" s="16" t="b">
        <v>0</v>
      </c>
    </row>
    <row r="808">
      <c r="A808" s="9"/>
      <c r="B808" s="16"/>
      <c r="C808" s="7" t="str">
        <f>IFERROR(VLOOKUP(B808,'Master data'!$A$1:$F$1000,2,FALSE),"")</f>
        <v/>
      </c>
      <c r="D808" s="7" t="str">
        <f>IFERROR(VLOOKUP(B808,'Master data'!$A$1:$F$1000,6,FALSE),"")</f>
        <v/>
      </c>
      <c r="F808" s="7" t="str">
        <f>IFERROR(VLOOKUP(B808,'Master data'!$A$1:$F$1000,3,FALSE),"")</f>
        <v/>
      </c>
      <c r="I808" s="16"/>
      <c r="J808" s="16"/>
      <c r="K808" s="16" t="b">
        <v>0</v>
      </c>
      <c r="L808" s="16" t="b">
        <v>0</v>
      </c>
    </row>
    <row r="809">
      <c r="A809" s="9"/>
      <c r="B809" s="16"/>
      <c r="C809" s="7" t="str">
        <f>IFERROR(VLOOKUP(B809,'Master data'!$A$1:$F$1000,2,FALSE),"")</f>
        <v/>
      </c>
      <c r="D809" s="7" t="str">
        <f>IFERROR(VLOOKUP(B809,'Master data'!$A$1:$F$1000,6,FALSE),"")</f>
        <v/>
      </c>
      <c r="F809" s="7" t="str">
        <f>IFERROR(VLOOKUP(B809,'Master data'!$A$1:$F$1000,3,FALSE),"")</f>
        <v/>
      </c>
      <c r="I809" s="16"/>
      <c r="J809" s="16"/>
      <c r="K809" s="16" t="b">
        <v>0</v>
      </c>
      <c r="L809" s="16" t="b">
        <v>0</v>
      </c>
    </row>
    <row r="810">
      <c r="A810" s="9"/>
      <c r="B810" s="16"/>
      <c r="C810" s="7" t="str">
        <f>IFERROR(VLOOKUP(B810,'Master data'!$A$1:$F$1000,2,FALSE),"")</f>
        <v/>
      </c>
      <c r="D810" s="7" t="str">
        <f>IFERROR(VLOOKUP(B810,'Master data'!$A$1:$F$1000,6,FALSE),"")</f>
        <v/>
      </c>
      <c r="F810" s="7" t="str">
        <f>IFERROR(VLOOKUP(B810,'Master data'!$A$1:$F$1000,3,FALSE),"")</f>
        <v/>
      </c>
      <c r="I810" s="16"/>
      <c r="J810" s="16"/>
      <c r="K810" s="16" t="b">
        <v>0</v>
      </c>
      <c r="L810" s="16" t="b">
        <v>0</v>
      </c>
    </row>
    <row r="811">
      <c r="A811" s="9"/>
      <c r="B811" s="16"/>
      <c r="C811" s="7" t="str">
        <f>IFERROR(VLOOKUP(B811,'Master data'!$A$1:$F$1000,2,FALSE),"")</f>
        <v/>
      </c>
      <c r="D811" s="7" t="str">
        <f>IFERROR(VLOOKUP(B811,'Master data'!$A$1:$F$1000,6,FALSE),"")</f>
        <v/>
      </c>
      <c r="F811" s="7" t="str">
        <f>IFERROR(VLOOKUP(B811,'Master data'!$A$1:$F$1000,3,FALSE),"")</f>
        <v/>
      </c>
      <c r="I811" s="16"/>
      <c r="J811" s="16"/>
      <c r="K811" s="16" t="b">
        <v>0</v>
      </c>
      <c r="L811" s="16" t="b">
        <v>0</v>
      </c>
    </row>
    <row r="812">
      <c r="A812" s="9"/>
      <c r="B812" s="16"/>
      <c r="C812" s="7" t="str">
        <f>IFERROR(VLOOKUP(B812,'Master data'!$A$1:$F$1000,2,FALSE),"")</f>
        <v/>
      </c>
      <c r="D812" s="7" t="str">
        <f>IFERROR(VLOOKUP(B812,'Master data'!$A$1:$F$1000,6,FALSE),"")</f>
        <v/>
      </c>
      <c r="F812" s="7" t="str">
        <f>IFERROR(VLOOKUP(B812,'Master data'!$A$1:$F$1000,3,FALSE),"")</f>
        <v/>
      </c>
      <c r="I812" s="16"/>
      <c r="J812" s="16"/>
      <c r="K812" s="16" t="b">
        <v>0</v>
      </c>
      <c r="L812" s="16" t="b">
        <v>0</v>
      </c>
    </row>
    <row r="813">
      <c r="A813" s="9"/>
      <c r="B813" s="16"/>
      <c r="C813" s="7" t="str">
        <f>IFERROR(VLOOKUP(B813,'Master data'!$A$1:$F$1000,2,FALSE),"")</f>
        <v/>
      </c>
      <c r="D813" s="7" t="str">
        <f>IFERROR(VLOOKUP(B813,'Master data'!$A$1:$F$1000,6,FALSE),"")</f>
        <v/>
      </c>
      <c r="F813" s="7" t="str">
        <f>IFERROR(VLOOKUP(B813,'Master data'!$A$1:$F$1000,3,FALSE),"")</f>
        <v/>
      </c>
      <c r="I813" s="16"/>
      <c r="J813" s="16"/>
      <c r="K813" s="16" t="b">
        <v>0</v>
      </c>
      <c r="L813" s="16" t="b">
        <v>0</v>
      </c>
    </row>
    <row r="814">
      <c r="A814" s="9"/>
      <c r="B814" s="16"/>
      <c r="C814" s="7" t="str">
        <f>IFERROR(VLOOKUP(B814,'Master data'!$A$1:$F$1000,2,FALSE),"")</f>
        <v/>
      </c>
      <c r="D814" s="7" t="str">
        <f>IFERROR(VLOOKUP(B814,'Master data'!$A$1:$F$1000,6,FALSE),"")</f>
        <v/>
      </c>
      <c r="F814" s="7" t="str">
        <f>IFERROR(VLOOKUP(B814,'Master data'!$A$1:$F$1000,3,FALSE),"")</f>
        <v/>
      </c>
      <c r="I814" s="16"/>
      <c r="J814" s="16"/>
      <c r="K814" s="16" t="b">
        <v>0</v>
      </c>
      <c r="L814" s="16" t="b">
        <v>0</v>
      </c>
    </row>
    <row r="815">
      <c r="A815" s="9"/>
      <c r="B815" s="16"/>
      <c r="C815" s="7" t="str">
        <f>IFERROR(VLOOKUP(B815,'Master data'!$A$1:$F$1000,2,FALSE),"")</f>
        <v/>
      </c>
      <c r="D815" s="7" t="str">
        <f>IFERROR(VLOOKUP(B815,'Master data'!$A$1:$F$1000,6,FALSE),"")</f>
        <v/>
      </c>
      <c r="F815" s="7" t="str">
        <f>IFERROR(VLOOKUP(B815,'Master data'!$A$1:$F$1000,3,FALSE),"")</f>
        <v/>
      </c>
      <c r="I815" s="16"/>
      <c r="J815" s="16"/>
      <c r="K815" s="16" t="b">
        <v>0</v>
      </c>
      <c r="L815" s="16" t="b">
        <v>0</v>
      </c>
    </row>
    <row r="816">
      <c r="A816" s="9"/>
      <c r="B816" s="16"/>
      <c r="C816" s="7" t="str">
        <f>IFERROR(VLOOKUP(B816,'Master data'!$A$1:$F$1000,2,FALSE),"")</f>
        <v/>
      </c>
      <c r="D816" s="7" t="str">
        <f>IFERROR(VLOOKUP(B816,'Master data'!$A$1:$F$1000,6,FALSE),"")</f>
        <v/>
      </c>
      <c r="F816" s="7" t="str">
        <f>IFERROR(VLOOKUP(B816,'Master data'!$A$1:$F$1000,3,FALSE),"")</f>
        <v/>
      </c>
      <c r="I816" s="16"/>
      <c r="J816" s="16"/>
      <c r="K816" s="16" t="b">
        <v>0</v>
      </c>
      <c r="L816" s="16" t="b">
        <v>0</v>
      </c>
    </row>
    <row r="817">
      <c r="A817" s="9"/>
      <c r="B817" s="16"/>
      <c r="C817" s="7" t="str">
        <f>IFERROR(VLOOKUP(B817,'Master data'!$A$1:$F$1000,2,FALSE),"")</f>
        <v/>
      </c>
      <c r="D817" s="7" t="str">
        <f>IFERROR(VLOOKUP(B817,'Master data'!$A$1:$F$1000,6,FALSE),"")</f>
        <v/>
      </c>
      <c r="F817" s="7" t="str">
        <f>IFERROR(VLOOKUP(B817,'Master data'!$A$1:$F$1000,3,FALSE),"")</f>
        <v/>
      </c>
      <c r="I817" s="16"/>
      <c r="J817" s="16"/>
      <c r="K817" s="16" t="b">
        <v>0</v>
      </c>
      <c r="L817" s="16" t="b">
        <v>0</v>
      </c>
    </row>
    <row r="818">
      <c r="A818" s="9"/>
      <c r="B818" s="16"/>
      <c r="C818" s="7" t="str">
        <f>IFERROR(VLOOKUP(B818,'Master data'!$A$1:$F$1000,2,FALSE),"")</f>
        <v/>
      </c>
      <c r="D818" s="7" t="str">
        <f>IFERROR(VLOOKUP(B818,'Master data'!$A$1:$F$1000,6,FALSE),"")</f>
        <v/>
      </c>
      <c r="F818" s="7" t="str">
        <f>IFERROR(VLOOKUP(B818,'Master data'!$A$1:$F$1000,3,FALSE),"")</f>
        <v/>
      </c>
      <c r="I818" s="16"/>
      <c r="J818" s="16"/>
      <c r="K818" s="16" t="b">
        <v>0</v>
      </c>
      <c r="L818" s="16" t="b">
        <v>0</v>
      </c>
    </row>
    <row r="819">
      <c r="A819" s="9"/>
      <c r="B819" s="16"/>
      <c r="C819" s="7" t="str">
        <f>IFERROR(VLOOKUP(B819,'Master data'!$A$1:$F$1000,2,FALSE),"")</f>
        <v/>
      </c>
      <c r="D819" s="7" t="str">
        <f>IFERROR(VLOOKUP(B819,'Master data'!$A$1:$F$1000,6,FALSE),"")</f>
        <v/>
      </c>
      <c r="F819" s="7" t="str">
        <f>IFERROR(VLOOKUP(B819,'Master data'!$A$1:$F$1000,3,FALSE),"")</f>
        <v/>
      </c>
      <c r="I819" s="16"/>
      <c r="J819" s="16"/>
      <c r="K819" s="16" t="b">
        <v>0</v>
      </c>
      <c r="L819" s="16" t="b">
        <v>0</v>
      </c>
    </row>
    <row r="820">
      <c r="A820" s="9"/>
      <c r="B820" s="16"/>
      <c r="C820" s="7" t="str">
        <f>IFERROR(VLOOKUP(B820,'Master data'!$A$1:$F$1000,2,FALSE),"")</f>
        <v/>
      </c>
      <c r="D820" s="7" t="str">
        <f>IFERROR(VLOOKUP(B820,'Master data'!$A$1:$F$1000,6,FALSE),"")</f>
        <v/>
      </c>
      <c r="F820" s="7" t="str">
        <f>IFERROR(VLOOKUP(B820,'Master data'!$A$1:$F$1000,3,FALSE),"")</f>
        <v/>
      </c>
      <c r="I820" s="16"/>
      <c r="J820" s="16"/>
      <c r="K820" s="16" t="b">
        <v>0</v>
      </c>
      <c r="L820" s="16" t="b">
        <v>0</v>
      </c>
    </row>
    <row r="821">
      <c r="A821" s="9"/>
      <c r="B821" s="16"/>
      <c r="C821" s="7" t="str">
        <f>IFERROR(VLOOKUP(B821,'Master data'!$A$1:$F$1000,2,FALSE),"")</f>
        <v/>
      </c>
      <c r="D821" s="7" t="str">
        <f>IFERROR(VLOOKUP(B821,'Master data'!$A$1:$F$1000,6,FALSE),"")</f>
        <v/>
      </c>
      <c r="F821" s="7" t="str">
        <f>IFERROR(VLOOKUP(B821,'Master data'!$A$1:$F$1000,3,FALSE),"")</f>
        <v/>
      </c>
      <c r="I821" s="16"/>
      <c r="J821" s="16"/>
      <c r="K821" s="16" t="b">
        <v>0</v>
      </c>
      <c r="L821" s="16" t="b">
        <v>0</v>
      </c>
    </row>
    <row r="822">
      <c r="A822" s="9"/>
      <c r="B822" s="16"/>
      <c r="C822" s="7" t="str">
        <f>IFERROR(VLOOKUP(B822,'Master data'!$A$1:$F$1000,2,FALSE),"")</f>
        <v/>
      </c>
      <c r="D822" s="7" t="str">
        <f>IFERROR(VLOOKUP(B822,'Master data'!$A$1:$F$1000,6,FALSE),"")</f>
        <v/>
      </c>
      <c r="F822" s="7" t="str">
        <f>IFERROR(VLOOKUP(B822,'Master data'!$A$1:$F$1000,3,FALSE),"")</f>
        <v/>
      </c>
      <c r="I822" s="16"/>
      <c r="J822" s="16"/>
      <c r="K822" s="16" t="b">
        <v>0</v>
      </c>
      <c r="L822" s="16" t="b">
        <v>0</v>
      </c>
    </row>
    <row r="823">
      <c r="A823" s="9"/>
      <c r="B823" s="16"/>
      <c r="C823" s="7" t="str">
        <f>IFERROR(VLOOKUP(B823,'Master data'!$A$1:$F$1000,2,FALSE),"")</f>
        <v/>
      </c>
      <c r="D823" s="7" t="str">
        <f>IFERROR(VLOOKUP(B823,'Master data'!$A$1:$F$1000,6,FALSE),"")</f>
        <v/>
      </c>
      <c r="F823" s="7" t="str">
        <f>IFERROR(VLOOKUP(B823,'Master data'!$A$1:$F$1000,3,FALSE),"")</f>
        <v/>
      </c>
      <c r="I823" s="16"/>
      <c r="J823" s="16"/>
      <c r="K823" s="16" t="b">
        <v>0</v>
      </c>
      <c r="L823" s="16" t="b">
        <v>0</v>
      </c>
    </row>
    <row r="824">
      <c r="A824" s="9"/>
      <c r="B824" s="16"/>
      <c r="C824" s="7" t="str">
        <f>IFERROR(VLOOKUP(B824,'Master data'!$A$1:$F$1000,2,FALSE),"")</f>
        <v/>
      </c>
      <c r="D824" s="7" t="str">
        <f>IFERROR(VLOOKUP(B824,'Master data'!$A$1:$F$1000,6,FALSE),"")</f>
        <v/>
      </c>
      <c r="F824" s="7" t="str">
        <f>IFERROR(VLOOKUP(B824,'Master data'!$A$1:$F$1000,3,FALSE),"")</f>
        <v/>
      </c>
      <c r="I824" s="16"/>
      <c r="J824" s="16"/>
      <c r="K824" s="16" t="b">
        <v>0</v>
      </c>
      <c r="L824" s="16" t="b">
        <v>0</v>
      </c>
    </row>
    <row r="825">
      <c r="A825" s="9"/>
      <c r="B825" s="16"/>
      <c r="C825" s="7" t="str">
        <f>IFERROR(VLOOKUP(B825,'Master data'!$A$1:$F$1000,2,FALSE),"")</f>
        <v/>
      </c>
      <c r="D825" s="7" t="str">
        <f>IFERROR(VLOOKUP(B825,'Master data'!$A$1:$F$1000,6,FALSE),"")</f>
        <v/>
      </c>
      <c r="F825" s="7" t="str">
        <f>IFERROR(VLOOKUP(B825,'Master data'!$A$1:$F$1000,3,FALSE),"")</f>
        <v/>
      </c>
      <c r="I825" s="16"/>
      <c r="J825" s="16"/>
      <c r="K825" s="16" t="b">
        <v>0</v>
      </c>
      <c r="L825" s="16" t="b">
        <v>0</v>
      </c>
    </row>
    <row r="826">
      <c r="A826" s="9"/>
      <c r="B826" s="16"/>
      <c r="C826" s="7" t="str">
        <f>IFERROR(VLOOKUP(B826,'Master data'!$A$1:$F$1000,2,FALSE),"")</f>
        <v/>
      </c>
      <c r="D826" s="7" t="str">
        <f>IFERROR(VLOOKUP(B826,'Master data'!$A$1:$F$1000,6,FALSE),"")</f>
        <v/>
      </c>
      <c r="F826" s="7" t="str">
        <f>IFERROR(VLOOKUP(B826,'Master data'!$A$1:$F$1000,3,FALSE),"")</f>
        <v/>
      </c>
      <c r="I826" s="16"/>
      <c r="J826" s="16"/>
      <c r="K826" s="16" t="b">
        <v>0</v>
      </c>
      <c r="L826" s="16" t="b">
        <v>0</v>
      </c>
    </row>
    <row r="827">
      <c r="A827" s="9"/>
      <c r="B827" s="16"/>
      <c r="C827" s="7" t="str">
        <f>IFERROR(VLOOKUP(B827,'Master data'!$A$1:$F$1000,2,FALSE),"")</f>
        <v/>
      </c>
      <c r="D827" s="7" t="str">
        <f>IFERROR(VLOOKUP(B827,'Master data'!$A$1:$F$1000,6,FALSE),"")</f>
        <v/>
      </c>
      <c r="F827" s="7" t="str">
        <f>IFERROR(VLOOKUP(B827,'Master data'!$A$1:$F$1000,3,FALSE),"")</f>
        <v/>
      </c>
      <c r="I827" s="16"/>
      <c r="J827" s="16"/>
      <c r="K827" s="16" t="b">
        <v>0</v>
      </c>
      <c r="L827" s="16" t="b">
        <v>0</v>
      </c>
    </row>
    <row r="828">
      <c r="A828" s="9"/>
      <c r="B828" s="16"/>
      <c r="C828" s="7" t="str">
        <f>IFERROR(VLOOKUP(B828,'Master data'!$A$1:$F$1000,2,FALSE),"")</f>
        <v/>
      </c>
      <c r="D828" s="7" t="str">
        <f>IFERROR(VLOOKUP(B828,'Master data'!$A$1:$F$1000,6,FALSE),"")</f>
        <v/>
      </c>
      <c r="F828" s="7" t="str">
        <f>IFERROR(VLOOKUP(B828,'Master data'!$A$1:$F$1000,3,FALSE),"")</f>
        <v/>
      </c>
      <c r="I828" s="16"/>
      <c r="J828" s="16"/>
      <c r="K828" s="16" t="b">
        <v>0</v>
      </c>
      <c r="L828" s="16" t="b">
        <v>0</v>
      </c>
    </row>
    <row r="829">
      <c r="A829" s="9"/>
      <c r="B829" s="16"/>
      <c r="C829" s="7" t="str">
        <f>IFERROR(VLOOKUP(B829,'Master data'!$A$1:$F$1000,2,FALSE),"")</f>
        <v/>
      </c>
      <c r="D829" s="7" t="str">
        <f>IFERROR(VLOOKUP(B829,'Master data'!$A$1:$F$1000,6,FALSE),"")</f>
        <v/>
      </c>
      <c r="F829" s="7" t="str">
        <f>IFERROR(VLOOKUP(B829,'Master data'!$A$1:$F$1000,3,FALSE),"")</f>
        <v/>
      </c>
      <c r="I829" s="16"/>
      <c r="J829" s="16"/>
      <c r="K829" s="16" t="b">
        <v>0</v>
      </c>
      <c r="L829" s="16" t="b">
        <v>0</v>
      </c>
    </row>
    <row r="830">
      <c r="A830" s="9"/>
      <c r="B830" s="16"/>
      <c r="C830" s="7" t="str">
        <f>IFERROR(VLOOKUP(B830,'Master data'!$A$1:$F$1000,2,FALSE),"")</f>
        <v/>
      </c>
      <c r="D830" s="7" t="str">
        <f>IFERROR(VLOOKUP(B830,'Master data'!$A$1:$F$1000,6,FALSE),"")</f>
        <v/>
      </c>
      <c r="F830" s="7" t="str">
        <f>IFERROR(VLOOKUP(B830,'Master data'!$A$1:$F$1000,3,FALSE),"")</f>
        <v/>
      </c>
      <c r="I830" s="16"/>
      <c r="J830" s="16"/>
      <c r="K830" s="16" t="b">
        <v>0</v>
      </c>
      <c r="L830" s="16" t="b">
        <v>0</v>
      </c>
    </row>
    <row r="831">
      <c r="A831" s="9"/>
      <c r="B831" s="16"/>
      <c r="C831" s="7" t="str">
        <f>IFERROR(VLOOKUP(B831,'Master data'!$A$1:$F$1000,2,FALSE),"")</f>
        <v/>
      </c>
      <c r="D831" s="7" t="str">
        <f>IFERROR(VLOOKUP(B831,'Master data'!$A$1:$F$1000,6,FALSE),"")</f>
        <v/>
      </c>
      <c r="F831" s="7" t="str">
        <f>IFERROR(VLOOKUP(B831,'Master data'!$A$1:$F$1000,3,FALSE),"")</f>
        <v/>
      </c>
      <c r="I831" s="16"/>
      <c r="J831" s="16"/>
      <c r="K831" s="16" t="b">
        <v>0</v>
      </c>
      <c r="L831" s="16" t="b">
        <v>0</v>
      </c>
    </row>
    <row r="832">
      <c r="A832" s="9"/>
      <c r="B832" s="16"/>
      <c r="C832" s="7" t="str">
        <f>IFERROR(VLOOKUP(B832,'Master data'!$A$1:$F$1000,2,FALSE),"")</f>
        <v/>
      </c>
      <c r="D832" s="7" t="str">
        <f>IFERROR(VLOOKUP(B832,'Master data'!$A$1:$F$1000,6,FALSE),"")</f>
        <v/>
      </c>
      <c r="F832" s="7" t="str">
        <f>IFERROR(VLOOKUP(B832,'Master data'!$A$1:$F$1000,3,FALSE),"")</f>
        <v/>
      </c>
      <c r="I832" s="16"/>
      <c r="J832" s="16"/>
      <c r="K832" s="16" t="b">
        <v>0</v>
      </c>
      <c r="L832" s="16" t="b">
        <v>0</v>
      </c>
    </row>
    <row r="833">
      <c r="A833" s="9"/>
      <c r="B833" s="16"/>
      <c r="C833" s="7" t="str">
        <f>IFERROR(VLOOKUP(B833,'Master data'!$A$1:$F$1000,2,FALSE),"")</f>
        <v/>
      </c>
      <c r="D833" s="7" t="str">
        <f>IFERROR(VLOOKUP(B833,'Master data'!$A$1:$F$1000,6,FALSE),"")</f>
        <v/>
      </c>
      <c r="F833" s="7" t="str">
        <f>IFERROR(VLOOKUP(B833,'Master data'!$A$1:$F$1000,3,FALSE),"")</f>
        <v/>
      </c>
      <c r="I833" s="16"/>
      <c r="J833" s="16"/>
      <c r="K833" s="16" t="b">
        <v>0</v>
      </c>
      <c r="L833" s="16" t="b">
        <v>0</v>
      </c>
    </row>
    <row r="834">
      <c r="A834" s="9"/>
      <c r="B834" s="16"/>
      <c r="C834" s="7" t="str">
        <f>IFERROR(VLOOKUP(B834,'Master data'!$A$1:$F$1000,2,FALSE),"")</f>
        <v/>
      </c>
      <c r="D834" s="7" t="str">
        <f>IFERROR(VLOOKUP(B834,'Master data'!$A$1:$F$1000,6,FALSE),"")</f>
        <v/>
      </c>
      <c r="F834" s="7" t="str">
        <f>IFERROR(VLOOKUP(B834,'Master data'!$A$1:$F$1000,3,FALSE),"")</f>
        <v/>
      </c>
      <c r="I834" s="16"/>
      <c r="J834" s="16"/>
      <c r="K834" s="16" t="b">
        <v>0</v>
      </c>
      <c r="L834" s="16" t="b">
        <v>0</v>
      </c>
    </row>
    <row r="835">
      <c r="A835" s="9"/>
      <c r="B835" s="16"/>
      <c r="C835" s="7" t="str">
        <f>IFERROR(VLOOKUP(B835,'Master data'!$A$1:$F$1000,2,FALSE),"")</f>
        <v/>
      </c>
      <c r="D835" s="7" t="str">
        <f>IFERROR(VLOOKUP(B835,'Master data'!$A$1:$F$1000,6,FALSE),"")</f>
        <v/>
      </c>
      <c r="F835" s="7" t="str">
        <f>IFERROR(VLOOKUP(B835,'Master data'!$A$1:$F$1000,3,FALSE),"")</f>
        <v/>
      </c>
      <c r="I835" s="16"/>
      <c r="J835" s="16"/>
      <c r="K835" s="16" t="b">
        <v>0</v>
      </c>
      <c r="L835" s="16" t="b">
        <v>0</v>
      </c>
    </row>
    <row r="836">
      <c r="A836" s="9"/>
      <c r="B836" s="16"/>
      <c r="C836" s="7" t="str">
        <f>IFERROR(VLOOKUP(B836,'Master data'!$A$1:$F$1000,2,FALSE),"")</f>
        <v/>
      </c>
      <c r="D836" s="7" t="str">
        <f>IFERROR(VLOOKUP(B836,'Master data'!$A$1:$F$1000,6,FALSE),"")</f>
        <v/>
      </c>
      <c r="F836" s="7" t="str">
        <f>IFERROR(VLOOKUP(B836,'Master data'!$A$1:$F$1000,3,FALSE),"")</f>
        <v/>
      </c>
      <c r="I836" s="16"/>
      <c r="J836" s="16"/>
      <c r="K836" s="16" t="b">
        <v>0</v>
      </c>
      <c r="L836" s="16" t="b">
        <v>0</v>
      </c>
    </row>
    <row r="837">
      <c r="A837" s="9"/>
      <c r="B837" s="16"/>
      <c r="C837" s="7" t="str">
        <f>IFERROR(VLOOKUP(B837,'Master data'!$A$1:$F$1000,2,FALSE),"")</f>
        <v/>
      </c>
      <c r="D837" s="7" t="str">
        <f>IFERROR(VLOOKUP(B837,'Master data'!$A$1:$F$1000,6,FALSE),"")</f>
        <v/>
      </c>
      <c r="F837" s="7" t="str">
        <f>IFERROR(VLOOKUP(B837,'Master data'!$A$1:$F$1000,3,FALSE),"")</f>
        <v/>
      </c>
      <c r="I837" s="16"/>
      <c r="J837" s="16"/>
      <c r="K837" s="16" t="b">
        <v>0</v>
      </c>
      <c r="L837" s="16" t="b">
        <v>0</v>
      </c>
    </row>
    <row r="838">
      <c r="A838" s="9"/>
      <c r="B838" s="16"/>
      <c r="C838" s="7" t="str">
        <f>IFERROR(VLOOKUP(B838,'Master data'!$A$1:$F$1000,2,FALSE),"")</f>
        <v/>
      </c>
      <c r="D838" s="7" t="str">
        <f>IFERROR(VLOOKUP(B838,'Master data'!$A$1:$F$1000,6,FALSE),"")</f>
        <v/>
      </c>
      <c r="F838" s="7" t="str">
        <f>IFERROR(VLOOKUP(B838,'Master data'!$A$1:$F$1000,3,FALSE),"")</f>
        <v/>
      </c>
      <c r="I838" s="16"/>
      <c r="J838" s="16"/>
      <c r="K838" s="16" t="b">
        <v>0</v>
      </c>
      <c r="L838" s="16" t="b">
        <v>0</v>
      </c>
    </row>
    <row r="839">
      <c r="A839" s="9"/>
      <c r="B839" s="16"/>
      <c r="C839" s="7" t="str">
        <f>IFERROR(VLOOKUP(B839,'Master data'!$A$1:$F$1000,2,FALSE),"")</f>
        <v/>
      </c>
      <c r="D839" s="7" t="str">
        <f>IFERROR(VLOOKUP(B839,'Master data'!$A$1:$F$1000,6,FALSE),"")</f>
        <v/>
      </c>
      <c r="F839" s="7" t="str">
        <f>IFERROR(VLOOKUP(B839,'Master data'!$A$1:$F$1000,3,FALSE),"")</f>
        <v/>
      </c>
      <c r="I839" s="16"/>
      <c r="J839" s="16"/>
      <c r="K839" s="16" t="b">
        <v>0</v>
      </c>
      <c r="L839" s="16" t="b">
        <v>0</v>
      </c>
    </row>
    <row r="840">
      <c r="A840" s="9"/>
      <c r="B840" s="16"/>
      <c r="C840" s="7" t="str">
        <f>IFERROR(VLOOKUP(B840,'Master data'!$A$1:$F$1000,2,FALSE),"")</f>
        <v/>
      </c>
      <c r="D840" s="7" t="str">
        <f>IFERROR(VLOOKUP(B840,'Master data'!$A$1:$F$1000,6,FALSE),"")</f>
        <v/>
      </c>
      <c r="F840" s="7" t="str">
        <f>IFERROR(VLOOKUP(B840,'Master data'!$A$1:$F$1000,3,FALSE),"")</f>
        <v/>
      </c>
      <c r="I840" s="16"/>
      <c r="J840" s="16"/>
      <c r="K840" s="16" t="b">
        <v>0</v>
      </c>
      <c r="L840" s="16" t="b">
        <v>0</v>
      </c>
    </row>
    <row r="841">
      <c r="A841" s="9"/>
      <c r="B841" s="16"/>
      <c r="C841" s="7" t="str">
        <f>IFERROR(VLOOKUP(B841,'Master data'!$A$1:$F$1000,2,FALSE),"")</f>
        <v/>
      </c>
      <c r="D841" s="7" t="str">
        <f>IFERROR(VLOOKUP(B841,'Master data'!$A$1:$F$1000,6,FALSE),"")</f>
        <v/>
      </c>
      <c r="F841" s="7" t="str">
        <f>IFERROR(VLOOKUP(B841,'Master data'!$A$1:$F$1000,3,FALSE),"")</f>
        <v/>
      </c>
      <c r="I841" s="16"/>
      <c r="J841" s="16"/>
      <c r="K841" s="16" t="b">
        <v>0</v>
      </c>
      <c r="L841" s="16" t="b">
        <v>0</v>
      </c>
    </row>
    <row r="842">
      <c r="A842" s="9"/>
      <c r="B842" s="16"/>
      <c r="C842" s="7" t="str">
        <f>IFERROR(VLOOKUP(B842,'Master data'!$A$1:$F$1000,2,FALSE),"")</f>
        <v/>
      </c>
      <c r="D842" s="7" t="str">
        <f>IFERROR(VLOOKUP(B842,'Master data'!$A$1:$F$1000,6,FALSE),"")</f>
        <v/>
      </c>
      <c r="F842" s="7" t="str">
        <f>IFERROR(VLOOKUP(B842,'Master data'!$A$1:$F$1000,3,FALSE),"")</f>
        <v/>
      </c>
      <c r="I842" s="16"/>
      <c r="J842" s="16"/>
      <c r="K842" s="16" t="b">
        <v>0</v>
      </c>
      <c r="L842" s="16" t="b">
        <v>0</v>
      </c>
    </row>
    <row r="843">
      <c r="A843" s="9"/>
      <c r="B843" s="16"/>
      <c r="C843" s="7" t="str">
        <f>IFERROR(VLOOKUP(B843,'Master data'!$A$1:$F$1000,2,FALSE),"")</f>
        <v/>
      </c>
      <c r="D843" s="7" t="str">
        <f>IFERROR(VLOOKUP(B843,'Master data'!$A$1:$F$1000,6,FALSE),"")</f>
        <v/>
      </c>
      <c r="F843" s="7" t="str">
        <f>IFERROR(VLOOKUP(B843,'Master data'!$A$1:$F$1000,3,FALSE),"")</f>
        <v/>
      </c>
      <c r="I843" s="16"/>
      <c r="J843" s="16"/>
      <c r="K843" s="16" t="b">
        <v>0</v>
      </c>
      <c r="L843" s="16" t="b">
        <v>0</v>
      </c>
    </row>
    <row r="844">
      <c r="A844" s="9"/>
      <c r="B844" s="16"/>
      <c r="C844" s="7" t="str">
        <f>IFERROR(VLOOKUP(B844,'Master data'!$A$1:$F$1000,2,FALSE),"")</f>
        <v/>
      </c>
      <c r="D844" s="7" t="str">
        <f>IFERROR(VLOOKUP(B844,'Master data'!$A$1:$F$1000,6,FALSE),"")</f>
        <v/>
      </c>
      <c r="F844" s="7" t="str">
        <f>IFERROR(VLOOKUP(B844,'Master data'!$A$1:$F$1000,3,FALSE),"")</f>
        <v/>
      </c>
      <c r="I844" s="16"/>
      <c r="J844" s="16"/>
      <c r="K844" s="16" t="b">
        <v>0</v>
      </c>
      <c r="L844" s="16" t="b">
        <v>0</v>
      </c>
    </row>
    <row r="845">
      <c r="A845" s="9"/>
      <c r="B845" s="16"/>
      <c r="C845" s="7" t="str">
        <f>IFERROR(VLOOKUP(B845,'Master data'!$A$1:$F$1000,2,FALSE),"")</f>
        <v/>
      </c>
      <c r="D845" s="7" t="str">
        <f>IFERROR(VLOOKUP(B845,'Master data'!$A$1:$F$1000,6,FALSE),"")</f>
        <v/>
      </c>
      <c r="F845" s="7" t="str">
        <f>IFERROR(VLOOKUP(B845,'Master data'!$A$1:$F$1000,3,FALSE),"")</f>
        <v/>
      </c>
      <c r="I845" s="16"/>
      <c r="J845" s="16"/>
      <c r="K845" s="16" t="b">
        <v>0</v>
      </c>
      <c r="L845" s="16" t="b">
        <v>0</v>
      </c>
    </row>
    <row r="846">
      <c r="A846" s="9"/>
      <c r="B846" s="16"/>
      <c r="C846" s="7" t="str">
        <f>IFERROR(VLOOKUP(B846,'Master data'!$A$1:$F$1000,2,FALSE),"")</f>
        <v/>
      </c>
      <c r="D846" s="7" t="str">
        <f>IFERROR(VLOOKUP(B846,'Master data'!$A$1:$F$1000,6,FALSE),"")</f>
        <v/>
      </c>
      <c r="F846" s="7" t="str">
        <f>IFERROR(VLOOKUP(B846,'Master data'!$A$1:$F$1000,3,FALSE),"")</f>
        <v/>
      </c>
      <c r="I846" s="16"/>
      <c r="J846" s="16"/>
      <c r="K846" s="16" t="b">
        <v>0</v>
      </c>
      <c r="L846" s="16" t="b">
        <v>0</v>
      </c>
    </row>
    <row r="847">
      <c r="A847" s="9"/>
      <c r="B847" s="16"/>
      <c r="C847" s="7" t="str">
        <f>IFERROR(VLOOKUP(B847,'Master data'!$A$1:$F$1000,2,FALSE),"")</f>
        <v/>
      </c>
      <c r="D847" s="7" t="str">
        <f>IFERROR(VLOOKUP(B847,'Master data'!$A$1:$F$1000,6,FALSE),"")</f>
        <v/>
      </c>
      <c r="F847" s="7" t="str">
        <f>IFERROR(VLOOKUP(B847,'Master data'!$A$1:$F$1000,3,FALSE),"")</f>
        <v/>
      </c>
      <c r="I847" s="16"/>
      <c r="J847" s="16"/>
      <c r="K847" s="16" t="b">
        <v>0</v>
      </c>
      <c r="L847" s="16" t="b">
        <v>0</v>
      </c>
    </row>
    <row r="848">
      <c r="A848" s="9"/>
      <c r="B848" s="16"/>
      <c r="C848" s="7" t="str">
        <f>IFERROR(VLOOKUP(B848,'Master data'!$A$1:$F$1000,2,FALSE),"")</f>
        <v/>
      </c>
      <c r="D848" s="7" t="str">
        <f>IFERROR(VLOOKUP(B848,'Master data'!$A$1:$F$1000,6,FALSE),"")</f>
        <v/>
      </c>
      <c r="F848" s="7" t="str">
        <f>IFERROR(VLOOKUP(B848,'Master data'!$A$1:$F$1000,3,FALSE),"")</f>
        <v/>
      </c>
      <c r="I848" s="16"/>
      <c r="J848" s="16"/>
      <c r="K848" s="16" t="b">
        <v>0</v>
      </c>
      <c r="L848" s="16" t="b">
        <v>0</v>
      </c>
    </row>
    <row r="849">
      <c r="A849" s="9"/>
      <c r="B849" s="16"/>
      <c r="C849" s="7" t="str">
        <f>IFERROR(VLOOKUP(B849,'Master data'!$A$1:$F$1000,2,FALSE),"")</f>
        <v/>
      </c>
      <c r="D849" s="7" t="str">
        <f>IFERROR(VLOOKUP(B849,'Master data'!$A$1:$F$1000,6,FALSE),"")</f>
        <v/>
      </c>
      <c r="F849" s="7" t="str">
        <f>IFERROR(VLOOKUP(B849,'Master data'!$A$1:$F$1000,3,FALSE),"")</f>
        <v/>
      </c>
      <c r="I849" s="16"/>
      <c r="J849" s="16"/>
      <c r="K849" s="16" t="b">
        <v>0</v>
      </c>
      <c r="L849" s="16" t="b">
        <v>0</v>
      </c>
    </row>
    <row r="850">
      <c r="A850" s="9"/>
      <c r="B850" s="16"/>
      <c r="C850" s="7" t="str">
        <f>IFERROR(VLOOKUP(B850,'Master data'!$A$1:$F$1000,2,FALSE),"")</f>
        <v/>
      </c>
      <c r="D850" s="7" t="str">
        <f>IFERROR(VLOOKUP(B850,'Master data'!$A$1:$F$1000,6,FALSE),"")</f>
        <v/>
      </c>
      <c r="F850" s="7" t="str">
        <f>IFERROR(VLOOKUP(B850,'Master data'!$A$1:$F$1000,3,FALSE),"")</f>
        <v/>
      </c>
      <c r="I850" s="16"/>
      <c r="J850" s="16"/>
      <c r="K850" s="16" t="b">
        <v>0</v>
      </c>
      <c r="L850" s="16" t="b">
        <v>0</v>
      </c>
    </row>
    <row r="851">
      <c r="A851" s="9"/>
      <c r="B851" s="16"/>
      <c r="C851" s="7" t="str">
        <f>IFERROR(VLOOKUP(B851,'Master data'!$A$1:$F$1000,2,FALSE),"")</f>
        <v/>
      </c>
      <c r="D851" s="7" t="str">
        <f>IFERROR(VLOOKUP(B851,'Master data'!$A$1:$F$1000,6,FALSE),"")</f>
        <v/>
      </c>
      <c r="F851" s="7" t="str">
        <f>IFERROR(VLOOKUP(B851,'Master data'!$A$1:$F$1000,3,FALSE),"")</f>
        <v/>
      </c>
      <c r="I851" s="16"/>
      <c r="J851" s="16"/>
      <c r="K851" s="16" t="b">
        <v>0</v>
      </c>
      <c r="L851" s="16" t="b">
        <v>0</v>
      </c>
    </row>
    <row r="852">
      <c r="A852" s="9"/>
      <c r="B852" s="16"/>
      <c r="C852" s="7" t="str">
        <f>IFERROR(VLOOKUP(B852,'Master data'!$A$1:$F$1000,2,FALSE),"")</f>
        <v/>
      </c>
      <c r="D852" s="7" t="str">
        <f>IFERROR(VLOOKUP(B852,'Master data'!$A$1:$F$1000,6,FALSE),"")</f>
        <v/>
      </c>
      <c r="F852" s="7" t="str">
        <f>IFERROR(VLOOKUP(B852,'Master data'!$A$1:$F$1000,3,FALSE),"")</f>
        <v/>
      </c>
      <c r="I852" s="16"/>
      <c r="J852" s="16"/>
      <c r="K852" s="16" t="b">
        <v>0</v>
      </c>
      <c r="L852" s="16" t="b">
        <v>0</v>
      </c>
    </row>
    <row r="853">
      <c r="A853" s="9"/>
      <c r="B853" s="16"/>
      <c r="C853" s="7" t="str">
        <f>IFERROR(VLOOKUP(B853,'Master data'!$A$1:$F$1000,2,FALSE),"")</f>
        <v/>
      </c>
      <c r="D853" s="7" t="str">
        <f>IFERROR(VLOOKUP(B853,'Master data'!$A$1:$F$1000,6,FALSE),"")</f>
        <v/>
      </c>
      <c r="F853" s="7" t="str">
        <f>IFERROR(VLOOKUP(B853,'Master data'!$A$1:$F$1000,3,FALSE),"")</f>
        <v/>
      </c>
      <c r="I853" s="16"/>
      <c r="J853" s="16"/>
      <c r="K853" s="16" t="b">
        <v>0</v>
      </c>
      <c r="L853" s="16" t="b">
        <v>0</v>
      </c>
    </row>
    <row r="854">
      <c r="A854" s="9"/>
      <c r="B854" s="16"/>
      <c r="C854" s="7" t="str">
        <f>IFERROR(VLOOKUP(B854,'Master data'!$A$1:$F$1000,2,FALSE),"")</f>
        <v/>
      </c>
      <c r="D854" s="7" t="str">
        <f>IFERROR(VLOOKUP(B854,'Master data'!$A$1:$F$1000,6,FALSE),"")</f>
        <v/>
      </c>
      <c r="F854" s="7" t="str">
        <f>IFERROR(VLOOKUP(B854,'Master data'!$A$1:$F$1000,3,FALSE),"")</f>
        <v/>
      </c>
      <c r="I854" s="16"/>
      <c r="J854" s="16"/>
      <c r="K854" s="16" t="b">
        <v>0</v>
      </c>
      <c r="L854" s="16" t="b">
        <v>0</v>
      </c>
    </row>
    <row r="855">
      <c r="A855" s="9"/>
      <c r="B855" s="16"/>
      <c r="C855" s="7" t="str">
        <f>IFERROR(VLOOKUP(B855,'Master data'!$A$1:$F$1000,2,FALSE),"")</f>
        <v/>
      </c>
      <c r="D855" s="7" t="str">
        <f>IFERROR(VLOOKUP(B855,'Master data'!$A$1:$F$1000,6,FALSE),"")</f>
        <v/>
      </c>
      <c r="F855" s="7" t="str">
        <f>IFERROR(VLOOKUP(B855,'Master data'!$A$1:$F$1000,3,FALSE),"")</f>
        <v/>
      </c>
      <c r="I855" s="16"/>
      <c r="J855" s="16"/>
      <c r="K855" s="16" t="b">
        <v>0</v>
      </c>
      <c r="L855" s="16" t="b">
        <v>0</v>
      </c>
    </row>
    <row r="856">
      <c r="A856" s="9"/>
      <c r="B856" s="16"/>
      <c r="C856" s="7" t="str">
        <f>IFERROR(VLOOKUP(B856,'Master data'!$A$1:$F$1000,2,FALSE),"")</f>
        <v/>
      </c>
      <c r="D856" s="7" t="str">
        <f>IFERROR(VLOOKUP(B856,'Master data'!$A$1:$F$1000,6,FALSE),"")</f>
        <v/>
      </c>
      <c r="F856" s="7" t="str">
        <f>IFERROR(VLOOKUP(B856,'Master data'!$A$1:$F$1000,3,FALSE),"")</f>
        <v/>
      </c>
      <c r="I856" s="16"/>
      <c r="J856" s="16"/>
      <c r="K856" s="16" t="b">
        <v>0</v>
      </c>
      <c r="L856" s="16" t="b">
        <v>0</v>
      </c>
    </row>
    <row r="857">
      <c r="A857" s="9"/>
      <c r="B857" s="16"/>
      <c r="C857" s="7" t="str">
        <f>IFERROR(VLOOKUP(B857,'Master data'!$A$1:$F$1000,2,FALSE),"")</f>
        <v/>
      </c>
      <c r="D857" s="7" t="str">
        <f>IFERROR(VLOOKUP(B857,'Master data'!$A$1:$F$1000,6,FALSE),"")</f>
        <v/>
      </c>
      <c r="F857" s="7" t="str">
        <f>IFERROR(VLOOKUP(B857,'Master data'!$A$1:$F$1000,3,FALSE),"")</f>
        <v/>
      </c>
      <c r="I857" s="16"/>
      <c r="J857" s="16"/>
      <c r="K857" s="16" t="b">
        <v>0</v>
      </c>
      <c r="L857" s="16" t="b">
        <v>0</v>
      </c>
    </row>
    <row r="858">
      <c r="A858" s="9"/>
      <c r="B858" s="16"/>
      <c r="C858" s="7" t="str">
        <f>IFERROR(VLOOKUP(B858,'Master data'!$A$1:$F$1000,2,FALSE),"")</f>
        <v/>
      </c>
      <c r="D858" s="7" t="str">
        <f>IFERROR(VLOOKUP(B858,'Master data'!$A$1:$F$1000,6,FALSE),"")</f>
        <v/>
      </c>
      <c r="F858" s="7" t="str">
        <f>IFERROR(VLOOKUP(B858,'Master data'!$A$1:$F$1000,3,FALSE),"")</f>
        <v/>
      </c>
      <c r="I858" s="16"/>
      <c r="J858" s="16"/>
      <c r="K858" s="16" t="b">
        <v>0</v>
      </c>
      <c r="L858" s="16" t="b">
        <v>0</v>
      </c>
    </row>
    <row r="859">
      <c r="A859" s="9"/>
      <c r="B859" s="16"/>
      <c r="C859" s="7" t="str">
        <f>IFERROR(VLOOKUP(B859,'Master data'!$A$1:$F$1000,2,FALSE),"")</f>
        <v/>
      </c>
      <c r="D859" s="7" t="str">
        <f>IFERROR(VLOOKUP(B859,'Master data'!$A$1:$F$1000,6,FALSE),"")</f>
        <v/>
      </c>
      <c r="F859" s="7" t="str">
        <f>IFERROR(VLOOKUP(B859,'Master data'!$A$1:$F$1000,3,FALSE),"")</f>
        <v/>
      </c>
      <c r="I859" s="16"/>
      <c r="J859" s="16"/>
      <c r="K859" s="16" t="b">
        <v>0</v>
      </c>
      <c r="L859" s="16" t="b">
        <v>0</v>
      </c>
    </row>
    <row r="860">
      <c r="A860" s="9"/>
      <c r="B860" s="16"/>
      <c r="C860" s="7" t="str">
        <f>IFERROR(VLOOKUP(B860,'Master data'!$A$1:$F$1000,2,FALSE),"")</f>
        <v/>
      </c>
      <c r="D860" s="7" t="str">
        <f>IFERROR(VLOOKUP(B860,'Master data'!$A$1:$F$1000,6,FALSE),"")</f>
        <v/>
      </c>
      <c r="F860" s="7" t="str">
        <f>IFERROR(VLOOKUP(B860,'Master data'!$A$1:$F$1000,3,FALSE),"")</f>
        <v/>
      </c>
      <c r="I860" s="16"/>
      <c r="J860" s="16"/>
      <c r="K860" s="16" t="b">
        <v>0</v>
      </c>
      <c r="L860" s="16" t="b">
        <v>0</v>
      </c>
    </row>
    <row r="861">
      <c r="A861" s="9"/>
      <c r="B861" s="16"/>
      <c r="C861" s="7" t="str">
        <f>IFERROR(VLOOKUP(B861,'Master data'!$A$1:$F$1000,2,FALSE),"")</f>
        <v/>
      </c>
      <c r="D861" s="7" t="str">
        <f>IFERROR(VLOOKUP(B861,'Master data'!$A$1:$F$1000,6,FALSE),"")</f>
        <v/>
      </c>
      <c r="F861" s="7" t="str">
        <f>IFERROR(VLOOKUP(B861,'Master data'!$A$1:$F$1000,3,FALSE),"")</f>
        <v/>
      </c>
      <c r="I861" s="16"/>
      <c r="J861" s="16"/>
      <c r="K861" s="16" t="b">
        <v>0</v>
      </c>
      <c r="L861" s="16" t="b">
        <v>0</v>
      </c>
    </row>
    <row r="862">
      <c r="A862" s="9"/>
      <c r="B862" s="16"/>
      <c r="C862" s="7" t="str">
        <f>IFERROR(VLOOKUP(B862,'Master data'!$A$1:$F$1000,2,FALSE),"")</f>
        <v/>
      </c>
      <c r="D862" s="7" t="str">
        <f>IFERROR(VLOOKUP(B862,'Master data'!$A$1:$F$1000,6,FALSE),"")</f>
        <v/>
      </c>
      <c r="F862" s="7" t="str">
        <f>IFERROR(VLOOKUP(B862,'Master data'!$A$1:$F$1000,3,FALSE),"")</f>
        <v/>
      </c>
      <c r="I862" s="16"/>
      <c r="J862" s="16"/>
      <c r="K862" s="16" t="b">
        <v>0</v>
      </c>
      <c r="L862" s="16" t="b">
        <v>0</v>
      </c>
    </row>
    <row r="863">
      <c r="A863" s="9"/>
      <c r="B863" s="16"/>
      <c r="C863" s="7" t="str">
        <f>IFERROR(VLOOKUP(B863,'Master data'!$A$1:$F$1000,2,FALSE),"")</f>
        <v/>
      </c>
      <c r="D863" s="7" t="str">
        <f>IFERROR(VLOOKUP(B863,'Master data'!$A$1:$F$1000,6,FALSE),"")</f>
        <v/>
      </c>
      <c r="F863" s="7" t="str">
        <f>IFERROR(VLOOKUP(B863,'Master data'!$A$1:$F$1000,3,FALSE),"")</f>
        <v/>
      </c>
      <c r="I863" s="16"/>
      <c r="J863" s="16"/>
      <c r="K863" s="16" t="b">
        <v>0</v>
      </c>
      <c r="L863" s="16" t="b">
        <v>0</v>
      </c>
    </row>
    <row r="864">
      <c r="A864" s="9"/>
      <c r="B864" s="16"/>
      <c r="C864" s="7" t="str">
        <f>IFERROR(VLOOKUP(B864,'Master data'!$A$1:$F$1000,2,FALSE),"")</f>
        <v/>
      </c>
      <c r="D864" s="7" t="str">
        <f>IFERROR(VLOOKUP(B864,'Master data'!$A$1:$F$1000,6,FALSE),"")</f>
        <v/>
      </c>
      <c r="F864" s="7" t="str">
        <f>IFERROR(VLOOKUP(B864,'Master data'!$A$1:$F$1000,3,FALSE),"")</f>
        <v/>
      </c>
      <c r="I864" s="16"/>
      <c r="J864" s="16"/>
      <c r="K864" s="16" t="b">
        <v>0</v>
      </c>
      <c r="L864" s="16" t="b">
        <v>0</v>
      </c>
    </row>
    <row r="865">
      <c r="A865" s="9"/>
      <c r="B865" s="16"/>
      <c r="C865" s="7" t="str">
        <f>IFERROR(VLOOKUP(B865,'Master data'!$A$1:$F$1000,2,FALSE),"")</f>
        <v/>
      </c>
      <c r="D865" s="7" t="str">
        <f>IFERROR(VLOOKUP(B865,'Master data'!$A$1:$F$1000,6,FALSE),"")</f>
        <v/>
      </c>
      <c r="F865" s="7" t="str">
        <f>IFERROR(VLOOKUP(B865,'Master data'!$A$1:$F$1000,3,FALSE),"")</f>
        <v/>
      </c>
      <c r="I865" s="16"/>
      <c r="J865" s="16"/>
      <c r="K865" s="16" t="b">
        <v>0</v>
      </c>
      <c r="L865" s="16" t="b">
        <v>0</v>
      </c>
    </row>
    <row r="866">
      <c r="A866" s="9"/>
      <c r="B866" s="16"/>
      <c r="C866" s="7" t="str">
        <f>IFERROR(VLOOKUP(B866,'Master data'!$A$1:$F$1000,2,FALSE),"")</f>
        <v/>
      </c>
      <c r="D866" s="7" t="str">
        <f>IFERROR(VLOOKUP(B866,'Master data'!$A$1:$F$1000,6,FALSE),"")</f>
        <v/>
      </c>
      <c r="F866" s="7" t="str">
        <f>IFERROR(VLOOKUP(B866,'Master data'!$A$1:$F$1000,3,FALSE),"")</f>
        <v/>
      </c>
      <c r="I866" s="16"/>
      <c r="J866" s="16"/>
      <c r="K866" s="16" t="b">
        <v>0</v>
      </c>
      <c r="L866" s="16" t="b">
        <v>0</v>
      </c>
    </row>
    <row r="867">
      <c r="A867" s="9"/>
      <c r="B867" s="16"/>
      <c r="C867" s="7" t="str">
        <f>IFERROR(VLOOKUP(B867,'Master data'!$A$1:$F$1000,2,FALSE),"")</f>
        <v/>
      </c>
      <c r="D867" s="7" t="str">
        <f>IFERROR(VLOOKUP(B867,'Master data'!$A$1:$F$1000,6,FALSE),"")</f>
        <v/>
      </c>
      <c r="F867" s="7" t="str">
        <f>IFERROR(VLOOKUP(B867,'Master data'!$A$1:$F$1000,3,FALSE),"")</f>
        <v/>
      </c>
      <c r="I867" s="16"/>
      <c r="J867" s="16"/>
      <c r="K867" s="16" t="b">
        <v>0</v>
      </c>
      <c r="L867" s="16" t="b">
        <v>0</v>
      </c>
    </row>
    <row r="868">
      <c r="A868" s="9"/>
      <c r="B868" s="16"/>
      <c r="C868" s="7" t="str">
        <f>IFERROR(VLOOKUP(B868,'Master data'!$A$1:$F$1000,2,FALSE),"")</f>
        <v/>
      </c>
      <c r="D868" s="7" t="str">
        <f>IFERROR(VLOOKUP(B868,'Master data'!$A$1:$F$1000,6,FALSE),"")</f>
        <v/>
      </c>
      <c r="F868" s="7" t="str">
        <f>IFERROR(VLOOKUP(B868,'Master data'!$A$1:$F$1000,3,FALSE),"")</f>
        <v/>
      </c>
      <c r="I868" s="16"/>
      <c r="J868" s="16"/>
      <c r="K868" s="16" t="b">
        <v>0</v>
      </c>
      <c r="L868" s="16" t="b">
        <v>0</v>
      </c>
    </row>
    <row r="869">
      <c r="A869" s="9"/>
      <c r="B869" s="16"/>
      <c r="C869" s="7" t="str">
        <f>IFERROR(VLOOKUP(B869,'Master data'!$A$1:$F$1000,2,FALSE),"")</f>
        <v/>
      </c>
      <c r="D869" s="7" t="str">
        <f>IFERROR(VLOOKUP(B869,'Master data'!$A$1:$F$1000,6,FALSE),"")</f>
        <v/>
      </c>
      <c r="F869" s="7" t="str">
        <f>IFERROR(VLOOKUP(B869,'Master data'!$A$1:$F$1000,3,FALSE),"")</f>
        <v/>
      </c>
      <c r="I869" s="16"/>
      <c r="J869" s="16"/>
      <c r="K869" s="16" t="b">
        <v>0</v>
      </c>
      <c r="L869" s="16" t="b">
        <v>0</v>
      </c>
    </row>
    <row r="870">
      <c r="A870" s="9"/>
      <c r="B870" s="16"/>
      <c r="C870" s="7" t="str">
        <f>IFERROR(VLOOKUP(B870,'Master data'!$A$1:$F$1000,2,FALSE),"")</f>
        <v/>
      </c>
      <c r="D870" s="7" t="str">
        <f>IFERROR(VLOOKUP(B870,'Master data'!$A$1:$F$1000,6,FALSE),"")</f>
        <v/>
      </c>
      <c r="F870" s="7" t="str">
        <f>IFERROR(VLOOKUP(B870,'Master data'!$A$1:$F$1000,3,FALSE),"")</f>
        <v/>
      </c>
      <c r="I870" s="16"/>
      <c r="J870" s="16"/>
      <c r="K870" s="16" t="b">
        <v>0</v>
      </c>
      <c r="L870" s="16" t="b">
        <v>0</v>
      </c>
    </row>
    <row r="871">
      <c r="A871" s="9"/>
      <c r="B871" s="16"/>
      <c r="C871" s="7" t="str">
        <f>IFERROR(VLOOKUP(B871,'Master data'!$A$1:$F$1000,2,FALSE),"")</f>
        <v/>
      </c>
      <c r="D871" s="7" t="str">
        <f>IFERROR(VLOOKUP(B871,'Master data'!$A$1:$F$1000,6,FALSE),"")</f>
        <v/>
      </c>
      <c r="F871" s="7" t="str">
        <f>IFERROR(VLOOKUP(B871,'Master data'!$A$1:$F$1000,3,FALSE),"")</f>
        <v/>
      </c>
      <c r="I871" s="16"/>
      <c r="J871" s="16"/>
      <c r="K871" s="16" t="b">
        <v>0</v>
      </c>
      <c r="L871" s="16" t="b">
        <v>0</v>
      </c>
    </row>
    <row r="872">
      <c r="A872" s="9"/>
      <c r="B872" s="16"/>
      <c r="C872" s="7" t="str">
        <f>IFERROR(VLOOKUP(B872,'Master data'!$A$1:$F$1000,2,FALSE),"")</f>
        <v/>
      </c>
      <c r="D872" s="7" t="str">
        <f>IFERROR(VLOOKUP(B872,'Master data'!$A$1:$F$1000,6,FALSE),"")</f>
        <v/>
      </c>
      <c r="F872" s="7" t="str">
        <f>IFERROR(VLOOKUP(B872,'Master data'!$A$1:$F$1000,3,FALSE),"")</f>
        <v/>
      </c>
      <c r="I872" s="16"/>
      <c r="J872" s="16"/>
      <c r="K872" s="16" t="b">
        <v>0</v>
      </c>
      <c r="L872" s="16" t="b">
        <v>0</v>
      </c>
    </row>
    <row r="873">
      <c r="A873" s="9"/>
      <c r="B873" s="16"/>
      <c r="C873" s="7" t="str">
        <f>IFERROR(VLOOKUP(B873,'Master data'!$A$1:$F$1000,2,FALSE),"")</f>
        <v/>
      </c>
      <c r="D873" s="7" t="str">
        <f>IFERROR(VLOOKUP(B873,'Master data'!$A$1:$F$1000,6,FALSE),"")</f>
        <v/>
      </c>
      <c r="F873" s="7" t="str">
        <f>IFERROR(VLOOKUP(B873,'Master data'!$A$1:$F$1000,3,FALSE),"")</f>
        <v/>
      </c>
      <c r="I873" s="16"/>
      <c r="J873" s="16"/>
      <c r="K873" s="16" t="b">
        <v>0</v>
      </c>
      <c r="L873" s="16" t="b">
        <v>0</v>
      </c>
    </row>
    <row r="874">
      <c r="A874" s="9"/>
      <c r="B874" s="16"/>
      <c r="C874" s="7" t="str">
        <f>IFERROR(VLOOKUP(B874,'Master data'!$A$1:$F$1000,2,FALSE),"")</f>
        <v/>
      </c>
      <c r="D874" s="7" t="str">
        <f>IFERROR(VLOOKUP(B874,'Master data'!$A$1:$F$1000,6,FALSE),"")</f>
        <v/>
      </c>
      <c r="F874" s="7" t="str">
        <f>IFERROR(VLOOKUP(B874,'Master data'!$A$1:$F$1000,3,FALSE),"")</f>
        <v/>
      </c>
      <c r="I874" s="16"/>
      <c r="J874" s="16"/>
      <c r="K874" s="16" t="b">
        <v>0</v>
      </c>
      <c r="L874" s="16" t="b">
        <v>0</v>
      </c>
    </row>
    <row r="875">
      <c r="A875" s="9"/>
      <c r="B875" s="16"/>
      <c r="C875" s="7" t="str">
        <f>IFERROR(VLOOKUP(B875,'Master data'!$A$1:$F$1000,2,FALSE),"")</f>
        <v/>
      </c>
      <c r="D875" s="7" t="str">
        <f>IFERROR(VLOOKUP(B875,'Master data'!$A$1:$F$1000,6,FALSE),"")</f>
        <v/>
      </c>
      <c r="F875" s="7" t="str">
        <f>IFERROR(VLOOKUP(B875,'Master data'!$A$1:$F$1000,3,FALSE),"")</f>
        <v/>
      </c>
      <c r="I875" s="16"/>
      <c r="J875" s="16"/>
      <c r="K875" s="16" t="b">
        <v>0</v>
      </c>
      <c r="L875" s="16" t="b">
        <v>0</v>
      </c>
    </row>
    <row r="876">
      <c r="A876" s="9"/>
      <c r="B876" s="16"/>
      <c r="C876" s="7" t="str">
        <f>IFERROR(VLOOKUP(B876,'Master data'!$A$1:$F$1000,2,FALSE),"")</f>
        <v/>
      </c>
      <c r="D876" s="7" t="str">
        <f>IFERROR(VLOOKUP(B876,'Master data'!$A$1:$F$1000,6,FALSE),"")</f>
        <v/>
      </c>
      <c r="F876" s="7" t="str">
        <f>IFERROR(VLOOKUP(B876,'Master data'!$A$1:$F$1000,3,FALSE),"")</f>
        <v/>
      </c>
      <c r="I876" s="16"/>
      <c r="J876" s="16"/>
      <c r="K876" s="16" t="b">
        <v>0</v>
      </c>
      <c r="L876" s="16" t="b">
        <v>0</v>
      </c>
    </row>
    <row r="877">
      <c r="A877" s="9"/>
      <c r="B877" s="16"/>
      <c r="C877" s="7" t="str">
        <f>IFERROR(VLOOKUP(B877,'Master data'!$A$1:$F$1000,2,FALSE),"")</f>
        <v/>
      </c>
      <c r="D877" s="7" t="str">
        <f>IFERROR(VLOOKUP(B877,'Master data'!$A$1:$F$1000,6,FALSE),"")</f>
        <v/>
      </c>
      <c r="F877" s="7" t="str">
        <f>IFERROR(VLOOKUP(B877,'Master data'!$A$1:$F$1000,3,FALSE),"")</f>
        <v/>
      </c>
      <c r="I877" s="16"/>
      <c r="J877" s="16"/>
      <c r="K877" s="16" t="b">
        <v>0</v>
      </c>
      <c r="L877" s="16" t="b">
        <v>0</v>
      </c>
    </row>
    <row r="878">
      <c r="A878" s="9"/>
      <c r="B878" s="16"/>
      <c r="C878" s="7" t="str">
        <f>IFERROR(VLOOKUP(B878,'Master data'!$A$1:$F$1000,2,FALSE),"")</f>
        <v/>
      </c>
      <c r="D878" s="7" t="str">
        <f>IFERROR(VLOOKUP(B878,'Master data'!$A$1:$F$1000,6,FALSE),"")</f>
        <v/>
      </c>
      <c r="F878" s="7" t="str">
        <f>IFERROR(VLOOKUP(B878,'Master data'!$A$1:$F$1000,3,FALSE),"")</f>
        <v/>
      </c>
      <c r="I878" s="16"/>
      <c r="J878" s="16"/>
      <c r="K878" s="16" t="b">
        <v>0</v>
      </c>
      <c r="L878" s="16" t="b">
        <v>0</v>
      </c>
    </row>
    <row r="879">
      <c r="A879" s="9"/>
      <c r="B879" s="16"/>
      <c r="C879" s="7" t="str">
        <f>IFERROR(VLOOKUP(B879,'Master data'!$A$1:$F$1000,2,FALSE),"")</f>
        <v/>
      </c>
      <c r="D879" s="7" t="str">
        <f>IFERROR(VLOOKUP(B879,'Master data'!$A$1:$F$1000,6,FALSE),"")</f>
        <v/>
      </c>
      <c r="F879" s="7" t="str">
        <f>IFERROR(VLOOKUP(B879,'Master data'!$A$1:$F$1000,3,FALSE),"")</f>
        <v/>
      </c>
      <c r="I879" s="16"/>
      <c r="J879" s="16"/>
      <c r="K879" s="16" t="b">
        <v>0</v>
      </c>
      <c r="L879" s="16" t="b">
        <v>0</v>
      </c>
    </row>
    <row r="880">
      <c r="A880" s="9"/>
      <c r="B880" s="16"/>
      <c r="C880" s="7" t="str">
        <f>IFERROR(VLOOKUP(B880,'Master data'!$A$1:$F$1000,2,FALSE),"")</f>
        <v/>
      </c>
      <c r="D880" s="7" t="str">
        <f>IFERROR(VLOOKUP(B880,'Master data'!$A$1:$F$1000,6,FALSE),"")</f>
        <v/>
      </c>
      <c r="F880" s="7" t="str">
        <f>IFERROR(VLOOKUP(B880,'Master data'!$A$1:$F$1000,3,FALSE),"")</f>
        <v/>
      </c>
      <c r="I880" s="16"/>
      <c r="J880" s="16"/>
      <c r="K880" s="16" t="b">
        <v>0</v>
      </c>
      <c r="L880" s="16" t="b">
        <v>0</v>
      </c>
    </row>
    <row r="881">
      <c r="A881" s="9"/>
      <c r="B881" s="16"/>
      <c r="C881" s="7" t="str">
        <f>IFERROR(VLOOKUP(B881,'Master data'!$A$1:$F$1000,2,FALSE),"")</f>
        <v/>
      </c>
      <c r="D881" s="7" t="str">
        <f>IFERROR(VLOOKUP(B881,'Master data'!$A$1:$F$1000,6,FALSE),"")</f>
        <v/>
      </c>
      <c r="F881" s="7" t="str">
        <f>IFERROR(VLOOKUP(B881,'Master data'!$A$1:$F$1000,3,FALSE),"")</f>
        <v/>
      </c>
      <c r="I881" s="16"/>
      <c r="J881" s="16"/>
      <c r="K881" s="16" t="b">
        <v>0</v>
      </c>
      <c r="L881" s="16" t="b">
        <v>0</v>
      </c>
    </row>
    <row r="882">
      <c r="A882" s="9"/>
      <c r="B882" s="16"/>
      <c r="C882" s="7" t="str">
        <f>IFERROR(VLOOKUP(B882,'Master data'!$A$1:$F$1000,2,FALSE),"")</f>
        <v/>
      </c>
      <c r="D882" s="7" t="str">
        <f>IFERROR(VLOOKUP(B882,'Master data'!$A$1:$F$1000,6,FALSE),"")</f>
        <v/>
      </c>
      <c r="F882" s="7" t="str">
        <f>IFERROR(VLOOKUP(B882,'Master data'!$A$1:$F$1000,3,FALSE),"")</f>
        <v/>
      </c>
      <c r="I882" s="16"/>
      <c r="J882" s="16"/>
      <c r="K882" s="16" t="b">
        <v>0</v>
      </c>
      <c r="L882" s="16" t="b">
        <v>0</v>
      </c>
    </row>
    <row r="883">
      <c r="A883" s="9"/>
      <c r="B883" s="16"/>
      <c r="C883" s="7" t="str">
        <f>IFERROR(VLOOKUP(B883,'Master data'!$A$1:$F$1000,2,FALSE),"")</f>
        <v/>
      </c>
      <c r="D883" s="7" t="str">
        <f>IFERROR(VLOOKUP(B883,'Master data'!$A$1:$F$1000,6,FALSE),"")</f>
        <v/>
      </c>
      <c r="F883" s="7" t="str">
        <f>IFERROR(VLOOKUP(B883,'Master data'!$A$1:$F$1000,3,FALSE),"")</f>
        <v/>
      </c>
      <c r="I883" s="16"/>
      <c r="J883" s="16"/>
      <c r="K883" s="16" t="b">
        <v>0</v>
      </c>
      <c r="L883" s="16" t="b">
        <v>0</v>
      </c>
    </row>
    <row r="884">
      <c r="A884" s="9"/>
      <c r="B884" s="16"/>
      <c r="C884" s="7" t="str">
        <f>IFERROR(VLOOKUP(B884,'Master data'!$A$1:$F$1000,2,FALSE),"")</f>
        <v/>
      </c>
      <c r="D884" s="7" t="str">
        <f>IFERROR(VLOOKUP(B884,'Master data'!$A$1:$F$1000,6,FALSE),"")</f>
        <v/>
      </c>
      <c r="F884" s="7" t="str">
        <f>IFERROR(VLOOKUP(B884,'Master data'!$A$1:$F$1000,3,FALSE),"")</f>
        <v/>
      </c>
      <c r="I884" s="16"/>
      <c r="J884" s="16"/>
      <c r="K884" s="16" t="b">
        <v>0</v>
      </c>
      <c r="L884" s="16" t="b">
        <v>0</v>
      </c>
    </row>
    <row r="885">
      <c r="A885" s="9"/>
      <c r="B885" s="16"/>
      <c r="C885" s="7" t="str">
        <f>IFERROR(VLOOKUP(B885,'Master data'!$A$1:$F$1000,2,FALSE),"")</f>
        <v/>
      </c>
      <c r="D885" s="7" t="str">
        <f>IFERROR(VLOOKUP(B885,'Master data'!$A$1:$F$1000,6,FALSE),"")</f>
        <v/>
      </c>
      <c r="F885" s="7" t="str">
        <f>IFERROR(VLOOKUP(B885,'Master data'!$A$1:$F$1000,3,FALSE),"")</f>
        <v/>
      </c>
      <c r="I885" s="16"/>
      <c r="J885" s="16"/>
      <c r="K885" s="16" t="b">
        <v>0</v>
      </c>
      <c r="L885" s="16" t="b">
        <v>0</v>
      </c>
    </row>
    <row r="886">
      <c r="A886" s="9"/>
      <c r="B886" s="16"/>
      <c r="C886" s="7" t="str">
        <f>IFERROR(VLOOKUP(B886,'Master data'!$A$1:$F$1000,2,FALSE),"")</f>
        <v/>
      </c>
      <c r="D886" s="7" t="str">
        <f>IFERROR(VLOOKUP(B886,'Master data'!$A$1:$F$1000,6,FALSE),"")</f>
        <v/>
      </c>
      <c r="F886" s="7" t="str">
        <f>IFERROR(VLOOKUP(B886,'Master data'!$A$1:$F$1000,3,FALSE),"")</f>
        <v/>
      </c>
      <c r="I886" s="16"/>
      <c r="J886" s="16"/>
      <c r="K886" s="16" t="b">
        <v>0</v>
      </c>
      <c r="L886" s="16" t="b">
        <v>0</v>
      </c>
    </row>
    <row r="887">
      <c r="A887" s="9"/>
      <c r="B887" s="16"/>
      <c r="C887" s="7" t="str">
        <f>IFERROR(VLOOKUP(B887,'Master data'!$A$1:$F$1000,2,FALSE),"")</f>
        <v/>
      </c>
      <c r="D887" s="7" t="str">
        <f>IFERROR(VLOOKUP(B887,'Master data'!$A$1:$F$1000,6,FALSE),"")</f>
        <v/>
      </c>
      <c r="F887" s="7" t="str">
        <f>IFERROR(VLOOKUP(B887,'Master data'!$A$1:$F$1000,3,FALSE),"")</f>
        <v/>
      </c>
      <c r="I887" s="16"/>
      <c r="J887" s="16"/>
      <c r="K887" s="16" t="b">
        <v>0</v>
      </c>
      <c r="L887" s="16" t="b">
        <v>0</v>
      </c>
    </row>
    <row r="888">
      <c r="A888" s="9"/>
      <c r="B888" s="16"/>
      <c r="C888" s="7" t="str">
        <f>IFERROR(VLOOKUP(B888,'Master data'!$A$1:$F$1000,2,FALSE),"")</f>
        <v/>
      </c>
      <c r="D888" s="7" t="str">
        <f>IFERROR(VLOOKUP(B888,'Master data'!$A$1:$F$1000,6,FALSE),"")</f>
        <v/>
      </c>
      <c r="F888" s="7" t="str">
        <f>IFERROR(VLOOKUP(B888,'Master data'!$A$1:$F$1000,3,FALSE),"")</f>
        <v/>
      </c>
      <c r="I888" s="16"/>
      <c r="J888" s="16"/>
      <c r="K888" s="16" t="b">
        <v>0</v>
      </c>
      <c r="L888" s="16" t="b">
        <v>0</v>
      </c>
    </row>
    <row r="889">
      <c r="A889" s="9"/>
      <c r="B889" s="16"/>
      <c r="C889" s="7" t="str">
        <f>IFERROR(VLOOKUP(B889,'Master data'!$A$1:$F$1000,2,FALSE),"")</f>
        <v/>
      </c>
      <c r="D889" s="7" t="str">
        <f>IFERROR(VLOOKUP(B889,'Master data'!$A$1:$F$1000,6,FALSE),"")</f>
        <v/>
      </c>
      <c r="F889" s="7" t="str">
        <f>IFERROR(VLOOKUP(B889,'Master data'!$A$1:$F$1000,3,FALSE),"")</f>
        <v/>
      </c>
      <c r="I889" s="16"/>
      <c r="J889" s="16"/>
      <c r="K889" s="16" t="b">
        <v>0</v>
      </c>
      <c r="L889" s="16" t="b">
        <v>0</v>
      </c>
    </row>
    <row r="890">
      <c r="A890" s="9"/>
      <c r="B890" s="16"/>
      <c r="C890" s="7" t="str">
        <f>IFERROR(VLOOKUP(B890,'Master data'!$A$1:$F$1000,2,FALSE),"")</f>
        <v/>
      </c>
      <c r="D890" s="7" t="str">
        <f>IFERROR(VLOOKUP(B890,'Master data'!$A$1:$F$1000,6,FALSE),"")</f>
        <v/>
      </c>
      <c r="F890" s="7" t="str">
        <f>IFERROR(VLOOKUP(B890,'Master data'!$A$1:$F$1000,3,FALSE),"")</f>
        <v/>
      </c>
      <c r="I890" s="16"/>
      <c r="J890" s="16"/>
      <c r="K890" s="16" t="b">
        <v>0</v>
      </c>
      <c r="L890" s="16" t="b">
        <v>0</v>
      </c>
    </row>
    <row r="891">
      <c r="A891" s="9"/>
      <c r="B891" s="16"/>
      <c r="C891" s="7" t="str">
        <f>IFERROR(VLOOKUP(B891,'Master data'!$A$1:$F$1000,2,FALSE),"")</f>
        <v/>
      </c>
      <c r="D891" s="7" t="str">
        <f>IFERROR(VLOOKUP(B891,'Master data'!$A$1:$F$1000,6,FALSE),"")</f>
        <v/>
      </c>
      <c r="F891" s="7" t="str">
        <f>IFERROR(VLOOKUP(B891,'Master data'!$A$1:$F$1000,3,FALSE),"")</f>
        <v/>
      </c>
      <c r="I891" s="16"/>
      <c r="J891" s="16"/>
      <c r="K891" s="16" t="b">
        <v>0</v>
      </c>
      <c r="L891" s="16" t="b">
        <v>0</v>
      </c>
    </row>
    <row r="892">
      <c r="A892" s="9"/>
      <c r="B892" s="16"/>
      <c r="C892" s="7" t="str">
        <f>IFERROR(VLOOKUP(B892,'Master data'!$A$1:$F$1000,2,FALSE),"")</f>
        <v/>
      </c>
      <c r="D892" s="7" t="str">
        <f>IFERROR(VLOOKUP(B892,'Master data'!$A$1:$F$1000,6,FALSE),"")</f>
        <v/>
      </c>
      <c r="F892" s="7" t="str">
        <f>IFERROR(VLOOKUP(B892,'Master data'!$A$1:$F$1000,3,FALSE),"")</f>
        <v/>
      </c>
      <c r="I892" s="16"/>
      <c r="J892" s="16"/>
      <c r="K892" s="16" t="b">
        <v>0</v>
      </c>
      <c r="L892" s="16" t="b">
        <v>0</v>
      </c>
    </row>
    <row r="893">
      <c r="A893" s="9"/>
      <c r="B893" s="16"/>
      <c r="C893" s="7" t="str">
        <f>IFERROR(VLOOKUP(B893,'Master data'!$A$1:$F$1000,2,FALSE),"")</f>
        <v/>
      </c>
      <c r="D893" s="7" t="str">
        <f>IFERROR(VLOOKUP(B893,'Master data'!$A$1:$F$1000,6,FALSE),"")</f>
        <v/>
      </c>
      <c r="F893" s="7" t="str">
        <f>IFERROR(VLOOKUP(B893,'Master data'!$A$1:$F$1000,3,FALSE),"")</f>
        <v/>
      </c>
      <c r="I893" s="16"/>
      <c r="J893" s="16"/>
      <c r="K893" s="16" t="b">
        <v>0</v>
      </c>
      <c r="L893" s="16" t="b">
        <v>0</v>
      </c>
    </row>
    <row r="894">
      <c r="A894" s="9"/>
      <c r="B894" s="16"/>
      <c r="C894" s="7" t="str">
        <f>IFERROR(VLOOKUP(B894,'Master data'!$A$1:$F$1000,2,FALSE),"")</f>
        <v/>
      </c>
      <c r="D894" s="7" t="str">
        <f>IFERROR(VLOOKUP(B894,'Master data'!$A$1:$F$1000,6,FALSE),"")</f>
        <v/>
      </c>
      <c r="F894" s="7" t="str">
        <f>IFERROR(VLOOKUP(B894,'Master data'!$A$1:$F$1000,3,FALSE),"")</f>
        <v/>
      </c>
      <c r="I894" s="16"/>
      <c r="J894" s="16"/>
      <c r="K894" s="16" t="b">
        <v>0</v>
      </c>
      <c r="L894" s="16" t="b">
        <v>0</v>
      </c>
    </row>
    <row r="895">
      <c r="A895" s="9"/>
      <c r="B895" s="16"/>
      <c r="C895" s="7" t="str">
        <f>IFERROR(VLOOKUP(B895,'Master data'!$A$1:$F$1000,2,FALSE),"")</f>
        <v/>
      </c>
      <c r="D895" s="7" t="str">
        <f>IFERROR(VLOOKUP(B895,'Master data'!$A$1:$F$1000,6,FALSE),"")</f>
        <v/>
      </c>
      <c r="F895" s="7" t="str">
        <f>IFERROR(VLOOKUP(B895,'Master data'!$A$1:$F$1000,3,FALSE),"")</f>
        <v/>
      </c>
      <c r="I895" s="16"/>
      <c r="J895" s="16"/>
      <c r="K895" s="16" t="b">
        <v>0</v>
      </c>
      <c r="L895" s="16" t="b">
        <v>0</v>
      </c>
    </row>
    <row r="896">
      <c r="A896" s="9"/>
      <c r="B896" s="16"/>
      <c r="C896" s="7" t="str">
        <f>IFERROR(VLOOKUP(B896,'Master data'!$A$1:$F$1000,2,FALSE),"")</f>
        <v/>
      </c>
      <c r="D896" s="7" t="str">
        <f>IFERROR(VLOOKUP(B896,'Master data'!$A$1:$F$1000,6,FALSE),"")</f>
        <v/>
      </c>
      <c r="F896" s="7" t="str">
        <f>IFERROR(VLOOKUP(B896,'Master data'!$A$1:$F$1000,3,FALSE),"")</f>
        <v/>
      </c>
      <c r="I896" s="16"/>
      <c r="J896" s="16"/>
      <c r="K896" s="16" t="b">
        <v>0</v>
      </c>
      <c r="L896" s="16" t="b">
        <v>0</v>
      </c>
    </row>
    <row r="897">
      <c r="A897" s="9"/>
      <c r="B897" s="16"/>
      <c r="C897" s="7" t="str">
        <f>IFERROR(VLOOKUP(B897,'Master data'!$A$1:$F$1000,2,FALSE),"")</f>
        <v/>
      </c>
      <c r="D897" s="7" t="str">
        <f>IFERROR(VLOOKUP(B897,'Master data'!$A$1:$F$1000,6,FALSE),"")</f>
        <v/>
      </c>
      <c r="F897" s="7" t="str">
        <f>IFERROR(VLOOKUP(B897,'Master data'!$A$1:$F$1000,3,FALSE),"")</f>
        <v/>
      </c>
      <c r="I897" s="16"/>
      <c r="J897" s="16"/>
      <c r="K897" s="16" t="b">
        <v>0</v>
      </c>
      <c r="L897" s="16" t="b">
        <v>0</v>
      </c>
    </row>
    <row r="898">
      <c r="A898" s="9"/>
      <c r="B898" s="16"/>
      <c r="C898" s="7" t="str">
        <f>IFERROR(VLOOKUP(B898,'Master data'!$A$1:$F$1000,2,FALSE),"")</f>
        <v/>
      </c>
      <c r="D898" s="7" t="str">
        <f>IFERROR(VLOOKUP(B898,'Master data'!$A$1:$F$1000,6,FALSE),"")</f>
        <v/>
      </c>
      <c r="F898" s="7" t="str">
        <f>IFERROR(VLOOKUP(B898,'Master data'!$A$1:$F$1000,3,FALSE),"")</f>
        <v/>
      </c>
      <c r="I898" s="16"/>
      <c r="J898" s="16"/>
      <c r="K898" s="16" t="b">
        <v>0</v>
      </c>
      <c r="L898" s="16" t="b">
        <v>0</v>
      </c>
    </row>
    <row r="899">
      <c r="A899" s="9"/>
      <c r="B899" s="16"/>
      <c r="C899" s="7" t="str">
        <f>IFERROR(VLOOKUP(B899,'Master data'!$A$1:$F$1000,2,FALSE),"")</f>
        <v/>
      </c>
      <c r="D899" s="7" t="str">
        <f>IFERROR(VLOOKUP(B899,'Master data'!$A$1:$F$1000,6,FALSE),"")</f>
        <v/>
      </c>
      <c r="F899" s="7" t="str">
        <f>IFERROR(VLOOKUP(B899,'Master data'!$A$1:$F$1000,3,FALSE),"")</f>
        <v/>
      </c>
      <c r="I899" s="16"/>
      <c r="J899" s="16"/>
      <c r="K899" s="16" t="b">
        <v>0</v>
      </c>
      <c r="L899" s="16" t="b">
        <v>0</v>
      </c>
    </row>
    <row r="900">
      <c r="A900" s="9"/>
      <c r="B900" s="16"/>
      <c r="C900" s="7" t="str">
        <f>IFERROR(VLOOKUP(B900,'Master data'!$A$1:$F$1000,2,FALSE),"")</f>
        <v/>
      </c>
      <c r="D900" s="7" t="str">
        <f>IFERROR(VLOOKUP(B900,'Master data'!$A$1:$F$1000,6,FALSE),"")</f>
        <v/>
      </c>
      <c r="F900" s="7" t="str">
        <f>IFERROR(VLOOKUP(B900,'Master data'!$A$1:$F$1000,3,FALSE),"")</f>
        <v/>
      </c>
      <c r="I900" s="16"/>
      <c r="J900" s="16"/>
      <c r="K900" s="16" t="b">
        <v>0</v>
      </c>
      <c r="L900" s="16" t="b">
        <v>0</v>
      </c>
    </row>
    <row r="901">
      <c r="A901" s="9"/>
      <c r="B901" s="16"/>
      <c r="C901" s="7" t="str">
        <f>IFERROR(VLOOKUP(B901,'Master data'!$A$1:$F$1000,2,FALSE),"")</f>
        <v/>
      </c>
      <c r="D901" s="7" t="str">
        <f>IFERROR(VLOOKUP(B901,'Master data'!$A$1:$F$1000,6,FALSE),"")</f>
        <v/>
      </c>
      <c r="F901" s="7" t="str">
        <f>IFERROR(VLOOKUP(B901,'Master data'!$A$1:$F$1000,3,FALSE),"")</f>
        <v/>
      </c>
      <c r="I901" s="16"/>
      <c r="J901" s="16"/>
      <c r="K901" s="16" t="b">
        <v>0</v>
      </c>
      <c r="L901" s="16" t="b">
        <v>0</v>
      </c>
    </row>
    <row r="902">
      <c r="A902" s="9"/>
      <c r="B902" s="16"/>
      <c r="C902" s="7" t="str">
        <f>IFERROR(VLOOKUP(B902,'Master data'!$A$1:$F$1000,2,FALSE),"")</f>
        <v/>
      </c>
      <c r="D902" s="7" t="str">
        <f>IFERROR(VLOOKUP(B902,'Master data'!$A$1:$F$1000,6,FALSE),"")</f>
        <v/>
      </c>
      <c r="F902" s="7" t="str">
        <f>IFERROR(VLOOKUP(B902,'Master data'!$A$1:$F$1000,3,FALSE),"")</f>
        <v/>
      </c>
      <c r="I902" s="16"/>
      <c r="J902" s="16"/>
      <c r="K902" s="16" t="b">
        <v>0</v>
      </c>
      <c r="L902" s="16" t="b">
        <v>0</v>
      </c>
    </row>
    <row r="903">
      <c r="A903" s="9"/>
      <c r="B903" s="16"/>
      <c r="C903" s="7" t="str">
        <f>IFERROR(VLOOKUP(B903,'Master data'!$A$1:$F$1000,2,FALSE),"")</f>
        <v/>
      </c>
      <c r="D903" s="7" t="str">
        <f>IFERROR(VLOOKUP(B903,'Master data'!$A$1:$F$1000,6,FALSE),"")</f>
        <v/>
      </c>
      <c r="F903" s="7" t="str">
        <f>IFERROR(VLOOKUP(B903,'Master data'!$A$1:$F$1000,3,FALSE),"")</f>
        <v/>
      </c>
      <c r="I903" s="16"/>
      <c r="J903" s="16"/>
      <c r="K903" s="16" t="b">
        <v>0</v>
      </c>
      <c r="L903" s="16" t="b">
        <v>0</v>
      </c>
    </row>
    <row r="904">
      <c r="A904" s="9"/>
      <c r="B904" s="16"/>
      <c r="C904" s="7" t="str">
        <f>IFERROR(VLOOKUP(B904,'Master data'!$A$1:$F$1000,2,FALSE),"")</f>
        <v/>
      </c>
      <c r="D904" s="7" t="str">
        <f>IFERROR(VLOOKUP(B904,'Master data'!$A$1:$F$1000,6,FALSE),"")</f>
        <v/>
      </c>
      <c r="F904" s="7" t="str">
        <f>IFERROR(VLOOKUP(B904,'Master data'!$A$1:$F$1000,3,FALSE),"")</f>
        <v/>
      </c>
      <c r="I904" s="16"/>
      <c r="J904" s="16"/>
      <c r="K904" s="16" t="b">
        <v>0</v>
      </c>
      <c r="L904" s="16" t="b">
        <v>0</v>
      </c>
    </row>
    <row r="905">
      <c r="A905" s="9"/>
      <c r="B905" s="16"/>
      <c r="C905" s="7" t="str">
        <f>IFERROR(VLOOKUP(B905,'Master data'!$A$1:$F$1000,2,FALSE),"")</f>
        <v/>
      </c>
      <c r="D905" s="7" t="str">
        <f>IFERROR(VLOOKUP(B905,'Master data'!$A$1:$F$1000,6,FALSE),"")</f>
        <v/>
      </c>
      <c r="F905" s="7" t="str">
        <f>IFERROR(VLOOKUP(B905,'Master data'!$A$1:$F$1000,3,FALSE),"")</f>
        <v/>
      </c>
      <c r="I905" s="16"/>
      <c r="J905" s="16"/>
      <c r="K905" s="16" t="b">
        <v>0</v>
      </c>
      <c r="L905" s="16" t="b">
        <v>0</v>
      </c>
    </row>
    <row r="906">
      <c r="A906" s="9"/>
      <c r="B906" s="16"/>
      <c r="C906" s="7" t="str">
        <f>IFERROR(VLOOKUP(B906,'Master data'!$A$1:$F$1000,2,FALSE),"")</f>
        <v/>
      </c>
      <c r="D906" s="7" t="str">
        <f>IFERROR(VLOOKUP(B906,'Master data'!$A$1:$F$1000,6,FALSE),"")</f>
        <v/>
      </c>
      <c r="F906" s="7" t="str">
        <f>IFERROR(VLOOKUP(B906,'Master data'!$A$1:$F$1000,3,FALSE),"")</f>
        <v/>
      </c>
      <c r="I906" s="16"/>
      <c r="J906" s="16"/>
      <c r="K906" s="16" t="b">
        <v>0</v>
      </c>
      <c r="L906" s="16" t="b">
        <v>0</v>
      </c>
    </row>
    <row r="907">
      <c r="A907" s="9"/>
      <c r="B907" s="16"/>
      <c r="C907" s="7" t="str">
        <f>IFERROR(VLOOKUP(B907,'Master data'!$A$1:$F$1000,2,FALSE),"")</f>
        <v/>
      </c>
      <c r="D907" s="7" t="str">
        <f>IFERROR(VLOOKUP(B907,'Master data'!$A$1:$F$1000,6,FALSE),"")</f>
        <v/>
      </c>
      <c r="F907" s="7" t="str">
        <f>IFERROR(VLOOKUP(B907,'Master data'!$A$1:$F$1000,3,FALSE),"")</f>
        <v/>
      </c>
      <c r="I907" s="16"/>
      <c r="J907" s="16"/>
      <c r="K907" s="16" t="b">
        <v>0</v>
      </c>
      <c r="L907" s="16" t="b">
        <v>0</v>
      </c>
    </row>
    <row r="908">
      <c r="A908" s="9"/>
      <c r="B908" s="16"/>
      <c r="C908" s="7" t="str">
        <f>IFERROR(VLOOKUP(B908,'Master data'!$A$1:$F$1000,2,FALSE),"")</f>
        <v/>
      </c>
      <c r="D908" s="7" t="str">
        <f>IFERROR(VLOOKUP(B908,'Master data'!$A$1:$F$1000,6,FALSE),"")</f>
        <v/>
      </c>
      <c r="F908" s="7" t="str">
        <f>IFERROR(VLOOKUP(B908,'Master data'!$A$1:$F$1000,3,FALSE),"")</f>
        <v/>
      </c>
      <c r="I908" s="16"/>
      <c r="J908" s="16"/>
      <c r="K908" s="16" t="b">
        <v>0</v>
      </c>
      <c r="L908" s="16" t="b">
        <v>0</v>
      </c>
    </row>
    <row r="909">
      <c r="A909" s="9"/>
      <c r="B909" s="16"/>
      <c r="C909" s="7" t="str">
        <f>IFERROR(VLOOKUP(B909,'Master data'!$A$1:$F$1000,2,FALSE),"")</f>
        <v/>
      </c>
      <c r="D909" s="7" t="str">
        <f>IFERROR(VLOOKUP(B909,'Master data'!$A$1:$F$1000,6,FALSE),"")</f>
        <v/>
      </c>
      <c r="F909" s="7" t="str">
        <f>IFERROR(VLOOKUP(B909,'Master data'!$A$1:$F$1000,3,FALSE),"")</f>
        <v/>
      </c>
      <c r="I909" s="16"/>
      <c r="J909" s="16"/>
      <c r="K909" s="16" t="b">
        <v>0</v>
      </c>
      <c r="L909" s="16" t="b">
        <v>0</v>
      </c>
    </row>
    <row r="910">
      <c r="A910" s="9"/>
      <c r="B910" s="16"/>
      <c r="C910" s="7" t="str">
        <f>IFERROR(VLOOKUP(B910,'Master data'!$A$1:$F$1000,2,FALSE),"")</f>
        <v/>
      </c>
      <c r="D910" s="7" t="str">
        <f>IFERROR(VLOOKUP(B910,'Master data'!$A$1:$F$1000,6,FALSE),"")</f>
        <v/>
      </c>
      <c r="F910" s="7" t="str">
        <f>IFERROR(VLOOKUP(B910,'Master data'!$A$1:$F$1000,3,FALSE),"")</f>
        <v/>
      </c>
      <c r="I910" s="16"/>
      <c r="J910" s="16"/>
      <c r="K910" s="16" t="b">
        <v>0</v>
      </c>
      <c r="L910" s="16" t="b">
        <v>0</v>
      </c>
    </row>
    <row r="911">
      <c r="A911" s="9"/>
      <c r="B911" s="16"/>
      <c r="C911" s="7" t="str">
        <f>IFERROR(VLOOKUP(B911,'Master data'!$A$1:$F$1000,2,FALSE),"")</f>
        <v/>
      </c>
      <c r="D911" s="7" t="str">
        <f>IFERROR(VLOOKUP(B911,'Master data'!$A$1:$F$1000,6,FALSE),"")</f>
        <v/>
      </c>
      <c r="F911" s="7" t="str">
        <f>IFERROR(VLOOKUP(B911,'Master data'!$A$1:$F$1000,3,FALSE),"")</f>
        <v/>
      </c>
      <c r="I911" s="16"/>
      <c r="J911" s="16"/>
      <c r="K911" s="16" t="b">
        <v>0</v>
      </c>
      <c r="L911" s="16" t="b">
        <v>0</v>
      </c>
    </row>
    <row r="912">
      <c r="A912" s="9"/>
      <c r="B912" s="16"/>
      <c r="C912" s="7" t="str">
        <f>IFERROR(VLOOKUP(B912,'Master data'!$A$1:$F$1000,2,FALSE),"")</f>
        <v/>
      </c>
      <c r="D912" s="7" t="str">
        <f>IFERROR(VLOOKUP(B912,'Master data'!$A$1:$F$1000,6,FALSE),"")</f>
        <v/>
      </c>
      <c r="F912" s="7" t="str">
        <f>IFERROR(VLOOKUP(B912,'Master data'!$A$1:$F$1000,3,FALSE),"")</f>
        <v/>
      </c>
      <c r="I912" s="16"/>
      <c r="J912" s="16"/>
      <c r="K912" s="16" t="b">
        <v>0</v>
      </c>
      <c r="L912" s="16" t="b">
        <v>0</v>
      </c>
    </row>
    <row r="913">
      <c r="A913" s="9"/>
      <c r="B913" s="16"/>
      <c r="C913" s="7" t="str">
        <f>IFERROR(VLOOKUP(B913,'Master data'!$A$1:$F$1000,2,FALSE),"")</f>
        <v/>
      </c>
      <c r="D913" s="7" t="str">
        <f>IFERROR(VLOOKUP(B913,'Master data'!$A$1:$F$1000,6,FALSE),"")</f>
        <v/>
      </c>
      <c r="F913" s="7" t="str">
        <f>IFERROR(VLOOKUP(B913,'Master data'!$A$1:$F$1000,3,FALSE),"")</f>
        <v/>
      </c>
      <c r="I913" s="16"/>
      <c r="J913" s="16"/>
      <c r="K913" s="16" t="b">
        <v>0</v>
      </c>
      <c r="L913" s="16" t="b">
        <v>0</v>
      </c>
    </row>
    <row r="914">
      <c r="A914" s="9"/>
      <c r="B914" s="16"/>
      <c r="C914" s="7" t="str">
        <f>IFERROR(VLOOKUP(B914,'Master data'!$A$1:$F$1000,2,FALSE),"")</f>
        <v/>
      </c>
      <c r="D914" s="7" t="str">
        <f>IFERROR(VLOOKUP(B914,'Master data'!$A$1:$F$1000,6,FALSE),"")</f>
        <v/>
      </c>
      <c r="F914" s="7" t="str">
        <f>IFERROR(VLOOKUP(B914,'Master data'!$A$1:$F$1000,3,FALSE),"")</f>
        <v/>
      </c>
      <c r="I914" s="16"/>
      <c r="J914" s="16"/>
      <c r="K914" s="16" t="b">
        <v>0</v>
      </c>
      <c r="L914" s="16" t="b">
        <v>0</v>
      </c>
    </row>
    <row r="915">
      <c r="A915" s="9"/>
      <c r="B915" s="16"/>
      <c r="C915" s="7" t="str">
        <f>IFERROR(VLOOKUP(B915,'Master data'!$A$1:$F$1000,2,FALSE),"")</f>
        <v/>
      </c>
      <c r="D915" s="7" t="str">
        <f>IFERROR(VLOOKUP(B915,'Master data'!$A$1:$F$1000,6,FALSE),"")</f>
        <v/>
      </c>
      <c r="F915" s="7" t="str">
        <f>IFERROR(VLOOKUP(B915,'Master data'!$A$1:$F$1000,3,FALSE),"")</f>
        <v/>
      </c>
      <c r="I915" s="16"/>
      <c r="J915" s="16"/>
      <c r="K915" s="16" t="b">
        <v>0</v>
      </c>
      <c r="L915" s="16" t="b">
        <v>0</v>
      </c>
    </row>
    <row r="916">
      <c r="A916" s="9"/>
      <c r="B916" s="16"/>
      <c r="C916" s="7" t="str">
        <f>IFERROR(VLOOKUP(B916,'Master data'!$A$1:$F$1000,2,FALSE),"")</f>
        <v/>
      </c>
      <c r="D916" s="7" t="str">
        <f>IFERROR(VLOOKUP(B916,'Master data'!$A$1:$F$1000,6,FALSE),"")</f>
        <v/>
      </c>
      <c r="F916" s="7" t="str">
        <f>IFERROR(VLOOKUP(B916,'Master data'!$A$1:$F$1000,3,FALSE),"")</f>
        <v/>
      </c>
      <c r="I916" s="16"/>
      <c r="J916" s="16"/>
      <c r="K916" s="16" t="b">
        <v>0</v>
      </c>
      <c r="L916" s="16" t="b">
        <v>0</v>
      </c>
    </row>
    <row r="917">
      <c r="A917" s="9"/>
      <c r="B917" s="16"/>
      <c r="C917" s="7" t="str">
        <f>IFERROR(VLOOKUP(B917,'Master data'!$A$1:$F$1000,2,FALSE),"")</f>
        <v/>
      </c>
      <c r="D917" s="7" t="str">
        <f>IFERROR(VLOOKUP(B917,'Master data'!$A$1:$F$1000,6,FALSE),"")</f>
        <v/>
      </c>
      <c r="F917" s="7" t="str">
        <f>IFERROR(VLOOKUP(B917,'Master data'!$A$1:$F$1000,3,FALSE),"")</f>
        <v/>
      </c>
      <c r="I917" s="16"/>
      <c r="J917" s="16"/>
      <c r="K917" s="16" t="b">
        <v>0</v>
      </c>
      <c r="L917" s="16" t="b">
        <v>0</v>
      </c>
    </row>
    <row r="918">
      <c r="A918" s="9"/>
      <c r="B918" s="16"/>
      <c r="C918" s="7" t="str">
        <f>IFERROR(VLOOKUP(B918,'Master data'!$A$1:$F$1000,2,FALSE),"")</f>
        <v/>
      </c>
      <c r="D918" s="7" t="str">
        <f>IFERROR(VLOOKUP(B918,'Master data'!$A$1:$F$1000,6,FALSE),"")</f>
        <v/>
      </c>
      <c r="F918" s="7" t="str">
        <f>IFERROR(VLOOKUP(B918,'Master data'!$A$1:$F$1000,3,FALSE),"")</f>
        <v/>
      </c>
      <c r="I918" s="16"/>
      <c r="J918" s="16"/>
      <c r="K918" s="16" t="b">
        <v>0</v>
      </c>
      <c r="L918" s="16" t="b">
        <v>0</v>
      </c>
    </row>
    <row r="919">
      <c r="A919" s="9"/>
      <c r="B919" s="16"/>
      <c r="C919" s="7" t="str">
        <f>IFERROR(VLOOKUP(B919,'Master data'!$A$1:$F$1000,2,FALSE),"")</f>
        <v/>
      </c>
      <c r="D919" s="7" t="str">
        <f>IFERROR(VLOOKUP(B919,'Master data'!$A$1:$F$1000,6,FALSE),"")</f>
        <v/>
      </c>
      <c r="F919" s="7" t="str">
        <f>IFERROR(VLOOKUP(B919,'Master data'!$A$1:$F$1000,3,FALSE),"")</f>
        <v/>
      </c>
      <c r="I919" s="16"/>
      <c r="J919" s="16"/>
      <c r="K919" s="16" t="b">
        <v>0</v>
      </c>
      <c r="L919" s="16" t="b">
        <v>0</v>
      </c>
    </row>
    <row r="920">
      <c r="A920" s="9"/>
      <c r="B920" s="16"/>
      <c r="C920" s="7" t="str">
        <f>IFERROR(VLOOKUP(B920,'Master data'!$A$1:$F$1000,2,FALSE),"")</f>
        <v/>
      </c>
      <c r="D920" s="7" t="str">
        <f>IFERROR(VLOOKUP(B920,'Master data'!$A$1:$F$1000,6,FALSE),"")</f>
        <v/>
      </c>
      <c r="F920" s="7" t="str">
        <f>IFERROR(VLOOKUP(B920,'Master data'!$A$1:$F$1000,3,FALSE),"")</f>
        <v/>
      </c>
      <c r="I920" s="16"/>
      <c r="J920" s="16"/>
      <c r="K920" s="16" t="b">
        <v>0</v>
      </c>
      <c r="L920" s="16" t="b">
        <v>0</v>
      </c>
    </row>
    <row r="921">
      <c r="A921" s="9"/>
      <c r="B921" s="16"/>
      <c r="C921" s="7" t="str">
        <f>IFERROR(VLOOKUP(B921,'Master data'!$A$1:$F$1000,2,FALSE),"")</f>
        <v/>
      </c>
      <c r="D921" s="7" t="str">
        <f>IFERROR(VLOOKUP(B921,'Master data'!$A$1:$F$1000,6,FALSE),"")</f>
        <v/>
      </c>
      <c r="F921" s="7" t="str">
        <f>IFERROR(VLOOKUP(B921,'Master data'!$A$1:$F$1000,3,FALSE),"")</f>
        <v/>
      </c>
      <c r="I921" s="16"/>
      <c r="J921" s="16"/>
      <c r="K921" s="16" t="b">
        <v>0</v>
      </c>
      <c r="L921" s="16" t="b">
        <v>0</v>
      </c>
    </row>
    <row r="922">
      <c r="A922" s="9"/>
      <c r="B922" s="16"/>
      <c r="C922" s="7" t="str">
        <f>IFERROR(VLOOKUP(B922,'Master data'!$A$1:$F$1000,2,FALSE),"")</f>
        <v/>
      </c>
      <c r="D922" s="7" t="str">
        <f>IFERROR(VLOOKUP(B922,'Master data'!$A$1:$F$1000,6,FALSE),"")</f>
        <v/>
      </c>
      <c r="F922" s="7" t="str">
        <f>IFERROR(VLOOKUP(B922,'Master data'!$A$1:$F$1000,3,FALSE),"")</f>
        <v/>
      </c>
      <c r="I922" s="16"/>
      <c r="J922" s="16"/>
      <c r="K922" s="16" t="b">
        <v>0</v>
      </c>
      <c r="L922" s="16" t="b">
        <v>0</v>
      </c>
    </row>
    <row r="923">
      <c r="A923" s="9"/>
      <c r="B923" s="16"/>
      <c r="C923" s="7" t="str">
        <f>IFERROR(VLOOKUP(B923,'Master data'!$A$1:$F$1000,2,FALSE),"")</f>
        <v/>
      </c>
      <c r="D923" s="7" t="str">
        <f>IFERROR(VLOOKUP(B923,'Master data'!$A$1:$F$1000,6,FALSE),"")</f>
        <v/>
      </c>
      <c r="F923" s="7" t="str">
        <f>IFERROR(VLOOKUP(B923,'Master data'!$A$1:$F$1000,3,FALSE),"")</f>
        <v/>
      </c>
      <c r="I923" s="16"/>
      <c r="J923" s="16"/>
      <c r="K923" s="16" t="b">
        <v>0</v>
      </c>
      <c r="L923" s="16" t="b">
        <v>0</v>
      </c>
    </row>
    <row r="924">
      <c r="A924" s="9"/>
      <c r="B924" s="16"/>
      <c r="C924" s="7" t="str">
        <f>IFERROR(VLOOKUP(B924,'Master data'!$A$1:$F$1000,2,FALSE),"")</f>
        <v/>
      </c>
      <c r="D924" s="7" t="str">
        <f>IFERROR(VLOOKUP(B924,'Master data'!$A$1:$F$1000,6,FALSE),"")</f>
        <v/>
      </c>
      <c r="F924" s="7" t="str">
        <f>IFERROR(VLOOKUP(B924,'Master data'!$A$1:$F$1000,3,FALSE),"")</f>
        <v/>
      </c>
      <c r="I924" s="16"/>
      <c r="J924" s="16"/>
      <c r="K924" s="16" t="b">
        <v>0</v>
      </c>
      <c r="L924" s="16" t="b">
        <v>0</v>
      </c>
    </row>
    <row r="925">
      <c r="A925" s="9"/>
      <c r="B925" s="16"/>
      <c r="C925" s="7" t="str">
        <f>IFERROR(VLOOKUP(B925,'Master data'!$A$1:$F$1000,2,FALSE),"")</f>
        <v/>
      </c>
      <c r="D925" s="7" t="str">
        <f>IFERROR(VLOOKUP(B925,'Master data'!$A$1:$F$1000,6,FALSE),"")</f>
        <v/>
      </c>
      <c r="F925" s="7" t="str">
        <f>IFERROR(VLOOKUP(B925,'Master data'!$A$1:$F$1000,3,FALSE),"")</f>
        <v/>
      </c>
      <c r="I925" s="16"/>
      <c r="J925" s="16"/>
      <c r="K925" s="16" t="b">
        <v>0</v>
      </c>
      <c r="L925" s="16" t="b">
        <v>0</v>
      </c>
    </row>
    <row r="926">
      <c r="A926" s="9"/>
      <c r="B926" s="16"/>
      <c r="C926" s="7" t="str">
        <f>IFERROR(VLOOKUP(B926,'Master data'!$A$1:$F$1000,2,FALSE),"")</f>
        <v/>
      </c>
      <c r="D926" s="7" t="str">
        <f>IFERROR(VLOOKUP(B926,'Master data'!$A$1:$F$1000,6,FALSE),"")</f>
        <v/>
      </c>
      <c r="F926" s="7" t="str">
        <f>IFERROR(VLOOKUP(B926,'Master data'!$A$1:$F$1000,3,FALSE),"")</f>
        <v/>
      </c>
      <c r="I926" s="16"/>
      <c r="J926" s="16"/>
      <c r="K926" s="16" t="b">
        <v>0</v>
      </c>
      <c r="L926" s="16" t="b">
        <v>0</v>
      </c>
    </row>
    <row r="927">
      <c r="A927" s="9"/>
      <c r="B927" s="16"/>
      <c r="C927" s="7" t="str">
        <f>IFERROR(VLOOKUP(B927,'Master data'!$A$1:$F$1000,2,FALSE),"")</f>
        <v/>
      </c>
      <c r="D927" s="7" t="str">
        <f>IFERROR(VLOOKUP(B927,'Master data'!$A$1:$F$1000,6,FALSE),"")</f>
        <v/>
      </c>
      <c r="F927" s="7" t="str">
        <f>IFERROR(VLOOKUP(B927,'Master data'!$A$1:$F$1000,3,FALSE),"")</f>
        <v/>
      </c>
      <c r="I927" s="16"/>
      <c r="J927" s="16"/>
      <c r="K927" s="16" t="b">
        <v>0</v>
      </c>
      <c r="L927" s="16" t="b">
        <v>0</v>
      </c>
    </row>
    <row r="928">
      <c r="A928" s="9"/>
      <c r="B928" s="16"/>
      <c r="C928" s="7" t="str">
        <f>IFERROR(VLOOKUP(B928,'Master data'!$A$1:$F$1000,2,FALSE),"")</f>
        <v/>
      </c>
      <c r="D928" s="7" t="str">
        <f>IFERROR(VLOOKUP(B928,'Master data'!$A$1:$F$1000,6,FALSE),"")</f>
        <v/>
      </c>
      <c r="F928" s="7" t="str">
        <f>IFERROR(VLOOKUP(B928,'Master data'!$A$1:$F$1000,3,FALSE),"")</f>
        <v/>
      </c>
      <c r="I928" s="16"/>
      <c r="J928" s="16"/>
      <c r="K928" s="16" t="b">
        <v>0</v>
      </c>
      <c r="L928" s="16" t="b">
        <v>0</v>
      </c>
    </row>
    <row r="929">
      <c r="A929" s="9"/>
      <c r="B929" s="16"/>
      <c r="C929" s="7" t="str">
        <f>IFERROR(VLOOKUP(B929,'Master data'!$A$1:$F$1000,2,FALSE),"")</f>
        <v/>
      </c>
      <c r="D929" s="7" t="str">
        <f>IFERROR(VLOOKUP(B929,'Master data'!$A$1:$F$1000,6,FALSE),"")</f>
        <v/>
      </c>
      <c r="F929" s="7" t="str">
        <f>IFERROR(VLOOKUP(B929,'Master data'!$A$1:$F$1000,3,FALSE),"")</f>
        <v/>
      </c>
      <c r="I929" s="16"/>
      <c r="J929" s="16"/>
      <c r="K929" s="16" t="b">
        <v>0</v>
      </c>
      <c r="L929" s="16" t="b">
        <v>0</v>
      </c>
    </row>
    <row r="930">
      <c r="A930" s="9"/>
      <c r="B930" s="16"/>
      <c r="C930" s="7" t="str">
        <f>IFERROR(VLOOKUP(B930,'Master data'!$A$1:$F$1000,2,FALSE),"")</f>
        <v/>
      </c>
      <c r="D930" s="7" t="str">
        <f>IFERROR(VLOOKUP(B930,'Master data'!$A$1:$F$1000,6,FALSE),"")</f>
        <v/>
      </c>
      <c r="F930" s="7" t="str">
        <f>IFERROR(VLOOKUP(B930,'Master data'!$A$1:$F$1000,3,FALSE),"")</f>
        <v/>
      </c>
      <c r="I930" s="16"/>
      <c r="J930" s="16"/>
      <c r="K930" s="16" t="b">
        <v>0</v>
      </c>
      <c r="L930" s="16" t="b">
        <v>0</v>
      </c>
    </row>
    <row r="931">
      <c r="A931" s="9"/>
      <c r="B931" s="16"/>
      <c r="C931" s="7" t="str">
        <f>IFERROR(VLOOKUP(B931,'Master data'!$A$1:$F$1000,2,FALSE),"")</f>
        <v/>
      </c>
      <c r="D931" s="7" t="str">
        <f>IFERROR(VLOOKUP(B931,'Master data'!$A$1:$F$1000,6,FALSE),"")</f>
        <v/>
      </c>
      <c r="F931" s="7" t="str">
        <f>IFERROR(VLOOKUP(B931,'Master data'!$A$1:$F$1000,3,FALSE),"")</f>
        <v/>
      </c>
      <c r="I931" s="16"/>
      <c r="J931" s="16"/>
      <c r="K931" s="16" t="b">
        <v>0</v>
      </c>
      <c r="L931" s="16" t="b">
        <v>0</v>
      </c>
    </row>
    <row r="932">
      <c r="A932" s="9"/>
      <c r="B932" s="16"/>
      <c r="C932" s="7" t="str">
        <f>IFERROR(VLOOKUP(B932,'Master data'!$A$1:$F$1000,2,FALSE),"")</f>
        <v/>
      </c>
      <c r="D932" s="7" t="str">
        <f>IFERROR(VLOOKUP(B932,'Master data'!$A$1:$F$1000,6,FALSE),"")</f>
        <v/>
      </c>
      <c r="F932" s="7" t="str">
        <f>IFERROR(VLOOKUP(B932,'Master data'!$A$1:$F$1000,3,FALSE),"")</f>
        <v/>
      </c>
      <c r="I932" s="16"/>
      <c r="J932" s="16"/>
      <c r="K932" s="16" t="b">
        <v>0</v>
      </c>
      <c r="L932" s="16" t="b">
        <v>0</v>
      </c>
    </row>
    <row r="933">
      <c r="A933" s="9"/>
      <c r="B933" s="16"/>
      <c r="C933" s="7" t="str">
        <f>IFERROR(VLOOKUP(B933,'Master data'!$A$1:$F$1000,2,FALSE),"")</f>
        <v/>
      </c>
      <c r="D933" s="7" t="str">
        <f>IFERROR(VLOOKUP(B933,'Master data'!$A$1:$F$1000,6,FALSE),"")</f>
        <v/>
      </c>
      <c r="F933" s="7" t="str">
        <f>IFERROR(VLOOKUP(B933,'Master data'!$A$1:$F$1000,3,FALSE),"")</f>
        <v/>
      </c>
      <c r="I933" s="16"/>
      <c r="J933" s="16"/>
      <c r="K933" s="16" t="b">
        <v>0</v>
      </c>
      <c r="L933" s="16" t="b">
        <v>0</v>
      </c>
    </row>
    <row r="934">
      <c r="A934" s="9"/>
      <c r="B934" s="16"/>
      <c r="C934" s="7" t="str">
        <f>IFERROR(VLOOKUP(B934,'Master data'!$A$1:$F$1000,2,FALSE),"")</f>
        <v/>
      </c>
      <c r="D934" s="7" t="str">
        <f>IFERROR(VLOOKUP(B934,'Master data'!$A$1:$F$1000,6,FALSE),"")</f>
        <v/>
      </c>
      <c r="F934" s="7" t="str">
        <f>IFERROR(VLOOKUP(B934,'Master data'!$A$1:$F$1000,3,FALSE),"")</f>
        <v/>
      </c>
      <c r="I934" s="16"/>
      <c r="J934" s="16"/>
      <c r="K934" s="16" t="b">
        <v>0</v>
      </c>
      <c r="L934" s="16" t="b">
        <v>0</v>
      </c>
    </row>
    <row r="935">
      <c r="A935" s="9"/>
      <c r="B935" s="16"/>
      <c r="C935" s="7" t="str">
        <f>IFERROR(VLOOKUP(B935,'Master data'!$A$1:$F$1000,2,FALSE),"")</f>
        <v/>
      </c>
      <c r="D935" s="7" t="str">
        <f>IFERROR(VLOOKUP(B935,'Master data'!$A$1:$F$1000,6,FALSE),"")</f>
        <v/>
      </c>
      <c r="F935" s="7" t="str">
        <f>IFERROR(VLOOKUP(B935,'Master data'!$A$1:$F$1000,3,FALSE),"")</f>
        <v/>
      </c>
      <c r="I935" s="16"/>
      <c r="J935" s="16"/>
      <c r="K935" s="16" t="b">
        <v>0</v>
      </c>
      <c r="L935" s="16" t="b">
        <v>0</v>
      </c>
    </row>
    <row r="936">
      <c r="A936" s="9"/>
      <c r="B936" s="16"/>
      <c r="C936" s="7" t="str">
        <f>IFERROR(VLOOKUP(B936,'Master data'!$A$1:$F$1000,2,FALSE),"")</f>
        <v/>
      </c>
      <c r="D936" s="7" t="str">
        <f>IFERROR(VLOOKUP(B936,'Master data'!$A$1:$F$1000,6,FALSE),"")</f>
        <v/>
      </c>
      <c r="F936" s="7" t="str">
        <f>IFERROR(VLOOKUP(B936,'Master data'!$A$1:$F$1000,3,FALSE),"")</f>
        <v/>
      </c>
      <c r="I936" s="16"/>
      <c r="J936" s="16"/>
      <c r="K936" s="16" t="b">
        <v>0</v>
      </c>
      <c r="L936" s="16" t="b">
        <v>0</v>
      </c>
    </row>
    <row r="937">
      <c r="A937" s="9"/>
      <c r="B937" s="16"/>
      <c r="C937" s="7" t="str">
        <f>IFERROR(VLOOKUP(B937,'Master data'!$A$1:$F$1000,2,FALSE),"")</f>
        <v/>
      </c>
      <c r="D937" s="7" t="str">
        <f>IFERROR(VLOOKUP(B937,'Master data'!$A$1:$F$1000,6,FALSE),"")</f>
        <v/>
      </c>
      <c r="F937" s="7" t="str">
        <f>IFERROR(VLOOKUP(B937,'Master data'!$A$1:$F$1000,3,FALSE),"")</f>
        <v/>
      </c>
      <c r="I937" s="16"/>
      <c r="J937" s="16"/>
      <c r="K937" s="16" t="b">
        <v>0</v>
      </c>
      <c r="L937" s="16" t="b">
        <v>0</v>
      </c>
    </row>
    <row r="938">
      <c r="A938" s="9"/>
      <c r="B938" s="16"/>
      <c r="C938" s="7" t="str">
        <f>IFERROR(VLOOKUP(B938,'Master data'!$A$1:$F$1000,2,FALSE),"")</f>
        <v/>
      </c>
      <c r="D938" s="7" t="str">
        <f>IFERROR(VLOOKUP(B938,'Master data'!$A$1:$F$1000,6,FALSE),"")</f>
        <v/>
      </c>
      <c r="F938" s="7" t="str">
        <f>IFERROR(VLOOKUP(B938,'Master data'!$A$1:$F$1000,3,FALSE),"")</f>
        <v/>
      </c>
      <c r="I938" s="16"/>
      <c r="J938" s="16"/>
      <c r="K938" s="16" t="b">
        <v>0</v>
      </c>
      <c r="L938" s="16" t="b">
        <v>0</v>
      </c>
    </row>
    <row r="939">
      <c r="A939" s="9"/>
      <c r="B939" s="16"/>
      <c r="C939" s="7" t="str">
        <f>IFERROR(VLOOKUP(B939,'Master data'!$A$1:$F$1000,2,FALSE),"")</f>
        <v/>
      </c>
      <c r="D939" s="7" t="str">
        <f>IFERROR(VLOOKUP(B939,'Master data'!$A$1:$F$1000,6,FALSE),"")</f>
        <v/>
      </c>
      <c r="F939" s="7" t="str">
        <f>IFERROR(VLOOKUP(B939,'Master data'!$A$1:$F$1000,3,FALSE),"")</f>
        <v/>
      </c>
      <c r="I939" s="16"/>
      <c r="J939" s="16"/>
      <c r="K939" s="16" t="b">
        <v>0</v>
      </c>
      <c r="L939" s="16" t="b">
        <v>0</v>
      </c>
    </row>
    <row r="940">
      <c r="A940" s="9"/>
      <c r="B940" s="16"/>
      <c r="C940" s="7" t="str">
        <f>IFERROR(VLOOKUP(B940,'Master data'!$A$1:$F$1000,2,FALSE),"")</f>
        <v/>
      </c>
      <c r="D940" s="7" t="str">
        <f>IFERROR(VLOOKUP(B940,'Master data'!$A$1:$F$1000,6,FALSE),"")</f>
        <v/>
      </c>
      <c r="F940" s="7" t="str">
        <f>IFERROR(VLOOKUP(B940,'Master data'!$A$1:$F$1000,3,FALSE),"")</f>
        <v/>
      </c>
      <c r="I940" s="16"/>
      <c r="J940" s="16"/>
      <c r="K940" s="16" t="b">
        <v>0</v>
      </c>
      <c r="L940" s="16" t="b">
        <v>0</v>
      </c>
    </row>
    <row r="941">
      <c r="A941" s="9"/>
      <c r="B941" s="16"/>
      <c r="C941" s="7" t="str">
        <f>IFERROR(VLOOKUP(B941,'Master data'!$A$1:$F$1000,2,FALSE),"")</f>
        <v/>
      </c>
      <c r="D941" s="7" t="str">
        <f>IFERROR(VLOOKUP(B941,'Master data'!$A$1:$F$1000,6,FALSE),"")</f>
        <v/>
      </c>
      <c r="F941" s="7" t="str">
        <f>IFERROR(VLOOKUP(B941,'Master data'!$A$1:$F$1000,3,FALSE),"")</f>
        <v/>
      </c>
      <c r="I941" s="16"/>
      <c r="J941" s="16"/>
      <c r="K941" s="16" t="b">
        <v>0</v>
      </c>
      <c r="L941" s="16" t="b">
        <v>0</v>
      </c>
    </row>
    <row r="942">
      <c r="A942" s="9"/>
      <c r="B942" s="16"/>
      <c r="C942" s="7" t="str">
        <f>IFERROR(VLOOKUP(B942,'Master data'!$A$1:$F$1000,2,FALSE),"")</f>
        <v/>
      </c>
      <c r="D942" s="7" t="str">
        <f>IFERROR(VLOOKUP(B942,'Master data'!$A$1:$F$1000,6,FALSE),"")</f>
        <v/>
      </c>
      <c r="F942" s="7" t="str">
        <f>IFERROR(VLOOKUP(B942,'Master data'!$A$1:$F$1000,3,FALSE),"")</f>
        <v/>
      </c>
      <c r="I942" s="16"/>
      <c r="J942" s="16"/>
      <c r="K942" s="16" t="b">
        <v>0</v>
      </c>
      <c r="L942" s="16" t="b">
        <v>0</v>
      </c>
    </row>
    <row r="943">
      <c r="A943" s="9"/>
      <c r="B943" s="16"/>
      <c r="C943" s="7" t="str">
        <f>IFERROR(VLOOKUP(B943,'Master data'!$A$1:$F$1000,2,FALSE),"")</f>
        <v/>
      </c>
      <c r="D943" s="7" t="str">
        <f>IFERROR(VLOOKUP(B943,'Master data'!$A$1:$F$1000,6,FALSE),"")</f>
        <v/>
      </c>
      <c r="F943" s="7" t="str">
        <f>IFERROR(VLOOKUP(B943,'Master data'!$A$1:$F$1000,3,FALSE),"")</f>
        <v/>
      </c>
      <c r="I943" s="16"/>
      <c r="J943" s="16"/>
      <c r="K943" s="16" t="b">
        <v>0</v>
      </c>
      <c r="L943" s="16" t="b">
        <v>0</v>
      </c>
    </row>
    <row r="944">
      <c r="A944" s="9"/>
      <c r="B944" s="16"/>
      <c r="C944" s="7" t="str">
        <f>IFERROR(VLOOKUP(B944,'Master data'!$A$1:$F$1000,2,FALSE),"")</f>
        <v/>
      </c>
      <c r="D944" s="7" t="str">
        <f>IFERROR(VLOOKUP(B944,'Master data'!$A$1:$F$1000,6,FALSE),"")</f>
        <v/>
      </c>
      <c r="F944" s="7" t="str">
        <f>IFERROR(VLOOKUP(B944,'Master data'!$A$1:$F$1000,3,FALSE),"")</f>
        <v/>
      </c>
      <c r="I944" s="16"/>
      <c r="J944" s="16"/>
      <c r="K944" s="16" t="b">
        <v>0</v>
      </c>
      <c r="L944" s="16" t="b">
        <v>0</v>
      </c>
    </row>
    <row r="945">
      <c r="A945" s="9"/>
      <c r="B945" s="16"/>
      <c r="C945" s="7" t="str">
        <f>IFERROR(VLOOKUP(B945,'Master data'!$A$1:$F$1000,2,FALSE),"")</f>
        <v/>
      </c>
      <c r="D945" s="7" t="str">
        <f>IFERROR(VLOOKUP(B945,'Master data'!$A$1:$F$1000,6,FALSE),"")</f>
        <v/>
      </c>
      <c r="F945" s="7" t="str">
        <f>IFERROR(VLOOKUP(B945,'Master data'!$A$1:$F$1000,3,FALSE),"")</f>
        <v/>
      </c>
      <c r="I945" s="16"/>
      <c r="J945" s="16"/>
      <c r="K945" s="16" t="b">
        <v>0</v>
      </c>
      <c r="L945" s="16" t="b">
        <v>0</v>
      </c>
    </row>
    <row r="946">
      <c r="A946" s="9"/>
      <c r="B946" s="16"/>
      <c r="C946" s="7" t="str">
        <f>IFERROR(VLOOKUP(B946,'Master data'!$A$1:$F$1000,2,FALSE),"")</f>
        <v/>
      </c>
      <c r="D946" s="7" t="str">
        <f>IFERROR(VLOOKUP(B946,'Master data'!$A$1:$F$1000,6,FALSE),"")</f>
        <v/>
      </c>
      <c r="F946" s="7" t="str">
        <f>IFERROR(VLOOKUP(B946,'Master data'!$A$1:$F$1000,3,FALSE),"")</f>
        <v/>
      </c>
      <c r="I946" s="16"/>
      <c r="J946" s="16"/>
      <c r="K946" s="16" t="b">
        <v>0</v>
      </c>
      <c r="L946" s="16" t="b">
        <v>0</v>
      </c>
    </row>
    <row r="947">
      <c r="A947" s="9"/>
      <c r="B947" s="16"/>
      <c r="C947" s="7" t="str">
        <f>IFERROR(VLOOKUP(B947,'Master data'!$A$1:$F$1000,2,FALSE),"")</f>
        <v/>
      </c>
      <c r="D947" s="7" t="str">
        <f>IFERROR(VLOOKUP(B947,'Master data'!$A$1:$F$1000,6,FALSE),"")</f>
        <v/>
      </c>
      <c r="F947" s="7" t="str">
        <f>IFERROR(VLOOKUP(B947,'Master data'!$A$1:$F$1000,3,FALSE),"")</f>
        <v/>
      </c>
      <c r="I947" s="16"/>
      <c r="J947" s="16"/>
      <c r="K947" s="16" t="b">
        <v>0</v>
      </c>
      <c r="L947" s="16" t="b">
        <v>0</v>
      </c>
    </row>
    <row r="948">
      <c r="A948" s="9"/>
      <c r="B948" s="16"/>
      <c r="C948" s="7" t="str">
        <f>IFERROR(VLOOKUP(B948,'Master data'!$A$1:$F$1000,2,FALSE),"")</f>
        <v/>
      </c>
      <c r="D948" s="7" t="str">
        <f>IFERROR(VLOOKUP(B948,'Master data'!$A$1:$F$1000,6,FALSE),"")</f>
        <v/>
      </c>
      <c r="F948" s="7" t="str">
        <f>IFERROR(VLOOKUP(B948,'Master data'!$A$1:$F$1000,3,FALSE),"")</f>
        <v/>
      </c>
      <c r="I948" s="16"/>
      <c r="J948" s="16"/>
      <c r="K948" s="16" t="b">
        <v>0</v>
      </c>
      <c r="L948" s="16" t="b">
        <v>0</v>
      </c>
    </row>
    <row r="949">
      <c r="A949" s="9"/>
      <c r="B949" s="16"/>
      <c r="C949" s="7" t="str">
        <f>IFERROR(VLOOKUP(B949,'Master data'!$A$1:$F$1000,2,FALSE),"")</f>
        <v/>
      </c>
      <c r="D949" s="7" t="str">
        <f>IFERROR(VLOOKUP(B949,'Master data'!$A$1:$F$1000,6,FALSE),"")</f>
        <v/>
      </c>
      <c r="F949" s="7" t="str">
        <f>IFERROR(VLOOKUP(B949,'Master data'!$A$1:$F$1000,3,FALSE),"")</f>
        <v/>
      </c>
      <c r="I949" s="16"/>
      <c r="J949" s="16"/>
      <c r="K949" s="16" t="b">
        <v>0</v>
      </c>
      <c r="L949" s="16" t="b">
        <v>0</v>
      </c>
    </row>
    <row r="950">
      <c r="A950" s="9"/>
      <c r="B950" s="16"/>
      <c r="C950" s="7" t="str">
        <f>IFERROR(VLOOKUP(B950,'Master data'!$A$1:$F$1000,2,FALSE),"")</f>
        <v/>
      </c>
      <c r="D950" s="7" t="str">
        <f>IFERROR(VLOOKUP(B950,'Master data'!$A$1:$F$1000,6,FALSE),"")</f>
        <v/>
      </c>
      <c r="F950" s="7" t="str">
        <f>IFERROR(VLOOKUP(B950,'Master data'!$A$1:$F$1000,3,FALSE),"")</f>
        <v/>
      </c>
      <c r="I950" s="16"/>
      <c r="J950" s="16"/>
      <c r="K950" s="16" t="b">
        <v>0</v>
      </c>
      <c r="L950" s="16" t="b">
        <v>0</v>
      </c>
    </row>
    <row r="951">
      <c r="A951" s="9"/>
      <c r="B951" s="16"/>
      <c r="C951" s="7" t="str">
        <f>IFERROR(VLOOKUP(B951,'Master data'!$A$1:$F$1000,2,FALSE),"")</f>
        <v/>
      </c>
      <c r="D951" s="7" t="str">
        <f>IFERROR(VLOOKUP(B951,'Master data'!$A$1:$F$1000,6,FALSE),"")</f>
        <v/>
      </c>
      <c r="F951" s="7" t="str">
        <f>IFERROR(VLOOKUP(B951,'Master data'!$A$1:$F$1000,3,FALSE),"")</f>
        <v/>
      </c>
      <c r="I951" s="16"/>
      <c r="J951" s="16"/>
      <c r="K951" s="16" t="b">
        <v>0</v>
      </c>
      <c r="L951" s="16" t="b">
        <v>0</v>
      </c>
    </row>
    <row r="952">
      <c r="A952" s="9"/>
      <c r="B952" s="16"/>
      <c r="C952" s="7" t="str">
        <f>IFERROR(VLOOKUP(B952,'Master data'!$A$1:$F$1000,2,FALSE),"")</f>
        <v/>
      </c>
      <c r="D952" s="7" t="str">
        <f>IFERROR(VLOOKUP(B952,'Master data'!$A$1:$F$1000,6,FALSE),"")</f>
        <v/>
      </c>
      <c r="F952" s="7" t="str">
        <f>IFERROR(VLOOKUP(B952,'Master data'!$A$1:$F$1000,3,FALSE),"")</f>
        <v/>
      </c>
      <c r="I952" s="16"/>
      <c r="J952" s="16"/>
      <c r="K952" s="16" t="b">
        <v>0</v>
      </c>
      <c r="L952" s="16" t="b">
        <v>0</v>
      </c>
    </row>
    <row r="953">
      <c r="A953" s="9"/>
      <c r="B953" s="16"/>
      <c r="C953" s="7" t="str">
        <f>IFERROR(VLOOKUP(B953,'Master data'!$A$1:$F$1000,2,FALSE),"")</f>
        <v/>
      </c>
      <c r="D953" s="7" t="str">
        <f>IFERROR(VLOOKUP(B953,'Master data'!$A$1:$F$1000,6,FALSE),"")</f>
        <v/>
      </c>
      <c r="F953" s="7" t="str">
        <f>IFERROR(VLOOKUP(B953,'Master data'!$A$1:$F$1000,3,FALSE),"")</f>
        <v/>
      </c>
      <c r="I953" s="16"/>
      <c r="J953" s="16"/>
      <c r="K953" s="16" t="b">
        <v>0</v>
      </c>
      <c r="L953" s="16" t="b">
        <v>0</v>
      </c>
    </row>
    <row r="954">
      <c r="A954" s="9"/>
      <c r="B954" s="16"/>
      <c r="C954" s="7" t="str">
        <f>IFERROR(VLOOKUP(B954,'Master data'!$A$1:$F$1000,2,FALSE),"")</f>
        <v/>
      </c>
      <c r="D954" s="7" t="str">
        <f>IFERROR(VLOOKUP(B954,'Master data'!$A$1:$F$1000,6,FALSE),"")</f>
        <v/>
      </c>
      <c r="F954" s="7" t="str">
        <f>IFERROR(VLOOKUP(B954,'Master data'!$A$1:$F$1000,3,FALSE),"")</f>
        <v/>
      </c>
      <c r="I954" s="16"/>
      <c r="J954" s="16"/>
      <c r="K954" s="16" t="b">
        <v>0</v>
      </c>
      <c r="L954" s="16" t="b">
        <v>0</v>
      </c>
    </row>
    <row r="955">
      <c r="A955" s="9"/>
      <c r="B955" s="16"/>
      <c r="C955" s="7" t="str">
        <f>IFERROR(VLOOKUP(B955,'Master data'!$A$1:$F$1000,2,FALSE),"")</f>
        <v/>
      </c>
      <c r="D955" s="7" t="str">
        <f>IFERROR(VLOOKUP(B955,'Master data'!$A$1:$F$1000,6,FALSE),"")</f>
        <v/>
      </c>
      <c r="F955" s="7" t="str">
        <f>IFERROR(VLOOKUP(B955,'Master data'!$A$1:$F$1000,3,FALSE),"")</f>
        <v/>
      </c>
      <c r="I955" s="16"/>
      <c r="J955" s="16"/>
      <c r="K955" s="16" t="b">
        <v>0</v>
      </c>
      <c r="L955" s="16" t="b">
        <v>0</v>
      </c>
    </row>
    <row r="956">
      <c r="A956" s="9"/>
      <c r="B956" s="16"/>
      <c r="C956" s="7" t="str">
        <f>IFERROR(VLOOKUP(B956,'Master data'!$A$1:$F$1000,2,FALSE),"")</f>
        <v/>
      </c>
      <c r="D956" s="7" t="str">
        <f>IFERROR(VLOOKUP(B956,'Master data'!$A$1:$F$1000,6,FALSE),"")</f>
        <v/>
      </c>
      <c r="F956" s="7" t="str">
        <f>IFERROR(VLOOKUP(B956,'Master data'!$A$1:$F$1000,3,FALSE),"")</f>
        <v/>
      </c>
      <c r="I956" s="16"/>
      <c r="J956" s="16"/>
      <c r="K956" s="16" t="b">
        <v>0</v>
      </c>
      <c r="L956" s="16" t="b">
        <v>0</v>
      </c>
    </row>
    <row r="957">
      <c r="A957" s="9"/>
      <c r="B957" s="16"/>
      <c r="C957" s="7" t="str">
        <f>IFERROR(VLOOKUP(B957,'Master data'!$A$1:$F$1000,2,FALSE),"")</f>
        <v/>
      </c>
      <c r="D957" s="7" t="str">
        <f>IFERROR(VLOOKUP(B957,'Master data'!$A$1:$F$1000,6,FALSE),"")</f>
        <v/>
      </c>
      <c r="F957" s="7" t="str">
        <f>IFERROR(VLOOKUP(B957,'Master data'!$A$1:$F$1000,3,FALSE),"")</f>
        <v/>
      </c>
      <c r="I957" s="16"/>
      <c r="J957" s="16"/>
      <c r="K957" s="16" t="b">
        <v>0</v>
      </c>
      <c r="L957" s="16" t="b">
        <v>0</v>
      </c>
    </row>
    <row r="958">
      <c r="A958" s="9"/>
      <c r="B958" s="16"/>
      <c r="C958" s="7" t="str">
        <f>IFERROR(VLOOKUP(B958,'Master data'!$A$1:$F$1000,2,FALSE),"")</f>
        <v/>
      </c>
      <c r="D958" s="7" t="str">
        <f>IFERROR(VLOOKUP(B958,'Master data'!$A$1:$F$1000,6,FALSE),"")</f>
        <v/>
      </c>
      <c r="F958" s="7" t="str">
        <f>IFERROR(VLOOKUP(B958,'Master data'!$A$1:$F$1000,3,FALSE),"")</f>
        <v/>
      </c>
      <c r="I958" s="16"/>
      <c r="J958" s="16"/>
      <c r="K958" s="16" t="b">
        <v>0</v>
      </c>
      <c r="L958" s="16" t="b">
        <v>0</v>
      </c>
    </row>
    <row r="959">
      <c r="A959" s="9"/>
      <c r="B959" s="16"/>
      <c r="C959" s="7" t="str">
        <f>IFERROR(VLOOKUP(B959,'Master data'!$A$1:$F$1000,2,FALSE),"")</f>
        <v/>
      </c>
      <c r="D959" s="7" t="str">
        <f>IFERROR(VLOOKUP(B959,'Master data'!$A$1:$F$1000,6,FALSE),"")</f>
        <v/>
      </c>
      <c r="F959" s="7" t="str">
        <f>IFERROR(VLOOKUP(B959,'Master data'!$A$1:$F$1000,3,FALSE),"")</f>
        <v/>
      </c>
      <c r="I959" s="16"/>
      <c r="J959" s="16"/>
      <c r="K959" s="16" t="b">
        <v>0</v>
      </c>
      <c r="L959" s="16" t="b">
        <v>0</v>
      </c>
    </row>
    <row r="960">
      <c r="A960" s="9"/>
      <c r="B960" s="16"/>
      <c r="C960" s="7" t="str">
        <f>IFERROR(VLOOKUP(B960,'Master data'!$A$1:$F$1000,2,FALSE),"")</f>
        <v/>
      </c>
      <c r="D960" s="7" t="str">
        <f>IFERROR(VLOOKUP(B960,'Master data'!$A$1:$F$1000,6,FALSE),"")</f>
        <v/>
      </c>
      <c r="F960" s="7" t="str">
        <f>IFERROR(VLOOKUP(B960,'Master data'!$A$1:$F$1000,3,FALSE),"")</f>
        <v/>
      </c>
      <c r="I960" s="16"/>
      <c r="J960" s="16"/>
      <c r="K960" s="16" t="b">
        <v>0</v>
      </c>
      <c r="L960" s="16" t="b">
        <v>0</v>
      </c>
    </row>
    <row r="961">
      <c r="A961" s="9"/>
      <c r="B961" s="16"/>
      <c r="C961" s="7" t="str">
        <f>IFERROR(VLOOKUP(B961,'Master data'!$A$1:$F$1000,2,FALSE),"")</f>
        <v/>
      </c>
      <c r="D961" s="7" t="str">
        <f>IFERROR(VLOOKUP(B961,'Master data'!$A$1:$F$1000,6,FALSE),"")</f>
        <v/>
      </c>
      <c r="F961" s="7" t="str">
        <f>IFERROR(VLOOKUP(B961,'Master data'!$A$1:$F$1000,3,FALSE),"")</f>
        <v/>
      </c>
      <c r="I961" s="16"/>
      <c r="J961" s="16"/>
      <c r="K961" s="16" t="b">
        <v>0</v>
      </c>
      <c r="L961" s="16" t="b">
        <v>0</v>
      </c>
    </row>
    <row r="962">
      <c r="A962" s="9"/>
      <c r="B962" s="16"/>
      <c r="C962" s="7" t="str">
        <f>IFERROR(VLOOKUP(B962,'Master data'!$A$1:$F$1000,2,FALSE),"")</f>
        <v/>
      </c>
      <c r="D962" s="7" t="str">
        <f>IFERROR(VLOOKUP(B962,'Master data'!$A$1:$F$1000,6,FALSE),"")</f>
        <v/>
      </c>
      <c r="F962" s="7" t="str">
        <f>IFERROR(VLOOKUP(B962,'Master data'!$A$1:$F$1000,3,FALSE),"")</f>
        <v/>
      </c>
      <c r="I962" s="16"/>
      <c r="J962" s="16"/>
      <c r="K962" s="16" t="b">
        <v>0</v>
      </c>
      <c r="L962" s="16" t="b">
        <v>0</v>
      </c>
    </row>
    <row r="963">
      <c r="A963" s="9"/>
      <c r="B963" s="16"/>
      <c r="C963" s="7" t="str">
        <f>IFERROR(VLOOKUP(B963,'Master data'!$A$1:$F$1000,2,FALSE),"")</f>
        <v/>
      </c>
      <c r="D963" s="7" t="str">
        <f>IFERROR(VLOOKUP(B963,'Master data'!$A$1:$F$1000,6,FALSE),"")</f>
        <v/>
      </c>
      <c r="F963" s="7" t="str">
        <f>IFERROR(VLOOKUP(B963,'Master data'!$A$1:$F$1000,3,FALSE),"")</f>
        <v/>
      </c>
      <c r="I963" s="16"/>
      <c r="J963" s="16"/>
      <c r="K963" s="16" t="b">
        <v>0</v>
      </c>
      <c r="L963" s="16" t="b">
        <v>0</v>
      </c>
    </row>
    <row r="964">
      <c r="A964" s="9"/>
      <c r="B964" s="16"/>
      <c r="C964" s="7" t="str">
        <f>IFERROR(VLOOKUP(B964,'Master data'!$A$1:$F$1000,2,FALSE),"")</f>
        <v/>
      </c>
      <c r="D964" s="7" t="str">
        <f>IFERROR(VLOOKUP(B964,'Master data'!$A$1:$F$1000,6,FALSE),"")</f>
        <v/>
      </c>
      <c r="F964" s="7" t="str">
        <f>IFERROR(VLOOKUP(B964,'Master data'!$A$1:$F$1000,3,FALSE),"")</f>
        <v/>
      </c>
      <c r="I964" s="16"/>
      <c r="J964" s="16"/>
      <c r="K964" s="16" t="b">
        <v>0</v>
      </c>
      <c r="L964" s="16" t="b">
        <v>0</v>
      </c>
    </row>
    <row r="965">
      <c r="A965" s="9"/>
      <c r="B965" s="16"/>
      <c r="C965" s="7" t="str">
        <f>IFERROR(VLOOKUP(B965,'Master data'!$A$1:$F$1000,2,FALSE),"")</f>
        <v/>
      </c>
      <c r="D965" s="7" t="str">
        <f>IFERROR(VLOOKUP(B965,'Master data'!$A$1:$F$1000,6,FALSE),"")</f>
        <v/>
      </c>
      <c r="F965" s="7" t="str">
        <f>IFERROR(VLOOKUP(B965,'Master data'!$A$1:$F$1000,3,FALSE),"")</f>
        <v/>
      </c>
      <c r="I965" s="16"/>
      <c r="J965" s="16"/>
      <c r="K965" s="16" t="b">
        <v>0</v>
      </c>
      <c r="L965" s="16" t="b">
        <v>0</v>
      </c>
    </row>
    <row r="966">
      <c r="A966" s="9"/>
      <c r="B966" s="16"/>
      <c r="C966" s="7" t="str">
        <f>IFERROR(VLOOKUP(B966,'Master data'!$A$1:$F$1000,2,FALSE),"")</f>
        <v/>
      </c>
      <c r="D966" s="7" t="str">
        <f>IFERROR(VLOOKUP(B966,'Master data'!$A$1:$F$1000,6,FALSE),"")</f>
        <v/>
      </c>
      <c r="F966" s="7" t="str">
        <f>IFERROR(VLOOKUP(B966,'Master data'!$A$1:$F$1000,3,FALSE),"")</f>
        <v/>
      </c>
      <c r="I966" s="16"/>
      <c r="J966" s="16"/>
      <c r="K966" s="16" t="b">
        <v>0</v>
      </c>
      <c r="L966" s="16" t="b">
        <v>0</v>
      </c>
    </row>
    <row r="967">
      <c r="A967" s="9"/>
      <c r="B967" s="16"/>
      <c r="C967" s="7" t="str">
        <f>IFERROR(VLOOKUP(B967,'Master data'!$A$1:$F$1000,2,FALSE),"")</f>
        <v/>
      </c>
      <c r="D967" s="7" t="str">
        <f>IFERROR(VLOOKUP(B967,'Master data'!$A$1:$F$1000,6,FALSE),"")</f>
        <v/>
      </c>
      <c r="F967" s="7" t="str">
        <f>IFERROR(VLOOKUP(B967,'Master data'!$A$1:$F$1000,3,FALSE),"")</f>
        <v/>
      </c>
      <c r="I967" s="16"/>
      <c r="J967" s="16"/>
      <c r="K967" s="16" t="b">
        <v>0</v>
      </c>
      <c r="L967" s="16" t="b">
        <v>0</v>
      </c>
    </row>
    <row r="968">
      <c r="A968" s="9"/>
      <c r="B968" s="16"/>
      <c r="C968" s="7" t="str">
        <f>IFERROR(VLOOKUP(B968,'Master data'!$A$1:$F$1000,2,FALSE),"")</f>
        <v/>
      </c>
      <c r="D968" s="7" t="str">
        <f>IFERROR(VLOOKUP(B968,'Master data'!$A$1:$F$1000,6,FALSE),"")</f>
        <v/>
      </c>
      <c r="F968" s="7" t="str">
        <f>IFERROR(VLOOKUP(B968,'Master data'!$A$1:$F$1000,3,FALSE),"")</f>
        <v/>
      </c>
      <c r="I968" s="16"/>
      <c r="J968" s="16"/>
      <c r="K968" s="16" t="b">
        <v>0</v>
      </c>
      <c r="L968" s="16" t="b">
        <v>0</v>
      </c>
    </row>
    <row r="969">
      <c r="A969" s="9"/>
      <c r="B969" s="16"/>
      <c r="C969" s="7" t="str">
        <f>IFERROR(VLOOKUP(B969,'Master data'!$A$1:$F$1000,2,FALSE),"")</f>
        <v/>
      </c>
      <c r="D969" s="7" t="str">
        <f>IFERROR(VLOOKUP(B969,'Master data'!$A$1:$F$1000,6,FALSE),"")</f>
        <v/>
      </c>
      <c r="F969" s="7" t="str">
        <f>IFERROR(VLOOKUP(B969,'Master data'!$A$1:$F$1000,3,FALSE),"")</f>
        <v/>
      </c>
      <c r="I969" s="16"/>
      <c r="J969" s="16"/>
      <c r="K969" s="16" t="b">
        <v>0</v>
      </c>
      <c r="L969" s="16" t="b">
        <v>0</v>
      </c>
    </row>
    <row r="970">
      <c r="A970" s="9"/>
      <c r="B970" s="16"/>
      <c r="C970" s="7" t="str">
        <f>IFERROR(VLOOKUP(B970,'Master data'!$A$1:$F$1000,2,FALSE),"")</f>
        <v/>
      </c>
      <c r="D970" s="7" t="str">
        <f>IFERROR(VLOOKUP(B970,'Master data'!$A$1:$F$1000,6,FALSE),"")</f>
        <v/>
      </c>
      <c r="F970" s="7" t="str">
        <f>IFERROR(VLOOKUP(B970,'Master data'!$A$1:$F$1000,3,FALSE),"")</f>
        <v/>
      </c>
      <c r="I970" s="16"/>
      <c r="J970" s="16"/>
      <c r="K970" s="16" t="b">
        <v>0</v>
      </c>
      <c r="L970" s="16" t="b">
        <v>0</v>
      </c>
    </row>
    <row r="971">
      <c r="A971" s="9"/>
      <c r="B971" s="16"/>
      <c r="C971" s="7" t="str">
        <f>IFERROR(VLOOKUP(B971,'Master data'!$A$1:$F$1000,2,FALSE),"")</f>
        <v/>
      </c>
      <c r="D971" s="7" t="str">
        <f>IFERROR(VLOOKUP(B971,'Master data'!$A$1:$F$1000,6,FALSE),"")</f>
        <v/>
      </c>
      <c r="F971" s="7" t="str">
        <f>IFERROR(VLOOKUP(B971,'Master data'!$A$1:$F$1000,3,FALSE),"")</f>
        <v/>
      </c>
      <c r="I971" s="16"/>
      <c r="J971" s="16"/>
      <c r="K971" s="16" t="b">
        <v>0</v>
      </c>
      <c r="L971" s="16" t="b">
        <v>0</v>
      </c>
    </row>
    <row r="972">
      <c r="A972" s="9"/>
      <c r="B972" s="16"/>
      <c r="C972" s="7" t="str">
        <f>IFERROR(VLOOKUP(B972,'Master data'!$A$1:$F$1000,2,FALSE),"")</f>
        <v/>
      </c>
      <c r="D972" s="7" t="str">
        <f>IFERROR(VLOOKUP(B972,'Master data'!$A$1:$F$1000,6,FALSE),"")</f>
        <v/>
      </c>
      <c r="F972" s="7" t="str">
        <f>IFERROR(VLOOKUP(B972,'Master data'!$A$1:$F$1000,3,FALSE),"")</f>
        <v/>
      </c>
      <c r="I972" s="16"/>
      <c r="J972" s="16"/>
      <c r="K972" s="16" t="b">
        <v>0</v>
      </c>
      <c r="L972" s="16" t="b">
        <v>0</v>
      </c>
    </row>
    <row r="973">
      <c r="A973" s="9"/>
      <c r="B973" s="16"/>
      <c r="C973" s="7" t="str">
        <f>IFERROR(VLOOKUP(B973,'Master data'!$A$1:$F$1000,2,FALSE),"")</f>
        <v/>
      </c>
      <c r="D973" s="7" t="str">
        <f>IFERROR(VLOOKUP(B973,'Master data'!$A$1:$F$1000,6,FALSE),"")</f>
        <v/>
      </c>
      <c r="F973" s="7" t="str">
        <f>IFERROR(VLOOKUP(B973,'Master data'!$A$1:$F$1000,3,FALSE),"")</f>
        <v/>
      </c>
      <c r="I973" s="16"/>
      <c r="J973" s="16"/>
      <c r="K973" s="16" t="b">
        <v>0</v>
      </c>
      <c r="L973" s="16" t="b">
        <v>0</v>
      </c>
    </row>
    <row r="974">
      <c r="A974" s="9"/>
      <c r="B974" s="16"/>
      <c r="C974" s="7" t="str">
        <f>IFERROR(VLOOKUP(B974,'Master data'!$A$1:$F$1000,2,FALSE),"")</f>
        <v/>
      </c>
      <c r="D974" s="7" t="str">
        <f>IFERROR(VLOOKUP(B974,'Master data'!$A$1:$F$1000,6,FALSE),"")</f>
        <v/>
      </c>
      <c r="F974" s="7" t="str">
        <f>IFERROR(VLOOKUP(B974,'Master data'!$A$1:$F$1000,3,FALSE),"")</f>
        <v/>
      </c>
      <c r="I974" s="16"/>
      <c r="J974" s="16"/>
      <c r="K974" s="16" t="b">
        <v>0</v>
      </c>
      <c r="L974" s="16" t="b">
        <v>0</v>
      </c>
    </row>
    <row r="975">
      <c r="A975" s="9"/>
      <c r="B975" s="16"/>
      <c r="C975" s="7" t="str">
        <f>IFERROR(VLOOKUP(B975,'Master data'!$A$1:$F$1000,2,FALSE),"")</f>
        <v/>
      </c>
      <c r="D975" s="7" t="str">
        <f>IFERROR(VLOOKUP(B975,'Master data'!$A$1:$F$1000,6,FALSE),"")</f>
        <v/>
      </c>
      <c r="F975" s="7" t="str">
        <f>IFERROR(VLOOKUP(B975,'Master data'!$A$1:$F$1000,3,FALSE),"")</f>
        <v/>
      </c>
      <c r="I975" s="16"/>
      <c r="J975" s="16"/>
      <c r="K975" s="16" t="b">
        <v>0</v>
      </c>
      <c r="L975" s="16" t="b">
        <v>0</v>
      </c>
    </row>
    <row r="976">
      <c r="A976" s="9"/>
      <c r="B976" s="16"/>
      <c r="C976" s="7" t="str">
        <f>IFERROR(VLOOKUP(B976,'Master data'!$A$1:$F$1000,2,FALSE),"")</f>
        <v/>
      </c>
      <c r="D976" s="7" t="str">
        <f>IFERROR(VLOOKUP(B976,'Master data'!$A$1:$F$1000,6,FALSE),"")</f>
        <v/>
      </c>
      <c r="F976" s="7" t="str">
        <f>IFERROR(VLOOKUP(B976,'Master data'!$A$1:$F$1000,3,FALSE),"")</f>
        <v/>
      </c>
      <c r="I976" s="16"/>
      <c r="J976" s="16"/>
      <c r="K976" s="16" t="b">
        <v>0</v>
      </c>
      <c r="L976" s="16" t="b">
        <v>0</v>
      </c>
    </row>
    <row r="977">
      <c r="A977" s="9"/>
      <c r="B977" s="16"/>
      <c r="C977" s="7" t="str">
        <f>IFERROR(VLOOKUP(B977,'Master data'!$A$1:$F$1000,2,FALSE),"")</f>
        <v/>
      </c>
      <c r="D977" s="7" t="str">
        <f>IFERROR(VLOOKUP(B977,'Master data'!$A$1:$F$1000,6,FALSE),"")</f>
        <v/>
      </c>
      <c r="F977" s="7" t="str">
        <f>IFERROR(VLOOKUP(B977,'Master data'!$A$1:$F$1000,3,FALSE),"")</f>
        <v/>
      </c>
      <c r="I977" s="16"/>
      <c r="J977" s="16"/>
      <c r="K977" s="16" t="b">
        <v>0</v>
      </c>
      <c r="L977" s="16" t="b">
        <v>0</v>
      </c>
    </row>
    <row r="978">
      <c r="A978" s="9"/>
      <c r="B978" s="16"/>
      <c r="C978" s="7" t="str">
        <f>IFERROR(VLOOKUP(B978,'Master data'!$A$1:$F$1000,2,FALSE),"")</f>
        <v/>
      </c>
      <c r="D978" s="7" t="str">
        <f>IFERROR(VLOOKUP(B978,'Master data'!$A$1:$F$1000,6,FALSE),"")</f>
        <v/>
      </c>
      <c r="F978" s="7" t="str">
        <f>IFERROR(VLOOKUP(B978,'Master data'!$A$1:$F$1000,3,FALSE),"")</f>
        <v/>
      </c>
      <c r="I978" s="16"/>
      <c r="J978" s="16"/>
      <c r="K978" s="16" t="b">
        <v>0</v>
      </c>
      <c r="L978" s="16" t="b">
        <v>0</v>
      </c>
    </row>
    <row r="979">
      <c r="A979" s="9"/>
      <c r="B979" s="16"/>
      <c r="C979" s="7" t="str">
        <f>IFERROR(VLOOKUP(B979,'Master data'!$A$1:$F$1000,2,FALSE),"")</f>
        <v/>
      </c>
      <c r="D979" s="7" t="str">
        <f>IFERROR(VLOOKUP(B979,'Master data'!$A$1:$F$1000,6,FALSE),"")</f>
        <v/>
      </c>
      <c r="F979" s="7" t="str">
        <f>IFERROR(VLOOKUP(B979,'Master data'!$A$1:$F$1000,3,FALSE),"")</f>
        <v/>
      </c>
      <c r="I979" s="16"/>
      <c r="J979" s="16"/>
      <c r="K979" s="16" t="b">
        <v>0</v>
      </c>
      <c r="L979" s="16" t="b">
        <v>0</v>
      </c>
    </row>
    <row r="980">
      <c r="A980" s="9"/>
      <c r="B980" s="16"/>
      <c r="C980" s="7" t="str">
        <f>IFERROR(VLOOKUP(B980,'Master data'!$A$1:$F$1000,2,FALSE),"")</f>
        <v/>
      </c>
      <c r="D980" s="7" t="str">
        <f>IFERROR(VLOOKUP(B980,'Master data'!$A$1:$F$1000,6,FALSE),"")</f>
        <v/>
      </c>
      <c r="F980" s="7" t="str">
        <f>IFERROR(VLOOKUP(B980,'Master data'!$A$1:$F$1000,3,FALSE),"")</f>
        <v/>
      </c>
      <c r="I980" s="16"/>
      <c r="J980" s="16"/>
      <c r="K980" s="16" t="b">
        <v>0</v>
      </c>
      <c r="L980" s="16" t="b">
        <v>0</v>
      </c>
    </row>
    <row r="981">
      <c r="A981" s="9"/>
      <c r="B981" s="16"/>
      <c r="C981" s="7" t="str">
        <f>IFERROR(VLOOKUP(B981,'Master data'!$A$1:$F$1000,2,FALSE),"")</f>
        <v/>
      </c>
      <c r="D981" s="7" t="str">
        <f>IFERROR(VLOOKUP(B981,'Master data'!$A$1:$F$1000,6,FALSE),"")</f>
        <v/>
      </c>
      <c r="F981" s="7" t="str">
        <f>IFERROR(VLOOKUP(B981,'Master data'!$A$1:$F$1000,3,FALSE),"")</f>
        <v/>
      </c>
      <c r="I981" s="16"/>
      <c r="J981" s="16"/>
      <c r="K981" s="16" t="b">
        <v>0</v>
      </c>
      <c r="L981" s="16" t="b">
        <v>0</v>
      </c>
    </row>
    <row r="982">
      <c r="A982" s="9"/>
      <c r="B982" s="16"/>
      <c r="C982" s="7" t="str">
        <f>IFERROR(VLOOKUP(B982,'Master data'!$A$1:$F$1000,2,FALSE),"")</f>
        <v/>
      </c>
      <c r="D982" s="7" t="str">
        <f>IFERROR(VLOOKUP(B982,'Master data'!$A$1:$F$1000,6,FALSE),"")</f>
        <v/>
      </c>
      <c r="F982" s="7" t="str">
        <f>IFERROR(VLOOKUP(B982,'Master data'!$A$1:$F$1000,3,FALSE),"")</f>
        <v/>
      </c>
      <c r="I982" s="16"/>
      <c r="J982" s="16"/>
      <c r="K982" s="16" t="b">
        <v>0</v>
      </c>
      <c r="L982" s="16" t="b">
        <v>0</v>
      </c>
    </row>
    <row r="983">
      <c r="A983" s="9"/>
      <c r="B983" s="16"/>
      <c r="C983" s="7" t="str">
        <f>IFERROR(VLOOKUP(B983,'Master data'!$A$1:$F$1000,2,FALSE),"")</f>
        <v/>
      </c>
      <c r="D983" s="7" t="str">
        <f>IFERROR(VLOOKUP(B983,'Master data'!$A$1:$F$1000,6,FALSE),"")</f>
        <v/>
      </c>
      <c r="F983" s="7" t="str">
        <f>IFERROR(VLOOKUP(B983,'Master data'!$A$1:$F$1000,3,FALSE),"")</f>
        <v/>
      </c>
      <c r="I983" s="16"/>
      <c r="J983" s="16"/>
      <c r="K983" s="16" t="b">
        <v>0</v>
      </c>
      <c r="L983" s="16" t="b">
        <v>0</v>
      </c>
    </row>
    <row r="984">
      <c r="A984" s="9"/>
      <c r="B984" s="16"/>
      <c r="C984" s="7" t="str">
        <f>IFERROR(VLOOKUP(B984,'Master data'!$A$1:$F$1000,2,FALSE),"")</f>
        <v/>
      </c>
      <c r="D984" s="7" t="str">
        <f>IFERROR(VLOOKUP(B984,'Master data'!$A$1:$F$1000,6,FALSE),"")</f>
        <v/>
      </c>
      <c r="F984" s="7" t="str">
        <f>IFERROR(VLOOKUP(B984,'Master data'!$A$1:$F$1000,3,FALSE),"")</f>
        <v/>
      </c>
      <c r="I984" s="16"/>
      <c r="J984" s="16"/>
      <c r="K984" s="16" t="b">
        <v>0</v>
      </c>
      <c r="L984" s="16" t="b">
        <v>0</v>
      </c>
    </row>
    <row r="985">
      <c r="A985" s="9"/>
      <c r="B985" s="16"/>
      <c r="C985" s="7" t="str">
        <f>IFERROR(VLOOKUP(B985,'Master data'!$A$1:$F$1000,2,FALSE),"")</f>
        <v/>
      </c>
      <c r="D985" s="7" t="str">
        <f>IFERROR(VLOOKUP(B985,'Master data'!$A$1:$F$1000,6,FALSE),"")</f>
        <v/>
      </c>
      <c r="F985" s="7" t="str">
        <f>IFERROR(VLOOKUP(B985,'Master data'!$A$1:$F$1000,3,FALSE),"")</f>
        <v/>
      </c>
      <c r="I985" s="16"/>
      <c r="J985" s="16"/>
      <c r="K985" s="16" t="b">
        <v>0</v>
      </c>
      <c r="L985" s="16" t="b">
        <v>0</v>
      </c>
    </row>
    <row r="986">
      <c r="A986" s="9"/>
      <c r="B986" s="16"/>
      <c r="C986" s="7" t="str">
        <f>IFERROR(VLOOKUP(B986,'Master data'!$A$1:$F$1000,2,FALSE),"")</f>
        <v/>
      </c>
      <c r="D986" s="7" t="str">
        <f>IFERROR(VLOOKUP(B986,'Master data'!$A$1:$F$1000,6,FALSE),"")</f>
        <v/>
      </c>
      <c r="F986" s="7" t="str">
        <f>IFERROR(VLOOKUP(B986,'Master data'!$A$1:$F$1000,3,FALSE),"")</f>
        <v/>
      </c>
      <c r="I986" s="16"/>
      <c r="J986" s="16"/>
      <c r="K986" s="16" t="b">
        <v>0</v>
      </c>
      <c r="L986" s="16" t="b">
        <v>0</v>
      </c>
    </row>
    <row r="987">
      <c r="A987" s="9"/>
      <c r="B987" s="16"/>
      <c r="C987" s="7" t="str">
        <f>IFERROR(VLOOKUP(B987,'Master data'!$A$1:$F$1000,2,FALSE),"")</f>
        <v/>
      </c>
      <c r="D987" s="7" t="str">
        <f>IFERROR(VLOOKUP(B987,'Master data'!$A$1:$F$1000,6,FALSE),"")</f>
        <v/>
      </c>
      <c r="F987" s="7" t="str">
        <f>IFERROR(VLOOKUP(B987,'Master data'!$A$1:$F$1000,3,FALSE),"")</f>
        <v/>
      </c>
      <c r="I987" s="16"/>
      <c r="J987" s="16"/>
      <c r="K987" s="16" t="b">
        <v>0</v>
      </c>
      <c r="L987" s="16" t="b">
        <v>0</v>
      </c>
    </row>
    <row r="988">
      <c r="A988" s="9"/>
      <c r="B988" s="16"/>
      <c r="C988" s="7" t="str">
        <f>IFERROR(VLOOKUP(B988,'Master data'!$A$1:$F$1000,2,FALSE),"")</f>
        <v/>
      </c>
      <c r="D988" s="7" t="str">
        <f>IFERROR(VLOOKUP(B988,'Master data'!$A$1:$F$1000,6,FALSE),"")</f>
        <v/>
      </c>
      <c r="F988" s="7" t="str">
        <f>IFERROR(VLOOKUP(B988,'Master data'!$A$1:$F$1000,3,FALSE),"")</f>
        <v/>
      </c>
      <c r="I988" s="16"/>
      <c r="J988" s="16"/>
      <c r="K988" s="16" t="b">
        <v>0</v>
      </c>
      <c r="L988" s="16" t="b">
        <v>0</v>
      </c>
    </row>
    <row r="989">
      <c r="A989" s="9"/>
      <c r="B989" s="16"/>
      <c r="C989" s="7" t="str">
        <f>IFERROR(VLOOKUP(B989,'Master data'!$A$1:$F$1000,2,FALSE),"")</f>
        <v/>
      </c>
      <c r="D989" s="7" t="str">
        <f>IFERROR(VLOOKUP(B989,'Master data'!$A$1:$F$1000,6,FALSE),"")</f>
        <v/>
      </c>
      <c r="F989" s="7" t="str">
        <f>IFERROR(VLOOKUP(B989,'Master data'!$A$1:$F$1000,3,FALSE),"")</f>
        <v/>
      </c>
      <c r="I989" s="16"/>
      <c r="J989" s="16"/>
      <c r="K989" s="16" t="b">
        <v>0</v>
      </c>
      <c r="L989" s="16" t="b">
        <v>0</v>
      </c>
    </row>
    <row r="990">
      <c r="A990" s="9"/>
      <c r="B990" s="16"/>
      <c r="C990" s="7" t="str">
        <f>IFERROR(VLOOKUP(B990,'Master data'!$A$1:$F$1000,2,FALSE),"")</f>
        <v/>
      </c>
      <c r="D990" s="7" t="str">
        <f>IFERROR(VLOOKUP(B990,'Master data'!$A$1:$F$1000,6,FALSE),"")</f>
        <v/>
      </c>
      <c r="F990" s="7" t="str">
        <f>IFERROR(VLOOKUP(B990,'Master data'!$A$1:$F$1000,3,FALSE),"")</f>
        <v/>
      </c>
      <c r="I990" s="16"/>
      <c r="J990" s="16"/>
      <c r="K990" s="16" t="b">
        <v>0</v>
      </c>
      <c r="L990" s="16" t="b">
        <v>0</v>
      </c>
    </row>
    <row r="991">
      <c r="A991" s="9"/>
      <c r="B991" s="16"/>
      <c r="C991" s="7" t="str">
        <f>IFERROR(VLOOKUP(B991,'Master data'!$A$1:$F$1000,2,FALSE),"")</f>
        <v/>
      </c>
      <c r="D991" s="7" t="str">
        <f>IFERROR(VLOOKUP(B991,'Master data'!$A$1:$F$1000,6,FALSE),"")</f>
        <v/>
      </c>
      <c r="F991" s="7" t="str">
        <f>IFERROR(VLOOKUP(B991,'Master data'!$A$1:$F$1000,3,FALSE),"")</f>
        <v/>
      </c>
      <c r="I991" s="16"/>
      <c r="J991" s="16"/>
      <c r="K991" s="16" t="b">
        <v>0</v>
      </c>
      <c r="L991" s="16" t="b">
        <v>0</v>
      </c>
    </row>
    <row r="992">
      <c r="A992" s="9"/>
      <c r="B992" s="16"/>
      <c r="C992" s="7" t="str">
        <f>IFERROR(VLOOKUP(B992,'Master data'!$A$1:$F$1000,2,FALSE),"")</f>
        <v/>
      </c>
      <c r="D992" s="7" t="str">
        <f>IFERROR(VLOOKUP(B992,'Master data'!$A$1:$F$1000,6,FALSE),"")</f>
        <v/>
      </c>
      <c r="F992" s="7" t="str">
        <f>IFERROR(VLOOKUP(B992,'Master data'!$A$1:$F$1000,3,FALSE),"")</f>
        <v/>
      </c>
      <c r="I992" s="16"/>
      <c r="J992" s="16"/>
      <c r="K992" s="16" t="b">
        <v>0</v>
      </c>
      <c r="L992" s="16" t="b">
        <v>0</v>
      </c>
    </row>
    <row r="993">
      <c r="A993" s="9"/>
      <c r="B993" s="16"/>
      <c r="C993" s="7" t="str">
        <f>IFERROR(VLOOKUP(B993,'Master data'!$A$1:$F$1000,2,FALSE),"")</f>
        <v/>
      </c>
      <c r="D993" s="7" t="str">
        <f>IFERROR(VLOOKUP(B993,'Master data'!$A$1:$F$1000,6,FALSE),"")</f>
        <v/>
      </c>
      <c r="F993" s="7" t="str">
        <f>IFERROR(VLOOKUP(B993,'Master data'!$A$1:$F$1000,3,FALSE),"")</f>
        <v/>
      </c>
      <c r="I993" s="16"/>
      <c r="J993" s="16"/>
      <c r="K993" s="16" t="b">
        <v>0</v>
      </c>
      <c r="L993" s="16" t="b">
        <v>0</v>
      </c>
    </row>
    <row r="994">
      <c r="A994" s="9"/>
      <c r="B994" s="16"/>
      <c r="C994" s="7" t="str">
        <f>IFERROR(VLOOKUP(B994,'Master data'!$A$1:$F$1000,2,FALSE),"")</f>
        <v/>
      </c>
      <c r="D994" s="7" t="str">
        <f>IFERROR(VLOOKUP(B994,'Master data'!$A$1:$F$1000,6,FALSE),"")</f>
        <v/>
      </c>
      <c r="F994" s="7" t="str">
        <f>IFERROR(VLOOKUP(B994,'Master data'!$A$1:$F$1000,3,FALSE),"")</f>
        <v/>
      </c>
      <c r="I994" s="16"/>
      <c r="J994" s="16"/>
      <c r="K994" s="16" t="b">
        <v>0</v>
      </c>
      <c r="L994" s="16" t="b">
        <v>0</v>
      </c>
    </row>
    <row r="995">
      <c r="A995" s="9"/>
      <c r="B995" s="16"/>
      <c r="C995" s="7" t="str">
        <f>IFERROR(VLOOKUP(B995,'Master data'!$A$1:$F$1000,2,FALSE),"")</f>
        <v/>
      </c>
      <c r="D995" s="7" t="str">
        <f>IFERROR(VLOOKUP(B995,'Master data'!$A$1:$F$1000,6,FALSE),"")</f>
        <v/>
      </c>
      <c r="F995" s="7" t="str">
        <f>IFERROR(VLOOKUP(B995,'Master data'!$A$1:$F$1000,3,FALSE),"")</f>
        <v/>
      </c>
      <c r="I995" s="16"/>
      <c r="J995" s="16"/>
      <c r="K995" s="16" t="b">
        <v>0</v>
      </c>
      <c r="L995" s="16" t="b">
        <v>0</v>
      </c>
    </row>
    <row r="996">
      <c r="A996" s="9"/>
      <c r="B996" s="16"/>
      <c r="C996" s="7" t="str">
        <f>IFERROR(VLOOKUP(B996,'Master data'!$A$1:$F$1000,2,FALSE),"")</f>
        <v/>
      </c>
      <c r="D996" s="7" t="str">
        <f>IFERROR(VLOOKUP(B996,'Master data'!$A$1:$F$1000,6,FALSE),"")</f>
        <v/>
      </c>
      <c r="F996" s="7" t="str">
        <f>IFERROR(VLOOKUP(B996,'Master data'!$A$1:$F$1000,3,FALSE),"")</f>
        <v/>
      </c>
      <c r="I996" s="16"/>
      <c r="J996" s="16"/>
      <c r="K996" s="16" t="b">
        <v>0</v>
      </c>
      <c r="L996" s="16" t="b">
        <v>0</v>
      </c>
    </row>
    <row r="997">
      <c r="A997" s="9"/>
      <c r="B997" s="16"/>
      <c r="C997" s="7" t="str">
        <f>IFERROR(VLOOKUP(B997,'Master data'!$A$1:$F$1000,2,FALSE),"")</f>
        <v/>
      </c>
      <c r="D997" s="7" t="str">
        <f>IFERROR(VLOOKUP(B997,'Master data'!$A$1:$F$1000,6,FALSE),"")</f>
        <v/>
      </c>
      <c r="F997" s="7" t="str">
        <f>IFERROR(VLOOKUP(B997,'Master data'!$A$1:$F$1000,3,FALSE),"")</f>
        <v/>
      </c>
      <c r="I997" s="16"/>
      <c r="J997" s="16"/>
      <c r="K997" s="16" t="b">
        <v>0</v>
      </c>
      <c r="L997" s="16" t="b">
        <v>0</v>
      </c>
    </row>
    <row r="998">
      <c r="A998" s="9"/>
      <c r="B998" s="16"/>
      <c r="C998" s="7" t="str">
        <f>IFERROR(VLOOKUP(B998,'Master data'!$A$1:$F$1000,2,FALSE),"")</f>
        <v/>
      </c>
      <c r="D998" s="7" t="str">
        <f>IFERROR(VLOOKUP(B998,'Master data'!$A$1:$F$1000,6,FALSE),"")</f>
        <v/>
      </c>
      <c r="F998" s="7" t="str">
        <f>IFERROR(VLOOKUP(B998,'Master data'!$A$1:$F$1000,3,FALSE),"")</f>
        <v/>
      </c>
      <c r="I998" s="16"/>
      <c r="J998" s="16"/>
      <c r="K998" s="16" t="b">
        <v>0</v>
      </c>
      <c r="L998" s="16" t="b">
        <v>0</v>
      </c>
    </row>
    <row r="999">
      <c r="A999" s="9"/>
      <c r="B999" s="16"/>
      <c r="C999" s="7" t="str">
        <f>IFERROR(VLOOKUP(B999,'Master data'!$A$1:$F$1000,2,FALSE),"")</f>
        <v/>
      </c>
      <c r="D999" s="7" t="str">
        <f>IFERROR(VLOOKUP(B999,'Master data'!$A$1:$F$1000,6,FALSE),"")</f>
        <v/>
      </c>
      <c r="F999" s="7" t="str">
        <f>IFERROR(VLOOKUP(B999,'Master data'!$A$1:$F$1000,3,FALSE),"")</f>
        <v/>
      </c>
      <c r="I999" s="16"/>
      <c r="J999" s="16"/>
      <c r="K999" s="16" t="b">
        <v>0</v>
      </c>
      <c r="L999" s="16" t="b">
        <v>0</v>
      </c>
    </row>
    <row r="1000">
      <c r="A1000" s="9"/>
      <c r="B1000" s="16"/>
      <c r="C1000" s="7" t="str">
        <f>IFERROR(VLOOKUP(B1000,'Master data'!$A$1:$F$1000,2,FALSE),"")</f>
        <v/>
      </c>
      <c r="D1000" s="7" t="str">
        <f>IFERROR(VLOOKUP(B1000,'Master data'!$A$1:$F$1000,6,FALSE),"")</f>
        <v/>
      </c>
      <c r="F1000" s="7" t="str">
        <f>IFERROR(VLOOKUP(B1000,'Master data'!$A$1:$F$1000,3,FALSE),"")</f>
        <v/>
      </c>
      <c r="I1000" s="16"/>
      <c r="J1000" s="16"/>
      <c r="K1000" s="16" t="b">
        <v>0</v>
      </c>
      <c r="L1000" s="16" t="b">
        <v>0</v>
      </c>
    </row>
    <row r="1001">
      <c r="A1001" s="9"/>
      <c r="B1001" s="16"/>
      <c r="C1001" s="7" t="str">
        <f>IFERROR(VLOOKUP(B1001,'Master data'!$A$1:$F$1000,2,FALSE),"")</f>
        <v/>
      </c>
      <c r="D1001" s="7" t="str">
        <f>IFERROR(VLOOKUP(B1001,'Master data'!$A$1:$F$1000,6,FALSE),"")</f>
        <v/>
      </c>
      <c r="F1001" s="7" t="str">
        <f>IFERROR(VLOOKUP(B1001,'Master data'!$A$1:$F$1000,3,FALSE),"")</f>
        <v/>
      </c>
      <c r="I1001" s="16"/>
      <c r="J1001" s="16"/>
      <c r="K1001" s="16" t="b">
        <v>0</v>
      </c>
      <c r="L1001" s="16" t="b">
        <v>0</v>
      </c>
    </row>
  </sheetData>
  <mergeCells count="4">
    <mergeCell ref="A1:L1"/>
    <mergeCell ref="A2:L2"/>
    <mergeCell ref="A3:L3"/>
    <mergeCell ref="A4:L4"/>
  </mergeCells>
  <dataValidations>
    <dataValidation type="list" allowBlank="1" showErrorMessage="1" sqref="B7:B1001">
      <formula1>'Master data'!$A$2:$A$429</formula1>
    </dataValidation>
    <dataValidation type="list" allowBlank="1" showErrorMessage="1" sqref="J7:J1001">
      <formula1>"Waste,Spoil,Training,Discontinued,Test food/ Kalibrasi"</formula1>
    </dataValidation>
    <dataValidation type="list" allowBlank="1" showErrorMessage="1" sqref="I7:I1001">
      <formula1>"BAR,COOK,ASSEMBLY,MP,DINING"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2.86"/>
    <col customWidth="1" min="3" max="3" width="13.0"/>
    <col customWidth="1" min="4" max="4" width="27.29"/>
    <col customWidth="1" min="5" max="5" width="14.14"/>
    <col customWidth="1" min="6" max="6" width="15.29"/>
    <col customWidth="1" min="7" max="7" width="21.0"/>
    <col customWidth="1" min="8" max="8" width="16.71"/>
    <col customWidth="1" min="9" max="9" width="18.29"/>
    <col customWidth="1" min="10" max="26" width="8.71"/>
  </cols>
  <sheetData>
    <row r="1">
      <c r="A1" s="1" t="s">
        <v>10</v>
      </c>
      <c r="B1" s="1" t="s">
        <v>2</v>
      </c>
      <c r="C1" s="1" t="s">
        <v>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6"/>
      <c r="B2" s="6" t="s">
        <v>18</v>
      </c>
      <c r="C2" s="6" t="s">
        <v>15</v>
      </c>
      <c r="D2" s="8" t="s">
        <v>19</v>
      </c>
      <c r="E2" s="8" t="s">
        <v>20</v>
      </c>
      <c r="F2" s="6"/>
      <c r="G2" s="6"/>
      <c r="H2" s="6"/>
    </row>
    <row r="3">
      <c r="A3" s="6"/>
      <c r="B3" s="6" t="s">
        <v>21</v>
      </c>
      <c r="C3" s="6" t="s">
        <v>22</v>
      </c>
      <c r="D3" s="8" t="s">
        <v>19</v>
      </c>
      <c r="E3" s="8" t="s">
        <v>20</v>
      </c>
      <c r="F3" s="6"/>
      <c r="G3" s="6"/>
      <c r="H3" s="6"/>
    </row>
    <row r="4">
      <c r="A4" s="6"/>
      <c r="B4" s="6" t="s">
        <v>23</v>
      </c>
      <c r="C4" s="6" t="s">
        <v>24</v>
      </c>
      <c r="D4" s="8" t="s">
        <v>19</v>
      </c>
      <c r="E4" s="8" t="s">
        <v>25</v>
      </c>
      <c r="F4" s="6"/>
      <c r="G4" s="6"/>
      <c r="H4" s="6"/>
    </row>
    <row r="5">
      <c r="A5" s="6"/>
      <c r="B5" s="6" t="s">
        <v>26</v>
      </c>
      <c r="C5" s="6" t="s">
        <v>27</v>
      </c>
      <c r="D5" s="8" t="s">
        <v>19</v>
      </c>
      <c r="E5" s="8" t="s">
        <v>25</v>
      </c>
      <c r="F5" s="6"/>
      <c r="G5" s="6"/>
      <c r="H5" s="6"/>
    </row>
    <row r="6">
      <c r="A6" s="6"/>
      <c r="B6" s="6" t="s">
        <v>28</v>
      </c>
      <c r="C6" s="6" t="s">
        <v>29</v>
      </c>
      <c r="D6" s="8" t="s">
        <v>19</v>
      </c>
      <c r="E6" s="8" t="s">
        <v>20</v>
      </c>
      <c r="F6" s="6"/>
      <c r="G6" s="6"/>
      <c r="H6" s="6"/>
    </row>
    <row r="7">
      <c r="A7" s="6"/>
      <c r="B7" s="6" t="s">
        <v>30</v>
      </c>
      <c r="C7" s="6" t="s">
        <v>31</v>
      </c>
      <c r="D7" s="8" t="s">
        <v>19</v>
      </c>
      <c r="E7" s="8" t="s">
        <v>20</v>
      </c>
      <c r="F7" s="6"/>
      <c r="G7" s="6"/>
      <c r="H7" s="6"/>
    </row>
    <row r="8">
      <c r="A8" s="6"/>
      <c r="B8" s="6" t="s">
        <v>33</v>
      </c>
      <c r="C8" s="6" t="s">
        <v>34</v>
      </c>
      <c r="D8" s="8" t="s">
        <v>19</v>
      </c>
      <c r="E8" s="8" t="s">
        <v>20</v>
      </c>
      <c r="F8" s="6"/>
      <c r="G8" s="6"/>
      <c r="H8" s="6"/>
    </row>
    <row r="9">
      <c r="A9" s="6"/>
      <c r="B9" s="6" t="s">
        <v>36</v>
      </c>
      <c r="C9" s="6" t="s">
        <v>37</v>
      </c>
      <c r="D9" s="8" t="s">
        <v>19</v>
      </c>
      <c r="E9" s="8" t="s">
        <v>20</v>
      </c>
      <c r="F9" s="6"/>
      <c r="G9" s="6"/>
      <c r="H9" s="6"/>
    </row>
    <row r="10">
      <c r="A10" s="6"/>
      <c r="B10" s="6" t="s">
        <v>38</v>
      </c>
      <c r="C10" s="6" t="s">
        <v>39</v>
      </c>
      <c r="D10" s="8" t="s">
        <v>19</v>
      </c>
      <c r="E10" s="8" t="s">
        <v>20</v>
      </c>
      <c r="F10" s="6"/>
      <c r="G10" s="6"/>
      <c r="H10" s="6"/>
    </row>
    <row r="11">
      <c r="A11" s="6"/>
      <c r="B11" s="6" t="s">
        <v>40</v>
      </c>
      <c r="C11" s="6" t="s">
        <v>41</v>
      </c>
      <c r="D11" s="8" t="s">
        <v>19</v>
      </c>
      <c r="E11" s="8" t="s">
        <v>20</v>
      </c>
      <c r="F11" s="6"/>
      <c r="G11" s="6"/>
      <c r="H11" s="6"/>
    </row>
    <row r="12">
      <c r="A12" s="6"/>
      <c r="B12" s="6" t="s">
        <v>42</v>
      </c>
      <c r="C12" s="6" t="s">
        <v>43</v>
      </c>
      <c r="D12" s="8" t="s">
        <v>19</v>
      </c>
      <c r="E12" s="8" t="s">
        <v>20</v>
      </c>
      <c r="F12" s="6"/>
      <c r="G12" s="6"/>
      <c r="H12" s="6"/>
    </row>
    <row r="13">
      <c r="A13" s="6"/>
      <c r="B13" s="6" t="s">
        <v>44</v>
      </c>
      <c r="C13" s="6" t="s">
        <v>45</v>
      </c>
      <c r="D13" s="8" t="s">
        <v>19</v>
      </c>
      <c r="E13" s="8" t="s">
        <v>20</v>
      </c>
      <c r="F13" s="6"/>
      <c r="G13" s="6"/>
      <c r="H13" s="6"/>
    </row>
    <row r="14">
      <c r="A14" s="6"/>
      <c r="B14" s="6" t="s">
        <v>46</v>
      </c>
      <c r="C14" s="6" t="s">
        <v>47</v>
      </c>
      <c r="D14" s="8" t="s">
        <v>19</v>
      </c>
      <c r="E14" s="8" t="s">
        <v>20</v>
      </c>
      <c r="F14" s="6"/>
      <c r="G14" s="6"/>
      <c r="H14" s="6"/>
    </row>
    <row r="15">
      <c r="A15" s="6"/>
      <c r="B15" s="6" t="s">
        <v>48</v>
      </c>
      <c r="C15" s="6" t="s">
        <v>49</v>
      </c>
      <c r="D15" s="8" t="s">
        <v>19</v>
      </c>
      <c r="E15" s="8" t="s">
        <v>20</v>
      </c>
      <c r="F15" s="6"/>
      <c r="G15" s="6"/>
      <c r="H15" s="6"/>
    </row>
    <row r="16">
      <c r="A16" s="6"/>
      <c r="B16" s="6" t="s">
        <v>50</v>
      </c>
      <c r="C16" s="6" t="s">
        <v>51</v>
      </c>
      <c r="D16" s="8" t="s">
        <v>19</v>
      </c>
      <c r="E16" s="8" t="s">
        <v>20</v>
      </c>
      <c r="F16" s="6"/>
      <c r="G16" s="6"/>
      <c r="H16" s="6"/>
    </row>
    <row r="17">
      <c r="A17" s="6"/>
      <c r="B17" s="6" t="s">
        <v>52</v>
      </c>
      <c r="C17" s="6" t="s">
        <v>53</v>
      </c>
      <c r="D17" s="8" t="s">
        <v>19</v>
      </c>
      <c r="E17" s="8" t="s">
        <v>20</v>
      </c>
      <c r="F17" s="6"/>
      <c r="G17" s="6"/>
      <c r="H17" s="6"/>
    </row>
    <row r="18">
      <c r="A18" s="6"/>
      <c r="B18" s="6" t="s">
        <v>54</v>
      </c>
      <c r="C18" s="6" t="s">
        <v>55</v>
      </c>
      <c r="D18" s="8" t="s">
        <v>19</v>
      </c>
      <c r="E18" s="8" t="s">
        <v>20</v>
      </c>
      <c r="F18" s="6"/>
      <c r="G18" s="6"/>
      <c r="H18" s="6"/>
    </row>
    <row r="19">
      <c r="A19" s="6"/>
      <c r="B19" s="6" t="s">
        <v>58</v>
      </c>
      <c r="C19" s="6" t="s">
        <v>59</v>
      </c>
      <c r="D19" s="8" t="s">
        <v>19</v>
      </c>
      <c r="E19" s="8" t="s">
        <v>20</v>
      </c>
      <c r="F19" s="6"/>
      <c r="G19" s="6"/>
      <c r="H19" s="6"/>
    </row>
    <row r="20">
      <c r="A20" s="6"/>
      <c r="B20" s="6" t="s">
        <v>62</v>
      </c>
      <c r="C20" s="6" t="s">
        <v>64</v>
      </c>
      <c r="D20" s="8" t="s">
        <v>19</v>
      </c>
      <c r="E20" s="8" t="s">
        <v>20</v>
      </c>
      <c r="F20" s="6"/>
      <c r="G20" s="6"/>
      <c r="H20" s="6"/>
    </row>
    <row r="21" ht="15.75" customHeight="1">
      <c r="A21" s="6"/>
      <c r="B21" s="6" t="s">
        <v>65</v>
      </c>
      <c r="C21" s="6" t="s">
        <v>66</v>
      </c>
      <c r="D21" s="8" t="s">
        <v>19</v>
      </c>
      <c r="E21" s="8" t="s">
        <v>20</v>
      </c>
      <c r="F21" s="6"/>
      <c r="G21" s="6"/>
      <c r="H21" s="6"/>
    </row>
    <row r="22" ht="15.75" customHeight="1">
      <c r="A22" s="6"/>
      <c r="B22" s="6" t="s">
        <v>67</v>
      </c>
      <c r="C22" s="6" t="s">
        <v>68</v>
      </c>
      <c r="D22" s="8" t="s">
        <v>19</v>
      </c>
      <c r="E22" s="8" t="s">
        <v>25</v>
      </c>
      <c r="F22" s="6"/>
      <c r="G22" s="6"/>
      <c r="H22" s="6"/>
    </row>
    <row r="23" ht="15.75" customHeight="1">
      <c r="A23" s="6"/>
      <c r="B23" s="6" t="s">
        <v>69</v>
      </c>
      <c r="C23" s="6" t="s">
        <v>70</v>
      </c>
      <c r="D23" s="8" t="s">
        <v>19</v>
      </c>
      <c r="E23" s="8" t="s">
        <v>20</v>
      </c>
      <c r="F23" s="6"/>
      <c r="G23" s="6"/>
      <c r="H23" s="6"/>
    </row>
    <row r="24" ht="15.75" customHeight="1">
      <c r="A24" s="6"/>
      <c r="B24" s="6" t="s">
        <v>71</v>
      </c>
      <c r="C24" s="6" t="s">
        <v>72</v>
      </c>
      <c r="D24" s="8" t="s">
        <v>19</v>
      </c>
      <c r="E24" s="8" t="s">
        <v>20</v>
      </c>
      <c r="F24" s="6"/>
      <c r="G24" s="6"/>
      <c r="H24" s="6"/>
    </row>
    <row r="25" ht="15.75" customHeight="1">
      <c r="A25" s="6"/>
      <c r="B25" s="6" t="s">
        <v>74</v>
      </c>
      <c r="C25" s="6" t="s">
        <v>75</v>
      </c>
      <c r="D25" s="8" t="s">
        <v>19</v>
      </c>
      <c r="E25" s="8" t="s">
        <v>25</v>
      </c>
      <c r="F25" s="6"/>
      <c r="G25" s="6"/>
      <c r="H25" s="6"/>
    </row>
    <row r="26" ht="15.75" customHeight="1">
      <c r="A26" s="6"/>
      <c r="B26" s="6" t="s">
        <v>76</v>
      </c>
      <c r="C26" s="6" t="s">
        <v>77</v>
      </c>
      <c r="D26" s="8" t="s">
        <v>19</v>
      </c>
      <c r="E26" s="8" t="s">
        <v>78</v>
      </c>
      <c r="F26" s="6"/>
      <c r="G26" s="6"/>
      <c r="H26" s="6"/>
    </row>
    <row r="27" ht="15.75" customHeight="1">
      <c r="A27" s="6"/>
      <c r="B27" s="6" t="s">
        <v>79</v>
      </c>
      <c r="C27" s="6" t="s">
        <v>80</v>
      </c>
      <c r="D27" s="8" t="s">
        <v>19</v>
      </c>
      <c r="E27" s="8" t="s">
        <v>25</v>
      </c>
      <c r="F27" s="6"/>
      <c r="G27" s="6"/>
      <c r="H27" s="6"/>
    </row>
    <row r="28" ht="15.75" customHeight="1">
      <c r="A28" s="6"/>
      <c r="B28" s="6" t="s">
        <v>81</v>
      </c>
      <c r="C28" s="6" t="s">
        <v>82</v>
      </c>
      <c r="D28" s="8" t="s">
        <v>19</v>
      </c>
      <c r="E28" s="8" t="s">
        <v>20</v>
      </c>
      <c r="F28" s="6"/>
      <c r="G28" s="6"/>
      <c r="H28" s="6"/>
    </row>
    <row r="29" ht="15.75" customHeight="1">
      <c r="A29" s="6"/>
      <c r="B29" s="6" t="s">
        <v>83</v>
      </c>
      <c r="C29" s="6" t="s">
        <v>84</v>
      </c>
      <c r="D29" s="8" t="s">
        <v>19</v>
      </c>
      <c r="E29" s="8" t="s">
        <v>20</v>
      </c>
      <c r="F29" s="6"/>
      <c r="G29" s="6"/>
      <c r="H29" s="6"/>
    </row>
    <row r="30" ht="15.75" customHeight="1">
      <c r="A30" s="6"/>
      <c r="B30" s="6" t="s">
        <v>86</v>
      </c>
      <c r="C30" s="6" t="s">
        <v>87</v>
      </c>
      <c r="D30" s="8" t="s">
        <v>19</v>
      </c>
      <c r="E30" s="8" t="s">
        <v>20</v>
      </c>
      <c r="F30" s="6"/>
      <c r="G30" s="6"/>
      <c r="H30" s="6"/>
    </row>
    <row r="31" ht="15.75" customHeight="1">
      <c r="A31" s="6"/>
      <c r="B31" s="6" t="s">
        <v>88</v>
      </c>
      <c r="C31" s="6" t="s">
        <v>89</v>
      </c>
      <c r="D31" s="8" t="s">
        <v>19</v>
      </c>
      <c r="E31" s="8" t="s">
        <v>25</v>
      </c>
      <c r="F31" s="6"/>
      <c r="G31" s="6"/>
      <c r="H31" s="6"/>
    </row>
    <row r="32" ht="15.75" customHeight="1">
      <c r="A32" s="6"/>
      <c r="B32" s="6" t="s">
        <v>91</v>
      </c>
      <c r="C32" s="6" t="s">
        <v>92</v>
      </c>
      <c r="D32" s="8" t="s">
        <v>19</v>
      </c>
      <c r="E32" s="8" t="s">
        <v>25</v>
      </c>
      <c r="F32" s="6"/>
      <c r="G32" s="6"/>
      <c r="H32" s="6"/>
    </row>
    <row r="33" ht="15.75" customHeight="1">
      <c r="A33" s="6"/>
      <c r="B33" s="6" t="s">
        <v>93</v>
      </c>
      <c r="C33" s="6" t="s">
        <v>94</v>
      </c>
      <c r="D33" s="8" t="s">
        <v>19</v>
      </c>
      <c r="E33" s="8" t="s">
        <v>25</v>
      </c>
      <c r="F33" s="6"/>
      <c r="G33" s="6"/>
      <c r="H33" s="6"/>
    </row>
    <row r="34" ht="15.75" customHeight="1">
      <c r="A34" s="6"/>
      <c r="B34" s="6" t="s">
        <v>95</v>
      </c>
      <c r="C34" s="6" t="s">
        <v>96</v>
      </c>
      <c r="D34" s="8" t="s">
        <v>19</v>
      </c>
      <c r="E34" s="8" t="s">
        <v>20</v>
      </c>
      <c r="F34" s="6"/>
      <c r="G34" s="6"/>
      <c r="H34" s="6"/>
    </row>
    <row r="35" ht="15.75" customHeight="1">
      <c r="A35" s="6"/>
      <c r="B35" s="6" t="s">
        <v>98</v>
      </c>
      <c r="C35" s="6" t="s">
        <v>99</v>
      </c>
      <c r="D35" s="8" t="s">
        <v>19</v>
      </c>
      <c r="E35" s="8" t="s">
        <v>20</v>
      </c>
      <c r="F35" s="6"/>
      <c r="G35" s="6"/>
      <c r="H35" s="6"/>
    </row>
    <row r="36" ht="15.75" customHeight="1">
      <c r="A36" s="6"/>
      <c r="B36" s="6" t="s">
        <v>101</v>
      </c>
      <c r="C36" s="6" t="s">
        <v>102</v>
      </c>
      <c r="D36" s="8" t="s">
        <v>19</v>
      </c>
      <c r="E36" s="8" t="s">
        <v>20</v>
      </c>
      <c r="F36" s="6"/>
      <c r="G36" s="6"/>
      <c r="H36" s="6"/>
    </row>
    <row r="37" ht="15.75" customHeight="1">
      <c r="A37" s="6"/>
      <c r="B37" s="6" t="s">
        <v>105</v>
      </c>
      <c r="C37" s="6" t="s">
        <v>106</v>
      </c>
      <c r="D37" s="8" t="s">
        <v>19</v>
      </c>
      <c r="E37" s="8" t="s">
        <v>20</v>
      </c>
      <c r="F37" s="6"/>
      <c r="G37" s="6"/>
      <c r="H37" s="6"/>
    </row>
    <row r="38" ht="15.75" customHeight="1">
      <c r="A38" s="6"/>
      <c r="B38" s="6" t="s">
        <v>108</v>
      </c>
      <c r="C38" s="6" t="s">
        <v>110</v>
      </c>
      <c r="D38" s="8" t="s">
        <v>19</v>
      </c>
      <c r="E38" s="8" t="s">
        <v>20</v>
      </c>
      <c r="F38" s="6"/>
      <c r="G38" s="6"/>
      <c r="H38" s="6"/>
    </row>
    <row r="39" ht="15.75" customHeight="1">
      <c r="A39" s="6"/>
      <c r="B39" s="6" t="s">
        <v>111</v>
      </c>
      <c r="C39" s="6" t="s">
        <v>112</v>
      </c>
      <c r="D39" s="8" t="s">
        <v>19</v>
      </c>
      <c r="E39" s="8" t="s">
        <v>20</v>
      </c>
      <c r="F39" s="6"/>
      <c r="G39" s="6"/>
      <c r="H39" s="6"/>
    </row>
    <row r="40" ht="15.75" customHeight="1">
      <c r="A40" s="6"/>
      <c r="B40" s="6" t="s">
        <v>113</v>
      </c>
      <c r="C40" s="6" t="s">
        <v>114</v>
      </c>
      <c r="D40" s="8" t="s">
        <v>19</v>
      </c>
      <c r="E40" s="8" t="s">
        <v>78</v>
      </c>
      <c r="F40" s="6"/>
      <c r="G40" s="6"/>
      <c r="H40" s="6"/>
    </row>
    <row r="41" ht="15.75" customHeight="1">
      <c r="A41" s="6"/>
      <c r="B41" s="6" t="s">
        <v>116</v>
      </c>
      <c r="C41" s="6" t="s">
        <v>117</v>
      </c>
      <c r="D41" s="8" t="s">
        <v>19</v>
      </c>
      <c r="E41" s="8" t="s">
        <v>20</v>
      </c>
      <c r="F41" s="6"/>
      <c r="G41" s="6"/>
      <c r="H41" s="6"/>
    </row>
    <row r="42" ht="15.75" customHeight="1">
      <c r="A42" s="6"/>
      <c r="B42" s="6" t="s">
        <v>120</v>
      </c>
      <c r="C42" s="6" t="s">
        <v>121</v>
      </c>
      <c r="D42" s="8" t="s">
        <v>19</v>
      </c>
      <c r="E42" s="8" t="s">
        <v>20</v>
      </c>
      <c r="F42" s="6"/>
      <c r="G42" s="6"/>
      <c r="H42" s="6"/>
    </row>
    <row r="43" ht="15.75" customHeight="1">
      <c r="A43" s="6"/>
      <c r="B43" s="6" t="s">
        <v>123</v>
      </c>
      <c r="C43" s="6" t="s">
        <v>124</v>
      </c>
      <c r="D43" s="8" t="s">
        <v>19</v>
      </c>
      <c r="E43" s="8" t="s">
        <v>20</v>
      </c>
      <c r="F43" s="6"/>
      <c r="G43" s="6"/>
      <c r="H43" s="6"/>
    </row>
    <row r="44" ht="15.75" customHeight="1">
      <c r="A44" s="6"/>
      <c r="B44" s="6" t="s">
        <v>127</v>
      </c>
      <c r="C44" s="6" t="s">
        <v>128</v>
      </c>
      <c r="D44" s="8" t="s">
        <v>19</v>
      </c>
      <c r="E44" s="8" t="s">
        <v>20</v>
      </c>
      <c r="F44" s="6"/>
      <c r="G44" s="6"/>
      <c r="H44" s="6"/>
    </row>
    <row r="45" ht="15.75" customHeight="1">
      <c r="A45" s="6"/>
      <c r="B45" s="6" t="s">
        <v>129</v>
      </c>
      <c r="C45" s="6" t="s">
        <v>130</v>
      </c>
      <c r="D45" s="8" t="s">
        <v>19</v>
      </c>
      <c r="E45" s="8" t="s">
        <v>78</v>
      </c>
      <c r="F45" s="6"/>
      <c r="G45" s="6"/>
      <c r="H45" s="6"/>
    </row>
    <row r="46" ht="15.75" customHeight="1">
      <c r="A46" s="6"/>
      <c r="B46" s="6" t="s">
        <v>132</v>
      </c>
      <c r="C46" s="6" t="s">
        <v>133</v>
      </c>
      <c r="D46" s="8" t="s">
        <v>19</v>
      </c>
      <c r="E46" s="8" t="s">
        <v>20</v>
      </c>
      <c r="F46" s="6"/>
      <c r="G46" s="6"/>
      <c r="H46" s="6"/>
    </row>
    <row r="47" ht="15.75" customHeight="1">
      <c r="A47" s="6"/>
      <c r="B47" s="6" t="s">
        <v>135</v>
      </c>
      <c r="C47" s="6" t="s">
        <v>136</v>
      </c>
      <c r="D47" s="8" t="s">
        <v>19</v>
      </c>
      <c r="E47" s="8" t="s">
        <v>20</v>
      </c>
      <c r="F47" s="6"/>
      <c r="G47" s="6"/>
      <c r="H47" s="6"/>
    </row>
    <row r="48" ht="15.75" customHeight="1">
      <c r="A48" s="6"/>
      <c r="B48" s="6" t="s">
        <v>137</v>
      </c>
      <c r="C48" s="6" t="s">
        <v>138</v>
      </c>
      <c r="D48" s="8" t="s">
        <v>19</v>
      </c>
      <c r="E48" s="8" t="s">
        <v>20</v>
      </c>
      <c r="F48" s="6"/>
      <c r="G48" s="6"/>
      <c r="H48" s="6"/>
    </row>
    <row r="49" ht="15.75" customHeight="1">
      <c r="A49" s="6"/>
      <c r="B49" s="6" t="s">
        <v>139</v>
      </c>
      <c r="C49" s="6" t="s">
        <v>140</v>
      </c>
      <c r="D49" s="8" t="s">
        <v>19</v>
      </c>
      <c r="E49" s="8" t="s">
        <v>20</v>
      </c>
      <c r="F49" s="6"/>
      <c r="G49" s="6"/>
      <c r="H49" s="6"/>
    </row>
    <row r="50" ht="15.75" customHeight="1">
      <c r="A50" s="6"/>
      <c r="B50" s="6" t="s">
        <v>142</v>
      </c>
      <c r="C50" s="6" t="s">
        <v>144</v>
      </c>
      <c r="D50" s="8" t="s">
        <v>19</v>
      </c>
      <c r="E50" s="8" t="s">
        <v>20</v>
      </c>
      <c r="F50" s="6"/>
      <c r="G50" s="6"/>
      <c r="H50" s="6"/>
    </row>
    <row r="51" ht="15.75" customHeight="1">
      <c r="A51" s="6"/>
      <c r="B51" s="6" t="s">
        <v>146</v>
      </c>
      <c r="C51" s="6" t="s">
        <v>147</v>
      </c>
      <c r="D51" s="8" t="s">
        <v>19</v>
      </c>
      <c r="E51" s="8" t="s">
        <v>20</v>
      </c>
      <c r="F51" s="6"/>
      <c r="G51" s="6"/>
      <c r="H51" s="6"/>
    </row>
    <row r="52" ht="15.75" customHeight="1">
      <c r="A52" s="6"/>
      <c r="B52" s="6" t="s">
        <v>148</v>
      </c>
      <c r="C52" s="6" t="s">
        <v>149</v>
      </c>
      <c r="D52" s="8" t="s">
        <v>19</v>
      </c>
      <c r="E52" s="8" t="s">
        <v>20</v>
      </c>
      <c r="F52" s="6"/>
      <c r="G52" s="6"/>
      <c r="H52" s="6"/>
    </row>
    <row r="53" ht="15.75" customHeight="1">
      <c r="A53" s="6"/>
      <c r="B53" s="6" t="s">
        <v>150</v>
      </c>
      <c r="C53" s="6" t="s">
        <v>151</v>
      </c>
      <c r="D53" s="8" t="s">
        <v>19</v>
      </c>
      <c r="E53" s="8" t="s">
        <v>25</v>
      </c>
      <c r="F53" s="6"/>
      <c r="G53" s="6"/>
      <c r="H53" s="6"/>
    </row>
    <row r="54" ht="15.75" customHeight="1">
      <c r="A54" s="6"/>
      <c r="B54" s="6" t="s">
        <v>153</v>
      </c>
      <c r="C54" s="6" t="s">
        <v>154</v>
      </c>
      <c r="D54" s="8" t="s">
        <v>19</v>
      </c>
      <c r="E54" s="8" t="s">
        <v>20</v>
      </c>
      <c r="F54" s="6"/>
      <c r="G54" s="6"/>
      <c r="H54" s="6"/>
    </row>
    <row r="55" ht="15.75" customHeight="1">
      <c r="A55" s="6"/>
      <c r="B55" s="6" t="s">
        <v>156</v>
      </c>
      <c r="C55" s="6" t="s">
        <v>157</v>
      </c>
      <c r="D55" s="8" t="s">
        <v>19</v>
      </c>
      <c r="E55" s="8" t="s">
        <v>20</v>
      </c>
      <c r="F55" s="6"/>
      <c r="G55" s="6"/>
      <c r="H55" s="6"/>
    </row>
    <row r="56" ht="15.75" customHeight="1">
      <c r="A56" s="6"/>
      <c r="B56" s="6" t="s">
        <v>158</v>
      </c>
      <c r="C56" s="6" t="s">
        <v>159</v>
      </c>
      <c r="D56" s="8" t="s">
        <v>19</v>
      </c>
      <c r="E56" s="8" t="s">
        <v>161</v>
      </c>
      <c r="F56" s="6"/>
      <c r="G56" s="6"/>
      <c r="H56" s="6"/>
    </row>
    <row r="57" ht="15.75" customHeight="1">
      <c r="A57" s="6"/>
      <c r="B57" s="6" t="s">
        <v>162</v>
      </c>
      <c r="C57" s="6" t="s">
        <v>164</v>
      </c>
      <c r="D57" s="8" t="s">
        <v>19</v>
      </c>
      <c r="E57" s="8" t="s">
        <v>20</v>
      </c>
      <c r="F57" s="6"/>
      <c r="G57" s="6"/>
      <c r="H57" s="6"/>
    </row>
    <row r="58" ht="15.75" customHeight="1">
      <c r="A58" s="6"/>
      <c r="B58" s="6" t="s">
        <v>165</v>
      </c>
      <c r="C58" s="6" t="s">
        <v>166</v>
      </c>
      <c r="D58" s="8" t="s">
        <v>19</v>
      </c>
      <c r="E58" s="8" t="s">
        <v>20</v>
      </c>
      <c r="F58" s="6"/>
      <c r="G58" s="6"/>
      <c r="H58" s="6"/>
    </row>
    <row r="59" ht="15.75" customHeight="1">
      <c r="A59" s="6"/>
      <c r="B59" s="6" t="s">
        <v>167</v>
      </c>
      <c r="C59" s="6" t="s">
        <v>168</v>
      </c>
      <c r="D59" s="8" t="s">
        <v>19</v>
      </c>
      <c r="E59" s="8" t="s">
        <v>20</v>
      </c>
      <c r="F59" s="6"/>
      <c r="G59" s="6"/>
      <c r="H59" s="6"/>
    </row>
    <row r="60" ht="15.75" customHeight="1">
      <c r="A60" s="6"/>
      <c r="B60" s="6" t="s">
        <v>172</v>
      </c>
      <c r="C60" s="6" t="s">
        <v>174</v>
      </c>
      <c r="D60" s="8" t="s">
        <v>19</v>
      </c>
      <c r="E60" s="8" t="s">
        <v>78</v>
      </c>
      <c r="F60" s="6"/>
      <c r="G60" s="6"/>
      <c r="H60" s="6"/>
    </row>
    <row r="61" ht="15.75" customHeight="1">
      <c r="A61" s="6"/>
      <c r="B61" s="6" t="s">
        <v>178</v>
      </c>
      <c r="C61" s="6" t="s">
        <v>179</v>
      </c>
      <c r="D61" s="8" t="s">
        <v>19</v>
      </c>
      <c r="E61" s="8" t="s">
        <v>78</v>
      </c>
      <c r="F61" s="6"/>
      <c r="G61" s="6"/>
      <c r="H61" s="6"/>
    </row>
    <row r="62" ht="15.75" customHeight="1">
      <c r="A62" s="6"/>
      <c r="B62" s="6" t="s">
        <v>182</v>
      </c>
      <c r="C62" s="6" t="s">
        <v>183</v>
      </c>
      <c r="D62" s="8" t="s">
        <v>19</v>
      </c>
      <c r="E62" s="8" t="s">
        <v>78</v>
      </c>
      <c r="F62" s="6"/>
      <c r="G62" s="6"/>
      <c r="H62" s="6"/>
    </row>
    <row r="63" ht="15.75" customHeight="1">
      <c r="A63" s="6"/>
      <c r="B63" s="6" t="s">
        <v>184</v>
      </c>
      <c r="C63" s="6" t="s">
        <v>185</v>
      </c>
      <c r="D63" s="8" t="s">
        <v>19</v>
      </c>
      <c r="E63" s="8" t="s">
        <v>78</v>
      </c>
      <c r="F63" s="6"/>
      <c r="G63" s="6"/>
      <c r="H63" s="6"/>
    </row>
    <row r="64" ht="15.75" customHeight="1">
      <c r="A64" s="6"/>
      <c r="B64" s="6" t="s">
        <v>186</v>
      </c>
      <c r="C64" s="6" t="s">
        <v>187</v>
      </c>
      <c r="D64" s="8" t="s">
        <v>19</v>
      </c>
      <c r="E64" s="8" t="s">
        <v>20</v>
      </c>
      <c r="F64" s="6"/>
      <c r="G64" s="6"/>
      <c r="H64" s="6"/>
    </row>
    <row r="65" ht="15.75" customHeight="1">
      <c r="A65" s="6"/>
      <c r="B65" s="6" t="s">
        <v>189</v>
      </c>
      <c r="C65" s="6" t="s">
        <v>190</v>
      </c>
      <c r="D65" s="8" t="s">
        <v>19</v>
      </c>
      <c r="E65" s="8" t="s">
        <v>20</v>
      </c>
      <c r="F65" s="6"/>
      <c r="G65" s="6"/>
      <c r="H65" s="6"/>
    </row>
    <row r="66" ht="15.75" customHeight="1">
      <c r="A66" s="6"/>
      <c r="B66" s="6" t="s">
        <v>192</v>
      </c>
      <c r="C66" s="6" t="s">
        <v>193</v>
      </c>
      <c r="D66" s="8" t="s">
        <v>19</v>
      </c>
      <c r="E66" s="8" t="s">
        <v>161</v>
      </c>
      <c r="F66" s="6"/>
      <c r="G66" s="6"/>
      <c r="H66" s="6"/>
    </row>
    <row r="67" ht="15.75" customHeight="1">
      <c r="A67" s="6"/>
      <c r="B67" s="6" t="s">
        <v>195</v>
      </c>
      <c r="C67" s="6" t="s">
        <v>196</v>
      </c>
      <c r="D67" s="8" t="s">
        <v>19</v>
      </c>
      <c r="E67" s="8" t="s">
        <v>20</v>
      </c>
      <c r="F67" s="6"/>
      <c r="G67" s="6"/>
      <c r="H67" s="6"/>
    </row>
    <row r="68" ht="15.75" customHeight="1">
      <c r="A68" s="6"/>
      <c r="B68" s="6" t="s">
        <v>197</v>
      </c>
      <c r="C68" s="6" t="s">
        <v>198</v>
      </c>
      <c r="D68" s="8" t="s">
        <v>19</v>
      </c>
      <c r="E68" s="8" t="s">
        <v>78</v>
      </c>
      <c r="F68" s="6"/>
      <c r="G68" s="6"/>
      <c r="H68" s="6"/>
    </row>
    <row r="69" ht="15.75" customHeight="1">
      <c r="A69" s="6"/>
      <c r="B69" s="6" t="s">
        <v>199</v>
      </c>
      <c r="C69" s="6" t="s">
        <v>201</v>
      </c>
      <c r="D69" s="8" t="s">
        <v>19</v>
      </c>
      <c r="E69" s="8" t="s">
        <v>25</v>
      </c>
      <c r="F69" s="6"/>
      <c r="G69" s="6"/>
      <c r="H69" s="6"/>
    </row>
    <row r="70" ht="15.75" customHeight="1">
      <c r="A70" s="6"/>
      <c r="B70" s="6" t="s">
        <v>202</v>
      </c>
      <c r="C70" s="6" t="s">
        <v>205</v>
      </c>
      <c r="D70" s="8" t="s">
        <v>19</v>
      </c>
      <c r="E70" s="8" t="s">
        <v>20</v>
      </c>
      <c r="F70" s="6"/>
      <c r="G70" s="6"/>
      <c r="H70" s="6"/>
    </row>
    <row r="71" ht="15.75" customHeight="1">
      <c r="A71" s="6"/>
      <c r="B71" s="6" t="s">
        <v>206</v>
      </c>
      <c r="C71" s="6" t="s">
        <v>207</v>
      </c>
      <c r="D71" s="8" t="s">
        <v>19</v>
      </c>
      <c r="E71" s="8" t="s">
        <v>20</v>
      </c>
      <c r="F71" s="6"/>
      <c r="G71" s="6"/>
      <c r="H71" s="6"/>
    </row>
    <row r="72" ht="15.75" customHeight="1">
      <c r="A72" s="6"/>
      <c r="B72" s="6" t="s">
        <v>208</v>
      </c>
      <c r="C72" s="6" t="s">
        <v>209</v>
      </c>
      <c r="D72" s="8" t="s">
        <v>19</v>
      </c>
      <c r="E72" s="8" t="s">
        <v>25</v>
      </c>
      <c r="F72" s="6"/>
      <c r="G72" s="6"/>
      <c r="H72" s="6"/>
    </row>
    <row r="73" ht="15.75" customHeight="1">
      <c r="A73" s="6"/>
      <c r="B73" s="6" t="s">
        <v>211</v>
      </c>
      <c r="C73" s="6" t="s">
        <v>213</v>
      </c>
      <c r="D73" s="8" t="s">
        <v>19</v>
      </c>
      <c r="E73" s="8" t="s">
        <v>20</v>
      </c>
      <c r="F73" s="6"/>
      <c r="G73" s="6"/>
      <c r="H73" s="6"/>
    </row>
    <row r="74" ht="15.75" customHeight="1">
      <c r="A74" s="6"/>
      <c r="B74" s="6" t="s">
        <v>214</v>
      </c>
      <c r="C74" s="6" t="s">
        <v>215</v>
      </c>
      <c r="D74" s="8" t="s">
        <v>19</v>
      </c>
      <c r="E74" s="8" t="s">
        <v>20</v>
      </c>
      <c r="F74" s="6"/>
      <c r="G74" s="6"/>
      <c r="H74" s="6"/>
    </row>
    <row r="75" ht="15.75" customHeight="1">
      <c r="A75" s="6"/>
      <c r="B75" s="6" t="s">
        <v>216</v>
      </c>
      <c r="C75" s="6" t="s">
        <v>217</v>
      </c>
      <c r="D75" s="8" t="s">
        <v>19</v>
      </c>
      <c r="E75" s="8" t="s">
        <v>78</v>
      </c>
      <c r="F75" s="6"/>
      <c r="G75" s="6"/>
      <c r="H75" s="6"/>
    </row>
    <row r="76" ht="15.75" customHeight="1">
      <c r="A76" s="6"/>
      <c r="B76" s="6" t="s">
        <v>218</v>
      </c>
      <c r="C76" s="6" t="s">
        <v>220</v>
      </c>
      <c r="D76" s="8" t="s">
        <v>19</v>
      </c>
      <c r="E76" s="8" t="s">
        <v>20</v>
      </c>
      <c r="F76" s="6"/>
      <c r="G76" s="6"/>
      <c r="H76" s="6"/>
    </row>
    <row r="77" ht="15.75" customHeight="1">
      <c r="A77" s="6"/>
      <c r="B77" s="6" t="s">
        <v>221</v>
      </c>
      <c r="C77" s="6" t="s">
        <v>222</v>
      </c>
      <c r="D77" s="8" t="s">
        <v>19</v>
      </c>
      <c r="E77" s="8" t="s">
        <v>20</v>
      </c>
      <c r="F77" s="6"/>
      <c r="G77" s="6"/>
      <c r="H77" s="6"/>
    </row>
    <row r="78" ht="15.75" customHeight="1">
      <c r="A78" s="6"/>
      <c r="B78" s="6" t="s">
        <v>223</v>
      </c>
      <c r="C78" s="6" t="s">
        <v>224</v>
      </c>
      <c r="D78" s="8" t="s">
        <v>19</v>
      </c>
      <c r="E78" s="8" t="s">
        <v>20</v>
      </c>
      <c r="F78" s="6"/>
      <c r="G78" s="6"/>
      <c r="H78" s="6"/>
    </row>
    <row r="79" ht="15.75" customHeight="1">
      <c r="A79" s="6"/>
      <c r="B79" s="6" t="s">
        <v>227</v>
      </c>
      <c r="C79" s="6" t="s">
        <v>228</v>
      </c>
      <c r="D79" s="8" t="s">
        <v>19</v>
      </c>
      <c r="E79" s="8" t="s">
        <v>20</v>
      </c>
      <c r="F79" s="6"/>
      <c r="G79" s="6"/>
      <c r="H79" s="6"/>
    </row>
    <row r="80" ht="15.75" customHeight="1">
      <c r="A80" s="6"/>
      <c r="B80" s="6" t="s">
        <v>229</v>
      </c>
      <c r="C80" s="6" t="s">
        <v>230</v>
      </c>
      <c r="D80" s="8" t="s">
        <v>19</v>
      </c>
      <c r="E80" s="8" t="s">
        <v>20</v>
      </c>
      <c r="F80" s="6"/>
      <c r="G80" s="6"/>
      <c r="H80" s="6"/>
    </row>
    <row r="81" ht="15.75" customHeight="1">
      <c r="A81" s="6"/>
      <c r="B81" s="6" t="s">
        <v>231</v>
      </c>
      <c r="C81" s="6" t="s">
        <v>232</v>
      </c>
      <c r="D81" s="8" t="s">
        <v>19</v>
      </c>
      <c r="E81" s="8" t="s">
        <v>20</v>
      </c>
      <c r="F81" s="6"/>
      <c r="G81" s="6"/>
      <c r="H81" s="6"/>
    </row>
    <row r="82" ht="15.75" customHeight="1">
      <c r="A82" s="6"/>
      <c r="B82" s="6" t="s">
        <v>235</v>
      </c>
      <c r="C82" s="6" t="s">
        <v>236</v>
      </c>
      <c r="D82" s="8" t="s">
        <v>19</v>
      </c>
      <c r="E82" s="8" t="s">
        <v>20</v>
      </c>
      <c r="F82" s="6"/>
      <c r="G82" s="6"/>
      <c r="H82" s="6"/>
    </row>
    <row r="83" ht="15.75" customHeight="1">
      <c r="A83" s="6"/>
      <c r="B83" s="6" t="s">
        <v>238</v>
      </c>
      <c r="C83" s="6" t="s">
        <v>239</v>
      </c>
      <c r="D83" s="8" t="s">
        <v>19</v>
      </c>
      <c r="E83" s="8" t="s">
        <v>20</v>
      </c>
      <c r="F83" s="6"/>
      <c r="G83" s="6"/>
      <c r="H83" s="6"/>
    </row>
    <row r="84" ht="15.75" customHeight="1">
      <c r="A84" s="6"/>
      <c r="B84" s="6" t="s">
        <v>240</v>
      </c>
      <c r="C84" s="6" t="s">
        <v>241</v>
      </c>
      <c r="D84" s="8" t="s">
        <v>19</v>
      </c>
      <c r="E84" s="8" t="s">
        <v>20</v>
      </c>
      <c r="F84" s="6"/>
      <c r="G84" s="6"/>
      <c r="H84" s="6"/>
    </row>
    <row r="85" ht="15.75" customHeight="1">
      <c r="A85" s="6"/>
      <c r="B85" s="6" t="s">
        <v>242</v>
      </c>
      <c r="C85" s="6" t="s">
        <v>243</v>
      </c>
      <c r="D85" s="8" t="s">
        <v>19</v>
      </c>
      <c r="E85" s="8" t="s">
        <v>20</v>
      </c>
      <c r="F85" s="6"/>
      <c r="G85" s="6"/>
      <c r="H85" s="6"/>
    </row>
    <row r="86" ht="15.75" customHeight="1">
      <c r="A86" s="6"/>
      <c r="B86" s="6" t="s">
        <v>245</v>
      </c>
      <c r="C86" s="6" t="s">
        <v>246</v>
      </c>
      <c r="D86" s="8" t="s">
        <v>19</v>
      </c>
      <c r="E86" s="8" t="s">
        <v>20</v>
      </c>
      <c r="F86" s="6"/>
      <c r="G86" s="6"/>
      <c r="H86" s="6"/>
    </row>
    <row r="87" ht="15.75" customHeight="1">
      <c r="A87" s="6"/>
      <c r="B87" s="6" t="s">
        <v>250</v>
      </c>
      <c r="C87" s="6" t="s">
        <v>251</v>
      </c>
      <c r="D87" s="8" t="s">
        <v>19</v>
      </c>
      <c r="E87" s="8" t="s">
        <v>20</v>
      </c>
      <c r="F87" s="6"/>
      <c r="G87" s="6"/>
      <c r="H87" s="6"/>
    </row>
    <row r="88" ht="15.75" customHeight="1">
      <c r="A88" s="6"/>
      <c r="B88" s="6" t="s">
        <v>252</v>
      </c>
      <c r="C88" s="6" t="s">
        <v>253</v>
      </c>
      <c r="D88" s="8" t="s">
        <v>19</v>
      </c>
      <c r="E88" s="8" t="s">
        <v>20</v>
      </c>
      <c r="F88" s="6"/>
      <c r="G88" s="6"/>
      <c r="H88" s="6"/>
    </row>
    <row r="89" ht="15.75" customHeight="1">
      <c r="A89" s="6"/>
      <c r="B89" s="6" t="s">
        <v>254</v>
      </c>
      <c r="C89" s="6" t="s">
        <v>255</v>
      </c>
      <c r="D89" s="8" t="s">
        <v>19</v>
      </c>
      <c r="E89" s="8" t="s">
        <v>20</v>
      </c>
      <c r="F89" s="6"/>
      <c r="G89" s="6"/>
      <c r="H89" s="6"/>
    </row>
    <row r="90" ht="15.75" customHeight="1">
      <c r="A90" s="6"/>
      <c r="B90" s="6" t="s">
        <v>256</v>
      </c>
      <c r="C90" s="6" t="s">
        <v>257</v>
      </c>
      <c r="D90" s="8" t="s">
        <v>19</v>
      </c>
      <c r="E90" s="8" t="s">
        <v>20</v>
      </c>
      <c r="F90" s="6"/>
      <c r="G90" s="6"/>
      <c r="H90" s="6"/>
    </row>
    <row r="91" ht="15.75" customHeight="1">
      <c r="A91" s="6"/>
      <c r="B91" s="6" t="s">
        <v>258</v>
      </c>
      <c r="C91" s="6" t="s">
        <v>260</v>
      </c>
      <c r="D91" s="8" t="s">
        <v>19</v>
      </c>
      <c r="E91" s="8" t="s">
        <v>20</v>
      </c>
      <c r="F91" s="6"/>
      <c r="G91" s="6"/>
      <c r="H91" s="6"/>
    </row>
    <row r="92" ht="15.75" customHeight="1">
      <c r="A92" s="6"/>
      <c r="B92" s="6" t="s">
        <v>261</v>
      </c>
      <c r="C92" s="6" t="s">
        <v>262</v>
      </c>
      <c r="D92" s="8" t="s">
        <v>19</v>
      </c>
      <c r="E92" s="8" t="s">
        <v>20</v>
      </c>
      <c r="F92" s="6"/>
      <c r="G92" s="6"/>
      <c r="H92" s="6"/>
    </row>
    <row r="93" ht="15.75" customHeight="1">
      <c r="A93" s="6"/>
      <c r="B93" s="6" t="s">
        <v>263</v>
      </c>
      <c r="C93" s="6" t="s">
        <v>264</v>
      </c>
      <c r="D93" s="8" t="s">
        <v>19</v>
      </c>
      <c r="E93" s="8" t="s">
        <v>20</v>
      </c>
      <c r="F93" s="6"/>
      <c r="G93" s="6"/>
      <c r="H93" s="6"/>
    </row>
    <row r="94" ht="15.75" customHeight="1">
      <c r="A94" s="6"/>
      <c r="B94" s="6" t="s">
        <v>265</v>
      </c>
      <c r="C94" s="6" t="s">
        <v>266</v>
      </c>
      <c r="D94" s="8" t="s">
        <v>19</v>
      </c>
      <c r="E94" s="8" t="s">
        <v>25</v>
      </c>
      <c r="F94" s="6"/>
      <c r="G94" s="6"/>
      <c r="H94" s="6"/>
    </row>
    <row r="95" ht="15.75" customHeight="1">
      <c r="A95" s="6"/>
      <c r="B95" s="6" t="s">
        <v>267</v>
      </c>
      <c r="C95" s="6" t="s">
        <v>268</v>
      </c>
      <c r="D95" s="8" t="s">
        <v>19</v>
      </c>
      <c r="E95" s="8" t="s">
        <v>20</v>
      </c>
      <c r="F95" s="6"/>
      <c r="G95" s="6"/>
      <c r="H95" s="6"/>
    </row>
    <row r="96" ht="15.75" customHeight="1">
      <c r="A96" s="6"/>
      <c r="B96" s="6" t="s">
        <v>269</v>
      </c>
      <c r="C96" s="6" t="s">
        <v>270</v>
      </c>
      <c r="D96" s="8" t="s">
        <v>19</v>
      </c>
      <c r="E96" s="8" t="s">
        <v>20</v>
      </c>
      <c r="F96" s="6"/>
      <c r="G96" s="6"/>
      <c r="H96" s="6"/>
    </row>
    <row r="97" ht="15.75" customHeight="1">
      <c r="A97" s="6"/>
      <c r="B97" s="6" t="s">
        <v>271</v>
      </c>
      <c r="C97" s="6" t="s">
        <v>272</v>
      </c>
      <c r="D97" s="8" t="s">
        <v>19</v>
      </c>
      <c r="E97" s="8" t="s">
        <v>20</v>
      </c>
      <c r="F97" s="6"/>
      <c r="G97" s="6"/>
      <c r="H97" s="6"/>
    </row>
    <row r="98" ht="15.75" customHeight="1">
      <c r="A98" s="6"/>
      <c r="B98" s="6" t="s">
        <v>273</v>
      </c>
      <c r="C98" s="6" t="s">
        <v>274</v>
      </c>
      <c r="D98" s="8" t="s">
        <v>19</v>
      </c>
      <c r="E98" s="8" t="s">
        <v>20</v>
      </c>
      <c r="F98" s="6"/>
      <c r="G98" s="6"/>
      <c r="H98" s="6"/>
    </row>
    <row r="99" ht="15.75" customHeight="1">
      <c r="A99" s="6"/>
      <c r="B99" s="6" t="s">
        <v>275</v>
      </c>
      <c r="C99" s="6" t="s">
        <v>276</v>
      </c>
      <c r="D99" s="8" t="s">
        <v>19</v>
      </c>
      <c r="E99" s="8" t="s">
        <v>78</v>
      </c>
      <c r="F99" s="6"/>
      <c r="G99" s="6"/>
      <c r="H99" s="6"/>
    </row>
    <row r="100" ht="15.75" customHeight="1">
      <c r="A100" s="6"/>
      <c r="B100" s="6" t="s">
        <v>278</v>
      </c>
      <c r="C100" s="6" t="s">
        <v>280</v>
      </c>
      <c r="D100" s="8" t="s">
        <v>19</v>
      </c>
      <c r="E100" s="8" t="s">
        <v>25</v>
      </c>
      <c r="F100" s="6"/>
      <c r="G100" s="6"/>
      <c r="H100" s="6"/>
    </row>
    <row r="101" ht="15.75" customHeight="1">
      <c r="A101" s="6"/>
      <c r="B101" s="6" t="s">
        <v>282</v>
      </c>
      <c r="C101" s="6" t="s">
        <v>283</v>
      </c>
      <c r="D101" s="8" t="s">
        <v>19</v>
      </c>
      <c r="E101" s="8" t="s">
        <v>25</v>
      </c>
      <c r="F101" s="6"/>
      <c r="G101" s="6"/>
      <c r="H101" s="6"/>
    </row>
    <row r="102" ht="15.75" customHeight="1">
      <c r="A102" s="6"/>
      <c r="B102" s="6" t="s">
        <v>284</v>
      </c>
      <c r="C102" s="6" t="s">
        <v>285</v>
      </c>
      <c r="D102" s="8" t="s">
        <v>19</v>
      </c>
      <c r="E102" s="8" t="s">
        <v>25</v>
      </c>
      <c r="F102" s="6"/>
      <c r="G102" s="6"/>
      <c r="H102" s="6"/>
    </row>
    <row r="103" ht="15.75" customHeight="1">
      <c r="A103" s="6"/>
      <c r="B103" s="6" t="s">
        <v>286</v>
      </c>
      <c r="C103" s="6" t="s">
        <v>287</v>
      </c>
      <c r="D103" s="8" t="s">
        <v>19</v>
      </c>
      <c r="E103" s="8" t="s">
        <v>25</v>
      </c>
      <c r="F103" s="6"/>
      <c r="G103" s="6"/>
      <c r="H103" s="6"/>
    </row>
    <row r="104" ht="15.75" customHeight="1">
      <c r="A104" s="6"/>
      <c r="B104" s="6" t="s">
        <v>288</v>
      </c>
      <c r="C104" s="6" t="s">
        <v>289</v>
      </c>
      <c r="D104" s="8" t="s">
        <v>19</v>
      </c>
      <c r="E104" s="8" t="s">
        <v>25</v>
      </c>
      <c r="F104" s="6"/>
      <c r="G104" s="6"/>
      <c r="H104" s="6"/>
    </row>
    <row r="105" ht="15.75" customHeight="1">
      <c r="A105" s="6"/>
      <c r="B105" s="6" t="s">
        <v>292</v>
      </c>
      <c r="C105" s="6" t="s">
        <v>293</v>
      </c>
      <c r="D105" s="8" t="s">
        <v>19</v>
      </c>
      <c r="E105" s="8" t="s">
        <v>25</v>
      </c>
      <c r="F105" s="6"/>
      <c r="G105" s="6"/>
      <c r="H105" s="6"/>
    </row>
    <row r="106" ht="15.75" customHeight="1">
      <c r="A106" s="6"/>
      <c r="B106" s="6" t="s">
        <v>294</v>
      </c>
      <c r="C106" s="6" t="s">
        <v>295</v>
      </c>
      <c r="D106" s="8" t="s">
        <v>19</v>
      </c>
      <c r="E106" s="8" t="s">
        <v>25</v>
      </c>
      <c r="F106" s="6"/>
      <c r="G106" s="6"/>
      <c r="H106" s="6"/>
    </row>
    <row r="107" ht="15.75" customHeight="1">
      <c r="A107" s="6"/>
      <c r="B107" s="6" t="s">
        <v>296</v>
      </c>
      <c r="C107" s="6" t="s">
        <v>297</v>
      </c>
      <c r="D107" s="8" t="s">
        <v>19</v>
      </c>
      <c r="E107" s="8" t="s">
        <v>20</v>
      </c>
      <c r="F107" s="6"/>
      <c r="G107" s="6"/>
      <c r="H107" s="6"/>
    </row>
    <row r="108" ht="15.75" customHeight="1">
      <c r="A108" s="6"/>
      <c r="B108" s="6" t="s">
        <v>298</v>
      </c>
      <c r="C108" s="6" t="s">
        <v>299</v>
      </c>
      <c r="D108" s="8" t="s">
        <v>19</v>
      </c>
      <c r="E108" s="8" t="s">
        <v>20</v>
      </c>
      <c r="F108" s="6"/>
      <c r="G108" s="6"/>
      <c r="H108" s="6"/>
    </row>
    <row r="109" ht="15.75" customHeight="1">
      <c r="A109" s="6"/>
      <c r="B109" s="6" t="s">
        <v>300</v>
      </c>
      <c r="C109" s="6" t="s">
        <v>302</v>
      </c>
      <c r="D109" s="8" t="s">
        <v>19</v>
      </c>
      <c r="E109" s="8" t="s">
        <v>20</v>
      </c>
      <c r="F109" s="6"/>
      <c r="G109" s="6"/>
      <c r="H109" s="6"/>
    </row>
    <row r="110" ht="15.75" customHeight="1">
      <c r="A110" s="6"/>
      <c r="B110" s="6" t="s">
        <v>306</v>
      </c>
      <c r="C110" s="6" t="s">
        <v>307</v>
      </c>
      <c r="D110" s="8" t="s">
        <v>19</v>
      </c>
      <c r="E110" s="8" t="s">
        <v>25</v>
      </c>
      <c r="F110" s="6"/>
      <c r="G110" s="6"/>
      <c r="H110" s="6"/>
    </row>
    <row r="111" ht="15.75" customHeight="1">
      <c r="A111" s="6"/>
      <c r="B111" s="6" t="s">
        <v>308</v>
      </c>
      <c r="C111" s="6" t="s">
        <v>309</v>
      </c>
      <c r="D111" s="8" t="s">
        <v>19</v>
      </c>
      <c r="E111" s="8" t="s">
        <v>20</v>
      </c>
      <c r="F111" s="6"/>
      <c r="G111" s="6"/>
      <c r="H111" s="6"/>
    </row>
    <row r="112" ht="15.75" customHeight="1">
      <c r="A112" s="6"/>
      <c r="B112" s="6" t="s">
        <v>310</v>
      </c>
      <c r="C112" s="6" t="s">
        <v>311</v>
      </c>
      <c r="D112" s="8" t="s">
        <v>19</v>
      </c>
      <c r="E112" s="8" t="s">
        <v>20</v>
      </c>
      <c r="F112" s="6"/>
      <c r="G112" s="6"/>
      <c r="H112" s="6"/>
    </row>
    <row r="113" ht="15.75" customHeight="1">
      <c r="A113" s="6"/>
      <c r="B113" s="6" t="s">
        <v>312</v>
      </c>
      <c r="C113" s="6" t="s">
        <v>313</v>
      </c>
      <c r="D113" s="8" t="s">
        <v>19</v>
      </c>
      <c r="E113" s="8" t="s">
        <v>25</v>
      </c>
      <c r="F113" s="6"/>
      <c r="G113" s="6"/>
      <c r="H113" s="6"/>
    </row>
    <row r="114" ht="15.75" customHeight="1">
      <c r="A114" s="6"/>
      <c r="B114" s="6" t="s">
        <v>314</v>
      </c>
      <c r="C114" s="6" t="s">
        <v>315</v>
      </c>
      <c r="D114" s="8" t="s">
        <v>316</v>
      </c>
      <c r="E114" s="8" t="s">
        <v>318</v>
      </c>
      <c r="F114" s="6"/>
      <c r="G114" s="6"/>
      <c r="H114" s="6"/>
    </row>
    <row r="115" ht="15.75" customHeight="1">
      <c r="A115" s="6"/>
      <c r="B115" s="6" t="s">
        <v>319</v>
      </c>
      <c r="C115" s="6" t="s">
        <v>320</v>
      </c>
      <c r="D115" s="8" t="s">
        <v>316</v>
      </c>
      <c r="E115" s="8" t="s">
        <v>318</v>
      </c>
      <c r="F115" s="6"/>
      <c r="G115" s="6"/>
      <c r="H115" s="6"/>
    </row>
    <row r="116" ht="15.75" customHeight="1">
      <c r="A116" s="6"/>
      <c r="B116" s="6" t="s">
        <v>321</v>
      </c>
      <c r="C116" s="6" t="s">
        <v>322</v>
      </c>
      <c r="D116" s="8" t="s">
        <v>316</v>
      </c>
      <c r="E116" s="8" t="s">
        <v>318</v>
      </c>
      <c r="F116" s="6"/>
      <c r="G116" s="6"/>
      <c r="H116" s="6"/>
    </row>
    <row r="117" ht="15.75" customHeight="1">
      <c r="A117" s="6"/>
      <c r="B117" s="6" t="s">
        <v>323</v>
      </c>
      <c r="C117" s="6" t="s">
        <v>324</v>
      </c>
      <c r="D117" s="8" t="s">
        <v>316</v>
      </c>
      <c r="E117" s="8" t="s">
        <v>318</v>
      </c>
      <c r="F117" s="6"/>
      <c r="G117" s="6"/>
      <c r="H117" s="6"/>
    </row>
    <row r="118" ht="15.75" customHeight="1">
      <c r="A118" s="6"/>
      <c r="B118" s="6" t="s">
        <v>325</v>
      </c>
      <c r="C118" s="6" t="s">
        <v>326</v>
      </c>
      <c r="D118" s="8" t="s">
        <v>316</v>
      </c>
      <c r="E118" s="8" t="s">
        <v>318</v>
      </c>
      <c r="F118" s="6"/>
      <c r="G118" s="6"/>
      <c r="H118" s="6"/>
    </row>
    <row r="119" ht="15.75" customHeight="1">
      <c r="A119" s="6"/>
      <c r="B119" s="6" t="s">
        <v>327</v>
      </c>
      <c r="C119" s="6" t="s">
        <v>329</v>
      </c>
      <c r="D119" s="8" t="s">
        <v>316</v>
      </c>
      <c r="E119" s="8" t="s">
        <v>318</v>
      </c>
      <c r="F119" s="6"/>
      <c r="G119" s="6"/>
      <c r="H119" s="6"/>
    </row>
    <row r="120" ht="15.75" customHeight="1">
      <c r="A120" s="6"/>
      <c r="B120" s="6" t="s">
        <v>330</v>
      </c>
      <c r="C120" s="6" t="s">
        <v>331</v>
      </c>
      <c r="D120" s="8" t="s">
        <v>316</v>
      </c>
      <c r="E120" s="8" t="s">
        <v>318</v>
      </c>
      <c r="F120" s="6"/>
      <c r="G120" s="6"/>
      <c r="H120" s="6"/>
    </row>
    <row r="121" ht="15.75" customHeight="1">
      <c r="A121" s="6"/>
      <c r="B121" s="6" t="s">
        <v>332</v>
      </c>
      <c r="C121" s="6" t="s">
        <v>333</v>
      </c>
      <c r="D121" s="8" t="s">
        <v>316</v>
      </c>
      <c r="E121" s="8" t="s">
        <v>318</v>
      </c>
      <c r="F121" s="6"/>
      <c r="G121" s="6"/>
      <c r="H121" s="6"/>
    </row>
    <row r="122" ht="15.75" customHeight="1">
      <c r="A122" s="6"/>
      <c r="B122" s="6" t="s">
        <v>334</v>
      </c>
      <c r="C122" s="6" t="s">
        <v>335</v>
      </c>
      <c r="D122" s="8" t="s">
        <v>316</v>
      </c>
      <c r="E122" s="8" t="s">
        <v>318</v>
      </c>
      <c r="F122" s="6"/>
      <c r="G122" s="6"/>
      <c r="H122" s="6"/>
    </row>
    <row r="123" ht="15.75" customHeight="1">
      <c r="A123" s="6"/>
      <c r="B123" s="6" t="s">
        <v>336</v>
      </c>
      <c r="C123" s="6" t="s">
        <v>337</v>
      </c>
      <c r="D123" s="8" t="s">
        <v>316</v>
      </c>
      <c r="E123" s="8" t="s">
        <v>318</v>
      </c>
      <c r="F123" s="6"/>
      <c r="G123" s="6"/>
      <c r="H123" s="6"/>
    </row>
    <row r="124" ht="15.75" customHeight="1">
      <c r="A124" s="6"/>
      <c r="B124" s="6" t="s">
        <v>339</v>
      </c>
      <c r="C124" s="6" t="s">
        <v>340</v>
      </c>
      <c r="D124" s="8" t="s">
        <v>316</v>
      </c>
      <c r="E124" s="8" t="s">
        <v>318</v>
      </c>
      <c r="F124" s="6"/>
      <c r="G124" s="6"/>
      <c r="H124" s="6"/>
    </row>
    <row r="125" ht="15.75" customHeight="1">
      <c r="A125" s="6"/>
      <c r="B125" s="6" t="s">
        <v>342</v>
      </c>
      <c r="C125" s="6" t="s">
        <v>343</v>
      </c>
      <c r="D125" s="8" t="s">
        <v>316</v>
      </c>
      <c r="E125" s="8" t="s">
        <v>318</v>
      </c>
      <c r="F125" s="6"/>
      <c r="G125" s="6"/>
      <c r="H125" s="6"/>
    </row>
    <row r="126" ht="15.75" customHeight="1">
      <c r="A126" s="6"/>
      <c r="B126" s="6" t="s">
        <v>344</v>
      </c>
      <c r="C126" s="6" t="s">
        <v>345</v>
      </c>
      <c r="D126" s="8" t="s">
        <v>316</v>
      </c>
      <c r="E126" s="8" t="s">
        <v>318</v>
      </c>
      <c r="F126" s="6"/>
      <c r="G126" s="6"/>
      <c r="H126" s="6"/>
    </row>
    <row r="127" ht="15.75" customHeight="1">
      <c r="A127" s="6"/>
      <c r="B127" s="6" t="s">
        <v>347</v>
      </c>
      <c r="C127" s="6" t="s">
        <v>348</v>
      </c>
      <c r="D127" s="8" t="s">
        <v>316</v>
      </c>
      <c r="E127" s="8" t="s">
        <v>318</v>
      </c>
      <c r="F127" s="6"/>
      <c r="G127" s="6"/>
      <c r="H127" s="6"/>
    </row>
    <row r="128" ht="15.75" customHeight="1">
      <c r="A128" s="6"/>
      <c r="B128" s="6" t="s">
        <v>349</v>
      </c>
      <c r="C128" s="6" t="s">
        <v>350</v>
      </c>
      <c r="D128" s="8" t="s">
        <v>316</v>
      </c>
      <c r="E128" s="8" t="s">
        <v>25</v>
      </c>
      <c r="F128" s="6"/>
      <c r="G128" s="6"/>
      <c r="H128" s="6"/>
    </row>
    <row r="129" ht="15.75" customHeight="1">
      <c r="A129" s="6"/>
      <c r="B129" s="6" t="s">
        <v>351</v>
      </c>
      <c r="C129" s="6" t="s">
        <v>352</v>
      </c>
      <c r="D129" s="8" t="s">
        <v>316</v>
      </c>
      <c r="E129" s="8" t="s">
        <v>318</v>
      </c>
      <c r="F129" s="6"/>
      <c r="G129" s="6"/>
      <c r="H129" s="6"/>
    </row>
    <row r="130" ht="15.75" customHeight="1">
      <c r="A130" s="6"/>
      <c r="B130" s="6" t="s">
        <v>353</v>
      </c>
      <c r="C130" s="6" t="s">
        <v>354</v>
      </c>
      <c r="D130" s="8" t="s">
        <v>316</v>
      </c>
      <c r="E130" s="8" t="s">
        <v>318</v>
      </c>
      <c r="F130" s="6"/>
      <c r="G130" s="6"/>
      <c r="H130" s="6"/>
    </row>
    <row r="131" ht="15.75" customHeight="1">
      <c r="A131" s="6"/>
      <c r="B131" s="6" t="s">
        <v>355</v>
      </c>
      <c r="C131" s="6" t="s">
        <v>356</v>
      </c>
      <c r="D131" s="8" t="s">
        <v>316</v>
      </c>
      <c r="E131" s="8" t="s">
        <v>318</v>
      </c>
      <c r="F131" s="6"/>
      <c r="G131" s="6"/>
      <c r="H131" s="6"/>
    </row>
    <row r="132" ht="15.75" customHeight="1">
      <c r="A132" s="6"/>
      <c r="B132" s="6" t="s">
        <v>358</v>
      </c>
      <c r="C132" s="6" t="s">
        <v>359</v>
      </c>
      <c r="D132" s="8" t="s">
        <v>316</v>
      </c>
      <c r="E132" s="8" t="s">
        <v>318</v>
      </c>
      <c r="F132" s="6"/>
      <c r="G132" s="6"/>
      <c r="H132" s="6"/>
    </row>
    <row r="133" ht="15.75" customHeight="1">
      <c r="A133" s="6"/>
      <c r="B133" s="6" t="s">
        <v>360</v>
      </c>
      <c r="C133" s="6" t="s">
        <v>361</v>
      </c>
      <c r="D133" s="8" t="s">
        <v>316</v>
      </c>
      <c r="E133" s="8" t="s">
        <v>318</v>
      </c>
      <c r="F133" s="6"/>
      <c r="G133" s="6"/>
      <c r="H133" s="6"/>
    </row>
    <row r="134" ht="15.75" customHeight="1">
      <c r="A134" s="6"/>
      <c r="B134" s="6" t="s">
        <v>362</v>
      </c>
      <c r="C134" s="6" t="s">
        <v>363</v>
      </c>
      <c r="D134" s="8" t="s">
        <v>316</v>
      </c>
      <c r="E134" s="8" t="s">
        <v>318</v>
      </c>
      <c r="F134" s="6"/>
      <c r="G134" s="6"/>
      <c r="H134" s="6"/>
    </row>
    <row r="135" ht="15.75" customHeight="1">
      <c r="A135" s="6"/>
      <c r="B135" s="6" t="s">
        <v>364</v>
      </c>
      <c r="C135" s="6" t="s">
        <v>365</v>
      </c>
      <c r="D135" s="8" t="s">
        <v>316</v>
      </c>
      <c r="E135" s="8" t="s">
        <v>318</v>
      </c>
      <c r="F135" s="6"/>
      <c r="G135" s="6"/>
      <c r="H135" s="6"/>
    </row>
    <row r="136" ht="15.75" customHeight="1">
      <c r="A136" s="6"/>
      <c r="B136" s="6" t="s">
        <v>367</v>
      </c>
      <c r="C136" s="6" t="s">
        <v>368</v>
      </c>
      <c r="D136" s="8" t="s">
        <v>316</v>
      </c>
      <c r="E136" s="8" t="s">
        <v>318</v>
      </c>
      <c r="F136" s="6"/>
      <c r="G136" s="6"/>
      <c r="H136" s="6"/>
    </row>
    <row r="137" ht="15.75" customHeight="1">
      <c r="A137" s="6"/>
      <c r="B137" s="6" t="s">
        <v>369</v>
      </c>
      <c r="C137" s="6" t="s">
        <v>370</v>
      </c>
      <c r="D137" s="8" t="s">
        <v>316</v>
      </c>
      <c r="E137" s="8" t="s">
        <v>25</v>
      </c>
      <c r="F137" s="6"/>
      <c r="G137" s="6"/>
      <c r="H137" s="6"/>
    </row>
    <row r="138" ht="15.75" customHeight="1">
      <c r="A138" s="6"/>
      <c r="B138" s="6" t="s">
        <v>371</v>
      </c>
      <c r="C138" s="6" t="s">
        <v>372</v>
      </c>
      <c r="D138" s="8" t="s">
        <v>316</v>
      </c>
      <c r="E138" s="8" t="s">
        <v>318</v>
      </c>
      <c r="F138" s="6"/>
      <c r="G138" s="6"/>
      <c r="H138" s="6"/>
    </row>
    <row r="139" ht="15.75" customHeight="1">
      <c r="A139" s="6"/>
      <c r="B139" s="6" t="s">
        <v>373</v>
      </c>
      <c r="C139" s="6" t="s">
        <v>374</v>
      </c>
      <c r="D139" s="8" t="s">
        <v>316</v>
      </c>
      <c r="E139" s="8" t="s">
        <v>318</v>
      </c>
      <c r="F139" s="6"/>
      <c r="G139" s="6"/>
      <c r="H139" s="6"/>
    </row>
    <row r="140" ht="15.75" customHeight="1">
      <c r="A140" s="6"/>
      <c r="B140" s="6" t="s">
        <v>377</v>
      </c>
      <c r="C140" s="6" t="s">
        <v>378</v>
      </c>
      <c r="D140" s="8" t="s">
        <v>316</v>
      </c>
      <c r="E140" s="8" t="s">
        <v>318</v>
      </c>
      <c r="F140" s="6"/>
      <c r="G140" s="6"/>
      <c r="H140" s="6"/>
    </row>
    <row r="141" ht="15.75" customHeight="1">
      <c r="A141" s="6"/>
      <c r="B141" s="6" t="s">
        <v>380</v>
      </c>
      <c r="C141" s="6" t="s">
        <v>382</v>
      </c>
      <c r="D141" s="8" t="s">
        <v>316</v>
      </c>
      <c r="E141" s="8" t="s">
        <v>318</v>
      </c>
      <c r="F141" s="6"/>
      <c r="G141" s="6"/>
      <c r="H141" s="6"/>
    </row>
    <row r="142" ht="15.75" customHeight="1">
      <c r="A142" s="6"/>
      <c r="B142" s="6" t="s">
        <v>383</v>
      </c>
      <c r="C142" s="6" t="s">
        <v>384</v>
      </c>
      <c r="D142" s="8" t="s">
        <v>316</v>
      </c>
      <c r="E142" s="8" t="s">
        <v>318</v>
      </c>
      <c r="F142" s="6"/>
      <c r="G142" s="6"/>
      <c r="H142" s="6"/>
    </row>
    <row r="143" ht="15.75" customHeight="1">
      <c r="A143" s="6"/>
      <c r="B143" s="6" t="s">
        <v>385</v>
      </c>
      <c r="C143" s="6" t="s">
        <v>386</v>
      </c>
      <c r="D143" s="8" t="s">
        <v>316</v>
      </c>
      <c r="E143" s="8" t="s">
        <v>318</v>
      </c>
      <c r="F143" s="6"/>
      <c r="G143" s="6"/>
      <c r="H143" s="6"/>
    </row>
    <row r="144" ht="15.75" customHeight="1">
      <c r="A144" s="6"/>
      <c r="B144" s="6" t="s">
        <v>387</v>
      </c>
      <c r="C144" s="6" t="s">
        <v>388</v>
      </c>
      <c r="D144" s="8" t="s">
        <v>316</v>
      </c>
      <c r="E144" s="8" t="s">
        <v>318</v>
      </c>
      <c r="F144" s="6"/>
      <c r="G144" s="6"/>
      <c r="H144" s="6"/>
    </row>
    <row r="145" ht="15.75" customHeight="1">
      <c r="A145" s="6"/>
      <c r="B145" s="6" t="s">
        <v>389</v>
      </c>
      <c r="C145" s="6" t="s">
        <v>390</v>
      </c>
      <c r="D145" s="8" t="s">
        <v>316</v>
      </c>
      <c r="E145" s="8" t="s">
        <v>318</v>
      </c>
      <c r="F145" s="6"/>
      <c r="G145" s="6"/>
      <c r="H145" s="6"/>
    </row>
    <row r="146" ht="15.75" customHeight="1">
      <c r="A146" s="6"/>
      <c r="B146" s="6" t="s">
        <v>391</v>
      </c>
      <c r="C146" s="6" t="s">
        <v>392</v>
      </c>
      <c r="D146" s="8" t="s">
        <v>316</v>
      </c>
      <c r="E146" s="8" t="s">
        <v>318</v>
      </c>
      <c r="F146" s="6"/>
      <c r="G146" s="6"/>
      <c r="H146" s="6"/>
    </row>
    <row r="147" ht="15.75" customHeight="1">
      <c r="A147" s="6"/>
      <c r="B147" s="6" t="s">
        <v>393</v>
      </c>
      <c r="C147" s="6" t="s">
        <v>394</v>
      </c>
      <c r="D147" s="8" t="s">
        <v>316</v>
      </c>
      <c r="E147" s="8" t="s">
        <v>318</v>
      </c>
      <c r="F147" s="6"/>
      <c r="G147" s="6"/>
      <c r="H147" s="6"/>
    </row>
    <row r="148" ht="15.75" customHeight="1">
      <c r="A148" s="6"/>
      <c r="B148" s="6" t="s">
        <v>395</v>
      </c>
      <c r="C148" s="6" t="s">
        <v>396</v>
      </c>
      <c r="D148" s="8" t="s">
        <v>316</v>
      </c>
      <c r="E148" s="8" t="s">
        <v>318</v>
      </c>
      <c r="F148" s="6"/>
      <c r="G148" s="6"/>
      <c r="H148" s="6"/>
    </row>
    <row r="149" ht="15.75" customHeight="1">
      <c r="A149" s="6"/>
      <c r="B149" s="6" t="s">
        <v>398</v>
      </c>
      <c r="C149" s="6" t="s">
        <v>399</v>
      </c>
      <c r="D149" s="8" t="s">
        <v>316</v>
      </c>
      <c r="E149" s="8" t="s">
        <v>318</v>
      </c>
      <c r="F149" s="6"/>
      <c r="G149" s="6"/>
      <c r="H149" s="6"/>
    </row>
    <row r="150" ht="15.75" customHeight="1">
      <c r="A150" s="6"/>
      <c r="B150" s="6" t="s">
        <v>400</v>
      </c>
      <c r="C150" s="6" t="s">
        <v>401</v>
      </c>
      <c r="D150" s="8" t="s">
        <v>316</v>
      </c>
      <c r="E150" s="8" t="s">
        <v>318</v>
      </c>
      <c r="F150" s="6"/>
      <c r="G150" s="6"/>
      <c r="H150" s="6"/>
    </row>
    <row r="151" ht="15.75" customHeight="1">
      <c r="A151" s="6"/>
      <c r="B151" s="6" t="s">
        <v>402</v>
      </c>
      <c r="C151" s="6" t="s">
        <v>403</v>
      </c>
      <c r="D151" s="8" t="s">
        <v>316</v>
      </c>
      <c r="E151" s="8" t="s">
        <v>318</v>
      </c>
      <c r="F151" s="6"/>
      <c r="G151" s="6"/>
      <c r="H151" s="6"/>
    </row>
    <row r="152" ht="15.75" customHeight="1">
      <c r="A152" s="6"/>
      <c r="B152" s="6" t="s">
        <v>404</v>
      </c>
      <c r="C152" s="6" t="s">
        <v>405</v>
      </c>
      <c r="D152" s="8" t="s">
        <v>316</v>
      </c>
      <c r="E152" s="8" t="s">
        <v>318</v>
      </c>
      <c r="F152" s="6"/>
      <c r="G152" s="6"/>
      <c r="H152" s="6"/>
    </row>
    <row r="153" ht="15.75" customHeight="1">
      <c r="A153" s="6"/>
      <c r="B153" s="6" t="s">
        <v>406</v>
      </c>
      <c r="C153" s="6" t="s">
        <v>407</v>
      </c>
      <c r="D153" s="8" t="s">
        <v>316</v>
      </c>
      <c r="E153" s="8" t="s">
        <v>318</v>
      </c>
      <c r="F153" s="6"/>
      <c r="G153" s="6"/>
      <c r="H153" s="6"/>
    </row>
    <row r="154" ht="15.75" customHeight="1">
      <c r="A154" s="6"/>
      <c r="B154" s="6" t="s">
        <v>408</v>
      </c>
      <c r="C154" s="6" t="s">
        <v>409</v>
      </c>
      <c r="D154" s="8" t="s">
        <v>316</v>
      </c>
      <c r="E154" s="8" t="s">
        <v>318</v>
      </c>
      <c r="F154" s="6"/>
      <c r="G154" s="6"/>
      <c r="H154" s="6"/>
    </row>
    <row r="155" ht="15.75" customHeight="1">
      <c r="A155" s="6"/>
      <c r="B155" s="6" t="s">
        <v>410</v>
      </c>
      <c r="C155" s="6" t="s">
        <v>411</v>
      </c>
      <c r="D155" s="8" t="s">
        <v>316</v>
      </c>
      <c r="E155" s="8" t="s">
        <v>318</v>
      </c>
      <c r="F155" s="6"/>
      <c r="G155" s="6"/>
      <c r="H155" s="6"/>
    </row>
    <row r="156" ht="15.75" customHeight="1">
      <c r="A156" s="6"/>
      <c r="B156" s="6" t="s">
        <v>412</v>
      </c>
      <c r="C156" s="6" t="s">
        <v>413</v>
      </c>
      <c r="D156" s="8" t="s">
        <v>316</v>
      </c>
      <c r="E156" s="8" t="s">
        <v>318</v>
      </c>
      <c r="F156" s="6"/>
      <c r="G156" s="6"/>
      <c r="H156" s="6"/>
    </row>
    <row r="157" ht="15.75" customHeight="1">
      <c r="A157" s="6"/>
      <c r="B157" s="6" t="s">
        <v>414</v>
      </c>
      <c r="C157" s="6" t="s">
        <v>415</v>
      </c>
      <c r="D157" s="8" t="s">
        <v>316</v>
      </c>
      <c r="E157" s="8" t="s">
        <v>318</v>
      </c>
      <c r="F157" s="6"/>
      <c r="G157" s="6"/>
      <c r="H157" s="6"/>
    </row>
    <row r="158" ht="15.75" customHeight="1">
      <c r="A158" s="6"/>
      <c r="B158" s="6" t="s">
        <v>416</v>
      </c>
      <c r="C158" s="6" t="s">
        <v>417</v>
      </c>
      <c r="D158" s="8" t="s">
        <v>316</v>
      </c>
      <c r="E158" s="8" t="s">
        <v>318</v>
      </c>
      <c r="F158" s="6"/>
      <c r="G158" s="6"/>
      <c r="H158" s="6"/>
    </row>
    <row r="159" ht="15.75" customHeight="1">
      <c r="A159" s="6"/>
      <c r="B159" s="6" t="s">
        <v>418</v>
      </c>
      <c r="C159" s="6" t="s">
        <v>419</v>
      </c>
      <c r="D159" s="8" t="s">
        <v>316</v>
      </c>
      <c r="E159" s="8" t="s">
        <v>318</v>
      </c>
      <c r="F159" s="6"/>
      <c r="G159" s="6"/>
      <c r="H159" s="6"/>
    </row>
    <row r="160" ht="15.75" customHeight="1">
      <c r="A160" s="6"/>
      <c r="B160" s="6" t="s">
        <v>420</v>
      </c>
      <c r="C160" s="6" t="s">
        <v>421</v>
      </c>
      <c r="D160" s="8" t="s">
        <v>316</v>
      </c>
      <c r="E160" s="8" t="s">
        <v>318</v>
      </c>
      <c r="F160" s="6"/>
      <c r="G160" s="6"/>
      <c r="H160" s="6"/>
    </row>
    <row r="161" ht="15.75" customHeight="1">
      <c r="A161" s="6"/>
      <c r="B161" s="6" t="s">
        <v>422</v>
      </c>
      <c r="C161" s="6" t="s">
        <v>423</v>
      </c>
      <c r="D161" s="8" t="s">
        <v>316</v>
      </c>
      <c r="E161" s="8" t="s">
        <v>318</v>
      </c>
      <c r="F161" s="6"/>
      <c r="G161" s="6"/>
      <c r="H161" s="6"/>
    </row>
    <row r="162" ht="15.75" customHeight="1">
      <c r="A162" s="6"/>
      <c r="B162" s="6" t="s">
        <v>424</v>
      </c>
      <c r="C162" s="6" t="s">
        <v>425</v>
      </c>
      <c r="D162" s="8" t="s">
        <v>316</v>
      </c>
      <c r="E162" s="8" t="s">
        <v>318</v>
      </c>
      <c r="F162" s="6"/>
      <c r="G162" s="6"/>
      <c r="H162" s="6"/>
    </row>
    <row r="163" ht="15.75" customHeight="1">
      <c r="A163" s="6"/>
      <c r="B163" s="6" t="s">
        <v>426</v>
      </c>
      <c r="C163" s="6" t="s">
        <v>427</v>
      </c>
      <c r="D163" s="8" t="s">
        <v>316</v>
      </c>
      <c r="E163" s="8" t="s">
        <v>318</v>
      </c>
      <c r="F163" s="6"/>
      <c r="G163" s="6"/>
      <c r="H163" s="6"/>
    </row>
    <row r="164" ht="15.75" customHeight="1">
      <c r="A164" s="6"/>
      <c r="B164" s="6" t="s">
        <v>428</v>
      </c>
      <c r="C164" s="6" t="s">
        <v>429</v>
      </c>
      <c r="D164" s="8" t="s">
        <v>316</v>
      </c>
      <c r="E164" s="8" t="s">
        <v>318</v>
      </c>
      <c r="F164" s="6"/>
      <c r="G164" s="6"/>
      <c r="H164" s="6"/>
    </row>
    <row r="165" ht="15.75" customHeight="1">
      <c r="A165" s="6"/>
      <c r="B165" s="6" t="s">
        <v>430</v>
      </c>
      <c r="C165" s="6" t="s">
        <v>431</v>
      </c>
      <c r="D165" s="8" t="s">
        <v>316</v>
      </c>
      <c r="E165" s="8" t="s">
        <v>318</v>
      </c>
      <c r="F165" s="6"/>
      <c r="G165" s="6"/>
      <c r="H165" s="6"/>
    </row>
    <row r="166" ht="15.75" customHeight="1">
      <c r="A166" s="6"/>
      <c r="B166" s="6" t="s">
        <v>433</v>
      </c>
      <c r="C166" s="6" t="s">
        <v>434</v>
      </c>
      <c r="D166" s="8" t="s">
        <v>316</v>
      </c>
      <c r="E166" s="8" t="s">
        <v>318</v>
      </c>
      <c r="F166" s="6"/>
      <c r="G166" s="6"/>
      <c r="H166" s="6"/>
    </row>
    <row r="167" ht="15.75" customHeight="1">
      <c r="A167" s="6"/>
      <c r="B167" s="6" t="s">
        <v>437</v>
      </c>
      <c r="C167" s="6" t="s">
        <v>439</v>
      </c>
      <c r="D167" s="8" t="s">
        <v>316</v>
      </c>
      <c r="E167" s="8" t="s">
        <v>318</v>
      </c>
      <c r="F167" s="6"/>
      <c r="G167" s="6"/>
      <c r="H167" s="6"/>
    </row>
    <row r="168" ht="15.75" customHeight="1">
      <c r="A168" s="6"/>
      <c r="B168" s="6" t="s">
        <v>440</v>
      </c>
      <c r="C168" s="6" t="s">
        <v>441</v>
      </c>
      <c r="D168" s="8" t="s">
        <v>316</v>
      </c>
      <c r="E168" s="8" t="s">
        <v>318</v>
      </c>
      <c r="F168" s="6"/>
      <c r="G168" s="6"/>
      <c r="H168" s="6"/>
    </row>
    <row r="169" ht="15.75" customHeight="1">
      <c r="A169" s="6"/>
      <c r="B169" s="6" t="s">
        <v>442</v>
      </c>
      <c r="C169" s="6" t="s">
        <v>443</v>
      </c>
      <c r="D169" s="8" t="s">
        <v>316</v>
      </c>
      <c r="E169" s="8" t="s">
        <v>318</v>
      </c>
      <c r="F169" s="6"/>
      <c r="G169" s="6"/>
      <c r="H169" s="6"/>
    </row>
    <row r="170" ht="15.75" customHeight="1">
      <c r="A170" s="6"/>
      <c r="B170" s="6" t="s">
        <v>444</v>
      </c>
      <c r="C170" s="6" t="s">
        <v>445</v>
      </c>
      <c r="D170" s="8" t="s">
        <v>316</v>
      </c>
      <c r="E170" s="8" t="s">
        <v>318</v>
      </c>
      <c r="F170" s="6"/>
      <c r="G170" s="6"/>
      <c r="H170" s="6"/>
    </row>
    <row r="171" ht="15.75" customHeight="1">
      <c r="A171" s="6"/>
      <c r="B171" s="6" t="s">
        <v>446</v>
      </c>
      <c r="C171" s="6" t="s">
        <v>447</v>
      </c>
      <c r="D171" s="8" t="s">
        <v>316</v>
      </c>
      <c r="E171" s="8" t="s">
        <v>318</v>
      </c>
      <c r="F171" s="6"/>
      <c r="G171" s="6"/>
      <c r="H171" s="6"/>
    </row>
    <row r="172" ht="15.75" customHeight="1">
      <c r="A172" s="6"/>
      <c r="B172" s="6" t="s">
        <v>448</v>
      </c>
      <c r="C172" s="6" t="s">
        <v>449</v>
      </c>
      <c r="D172" s="8" t="s">
        <v>316</v>
      </c>
      <c r="E172" s="8" t="s">
        <v>318</v>
      </c>
      <c r="F172" s="6"/>
      <c r="G172" s="6"/>
      <c r="H172" s="6"/>
    </row>
    <row r="173" ht="15.75" customHeight="1">
      <c r="A173" s="6"/>
      <c r="B173" s="6" t="s">
        <v>450</v>
      </c>
      <c r="C173" s="6" t="s">
        <v>451</v>
      </c>
      <c r="D173" s="8" t="s">
        <v>316</v>
      </c>
      <c r="E173" s="8" t="s">
        <v>318</v>
      </c>
      <c r="F173" s="6"/>
      <c r="G173" s="6"/>
      <c r="H173" s="6"/>
    </row>
    <row r="174" ht="15.75" customHeight="1">
      <c r="A174" s="6"/>
      <c r="B174" s="6" t="s">
        <v>452</v>
      </c>
      <c r="C174" s="6" t="s">
        <v>453</v>
      </c>
      <c r="D174" s="8" t="s">
        <v>316</v>
      </c>
      <c r="E174" s="8" t="s">
        <v>318</v>
      </c>
      <c r="F174" s="6"/>
      <c r="G174" s="6"/>
      <c r="H174" s="6"/>
    </row>
    <row r="175" ht="15.75" customHeight="1">
      <c r="A175" s="6"/>
      <c r="B175" s="6" t="s">
        <v>454</v>
      </c>
      <c r="C175" s="6" t="s">
        <v>455</v>
      </c>
      <c r="D175" s="8" t="s">
        <v>316</v>
      </c>
      <c r="E175" s="8" t="s">
        <v>318</v>
      </c>
      <c r="F175" s="6"/>
      <c r="G175" s="6"/>
      <c r="H175" s="6"/>
    </row>
    <row r="176" ht="15.75" customHeight="1">
      <c r="A176" s="6"/>
      <c r="B176" s="6" t="s">
        <v>456</v>
      </c>
      <c r="C176" s="6" t="s">
        <v>457</v>
      </c>
      <c r="D176" s="8" t="s">
        <v>316</v>
      </c>
      <c r="E176" s="8" t="s">
        <v>318</v>
      </c>
      <c r="F176" s="6"/>
      <c r="G176" s="6"/>
      <c r="H176" s="6"/>
    </row>
    <row r="177" ht="15.75" customHeight="1">
      <c r="A177" s="6"/>
      <c r="B177" s="6" t="s">
        <v>458</v>
      </c>
      <c r="C177" s="6" t="s">
        <v>459</v>
      </c>
      <c r="D177" s="8" t="s">
        <v>316</v>
      </c>
      <c r="E177" s="8" t="s">
        <v>318</v>
      </c>
      <c r="F177" s="6"/>
      <c r="G177" s="6"/>
      <c r="H177" s="6"/>
    </row>
    <row r="178" ht="15.75" customHeight="1">
      <c r="A178" s="6"/>
      <c r="B178" s="6" t="s">
        <v>461</v>
      </c>
      <c r="C178" s="6" t="s">
        <v>462</v>
      </c>
      <c r="D178" s="8" t="s">
        <v>316</v>
      </c>
      <c r="E178" s="8" t="s">
        <v>318</v>
      </c>
      <c r="F178" s="6"/>
      <c r="G178" s="6"/>
      <c r="H178" s="6"/>
    </row>
    <row r="179" ht="15.75" customHeight="1">
      <c r="A179" s="6"/>
      <c r="B179" s="6" t="s">
        <v>463</v>
      </c>
      <c r="C179" s="6" t="s">
        <v>464</v>
      </c>
      <c r="D179" s="8" t="s">
        <v>316</v>
      </c>
      <c r="E179" s="8" t="s">
        <v>318</v>
      </c>
      <c r="F179" s="6"/>
      <c r="G179" s="6"/>
      <c r="H179" s="6"/>
    </row>
    <row r="180" ht="15.75" customHeight="1">
      <c r="A180" s="6"/>
      <c r="B180" s="6" t="s">
        <v>465</v>
      </c>
      <c r="C180" s="6" t="s">
        <v>466</v>
      </c>
      <c r="D180" s="8" t="s">
        <v>316</v>
      </c>
      <c r="E180" s="8" t="s">
        <v>318</v>
      </c>
      <c r="F180" s="6"/>
      <c r="G180" s="6"/>
      <c r="H180" s="6"/>
    </row>
    <row r="181" ht="15.75" customHeight="1">
      <c r="A181" s="6"/>
      <c r="B181" s="6" t="s">
        <v>467</v>
      </c>
      <c r="C181" s="6" t="s">
        <v>468</v>
      </c>
      <c r="D181" s="8" t="s">
        <v>316</v>
      </c>
      <c r="E181" s="8" t="s">
        <v>318</v>
      </c>
      <c r="F181" s="6"/>
      <c r="G181" s="6"/>
      <c r="H181" s="6"/>
    </row>
    <row r="182" ht="15.75" customHeight="1">
      <c r="A182" s="6"/>
      <c r="B182" s="6" t="s">
        <v>469</v>
      </c>
      <c r="C182" s="6" t="s">
        <v>470</v>
      </c>
      <c r="D182" s="8" t="s">
        <v>316</v>
      </c>
      <c r="E182" s="8" t="s">
        <v>318</v>
      </c>
      <c r="F182" s="6"/>
      <c r="G182" s="6"/>
      <c r="H182" s="6"/>
    </row>
    <row r="183" ht="15.75" customHeight="1">
      <c r="A183" s="6"/>
      <c r="B183" s="6" t="s">
        <v>471</v>
      </c>
      <c r="C183" s="6" t="s">
        <v>472</v>
      </c>
      <c r="D183" s="8" t="s">
        <v>316</v>
      </c>
      <c r="E183" s="8" t="s">
        <v>318</v>
      </c>
      <c r="F183" s="6"/>
      <c r="G183" s="6"/>
      <c r="H183" s="6"/>
    </row>
    <row r="184" ht="15.75" customHeight="1">
      <c r="A184" s="6"/>
      <c r="B184" s="6" t="s">
        <v>473</v>
      </c>
      <c r="C184" s="6" t="s">
        <v>474</v>
      </c>
      <c r="D184" s="8" t="s">
        <v>316</v>
      </c>
      <c r="E184" s="8" t="s">
        <v>318</v>
      </c>
      <c r="F184" s="6"/>
      <c r="G184" s="6"/>
      <c r="H184" s="6"/>
    </row>
    <row r="185" ht="15.75" customHeight="1">
      <c r="A185" s="6"/>
      <c r="B185" s="6" t="s">
        <v>476</v>
      </c>
      <c r="C185" s="6" t="s">
        <v>477</v>
      </c>
      <c r="D185" s="8" t="s">
        <v>316</v>
      </c>
      <c r="E185" s="8" t="s">
        <v>318</v>
      </c>
      <c r="F185" s="6"/>
      <c r="G185" s="6"/>
      <c r="H185" s="6"/>
    </row>
    <row r="186" ht="15.75" customHeight="1">
      <c r="A186" s="6"/>
      <c r="B186" s="6" t="s">
        <v>478</v>
      </c>
      <c r="C186" s="6" t="s">
        <v>479</v>
      </c>
      <c r="D186" s="8" t="s">
        <v>316</v>
      </c>
      <c r="E186" s="8" t="s">
        <v>318</v>
      </c>
      <c r="F186" s="6"/>
      <c r="G186" s="6"/>
      <c r="H186" s="6"/>
    </row>
    <row r="187" ht="15.75" customHeight="1">
      <c r="A187" s="6"/>
      <c r="B187" s="6" t="s">
        <v>480</v>
      </c>
      <c r="C187" s="6" t="s">
        <v>481</v>
      </c>
      <c r="D187" s="8" t="s">
        <v>316</v>
      </c>
      <c r="E187" s="8" t="s">
        <v>318</v>
      </c>
      <c r="F187" s="6"/>
      <c r="G187" s="6"/>
      <c r="H187" s="6"/>
    </row>
    <row r="188" ht="15.75" customHeight="1">
      <c r="A188" s="6"/>
      <c r="B188" s="6" t="s">
        <v>482</v>
      </c>
      <c r="C188" s="6" t="s">
        <v>484</v>
      </c>
      <c r="D188" s="8" t="s">
        <v>316</v>
      </c>
      <c r="E188" s="8" t="s">
        <v>318</v>
      </c>
      <c r="F188" s="6"/>
      <c r="G188" s="6"/>
      <c r="H188" s="6"/>
    </row>
    <row r="189" ht="15.75" customHeight="1">
      <c r="A189" s="6"/>
      <c r="B189" s="6" t="s">
        <v>486</v>
      </c>
      <c r="C189" s="6" t="s">
        <v>487</v>
      </c>
      <c r="D189" s="8" t="s">
        <v>316</v>
      </c>
      <c r="E189" s="8" t="s">
        <v>318</v>
      </c>
      <c r="F189" s="6"/>
      <c r="G189" s="6"/>
      <c r="H189" s="6"/>
    </row>
    <row r="190" ht="15.75" customHeight="1">
      <c r="A190" s="6"/>
      <c r="B190" s="6" t="s">
        <v>488</v>
      </c>
      <c r="C190" s="6" t="s">
        <v>489</v>
      </c>
      <c r="D190" s="8" t="s">
        <v>316</v>
      </c>
      <c r="E190" s="8" t="s">
        <v>318</v>
      </c>
      <c r="F190" s="6"/>
      <c r="G190" s="6"/>
      <c r="H190" s="6"/>
    </row>
    <row r="191" ht="15.75" customHeight="1">
      <c r="A191" s="6"/>
      <c r="B191" s="6" t="s">
        <v>490</v>
      </c>
      <c r="C191" s="6" t="s">
        <v>491</v>
      </c>
      <c r="D191" s="8" t="s">
        <v>316</v>
      </c>
      <c r="E191" s="8" t="s">
        <v>318</v>
      </c>
      <c r="F191" s="6"/>
      <c r="G191" s="6"/>
      <c r="H191" s="6"/>
    </row>
    <row r="192" ht="15.75" customHeight="1">
      <c r="A192" s="6"/>
      <c r="B192" s="6" t="s">
        <v>492</v>
      </c>
      <c r="C192" s="6" t="s">
        <v>493</v>
      </c>
      <c r="D192" s="8" t="s">
        <v>316</v>
      </c>
      <c r="E192" s="8" t="s">
        <v>318</v>
      </c>
      <c r="F192" s="6"/>
      <c r="G192" s="6"/>
      <c r="H192" s="6"/>
    </row>
    <row r="193" ht="15.75" customHeight="1">
      <c r="A193" s="6"/>
      <c r="B193" s="6" t="s">
        <v>494</v>
      </c>
      <c r="C193" s="6" t="s">
        <v>495</v>
      </c>
      <c r="D193" s="8" t="s">
        <v>316</v>
      </c>
      <c r="E193" s="8" t="s">
        <v>318</v>
      </c>
      <c r="F193" s="6"/>
      <c r="G193" s="6"/>
      <c r="H193" s="6"/>
    </row>
    <row r="194" ht="15.75" customHeight="1">
      <c r="A194" s="6"/>
      <c r="B194" s="6" t="s">
        <v>496</v>
      </c>
      <c r="C194" s="6" t="s">
        <v>497</v>
      </c>
      <c r="D194" s="8" t="s">
        <v>316</v>
      </c>
      <c r="E194" s="8" t="s">
        <v>318</v>
      </c>
      <c r="F194" s="6"/>
      <c r="G194" s="6"/>
      <c r="H194" s="6"/>
    </row>
    <row r="195" ht="15.75" customHeight="1">
      <c r="A195" s="6"/>
      <c r="B195" s="6" t="s">
        <v>498</v>
      </c>
      <c r="C195" s="6" t="s">
        <v>499</v>
      </c>
      <c r="D195" s="8" t="s">
        <v>316</v>
      </c>
      <c r="E195" s="8" t="s">
        <v>318</v>
      </c>
      <c r="F195" s="6"/>
      <c r="G195" s="6"/>
      <c r="H195" s="6"/>
    </row>
    <row r="196" ht="15.75" customHeight="1">
      <c r="A196" s="6"/>
      <c r="B196" s="6" t="s">
        <v>500</v>
      </c>
      <c r="C196" s="6" t="s">
        <v>501</v>
      </c>
      <c r="D196" s="8" t="s">
        <v>316</v>
      </c>
      <c r="E196" s="8" t="s">
        <v>318</v>
      </c>
      <c r="F196" s="6"/>
      <c r="G196" s="6"/>
      <c r="H196" s="6"/>
    </row>
    <row r="197" ht="15.75" customHeight="1">
      <c r="A197" s="6"/>
      <c r="B197" s="6" t="s">
        <v>502</v>
      </c>
      <c r="C197" s="6" t="s">
        <v>503</v>
      </c>
      <c r="D197" s="8" t="s">
        <v>316</v>
      </c>
      <c r="E197" s="8" t="s">
        <v>318</v>
      </c>
      <c r="F197" s="6"/>
      <c r="G197" s="6"/>
      <c r="H197" s="6"/>
    </row>
    <row r="198" ht="15.75" customHeight="1">
      <c r="A198" s="6"/>
      <c r="B198" s="6" t="s">
        <v>504</v>
      </c>
      <c r="C198" s="6" t="s">
        <v>505</v>
      </c>
      <c r="D198" s="8" t="s">
        <v>316</v>
      </c>
      <c r="E198" s="8" t="s">
        <v>318</v>
      </c>
      <c r="F198" s="6"/>
      <c r="G198" s="6"/>
      <c r="H198" s="6"/>
    </row>
    <row r="199" ht="15.75" customHeight="1">
      <c r="A199" s="6"/>
      <c r="B199" s="6" t="s">
        <v>506</v>
      </c>
      <c r="C199" s="6" t="s">
        <v>507</v>
      </c>
      <c r="D199" s="8" t="s">
        <v>316</v>
      </c>
      <c r="E199" s="8" t="s">
        <v>318</v>
      </c>
      <c r="F199" s="6"/>
      <c r="G199" s="6"/>
      <c r="H199" s="6"/>
    </row>
    <row r="200" ht="15.75" customHeight="1">
      <c r="A200" s="6"/>
      <c r="B200" s="6" t="s">
        <v>508</v>
      </c>
      <c r="C200" s="6" t="s">
        <v>510</v>
      </c>
      <c r="D200" s="8" t="s">
        <v>316</v>
      </c>
      <c r="E200" s="8" t="s">
        <v>318</v>
      </c>
      <c r="F200" s="6"/>
      <c r="G200" s="6"/>
      <c r="H200" s="6"/>
    </row>
    <row r="201" ht="15.75" customHeight="1">
      <c r="A201" s="6"/>
      <c r="B201" s="6" t="s">
        <v>511</v>
      </c>
      <c r="C201" s="6" t="s">
        <v>512</v>
      </c>
      <c r="D201" s="8" t="s">
        <v>316</v>
      </c>
      <c r="E201" s="8" t="s">
        <v>318</v>
      </c>
      <c r="F201" s="6"/>
      <c r="G201" s="6"/>
      <c r="H201" s="6"/>
    </row>
    <row r="202" ht="15.75" customHeight="1">
      <c r="A202" s="6"/>
      <c r="B202" s="6" t="s">
        <v>513</v>
      </c>
      <c r="C202" s="6" t="s">
        <v>514</v>
      </c>
      <c r="D202" s="8" t="s">
        <v>316</v>
      </c>
      <c r="E202" s="8" t="s">
        <v>318</v>
      </c>
      <c r="F202" s="6"/>
      <c r="G202" s="6"/>
      <c r="H202" s="6"/>
    </row>
    <row r="203" ht="15.75" customHeight="1">
      <c r="A203" s="6"/>
      <c r="B203" s="6" t="s">
        <v>515</v>
      </c>
      <c r="C203" s="6" t="s">
        <v>516</v>
      </c>
      <c r="D203" s="8" t="s">
        <v>316</v>
      </c>
      <c r="E203" s="8" t="s">
        <v>318</v>
      </c>
      <c r="F203" s="6"/>
      <c r="G203" s="6"/>
      <c r="H203" s="6"/>
    </row>
    <row r="204" ht="15.75" customHeight="1">
      <c r="A204" s="6"/>
      <c r="B204" s="6" t="s">
        <v>517</v>
      </c>
      <c r="C204" s="6" t="s">
        <v>518</v>
      </c>
      <c r="D204" s="8" t="s">
        <v>316</v>
      </c>
      <c r="E204" s="8" t="s">
        <v>318</v>
      </c>
      <c r="F204" s="6"/>
      <c r="G204" s="6"/>
      <c r="H204" s="6"/>
    </row>
    <row r="205" ht="15.75" customHeight="1">
      <c r="A205" s="6"/>
      <c r="B205" s="6" t="s">
        <v>520</v>
      </c>
      <c r="C205" s="6" t="s">
        <v>521</v>
      </c>
      <c r="D205" s="8" t="s">
        <v>316</v>
      </c>
      <c r="E205" s="8" t="s">
        <v>318</v>
      </c>
      <c r="F205" s="6"/>
      <c r="G205" s="6"/>
      <c r="H205" s="6"/>
    </row>
    <row r="206" ht="15.75" customHeight="1">
      <c r="A206" s="6"/>
      <c r="B206" s="6" t="s">
        <v>522</v>
      </c>
      <c r="C206" s="6" t="s">
        <v>523</v>
      </c>
      <c r="D206" s="8" t="s">
        <v>316</v>
      </c>
      <c r="E206" s="8" t="s">
        <v>318</v>
      </c>
      <c r="F206" s="6"/>
      <c r="G206" s="6"/>
      <c r="H206" s="6"/>
    </row>
    <row r="207" ht="15.75" customHeight="1">
      <c r="A207" s="6"/>
      <c r="B207" s="6" t="s">
        <v>524</v>
      </c>
      <c r="C207" s="6" t="s">
        <v>525</v>
      </c>
      <c r="D207" s="8" t="s">
        <v>316</v>
      </c>
      <c r="E207" s="8" t="s">
        <v>318</v>
      </c>
      <c r="F207" s="6"/>
      <c r="G207" s="6"/>
      <c r="H207" s="6"/>
    </row>
    <row r="208" ht="15.75" customHeight="1">
      <c r="A208" s="6"/>
      <c r="B208" s="6" t="s">
        <v>526</v>
      </c>
      <c r="C208" s="6" t="s">
        <v>527</v>
      </c>
      <c r="D208" s="8" t="s">
        <v>316</v>
      </c>
      <c r="E208" s="8" t="s">
        <v>318</v>
      </c>
      <c r="F208" s="6"/>
      <c r="G208" s="6"/>
      <c r="H208" s="6"/>
    </row>
    <row r="209" ht="15.75" customHeight="1">
      <c r="A209" s="6"/>
      <c r="B209" s="6" t="s">
        <v>528</v>
      </c>
      <c r="C209" s="6" t="s">
        <v>529</v>
      </c>
      <c r="D209" s="8" t="s">
        <v>316</v>
      </c>
      <c r="E209" s="8" t="s">
        <v>318</v>
      </c>
      <c r="F209" s="6"/>
      <c r="G209" s="6"/>
      <c r="H209" s="6"/>
    </row>
    <row r="210" ht="15.75" customHeight="1">
      <c r="A210" s="6"/>
      <c r="B210" s="6" t="s">
        <v>530</v>
      </c>
      <c r="C210" s="6" t="s">
        <v>531</v>
      </c>
      <c r="D210" s="8" t="s">
        <v>316</v>
      </c>
      <c r="E210" s="8" t="s">
        <v>318</v>
      </c>
      <c r="F210" s="6"/>
      <c r="G210" s="6"/>
      <c r="H210" s="6"/>
    </row>
    <row r="211" ht="15.75" customHeight="1">
      <c r="A211" s="6"/>
      <c r="B211" s="6" t="s">
        <v>532</v>
      </c>
      <c r="C211" s="6" t="s">
        <v>533</v>
      </c>
      <c r="D211" s="8" t="s">
        <v>316</v>
      </c>
      <c r="E211" s="8" t="s">
        <v>318</v>
      </c>
      <c r="F211" s="6"/>
      <c r="G211" s="6"/>
      <c r="H211" s="6"/>
    </row>
    <row r="212" ht="15.75" customHeight="1">
      <c r="A212" s="6"/>
      <c r="B212" s="6" t="s">
        <v>534</v>
      </c>
      <c r="C212" s="6" t="s">
        <v>535</v>
      </c>
      <c r="D212" s="8" t="s">
        <v>316</v>
      </c>
      <c r="E212" s="8" t="s">
        <v>318</v>
      </c>
      <c r="F212" s="6"/>
      <c r="G212" s="6"/>
      <c r="H212" s="6"/>
    </row>
    <row r="213" ht="15.75" customHeight="1">
      <c r="A213" s="6"/>
      <c r="B213" s="6" t="s">
        <v>538</v>
      </c>
      <c r="C213" s="6" t="s">
        <v>539</v>
      </c>
      <c r="D213" s="8" t="s">
        <v>316</v>
      </c>
      <c r="E213" s="8" t="s">
        <v>318</v>
      </c>
      <c r="F213" s="6"/>
      <c r="G213" s="6"/>
      <c r="H213" s="6"/>
    </row>
    <row r="214" ht="15.75" customHeight="1">
      <c r="A214" s="6"/>
      <c r="B214" s="6" t="s">
        <v>540</v>
      </c>
      <c r="C214" s="6" t="s">
        <v>541</v>
      </c>
      <c r="D214" s="8" t="s">
        <v>316</v>
      </c>
      <c r="E214" s="8" t="s">
        <v>318</v>
      </c>
      <c r="F214" s="6"/>
      <c r="G214" s="6"/>
      <c r="H214" s="6"/>
    </row>
    <row r="215" ht="15.75" customHeight="1">
      <c r="A215" s="6"/>
      <c r="B215" s="6" t="s">
        <v>542</v>
      </c>
      <c r="C215" s="6" t="s">
        <v>543</v>
      </c>
      <c r="D215" s="8" t="s">
        <v>316</v>
      </c>
      <c r="E215" s="8" t="s">
        <v>318</v>
      </c>
      <c r="F215" s="6"/>
      <c r="G215" s="6"/>
      <c r="H215" s="6"/>
    </row>
    <row r="216" ht="15.75" customHeight="1">
      <c r="A216" s="6"/>
      <c r="B216" s="6" t="s">
        <v>546</v>
      </c>
      <c r="C216" s="6" t="s">
        <v>547</v>
      </c>
      <c r="D216" s="8" t="s">
        <v>316</v>
      </c>
      <c r="E216" s="8" t="s">
        <v>318</v>
      </c>
      <c r="F216" s="6"/>
      <c r="G216" s="6"/>
      <c r="H216" s="6"/>
    </row>
    <row r="217" ht="15.75" customHeight="1">
      <c r="A217" s="6"/>
      <c r="B217" s="6" t="s">
        <v>549</v>
      </c>
      <c r="C217" s="6" t="s">
        <v>550</v>
      </c>
      <c r="D217" s="8" t="s">
        <v>316</v>
      </c>
      <c r="E217" s="8" t="s">
        <v>318</v>
      </c>
      <c r="F217" s="6"/>
      <c r="G217" s="6"/>
      <c r="H217" s="6"/>
    </row>
    <row r="218" ht="15.75" customHeight="1">
      <c r="A218" s="6"/>
      <c r="B218" s="6" t="s">
        <v>551</v>
      </c>
      <c r="C218" s="6" t="s">
        <v>552</v>
      </c>
      <c r="D218" s="8" t="s">
        <v>316</v>
      </c>
      <c r="E218" s="8" t="s">
        <v>318</v>
      </c>
      <c r="F218" s="6"/>
      <c r="G218" s="6"/>
      <c r="H218" s="6"/>
    </row>
    <row r="219" ht="15.75" customHeight="1">
      <c r="A219" s="6"/>
      <c r="B219" s="6" t="s">
        <v>553</v>
      </c>
      <c r="C219" s="6" t="s">
        <v>554</v>
      </c>
      <c r="D219" s="8" t="s">
        <v>316</v>
      </c>
      <c r="E219" s="8" t="s">
        <v>318</v>
      </c>
      <c r="F219" s="6"/>
      <c r="G219" s="6"/>
      <c r="H219" s="6"/>
    </row>
    <row r="220" ht="15.75" customHeight="1">
      <c r="A220" s="6"/>
      <c r="B220" s="6" t="s">
        <v>555</v>
      </c>
      <c r="C220" s="6" t="s">
        <v>556</v>
      </c>
      <c r="D220" s="8" t="s">
        <v>316</v>
      </c>
      <c r="E220" s="8" t="s">
        <v>318</v>
      </c>
      <c r="F220" s="6"/>
      <c r="G220" s="6"/>
      <c r="H220" s="6"/>
    </row>
    <row r="221" ht="15.75" customHeight="1">
      <c r="A221" s="6"/>
      <c r="B221" s="6" t="s">
        <v>557</v>
      </c>
      <c r="C221" s="6" t="s">
        <v>558</v>
      </c>
      <c r="D221" s="8" t="s">
        <v>316</v>
      </c>
      <c r="E221" s="8" t="s">
        <v>318</v>
      </c>
      <c r="F221" s="6"/>
      <c r="G221" s="6"/>
      <c r="H221" s="6"/>
    </row>
    <row r="222" ht="15.75" customHeight="1">
      <c r="A222" s="6"/>
      <c r="B222" s="6" t="s">
        <v>559</v>
      </c>
      <c r="C222" s="6" t="s">
        <v>560</v>
      </c>
      <c r="D222" s="8" t="s">
        <v>316</v>
      </c>
      <c r="E222" s="8" t="s">
        <v>318</v>
      </c>
      <c r="F222" s="6"/>
      <c r="G222" s="6"/>
      <c r="H222" s="6"/>
    </row>
    <row r="223" ht="15.75" customHeight="1">
      <c r="A223" s="6"/>
      <c r="B223" s="6" t="s">
        <v>561</v>
      </c>
      <c r="C223" s="6" t="s">
        <v>562</v>
      </c>
      <c r="D223" s="8" t="s">
        <v>316</v>
      </c>
      <c r="E223" s="8" t="s">
        <v>318</v>
      </c>
      <c r="F223" s="6"/>
      <c r="G223" s="6"/>
      <c r="H223" s="6"/>
    </row>
    <row r="224" ht="15.75" customHeight="1">
      <c r="A224" s="6"/>
      <c r="B224" s="6" t="s">
        <v>563</v>
      </c>
      <c r="C224" s="6" t="s">
        <v>564</v>
      </c>
      <c r="D224" s="8" t="s">
        <v>316</v>
      </c>
      <c r="E224" s="8" t="s">
        <v>318</v>
      </c>
      <c r="F224" s="6"/>
      <c r="G224" s="6"/>
      <c r="H224" s="6"/>
    </row>
    <row r="225" ht="15.75" customHeight="1">
      <c r="A225" s="6"/>
      <c r="B225" s="6" t="s">
        <v>565</v>
      </c>
      <c r="C225" s="6" t="s">
        <v>566</v>
      </c>
      <c r="D225" s="8" t="s">
        <v>316</v>
      </c>
      <c r="E225" s="8" t="s">
        <v>318</v>
      </c>
      <c r="F225" s="6"/>
      <c r="G225" s="6"/>
      <c r="H225" s="6"/>
    </row>
    <row r="226" ht="15.75" customHeight="1">
      <c r="A226" s="6"/>
      <c r="B226" s="6" t="s">
        <v>393</v>
      </c>
      <c r="C226" s="6" t="s">
        <v>567</v>
      </c>
      <c r="D226" s="8" t="s">
        <v>316</v>
      </c>
      <c r="E226" s="8" t="s">
        <v>318</v>
      </c>
      <c r="F226" s="6"/>
      <c r="G226" s="6"/>
      <c r="H226" s="6"/>
    </row>
    <row r="227" ht="15.75" customHeight="1">
      <c r="A227" s="6"/>
      <c r="B227" s="6" t="s">
        <v>568</v>
      </c>
      <c r="C227" s="6" t="s">
        <v>569</v>
      </c>
      <c r="D227" s="8" t="s">
        <v>316</v>
      </c>
      <c r="E227" s="8" t="s">
        <v>318</v>
      </c>
      <c r="F227" s="6"/>
      <c r="G227" s="6"/>
      <c r="H227" s="6"/>
    </row>
    <row r="228" ht="15.75" customHeight="1">
      <c r="A228" s="6"/>
      <c r="B228" s="6" t="s">
        <v>573</v>
      </c>
      <c r="C228" s="6" t="s">
        <v>574</v>
      </c>
      <c r="D228" s="8" t="s">
        <v>316</v>
      </c>
      <c r="E228" s="8" t="s">
        <v>318</v>
      </c>
      <c r="F228" s="6"/>
      <c r="G228" s="6"/>
      <c r="H228" s="6"/>
    </row>
    <row r="229" ht="15.75" customHeight="1">
      <c r="A229" s="6"/>
      <c r="B229" s="6" t="s">
        <v>577</v>
      </c>
      <c r="C229" s="6" t="s">
        <v>578</v>
      </c>
      <c r="D229" s="8" t="s">
        <v>316</v>
      </c>
      <c r="E229" s="8" t="s">
        <v>318</v>
      </c>
      <c r="F229" s="6"/>
      <c r="G229" s="6"/>
      <c r="H229" s="6"/>
    </row>
    <row r="230" ht="15.75" customHeight="1">
      <c r="A230" s="6"/>
      <c r="B230" s="6" t="s">
        <v>579</v>
      </c>
      <c r="C230" s="6" t="s">
        <v>581</v>
      </c>
      <c r="D230" s="8" t="s">
        <v>316</v>
      </c>
      <c r="E230" s="8" t="s">
        <v>318</v>
      </c>
      <c r="F230" s="6"/>
      <c r="G230" s="6"/>
      <c r="H230" s="6"/>
    </row>
    <row r="231" ht="15.75" customHeight="1">
      <c r="A231" s="6"/>
      <c r="B231" s="6" t="s">
        <v>582</v>
      </c>
      <c r="C231" s="6" t="s">
        <v>583</v>
      </c>
      <c r="D231" s="8" t="s">
        <v>316</v>
      </c>
      <c r="E231" s="8" t="s">
        <v>318</v>
      </c>
      <c r="F231" s="6"/>
      <c r="G231" s="6"/>
      <c r="H231" s="6"/>
    </row>
    <row r="232" ht="15.75" customHeight="1">
      <c r="A232" s="6"/>
      <c r="B232" s="6" t="s">
        <v>584</v>
      </c>
      <c r="C232" s="6" t="s">
        <v>585</v>
      </c>
      <c r="D232" s="8" t="s">
        <v>316</v>
      </c>
      <c r="E232" s="8" t="s">
        <v>318</v>
      </c>
      <c r="F232" s="6"/>
      <c r="G232" s="6"/>
      <c r="H232" s="6"/>
    </row>
    <row r="233" ht="15.75" customHeight="1">
      <c r="A233" s="6"/>
      <c r="B233" s="6" t="s">
        <v>587</v>
      </c>
      <c r="C233" s="6" t="s">
        <v>588</v>
      </c>
      <c r="D233" s="8" t="s">
        <v>316</v>
      </c>
      <c r="E233" s="8" t="s">
        <v>318</v>
      </c>
      <c r="F233" s="6"/>
      <c r="G233" s="6"/>
      <c r="H233" s="6"/>
    </row>
    <row r="234" ht="15.75" customHeight="1">
      <c r="A234" s="6"/>
      <c r="B234" s="6" t="s">
        <v>589</v>
      </c>
      <c r="C234" s="6" t="s">
        <v>590</v>
      </c>
      <c r="D234" s="8" t="s">
        <v>316</v>
      </c>
      <c r="E234" s="8" t="s">
        <v>318</v>
      </c>
      <c r="F234" s="6"/>
      <c r="G234" s="6"/>
      <c r="H234" s="6"/>
    </row>
    <row r="235" ht="15.75" customHeight="1">
      <c r="A235" s="6"/>
      <c r="B235" s="6" t="s">
        <v>591</v>
      </c>
      <c r="C235" s="6" t="s">
        <v>592</v>
      </c>
      <c r="D235" s="8" t="s">
        <v>316</v>
      </c>
      <c r="E235" s="8" t="s">
        <v>318</v>
      </c>
      <c r="F235" s="6"/>
      <c r="G235" s="6"/>
      <c r="H235" s="6"/>
    </row>
    <row r="236" ht="15.75" customHeight="1">
      <c r="A236" s="6"/>
      <c r="B236" s="6" t="s">
        <v>593</v>
      </c>
      <c r="C236" s="6" t="s">
        <v>595</v>
      </c>
      <c r="D236" s="8" t="s">
        <v>316</v>
      </c>
      <c r="E236" s="8" t="s">
        <v>318</v>
      </c>
      <c r="F236" s="6"/>
      <c r="G236" s="6"/>
      <c r="H236" s="6"/>
    </row>
    <row r="237" ht="15.75" customHeight="1">
      <c r="A237" s="6"/>
      <c r="B237" s="6" t="s">
        <v>596</v>
      </c>
      <c r="C237" s="6" t="s">
        <v>597</v>
      </c>
      <c r="D237" s="8" t="s">
        <v>316</v>
      </c>
      <c r="E237" s="8" t="s">
        <v>318</v>
      </c>
      <c r="F237" s="6"/>
      <c r="G237" s="6"/>
      <c r="H237" s="6"/>
    </row>
    <row r="238" ht="15.75" customHeight="1">
      <c r="A238" s="6"/>
      <c r="B238" s="6" t="s">
        <v>561</v>
      </c>
      <c r="C238" s="6" t="s">
        <v>248</v>
      </c>
      <c r="D238" s="8" t="s">
        <v>600</v>
      </c>
      <c r="E238" s="8" t="s">
        <v>20</v>
      </c>
      <c r="F238" s="6"/>
      <c r="G238" s="6"/>
      <c r="H238" s="6"/>
    </row>
    <row r="239" ht="15.75" customHeight="1">
      <c r="A239" s="6"/>
      <c r="B239" s="6" t="s">
        <v>601</v>
      </c>
      <c r="C239" s="6" t="s">
        <v>602</v>
      </c>
      <c r="D239" s="8" t="s">
        <v>600</v>
      </c>
      <c r="E239" s="8" t="s">
        <v>318</v>
      </c>
      <c r="F239" s="6"/>
      <c r="G239" s="6"/>
      <c r="H239" s="6"/>
    </row>
    <row r="240" ht="15.75" customHeight="1">
      <c r="A240" s="6"/>
      <c r="B240" s="6" t="s">
        <v>604</v>
      </c>
      <c r="C240" s="6" t="s">
        <v>605</v>
      </c>
      <c r="D240" s="8" t="s">
        <v>600</v>
      </c>
      <c r="E240" s="8" t="s">
        <v>318</v>
      </c>
      <c r="F240" s="6"/>
      <c r="G240" s="6"/>
      <c r="H240" s="6"/>
    </row>
    <row r="241" ht="15.75" customHeight="1">
      <c r="A241" s="6"/>
      <c r="B241" s="6" t="s">
        <v>606</v>
      </c>
      <c r="C241" s="6" t="s">
        <v>607</v>
      </c>
      <c r="D241" s="8" t="s">
        <v>600</v>
      </c>
      <c r="E241" s="8" t="s">
        <v>318</v>
      </c>
      <c r="F241" s="6"/>
      <c r="G241" s="6"/>
      <c r="H241" s="6"/>
    </row>
    <row r="242" ht="15.75" customHeight="1">
      <c r="A242" s="6"/>
      <c r="B242" s="6" t="s">
        <v>608</v>
      </c>
      <c r="C242" s="6" t="s">
        <v>610</v>
      </c>
      <c r="D242" s="8" t="s">
        <v>600</v>
      </c>
      <c r="E242" s="8" t="s">
        <v>25</v>
      </c>
      <c r="F242" s="6"/>
      <c r="G242" s="6"/>
      <c r="H242" s="6"/>
    </row>
    <row r="243" ht="15.75" customHeight="1">
      <c r="A243" s="6"/>
      <c r="B243" s="6" t="s">
        <v>611</v>
      </c>
      <c r="C243" s="6" t="s">
        <v>612</v>
      </c>
      <c r="D243" s="8" t="s">
        <v>600</v>
      </c>
      <c r="E243" s="8" t="s">
        <v>25</v>
      </c>
      <c r="F243" s="6"/>
      <c r="G243" s="6"/>
      <c r="H243" s="6"/>
    </row>
    <row r="244" ht="15.75" customHeight="1">
      <c r="A244" s="6"/>
      <c r="B244" s="6" t="s">
        <v>613</v>
      </c>
      <c r="C244" s="6" t="s">
        <v>614</v>
      </c>
      <c r="D244" s="8" t="s">
        <v>600</v>
      </c>
      <c r="E244" s="8" t="s">
        <v>25</v>
      </c>
      <c r="F244" s="6"/>
      <c r="G244" s="6"/>
      <c r="H244" s="6"/>
    </row>
    <row r="245" ht="15.75" customHeight="1">
      <c r="A245" s="6"/>
      <c r="B245" s="6" t="s">
        <v>616</v>
      </c>
      <c r="C245" s="6" t="s">
        <v>618</v>
      </c>
      <c r="D245" s="8" t="s">
        <v>600</v>
      </c>
      <c r="E245" s="8" t="s">
        <v>25</v>
      </c>
      <c r="F245" s="6"/>
      <c r="G245" s="6"/>
      <c r="H245" s="6"/>
    </row>
    <row r="246" ht="15.75" customHeight="1">
      <c r="A246" s="6"/>
      <c r="B246" s="6" t="s">
        <v>620</v>
      </c>
      <c r="C246" s="6" t="s">
        <v>621</v>
      </c>
      <c r="D246" s="8" t="s">
        <v>600</v>
      </c>
      <c r="E246" s="8" t="s">
        <v>20</v>
      </c>
      <c r="F246" s="6"/>
      <c r="G246" s="6"/>
      <c r="H246" s="6"/>
    </row>
    <row r="247" ht="15.75" customHeight="1">
      <c r="A247" s="6"/>
      <c r="B247" s="6" t="s">
        <v>623</v>
      </c>
      <c r="C247" s="6" t="s">
        <v>624</v>
      </c>
      <c r="D247" s="8" t="s">
        <v>600</v>
      </c>
      <c r="E247" s="8" t="s">
        <v>20</v>
      </c>
      <c r="F247" s="6"/>
      <c r="G247" s="6"/>
      <c r="H247" s="6"/>
    </row>
    <row r="248" ht="15.75" customHeight="1">
      <c r="A248" s="6"/>
      <c r="B248" s="6" t="s">
        <v>625</v>
      </c>
      <c r="C248" s="6" t="s">
        <v>626</v>
      </c>
      <c r="D248" s="8" t="s">
        <v>600</v>
      </c>
      <c r="E248" s="8" t="s">
        <v>20</v>
      </c>
      <c r="F248" s="6"/>
      <c r="G248" s="6"/>
      <c r="H248" s="6"/>
    </row>
    <row r="249" ht="15.75" customHeight="1">
      <c r="A249" s="6"/>
      <c r="B249" s="6" t="s">
        <v>629</v>
      </c>
      <c r="C249" s="6" t="s">
        <v>630</v>
      </c>
      <c r="D249" s="8" t="s">
        <v>600</v>
      </c>
      <c r="E249" s="8" t="s">
        <v>20</v>
      </c>
      <c r="F249" s="6"/>
      <c r="G249" s="6"/>
      <c r="H249" s="6"/>
    </row>
    <row r="250" ht="15.75" customHeight="1">
      <c r="A250" s="6"/>
      <c r="B250" s="6" t="s">
        <v>632</v>
      </c>
      <c r="C250" s="6" t="s">
        <v>633</v>
      </c>
      <c r="D250" s="8" t="s">
        <v>600</v>
      </c>
      <c r="E250" s="8" t="s">
        <v>25</v>
      </c>
      <c r="F250" s="6"/>
      <c r="G250" s="6"/>
      <c r="H250" s="6"/>
    </row>
    <row r="251" ht="15.75" customHeight="1">
      <c r="A251" s="6"/>
      <c r="B251" s="6" t="s">
        <v>634</v>
      </c>
      <c r="C251" s="6" t="s">
        <v>635</v>
      </c>
      <c r="D251" s="8" t="s">
        <v>600</v>
      </c>
      <c r="E251" s="8" t="s">
        <v>20</v>
      </c>
      <c r="F251" s="6"/>
      <c r="G251" s="6"/>
      <c r="H251" s="6"/>
    </row>
    <row r="252" ht="15.75" customHeight="1">
      <c r="A252" s="6"/>
      <c r="B252" s="6" t="s">
        <v>636</v>
      </c>
      <c r="C252" s="6" t="s">
        <v>638</v>
      </c>
      <c r="D252" s="8" t="s">
        <v>600</v>
      </c>
      <c r="E252" s="8" t="s">
        <v>20</v>
      </c>
      <c r="F252" s="6"/>
      <c r="G252" s="6"/>
      <c r="H252" s="6"/>
    </row>
    <row r="253" ht="15.75" customHeight="1">
      <c r="A253" s="6"/>
      <c r="B253" s="6" t="s">
        <v>640</v>
      </c>
      <c r="C253" s="6" t="s">
        <v>641</v>
      </c>
      <c r="D253" s="8" t="s">
        <v>600</v>
      </c>
      <c r="E253" s="8" t="s">
        <v>20</v>
      </c>
      <c r="F253" s="6"/>
      <c r="G253" s="6"/>
      <c r="H253" s="6"/>
    </row>
    <row r="254" ht="15.75" customHeight="1">
      <c r="A254" s="6"/>
      <c r="B254" s="6" t="s">
        <v>643</v>
      </c>
      <c r="C254" s="6" t="s">
        <v>644</v>
      </c>
      <c r="D254" s="8" t="s">
        <v>600</v>
      </c>
      <c r="E254" s="8" t="s">
        <v>20</v>
      </c>
      <c r="F254" s="6"/>
      <c r="G254" s="6"/>
      <c r="H254" s="6"/>
    </row>
    <row r="255" ht="15.75" customHeight="1">
      <c r="A255" s="6"/>
      <c r="B255" s="6" t="s">
        <v>645</v>
      </c>
      <c r="C255" s="6" t="s">
        <v>646</v>
      </c>
      <c r="D255" s="8" t="s">
        <v>600</v>
      </c>
      <c r="E255" s="8" t="s">
        <v>20</v>
      </c>
      <c r="F255" s="6"/>
      <c r="G255" s="6"/>
      <c r="H255" s="6"/>
    </row>
    <row r="256" ht="15.75" customHeight="1">
      <c r="A256" s="6"/>
      <c r="B256" s="6" t="s">
        <v>648</v>
      </c>
      <c r="C256" s="6" t="s">
        <v>649</v>
      </c>
      <c r="D256" s="8" t="s">
        <v>600</v>
      </c>
      <c r="E256" s="8" t="s">
        <v>20</v>
      </c>
      <c r="F256" s="6"/>
      <c r="G256" s="6"/>
      <c r="H256" s="6"/>
    </row>
    <row r="257" ht="15.75" customHeight="1">
      <c r="A257" s="6"/>
      <c r="B257" s="6" t="s">
        <v>651</v>
      </c>
      <c r="C257" s="6" t="s">
        <v>652</v>
      </c>
      <c r="D257" s="8" t="s">
        <v>600</v>
      </c>
      <c r="E257" s="8" t="s">
        <v>20</v>
      </c>
      <c r="F257" s="6"/>
      <c r="G257" s="6"/>
      <c r="H257" s="6"/>
    </row>
    <row r="258" ht="15.75" customHeight="1">
      <c r="A258" s="6"/>
      <c r="B258" s="6" t="s">
        <v>653</v>
      </c>
      <c r="C258" s="6" t="s">
        <v>654</v>
      </c>
      <c r="D258" s="8" t="s">
        <v>600</v>
      </c>
      <c r="E258" s="8" t="s">
        <v>655</v>
      </c>
      <c r="F258" s="6"/>
      <c r="G258" s="6"/>
      <c r="H258" s="6"/>
    </row>
    <row r="259" ht="15.75" customHeight="1">
      <c r="A259" s="6"/>
      <c r="B259" s="6" t="s">
        <v>657</v>
      </c>
      <c r="C259" s="6" t="s">
        <v>658</v>
      </c>
      <c r="D259" s="8" t="s">
        <v>600</v>
      </c>
      <c r="E259" s="8" t="s">
        <v>655</v>
      </c>
      <c r="F259" s="6"/>
      <c r="G259" s="6"/>
      <c r="H259" s="6"/>
    </row>
    <row r="260" ht="15.75" customHeight="1">
      <c r="A260" s="6"/>
      <c r="B260" s="7" t="s">
        <v>660</v>
      </c>
      <c r="C260" s="6" t="s">
        <v>661</v>
      </c>
      <c r="D260" s="8" t="s">
        <v>600</v>
      </c>
      <c r="E260" s="8" t="s">
        <v>78</v>
      </c>
      <c r="F260" s="6"/>
      <c r="G260" s="6"/>
      <c r="H260" s="6"/>
    </row>
    <row r="261" ht="15.75" customHeight="1">
      <c r="A261" s="6"/>
      <c r="B261" s="7" t="s">
        <v>663</v>
      </c>
      <c r="C261" s="6"/>
      <c r="D261" s="8" t="s">
        <v>600</v>
      </c>
      <c r="E261" s="8"/>
      <c r="F261" s="6"/>
      <c r="G261" s="6"/>
      <c r="H261" s="6"/>
    </row>
    <row r="262" ht="15.75" customHeight="1">
      <c r="A262" s="6"/>
      <c r="B262" s="6" t="s">
        <v>664</v>
      </c>
      <c r="C262" s="6" t="s">
        <v>666</v>
      </c>
      <c r="D262" s="8" t="s">
        <v>600</v>
      </c>
      <c r="E262" s="8" t="s">
        <v>78</v>
      </c>
      <c r="F262" s="6"/>
      <c r="G262" s="6"/>
      <c r="H262" s="6"/>
    </row>
    <row r="263" ht="15.75" customHeight="1">
      <c r="A263" s="6"/>
      <c r="B263" s="6" t="s">
        <v>667</v>
      </c>
      <c r="C263" s="6" t="s">
        <v>668</v>
      </c>
      <c r="D263" s="8" t="s">
        <v>600</v>
      </c>
      <c r="E263" s="8" t="s">
        <v>20</v>
      </c>
      <c r="F263" s="6"/>
      <c r="G263" s="6"/>
      <c r="H263" s="6"/>
    </row>
    <row r="264" ht="15.75" customHeight="1">
      <c r="A264" s="6"/>
      <c r="B264" s="6" t="s">
        <v>669</v>
      </c>
      <c r="C264" s="6" t="s">
        <v>670</v>
      </c>
      <c r="D264" s="8" t="s">
        <v>600</v>
      </c>
      <c r="E264" s="8" t="s">
        <v>25</v>
      </c>
      <c r="F264" s="6"/>
      <c r="G264" s="6"/>
      <c r="H264" s="6"/>
    </row>
    <row r="265" ht="15.75" customHeight="1">
      <c r="A265" s="6"/>
      <c r="B265" s="6" t="s">
        <v>672</v>
      </c>
      <c r="C265" s="6" t="s">
        <v>673</v>
      </c>
      <c r="D265" s="8" t="s">
        <v>600</v>
      </c>
      <c r="E265" s="8" t="s">
        <v>20</v>
      </c>
      <c r="F265" s="6"/>
      <c r="G265" s="6"/>
      <c r="H265" s="6"/>
    </row>
    <row r="266" ht="15.75" customHeight="1">
      <c r="A266" s="6"/>
      <c r="B266" s="6" t="s">
        <v>674</v>
      </c>
      <c r="C266" s="6" t="s">
        <v>675</v>
      </c>
      <c r="D266" s="8" t="s">
        <v>600</v>
      </c>
      <c r="E266" s="8" t="s">
        <v>20</v>
      </c>
      <c r="F266" s="6"/>
      <c r="G266" s="6"/>
      <c r="H266" s="6"/>
    </row>
    <row r="267" ht="15.75" customHeight="1">
      <c r="A267" s="6"/>
      <c r="B267" s="6" t="s">
        <v>677</v>
      </c>
      <c r="C267" s="6" t="s">
        <v>678</v>
      </c>
      <c r="D267" s="8" t="s">
        <v>600</v>
      </c>
      <c r="E267" s="8" t="s">
        <v>20</v>
      </c>
      <c r="F267" s="6"/>
      <c r="G267" s="6"/>
      <c r="H267" s="6"/>
    </row>
    <row r="268" ht="15.75" customHeight="1">
      <c r="A268" s="6"/>
      <c r="B268" s="6" t="s">
        <v>679</v>
      </c>
      <c r="C268" s="6" t="s">
        <v>680</v>
      </c>
      <c r="D268" s="8" t="s">
        <v>600</v>
      </c>
      <c r="E268" s="8" t="s">
        <v>20</v>
      </c>
      <c r="F268" s="6"/>
      <c r="G268" s="6"/>
      <c r="H268" s="6"/>
    </row>
    <row r="269" ht="15.75" customHeight="1">
      <c r="A269" s="6"/>
      <c r="B269" s="6" t="s">
        <v>681</v>
      </c>
      <c r="C269" s="6" t="s">
        <v>683</v>
      </c>
      <c r="D269" s="8" t="s">
        <v>600</v>
      </c>
      <c r="E269" s="8" t="s">
        <v>20</v>
      </c>
      <c r="F269" s="6"/>
      <c r="G269" s="6"/>
      <c r="H269" s="6"/>
    </row>
    <row r="270" ht="15.75" customHeight="1">
      <c r="A270" s="6"/>
      <c r="B270" s="6" t="s">
        <v>684</v>
      </c>
      <c r="C270" s="6" t="s">
        <v>685</v>
      </c>
      <c r="D270" s="8" t="s">
        <v>600</v>
      </c>
      <c r="E270" s="8" t="s">
        <v>20</v>
      </c>
      <c r="F270" s="6"/>
      <c r="G270" s="6"/>
      <c r="H270" s="6"/>
    </row>
    <row r="271" ht="15.75" customHeight="1">
      <c r="A271" s="6"/>
      <c r="B271" s="6" t="s">
        <v>687</v>
      </c>
      <c r="C271" s="6" t="s">
        <v>689</v>
      </c>
      <c r="D271" s="8" t="s">
        <v>600</v>
      </c>
      <c r="E271" s="8" t="s">
        <v>20</v>
      </c>
      <c r="F271" s="6"/>
      <c r="G271" s="6"/>
      <c r="H271" s="6"/>
    </row>
    <row r="272" ht="15.75" customHeight="1">
      <c r="A272" s="6"/>
      <c r="B272" s="6" t="s">
        <v>691</v>
      </c>
      <c r="C272" s="6" t="s">
        <v>692</v>
      </c>
      <c r="D272" s="8" t="s">
        <v>600</v>
      </c>
      <c r="E272" s="8" t="s">
        <v>20</v>
      </c>
      <c r="F272" s="6"/>
      <c r="G272" s="6"/>
      <c r="H272" s="6"/>
    </row>
    <row r="273" ht="15.75" customHeight="1">
      <c r="A273" s="6"/>
      <c r="B273" s="6" t="s">
        <v>693</v>
      </c>
      <c r="C273" s="6" t="s">
        <v>694</v>
      </c>
      <c r="D273" s="8" t="s">
        <v>600</v>
      </c>
      <c r="E273" s="8" t="s">
        <v>318</v>
      </c>
      <c r="F273" s="6"/>
      <c r="G273" s="6"/>
      <c r="H273" s="6"/>
    </row>
    <row r="274" ht="15.75" customHeight="1">
      <c r="A274" s="6"/>
      <c r="B274" s="6" t="s">
        <v>695</v>
      </c>
      <c r="C274" s="6" t="s">
        <v>696</v>
      </c>
      <c r="D274" s="8" t="s">
        <v>600</v>
      </c>
      <c r="E274" s="8" t="s">
        <v>318</v>
      </c>
      <c r="F274" s="6"/>
      <c r="G274" s="6"/>
      <c r="H274" s="6"/>
    </row>
    <row r="275" ht="15.75" customHeight="1">
      <c r="A275" s="6"/>
      <c r="B275" s="6" t="s">
        <v>698</v>
      </c>
      <c r="C275" s="6" t="s">
        <v>699</v>
      </c>
      <c r="D275" s="8" t="s">
        <v>600</v>
      </c>
      <c r="E275" s="8" t="s">
        <v>25</v>
      </c>
      <c r="F275" s="6"/>
      <c r="G275" s="6"/>
      <c r="H275" s="6"/>
    </row>
    <row r="276" ht="15.75" customHeight="1">
      <c r="A276" s="6"/>
      <c r="B276" s="6" t="s">
        <v>700</v>
      </c>
      <c r="C276" s="6" t="s">
        <v>701</v>
      </c>
      <c r="D276" s="8" t="s">
        <v>600</v>
      </c>
      <c r="E276" s="8" t="s">
        <v>25</v>
      </c>
      <c r="F276" s="6"/>
      <c r="G276" s="6"/>
      <c r="H276" s="6"/>
    </row>
    <row r="277" ht="15.75" customHeight="1">
      <c r="A277" s="6"/>
      <c r="B277" s="6" t="s">
        <v>702</v>
      </c>
      <c r="C277" s="6" t="s">
        <v>703</v>
      </c>
      <c r="D277" s="8" t="s">
        <v>600</v>
      </c>
      <c r="E277" s="8" t="s">
        <v>20</v>
      </c>
      <c r="F277" s="6"/>
      <c r="G277" s="6"/>
      <c r="H277" s="6"/>
    </row>
    <row r="278" ht="15.75" customHeight="1">
      <c r="A278" s="6"/>
      <c r="B278" s="6" t="s">
        <v>704</v>
      </c>
      <c r="C278" s="6" t="s">
        <v>705</v>
      </c>
      <c r="D278" s="8" t="s">
        <v>600</v>
      </c>
      <c r="E278" s="8" t="s">
        <v>25</v>
      </c>
      <c r="F278" s="6"/>
      <c r="G278" s="6"/>
      <c r="H278" s="6"/>
    </row>
    <row r="279" ht="15.75" customHeight="1">
      <c r="A279" s="6"/>
      <c r="B279" s="6" t="s">
        <v>706</v>
      </c>
      <c r="C279" s="6" t="s">
        <v>707</v>
      </c>
      <c r="D279" s="8" t="s">
        <v>708</v>
      </c>
      <c r="E279" s="8" t="s">
        <v>709</v>
      </c>
      <c r="F279" s="6"/>
      <c r="G279" s="6"/>
      <c r="H279" s="6"/>
    </row>
    <row r="280" ht="15.75" customHeight="1">
      <c r="A280" s="6"/>
      <c r="B280" s="6" t="s">
        <v>710</v>
      </c>
      <c r="C280" s="6" t="s">
        <v>712</v>
      </c>
      <c r="D280" s="8" t="s">
        <v>708</v>
      </c>
      <c r="E280" s="8" t="s">
        <v>713</v>
      </c>
      <c r="F280" s="6"/>
      <c r="G280" s="6"/>
      <c r="H280" s="6"/>
    </row>
    <row r="281" ht="15.75" customHeight="1">
      <c r="A281" s="6"/>
      <c r="B281" s="6" t="s">
        <v>714</v>
      </c>
      <c r="C281" s="6" t="s">
        <v>545</v>
      </c>
      <c r="D281" s="8" t="s">
        <v>708</v>
      </c>
      <c r="E281" s="8" t="s">
        <v>20</v>
      </c>
      <c r="F281" s="6"/>
      <c r="G281" s="6"/>
      <c r="H281" s="6"/>
    </row>
    <row r="282" ht="15.75" customHeight="1">
      <c r="A282" s="6"/>
      <c r="B282" s="6" t="s">
        <v>715</v>
      </c>
      <c r="C282" s="6" t="s">
        <v>716</v>
      </c>
      <c r="D282" s="8" t="s">
        <v>708</v>
      </c>
      <c r="E282" s="8" t="s">
        <v>709</v>
      </c>
      <c r="F282" s="6"/>
      <c r="G282" s="6"/>
      <c r="H282" s="6"/>
    </row>
    <row r="283" ht="15.75" customHeight="1">
      <c r="A283" s="6"/>
      <c r="B283" s="6" t="s">
        <v>717</v>
      </c>
      <c r="C283" s="6" t="s">
        <v>718</v>
      </c>
      <c r="D283" s="8" t="s">
        <v>708</v>
      </c>
      <c r="E283" s="8" t="s">
        <v>25</v>
      </c>
      <c r="F283" s="6"/>
      <c r="G283" s="6"/>
      <c r="H283" s="6"/>
    </row>
    <row r="284" ht="15.75" customHeight="1">
      <c r="A284" s="6"/>
      <c r="B284" s="6" t="s">
        <v>720</v>
      </c>
      <c r="C284" s="6" t="s">
        <v>721</v>
      </c>
      <c r="D284" s="8" t="s">
        <v>708</v>
      </c>
      <c r="E284" s="8" t="s">
        <v>25</v>
      </c>
      <c r="F284" s="6"/>
      <c r="G284" s="6"/>
      <c r="H284" s="6"/>
    </row>
    <row r="285" ht="15.75" customHeight="1">
      <c r="A285" s="6"/>
      <c r="B285" s="6" t="s">
        <v>722</v>
      </c>
      <c r="C285" s="6" t="s">
        <v>723</v>
      </c>
      <c r="D285" s="8" t="s">
        <v>708</v>
      </c>
      <c r="E285" s="8" t="s">
        <v>25</v>
      </c>
      <c r="F285" s="6"/>
      <c r="G285" s="6"/>
      <c r="H285" s="6"/>
    </row>
    <row r="286" ht="15.75" customHeight="1">
      <c r="A286" s="6"/>
      <c r="B286" s="6" t="s">
        <v>724</v>
      </c>
      <c r="C286" s="6" t="s">
        <v>725</v>
      </c>
      <c r="D286" s="8" t="s">
        <v>708</v>
      </c>
      <c r="E286" s="8" t="s">
        <v>25</v>
      </c>
      <c r="F286" s="6"/>
      <c r="G286" s="6"/>
      <c r="H286" s="6"/>
    </row>
    <row r="287" ht="15.75" customHeight="1">
      <c r="A287" s="6"/>
      <c r="B287" s="6" t="s">
        <v>726</v>
      </c>
      <c r="C287" s="6" t="s">
        <v>727</v>
      </c>
      <c r="D287" s="8" t="s">
        <v>708</v>
      </c>
      <c r="E287" s="8" t="s">
        <v>25</v>
      </c>
      <c r="F287" s="6"/>
      <c r="G287" s="6"/>
      <c r="H287" s="6"/>
    </row>
    <row r="288" ht="15.75" customHeight="1">
      <c r="A288" s="6"/>
      <c r="B288" s="6" t="s">
        <v>728</v>
      </c>
      <c r="C288" s="6" t="s">
        <v>729</v>
      </c>
      <c r="D288" s="8" t="s">
        <v>708</v>
      </c>
      <c r="E288" s="8" t="s">
        <v>25</v>
      </c>
      <c r="F288" s="6"/>
      <c r="G288" s="6"/>
      <c r="H288" s="6"/>
    </row>
    <row r="289" ht="15.75" customHeight="1">
      <c r="A289" s="6"/>
      <c r="B289" s="6" t="s">
        <v>730</v>
      </c>
      <c r="C289" s="6" t="s">
        <v>731</v>
      </c>
      <c r="D289" s="8" t="s">
        <v>708</v>
      </c>
      <c r="E289" s="8" t="s">
        <v>25</v>
      </c>
      <c r="F289" s="6"/>
      <c r="G289" s="6"/>
      <c r="H289" s="6"/>
    </row>
    <row r="290" ht="15.75" customHeight="1">
      <c r="A290" s="6"/>
      <c r="B290" s="6" t="s">
        <v>732</v>
      </c>
      <c r="C290" s="6" t="s">
        <v>733</v>
      </c>
      <c r="D290" s="8" t="s">
        <v>708</v>
      </c>
      <c r="E290" s="8" t="s">
        <v>25</v>
      </c>
      <c r="F290" s="6"/>
      <c r="G290" s="6"/>
      <c r="H290" s="6"/>
    </row>
    <row r="291" ht="15.75" customHeight="1">
      <c r="A291" s="6"/>
      <c r="B291" s="6" t="s">
        <v>734</v>
      </c>
      <c r="C291" s="6" t="s">
        <v>735</v>
      </c>
      <c r="D291" s="8" t="s">
        <v>708</v>
      </c>
      <c r="E291" s="8" t="s">
        <v>25</v>
      </c>
      <c r="F291" s="6"/>
      <c r="G291" s="6"/>
      <c r="H291" s="6"/>
    </row>
    <row r="292" ht="15.75" customHeight="1">
      <c r="A292" s="6"/>
      <c r="B292" s="6" t="s">
        <v>738</v>
      </c>
      <c r="C292" s="6" t="s">
        <v>739</v>
      </c>
      <c r="D292" s="8" t="s">
        <v>708</v>
      </c>
      <c r="E292" s="8" t="s">
        <v>25</v>
      </c>
      <c r="F292" s="6"/>
      <c r="G292" s="6"/>
      <c r="H292" s="6"/>
    </row>
    <row r="293" ht="15.75" customHeight="1">
      <c r="A293" s="6"/>
      <c r="B293" s="6" t="s">
        <v>741</v>
      </c>
      <c r="C293" s="6" t="s">
        <v>279</v>
      </c>
      <c r="D293" s="8" t="s">
        <v>708</v>
      </c>
      <c r="E293" s="8" t="s">
        <v>20</v>
      </c>
      <c r="F293" s="6"/>
      <c r="G293" s="6"/>
      <c r="H293" s="6"/>
    </row>
    <row r="294" ht="15.75" customHeight="1">
      <c r="A294" s="6"/>
      <c r="B294" s="6" t="s">
        <v>743</v>
      </c>
      <c r="C294" s="6" t="s">
        <v>744</v>
      </c>
      <c r="D294" s="8" t="s">
        <v>708</v>
      </c>
      <c r="E294" s="8" t="s">
        <v>745</v>
      </c>
      <c r="F294" s="6"/>
      <c r="G294" s="6"/>
      <c r="H294" s="6"/>
    </row>
    <row r="295" ht="15.75" customHeight="1">
      <c r="A295" s="6"/>
      <c r="B295" s="6" t="s">
        <v>747</v>
      </c>
      <c r="C295" s="6" t="s">
        <v>303</v>
      </c>
      <c r="D295" s="8" t="s">
        <v>708</v>
      </c>
      <c r="E295" s="8" t="s">
        <v>745</v>
      </c>
      <c r="F295" s="6"/>
      <c r="G295" s="6"/>
      <c r="H295" s="6"/>
    </row>
    <row r="296" ht="15.75" customHeight="1">
      <c r="A296" s="6"/>
      <c r="B296" s="6" t="s">
        <v>225</v>
      </c>
      <c r="C296" s="6" t="s">
        <v>226</v>
      </c>
      <c r="D296" s="8" t="s">
        <v>708</v>
      </c>
      <c r="E296" s="8" t="s">
        <v>20</v>
      </c>
      <c r="F296" s="6"/>
      <c r="G296" s="6"/>
      <c r="H296" s="6"/>
    </row>
    <row r="297" ht="15.75" customHeight="1">
      <c r="A297" s="6"/>
      <c r="B297" s="6" t="s">
        <v>748</v>
      </c>
      <c r="C297" s="6" t="s">
        <v>749</v>
      </c>
      <c r="D297" s="8" t="s">
        <v>708</v>
      </c>
      <c r="E297" s="8" t="s">
        <v>750</v>
      </c>
      <c r="F297" s="6"/>
      <c r="G297" s="6"/>
      <c r="H297" s="6"/>
    </row>
    <row r="298" ht="15.75" customHeight="1">
      <c r="A298" s="6"/>
      <c r="B298" s="6" t="s">
        <v>752</v>
      </c>
      <c r="C298" s="6" t="s">
        <v>753</v>
      </c>
      <c r="D298" s="8" t="s">
        <v>708</v>
      </c>
      <c r="E298" s="8" t="s">
        <v>754</v>
      </c>
      <c r="F298" s="6"/>
      <c r="G298" s="6"/>
      <c r="H298" s="6"/>
    </row>
    <row r="299" ht="15.75" customHeight="1">
      <c r="A299" s="6"/>
      <c r="B299" s="6" t="s">
        <v>432</v>
      </c>
      <c r="C299" s="6" t="s">
        <v>435</v>
      </c>
      <c r="D299" s="8" t="s">
        <v>708</v>
      </c>
      <c r="E299" s="8" t="s">
        <v>754</v>
      </c>
      <c r="F299" s="6"/>
      <c r="G299" s="6"/>
      <c r="H299" s="6"/>
    </row>
    <row r="300" ht="15.75" customHeight="1">
      <c r="A300" s="6"/>
      <c r="B300" s="6" t="s">
        <v>756</v>
      </c>
      <c r="C300" s="6" t="s">
        <v>757</v>
      </c>
      <c r="D300" s="8" t="s">
        <v>708</v>
      </c>
      <c r="E300" s="8" t="s">
        <v>754</v>
      </c>
      <c r="F300" s="6"/>
      <c r="G300" s="6"/>
      <c r="H300" s="6"/>
    </row>
    <row r="301" ht="15.75" customHeight="1">
      <c r="A301" s="6"/>
      <c r="B301" s="6" t="s">
        <v>758</v>
      </c>
      <c r="C301" s="6" t="s">
        <v>759</v>
      </c>
      <c r="D301" s="8" t="s">
        <v>708</v>
      </c>
      <c r="E301" s="8" t="s">
        <v>754</v>
      </c>
      <c r="F301" s="6"/>
      <c r="G301" s="6"/>
      <c r="H301" s="6"/>
    </row>
    <row r="302" ht="15.75" customHeight="1">
      <c r="A302" s="6"/>
      <c r="B302" s="6" t="s">
        <v>760</v>
      </c>
      <c r="C302" s="6" t="s">
        <v>761</v>
      </c>
      <c r="D302" s="8" t="s">
        <v>708</v>
      </c>
      <c r="E302" s="8" t="s">
        <v>754</v>
      </c>
      <c r="F302" s="6"/>
      <c r="G302" s="6"/>
      <c r="H302" s="6"/>
    </row>
    <row r="303" ht="15.75" customHeight="1">
      <c r="A303" s="6"/>
      <c r="B303" s="6" t="s">
        <v>763</v>
      </c>
      <c r="C303" s="6" t="s">
        <v>764</v>
      </c>
      <c r="D303" s="8" t="s">
        <v>708</v>
      </c>
      <c r="E303" s="8" t="s">
        <v>754</v>
      </c>
      <c r="F303" s="6"/>
      <c r="G303" s="6"/>
      <c r="H303" s="6"/>
    </row>
    <row r="304" ht="15.75" customHeight="1">
      <c r="A304" s="6"/>
      <c r="B304" s="6" t="s">
        <v>765</v>
      </c>
      <c r="C304" s="6" t="s">
        <v>766</v>
      </c>
      <c r="D304" s="8" t="s">
        <v>708</v>
      </c>
      <c r="E304" s="8" t="s">
        <v>25</v>
      </c>
      <c r="F304" s="6"/>
      <c r="G304" s="6"/>
      <c r="H304" s="6"/>
    </row>
    <row r="305" ht="15.75" customHeight="1">
      <c r="A305" s="6"/>
      <c r="B305" s="6" t="s">
        <v>767</v>
      </c>
      <c r="C305" s="6" t="s">
        <v>768</v>
      </c>
      <c r="D305" s="8" t="s">
        <v>708</v>
      </c>
      <c r="E305" s="8" t="s">
        <v>25</v>
      </c>
      <c r="F305" s="6"/>
      <c r="G305" s="6"/>
      <c r="H305" s="6"/>
    </row>
    <row r="306" ht="15.75" customHeight="1">
      <c r="A306" s="6"/>
      <c r="B306" s="6" t="s">
        <v>770</v>
      </c>
      <c r="C306" s="6" t="s">
        <v>771</v>
      </c>
      <c r="D306" s="8" t="s">
        <v>708</v>
      </c>
      <c r="E306" s="8" t="s">
        <v>25</v>
      </c>
      <c r="F306" s="6"/>
      <c r="G306" s="6"/>
      <c r="H306" s="6"/>
    </row>
    <row r="307" ht="15.75" customHeight="1">
      <c r="A307" s="6"/>
      <c r="B307" s="6" t="s">
        <v>772</v>
      </c>
      <c r="C307" s="6" t="s">
        <v>773</v>
      </c>
      <c r="D307" s="8" t="s">
        <v>708</v>
      </c>
      <c r="E307" s="8" t="s">
        <v>774</v>
      </c>
      <c r="F307" s="6"/>
      <c r="G307" s="6"/>
      <c r="H307" s="6"/>
    </row>
    <row r="308" ht="15.75" customHeight="1">
      <c r="A308" s="6"/>
      <c r="B308" s="6" t="s">
        <v>775</v>
      </c>
      <c r="C308" s="6" t="s">
        <v>776</v>
      </c>
      <c r="D308" s="8" t="s">
        <v>708</v>
      </c>
      <c r="E308" s="8" t="s">
        <v>25</v>
      </c>
      <c r="F308" s="6"/>
      <c r="G308" s="6"/>
      <c r="H308" s="6"/>
    </row>
    <row r="309" ht="15.75" customHeight="1">
      <c r="A309" s="6"/>
      <c r="B309" s="6" t="s">
        <v>777</v>
      </c>
      <c r="C309" s="6" t="s">
        <v>778</v>
      </c>
      <c r="D309" s="8" t="s">
        <v>708</v>
      </c>
      <c r="E309" s="8" t="s">
        <v>774</v>
      </c>
      <c r="F309" s="6"/>
      <c r="G309" s="6"/>
      <c r="H309" s="6"/>
    </row>
    <row r="310" ht="15.75" customHeight="1">
      <c r="A310" s="6"/>
      <c r="B310" s="6" t="s">
        <v>780</v>
      </c>
      <c r="C310" s="6" t="s">
        <v>781</v>
      </c>
      <c r="D310" s="8" t="s">
        <v>708</v>
      </c>
      <c r="E310" s="8" t="s">
        <v>774</v>
      </c>
      <c r="F310" s="6"/>
      <c r="G310" s="6"/>
      <c r="H310" s="6"/>
    </row>
    <row r="311" ht="15.75" customHeight="1">
      <c r="A311" s="6"/>
      <c r="B311" s="6" t="s">
        <v>782</v>
      </c>
      <c r="C311" s="6" t="s">
        <v>783</v>
      </c>
      <c r="D311" s="8" t="s">
        <v>708</v>
      </c>
      <c r="E311" s="8" t="s">
        <v>774</v>
      </c>
      <c r="F311" s="6"/>
      <c r="G311" s="6"/>
      <c r="H311" s="6"/>
    </row>
    <row r="312" ht="15.75" customHeight="1">
      <c r="A312" s="6"/>
      <c r="B312" s="6" t="s">
        <v>784</v>
      </c>
      <c r="C312" s="6" t="s">
        <v>785</v>
      </c>
      <c r="D312" s="8" t="s">
        <v>708</v>
      </c>
      <c r="E312" s="8" t="s">
        <v>25</v>
      </c>
      <c r="F312" s="6"/>
      <c r="G312" s="6"/>
      <c r="H312" s="6"/>
    </row>
    <row r="313" ht="15.75" customHeight="1">
      <c r="B313" s="7" t="s">
        <v>663</v>
      </c>
      <c r="D313" s="8" t="s">
        <v>600</v>
      </c>
    </row>
    <row r="314" ht="15.75" customHeight="1">
      <c r="B314" s="7" t="s">
        <v>787</v>
      </c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>
    <dataValidation type="list" allowBlank="1" showErrorMessage="1" sqref="B260:B261 B313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2.86"/>
    <col customWidth="1" min="3" max="3" width="13.0"/>
    <col customWidth="1" min="4" max="4" width="27.29"/>
    <col customWidth="1" min="5" max="5" width="7.86"/>
    <col customWidth="1" min="6" max="6" width="11.86"/>
    <col customWidth="1" min="7" max="7" width="21.0"/>
    <col customWidth="1" min="8" max="8" width="16.71"/>
    <col customWidth="1" min="9" max="26" width="8.71"/>
  </cols>
  <sheetData>
    <row r="1">
      <c r="A1" s="1" t="s">
        <v>10</v>
      </c>
      <c r="B1" s="1" t="s">
        <v>2</v>
      </c>
      <c r="C1" s="1" t="s">
        <v>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7">
        <v>45994.0</v>
      </c>
      <c r="B2" s="6" t="s">
        <v>643</v>
      </c>
      <c r="C2" s="6" t="str">
        <f>VLOOKUP(B2,Sheet3!$B$2:$E$312,2,FALSE)</f>
        <v>P004-018</v>
      </c>
      <c r="D2" s="6" t="str">
        <f>VLOOKUP(B2,Sheet3!$B$2:$E$312,3,)</f>
        <v>barang jadi &amp; bahan baku</v>
      </c>
      <c r="E2" s="6" t="str">
        <f>VLOOKUP(B2,Sheet3!$B$2:$E$312,4,)</f>
        <v>GR</v>
      </c>
      <c r="F2" s="6">
        <v>419.0</v>
      </c>
      <c r="G2" s="6" t="s">
        <v>817</v>
      </c>
      <c r="H2" s="6" t="s">
        <v>818</v>
      </c>
    </row>
    <row r="3">
      <c r="A3" s="17">
        <v>45994.0</v>
      </c>
      <c r="B3" s="6" t="s">
        <v>648</v>
      </c>
      <c r="C3" s="6" t="str">
        <f>VLOOKUP(B3,Sheet3!$B$2:$E$312,2,FALSE)</f>
        <v>P004-020</v>
      </c>
      <c r="D3" s="6" t="str">
        <f>VLOOKUP(B3,Sheet3!$B$2:$E$312,3,)</f>
        <v>barang jadi &amp; bahan baku</v>
      </c>
      <c r="E3" s="6" t="str">
        <f>VLOOKUP(B3,Sheet3!$B$2:$E$312,4,)</f>
        <v>GR</v>
      </c>
      <c r="F3" s="6">
        <v>321.0</v>
      </c>
      <c r="G3" s="6" t="s">
        <v>817</v>
      </c>
      <c r="H3" s="6" t="s">
        <v>818</v>
      </c>
    </row>
    <row r="4">
      <c r="A4" s="17">
        <v>45992.0</v>
      </c>
      <c r="B4" s="6" t="s">
        <v>538</v>
      </c>
      <c r="C4" s="6" t="str">
        <f>VLOOKUP(B4,Sheet3!$B$2:$E$312,2,FALSE)</f>
        <v>S003-001</v>
      </c>
      <c r="D4" s="6" t="str">
        <f>VLOOKUP(B4,Sheet3!$B$2:$E$312,3,)</f>
        <v>barang jadi</v>
      </c>
      <c r="E4" s="6" t="str">
        <f>VLOOKUP(B4,Sheet3!$B$2:$E$312,4,)</f>
        <v>PORSI</v>
      </c>
      <c r="F4" s="6">
        <v>1.0</v>
      </c>
      <c r="G4" s="6" t="s">
        <v>817</v>
      </c>
      <c r="H4" s="6" t="s">
        <v>818</v>
      </c>
    </row>
    <row r="5">
      <c r="A5" s="17">
        <v>45992.0</v>
      </c>
      <c r="B5" s="6" t="s">
        <v>490</v>
      </c>
      <c r="C5" s="6" t="str">
        <f>VLOOKUP(B5,Sheet3!$B$2:$E$312,2,FALSE)</f>
        <v>P002-004</v>
      </c>
      <c r="D5" s="6" t="str">
        <f>VLOOKUP(B5,Sheet3!$B$2:$E$312,3,)</f>
        <v>barang jadi</v>
      </c>
      <c r="E5" s="6" t="str">
        <f>VLOOKUP(B5,Sheet3!$B$2:$E$312,4,)</f>
        <v>PORSI</v>
      </c>
      <c r="F5" s="6">
        <v>1.0</v>
      </c>
      <c r="G5" s="6" t="s">
        <v>817</v>
      </c>
      <c r="H5" s="6" t="s">
        <v>818</v>
      </c>
    </row>
    <row r="6">
      <c r="A6" s="17">
        <v>45994.0</v>
      </c>
      <c r="B6" s="6" t="s">
        <v>632</v>
      </c>
      <c r="C6" s="6" t="str">
        <f>VLOOKUP(B6,Sheet3!$B$2:$E$312,2,FALSE)</f>
        <v>P004-013</v>
      </c>
      <c r="D6" s="6" t="str">
        <f>VLOOKUP(B6,Sheet3!$B$2:$E$312,3,)</f>
        <v>barang jadi &amp; bahan baku</v>
      </c>
      <c r="E6" s="6" t="str">
        <f>VLOOKUP(B6,Sheet3!$B$2:$E$312,4,)</f>
        <v>PCS</v>
      </c>
      <c r="F6" s="6">
        <v>1.0</v>
      </c>
      <c r="G6" s="6" t="s">
        <v>830</v>
      </c>
      <c r="H6" s="6" t="s">
        <v>832</v>
      </c>
    </row>
    <row r="7">
      <c r="A7" s="17">
        <v>45994.0</v>
      </c>
      <c r="B7" s="6" t="s">
        <v>632</v>
      </c>
      <c r="C7" s="6" t="str">
        <f>VLOOKUP(B7,Sheet3!$B$2:$E$312,2,FALSE)</f>
        <v>P004-013</v>
      </c>
      <c r="D7" s="6" t="str">
        <f>VLOOKUP(B7,Sheet3!$B$2:$E$312,3,)</f>
        <v>barang jadi &amp; bahan baku</v>
      </c>
      <c r="E7" s="6" t="str">
        <f>VLOOKUP(B7,Sheet3!$B$2:$E$312,4,)</f>
        <v>PCS</v>
      </c>
      <c r="F7" s="6">
        <v>19.0</v>
      </c>
      <c r="G7" s="6" t="s">
        <v>837</v>
      </c>
      <c r="H7" s="6" t="s">
        <v>832</v>
      </c>
    </row>
    <row r="8">
      <c r="A8" s="17">
        <v>45994.0</v>
      </c>
      <c r="B8" s="6" t="s">
        <v>608</v>
      </c>
      <c r="C8" s="6" t="str">
        <f>VLOOKUP(B8,Sheet3!$B$2:$E$312,2,FALSE)</f>
        <v>P004-001</v>
      </c>
      <c r="D8" s="6" t="str">
        <f>VLOOKUP(B8,Sheet3!$B$2:$E$312,3,)</f>
        <v>barang jadi &amp; bahan baku</v>
      </c>
      <c r="E8" s="6" t="str">
        <f>VLOOKUP(B8,Sheet3!$B$2:$E$312,4,)</f>
        <v>PCS</v>
      </c>
      <c r="F8" s="6">
        <v>2.0</v>
      </c>
      <c r="G8" s="6" t="s">
        <v>817</v>
      </c>
      <c r="H8" s="6" t="s">
        <v>857</v>
      </c>
    </row>
    <row r="9">
      <c r="A9" s="17">
        <v>45994.0</v>
      </c>
      <c r="B9" s="6" t="s">
        <v>137</v>
      </c>
      <c r="C9" s="6" t="str">
        <f>VLOOKUP(B9,Sheet3!$B$2:$E$312,2,FALSE)</f>
        <v>B001-060</v>
      </c>
      <c r="D9" s="6" t="str">
        <f>VLOOKUP(B9,Sheet3!$B$2:$E$312,3,)</f>
        <v>bahan baku</v>
      </c>
      <c r="E9" s="6" t="str">
        <f>VLOOKUP(B9,Sheet3!$B$2:$E$312,4,)</f>
        <v>GR</v>
      </c>
      <c r="F9" s="6">
        <v>12.0</v>
      </c>
      <c r="G9" s="6" t="s">
        <v>837</v>
      </c>
      <c r="H9" s="6" t="s">
        <v>876</v>
      </c>
    </row>
    <row r="10">
      <c r="A10" s="17">
        <v>45994.0</v>
      </c>
      <c r="B10" s="6" t="s">
        <v>139</v>
      </c>
      <c r="C10" s="6" t="str">
        <f>VLOOKUP(B10,Sheet3!$B$2:$E$312,2,FALSE)</f>
        <v>B001-061</v>
      </c>
      <c r="D10" s="6" t="str">
        <f>VLOOKUP(B10,Sheet3!$B$2:$E$312,3,)</f>
        <v>bahan baku</v>
      </c>
      <c r="E10" s="6" t="str">
        <f>VLOOKUP(B10,Sheet3!$B$2:$E$312,4,)</f>
        <v>GR</v>
      </c>
      <c r="F10" s="6">
        <v>12.0</v>
      </c>
      <c r="G10" s="6" t="s">
        <v>837</v>
      </c>
      <c r="H10" s="6" t="s">
        <v>876</v>
      </c>
    </row>
    <row r="11">
      <c r="A11" s="17">
        <v>45994.0</v>
      </c>
      <c r="B11" s="6" t="s">
        <v>632</v>
      </c>
      <c r="C11" s="6" t="str">
        <f>VLOOKUP(B11,Sheet3!$B$2:$E$312,2,FALSE)</f>
        <v>P004-013</v>
      </c>
      <c r="D11" s="6" t="str">
        <f>VLOOKUP(B11,Sheet3!$B$2:$E$312,3,)</f>
        <v>barang jadi &amp; bahan baku</v>
      </c>
      <c r="E11" s="6" t="str">
        <f>VLOOKUP(B11,Sheet3!$B$2:$E$312,4,)</f>
        <v>PCS</v>
      </c>
      <c r="F11" s="6">
        <v>55.0</v>
      </c>
      <c r="G11" s="6" t="s">
        <v>837</v>
      </c>
      <c r="H11" s="6" t="s">
        <v>876</v>
      </c>
    </row>
    <row r="12">
      <c r="A12" s="17">
        <v>45994.0</v>
      </c>
      <c r="B12" s="6" t="s">
        <v>805</v>
      </c>
      <c r="C12" s="6" t="str">
        <f>VLOOKUP(B12,Sheet3!$B$2:$E$312,2,FALSE)</f>
        <v>#N/A</v>
      </c>
      <c r="D12" s="6" t="str">
        <f>VLOOKUP(B12,Sheet3!$B$2:$E$312,3,)</f>
        <v>#N/A</v>
      </c>
      <c r="E12" s="6" t="str">
        <f>VLOOKUP(B12,Sheet3!$B$2:$E$312,4,)</f>
        <v>#N/A</v>
      </c>
      <c r="F12" s="6">
        <v>3500.0</v>
      </c>
      <c r="G12" s="6" t="s">
        <v>837</v>
      </c>
      <c r="H12" s="6" t="s">
        <v>818</v>
      </c>
    </row>
    <row r="13">
      <c r="A13" s="17">
        <v>45994.0</v>
      </c>
      <c r="B13" s="6" t="s">
        <v>653</v>
      </c>
      <c r="C13" s="6" t="str">
        <f>VLOOKUP(B13,Sheet3!$B$2:$E$312,2,FALSE)</f>
        <v>P004-022</v>
      </c>
      <c r="D13" s="6" t="str">
        <f>VLOOKUP(B13,Sheet3!$B$2:$E$312,3,)</f>
        <v>barang jadi &amp; bahan baku</v>
      </c>
      <c r="E13" s="6" t="str">
        <f>VLOOKUP(B13,Sheet3!$B$2:$E$312,4,)</f>
        <v>CC</v>
      </c>
      <c r="F13" s="6">
        <v>1100.0</v>
      </c>
      <c r="G13" s="6" t="s">
        <v>837</v>
      </c>
      <c r="H13" s="6" t="s">
        <v>818</v>
      </c>
    </row>
    <row r="14">
      <c r="A14" s="17">
        <v>45994.0</v>
      </c>
      <c r="B14" s="6" t="s">
        <v>657</v>
      </c>
      <c r="C14" s="6" t="str">
        <f>VLOOKUP(B14,Sheet3!$B$2:$E$312,2,FALSE)</f>
        <v>P004-023</v>
      </c>
      <c r="D14" s="6" t="str">
        <f>VLOOKUP(B14,Sheet3!$B$2:$E$312,3,)</f>
        <v>barang jadi &amp; bahan baku</v>
      </c>
      <c r="E14" s="6" t="str">
        <f>VLOOKUP(B14,Sheet3!$B$2:$E$312,4,)</f>
        <v>CC</v>
      </c>
      <c r="F14" s="6">
        <v>1500.0</v>
      </c>
      <c r="G14" s="6" t="s">
        <v>837</v>
      </c>
      <c r="H14" s="6" t="s">
        <v>818</v>
      </c>
    </row>
    <row r="15">
      <c r="A15" s="17">
        <v>45995.0</v>
      </c>
      <c r="B15" s="6" t="s">
        <v>636</v>
      </c>
      <c r="C15" s="6" t="str">
        <f>VLOOKUP(B15,Sheet3!$B$2:$E$312,2,FALSE)</f>
        <v>P004-015</v>
      </c>
      <c r="D15" s="6" t="str">
        <f>VLOOKUP(B15,Sheet3!$B$2:$E$312,3,)</f>
        <v>barang jadi &amp; bahan baku</v>
      </c>
      <c r="E15" s="6" t="str">
        <f>VLOOKUP(B15,Sheet3!$B$2:$E$312,4,)</f>
        <v>GR</v>
      </c>
      <c r="F15" s="6">
        <v>139.0</v>
      </c>
      <c r="G15" s="6" t="s">
        <v>946</v>
      </c>
      <c r="H15" s="6" t="s">
        <v>832</v>
      </c>
    </row>
    <row r="16">
      <c r="A16" s="17">
        <v>45995.0</v>
      </c>
      <c r="B16" s="6" t="s">
        <v>561</v>
      </c>
      <c r="C16" s="6" t="str">
        <f>VLOOKUP(B16,Sheet3!$B$2:$E$312,2,FALSE)</f>
        <v>S002-004</v>
      </c>
      <c r="D16" s="6" t="str">
        <f>VLOOKUP(B16,Sheet3!$B$2:$E$312,3,)</f>
        <v>barang jadi</v>
      </c>
      <c r="E16" s="6" t="str">
        <f>VLOOKUP(B16,Sheet3!$B$2:$E$312,4,)</f>
        <v>PORSI</v>
      </c>
      <c r="F16" s="6">
        <v>1.0</v>
      </c>
      <c r="G16" s="6" t="s">
        <v>837</v>
      </c>
      <c r="H16" s="6" t="s">
        <v>953</v>
      </c>
    </row>
    <row r="17">
      <c r="A17" s="17">
        <v>45995.0</v>
      </c>
      <c r="B17" s="6" t="s">
        <v>132</v>
      </c>
      <c r="C17" s="6" t="str">
        <f>VLOOKUP(B17,Sheet3!$B$2:$E$312,2,FALSE)</f>
        <v>B001-057</v>
      </c>
      <c r="D17" s="6" t="str">
        <f>VLOOKUP(B17,Sheet3!$B$2:$E$312,3,)</f>
        <v>bahan baku</v>
      </c>
      <c r="E17" s="6" t="str">
        <f>VLOOKUP(B17,Sheet3!$B$2:$E$312,4,)</f>
        <v>GR</v>
      </c>
      <c r="F17" s="6">
        <v>36.0</v>
      </c>
      <c r="G17" s="6" t="s">
        <v>837</v>
      </c>
      <c r="H17" s="6" t="s">
        <v>832</v>
      </c>
    </row>
    <row r="18">
      <c r="A18" s="17">
        <v>45995.0</v>
      </c>
      <c r="B18" s="6" t="s">
        <v>657</v>
      </c>
      <c r="C18" s="6" t="str">
        <f>VLOOKUP(B18,Sheet3!$B$2:$E$312,2,FALSE)</f>
        <v>P004-023</v>
      </c>
      <c r="D18" s="6" t="str">
        <f>VLOOKUP(B18,Sheet3!$B$2:$E$312,3,)</f>
        <v>barang jadi &amp; bahan baku</v>
      </c>
      <c r="E18" s="6" t="str">
        <f>VLOOKUP(B18,Sheet3!$B$2:$E$312,4,)</f>
        <v>CC</v>
      </c>
      <c r="F18" s="6">
        <v>800.0</v>
      </c>
      <c r="G18" s="6" t="s">
        <v>837</v>
      </c>
      <c r="H18" s="6" t="s">
        <v>818</v>
      </c>
    </row>
    <row r="19">
      <c r="A19" s="17">
        <v>45995.0</v>
      </c>
      <c r="B19" s="6" t="s">
        <v>632</v>
      </c>
      <c r="C19" s="6" t="str">
        <f>VLOOKUP(B19,Sheet3!$B$2:$E$312,2,FALSE)</f>
        <v>P004-013</v>
      </c>
      <c r="D19" s="6" t="str">
        <f>VLOOKUP(B19,Sheet3!$B$2:$E$312,3,)</f>
        <v>barang jadi &amp; bahan baku</v>
      </c>
      <c r="E19" s="6" t="str">
        <f>VLOOKUP(B19,Sheet3!$B$2:$E$312,4,)</f>
        <v>PCS</v>
      </c>
      <c r="F19" s="6">
        <v>20.0</v>
      </c>
      <c r="G19" s="6" t="s">
        <v>837</v>
      </c>
      <c r="H19" s="6" t="s">
        <v>832</v>
      </c>
    </row>
    <row r="20">
      <c r="A20" s="17">
        <v>45995.0</v>
      </c>
      <c r="B20" s="6" t="s">
        <v>653</v>
      </c>
      <c r="C20" s="6" t="str">
        <f>VLOOKUP(B20,Sheet3!$B$2:$E$312,2,FALSE)</f>
        <v>P004-022</v>
      </c>
      <c r="D20" s="6" t="str">
        <f>VLOOKUP(B20,Sheet3!$B$2:$E$312,3,)</f>
        <v>barang jadi &amp; bahan baku</v>
      </c>
      <c r="E20" s="6" t="str">
        <f>VLOOKUP(B20,Sheet3!$B$2:$E$312,4,)</f>
        <v>CC</v>
      </c>
      <c r="F20" s="6">
        <v>250.0</v>
      </c>
      <c r="G20" s="6" t="s">
        <v>837</v>
      </c>
      <c r="H20" s="6" t="s">
        <v>818</v>
      </c>
    </row>
    <row r="21" ht="15.75" customHeight="1">
      <c r="A21" s="17">
        <v>45995.0</v>
      </c>
      <c r="B21" s="6" t="s">
        <v>741</v>
      </c>
      <c r="C21" s="6" t="str">
        <f>VLOOKUP(B21,Sheet3!$B$2:$E$312,2,FALSE)</f>
        <v>B001-028</v>
      </c>
      <c r="D21" s="6" t="str">
        <f>VLOOKUP(B21,Sheet3!$B$2:$E$312,3,)</f>
        <v>others</v>
      </c>
      <c r="E21" s="6" t="str">
        <f>VLOOKUP(B21,Sheet3!$B$2:$E$312,4,)</f>
        <v>GR</v>
      </c>
      <c r="F21" s="6">
        <v>541.0</v>
      </c>
      <c r="G21" s="6" t="s">
        <v>946</v>
      </c>
      <c r="H21" s="6" t="s">
        <v>969</v>
      </c>
    </row>
    <row r="22" ht="15.75" customHeight="1">
      <c r="A22" s="17">
        <v>45996.0</v>
      </c>
      <c r="B22" s="6" t="s">
        <v>632</v>
      </c>
      <c r="C22" s="6" t="str">
        <f>VLOOKUP(B22,Sheet3!$B$2:$E$312,2,FALSE)</f>
        <v>P004-013</v>
      </c>
      <c r="D22" s="6" t="str">
        <f>VLOOKUP(B22,Sheet3!$B$2:$E$312,3,)</f>
        <v>barang jadi &amp; bahan baku</v>
      </c>
      <c r="E22" s="6" t="str">
        <f>VLOOKUP(B22,Sheet3!$B$2:$E$312,4,)</f>
        <v>PCS</v>
      </c>
      <c r="F22" s="6">
        <v>2.0</v>
      </c>
      <c r="G22" s="6" t="s">
        <v>837</v>
      </c>
      <c r="H22" s="6" t="s">
        <v>832</v>
      </c>
    </row>
    <row r="23" ht="15.75" customHeight="1">
      <c r="A23" s="17">
        <v>45996.0</v>
      </c>
      <c r="B23" s="6" t="s">
        <v>208</v>
      </c>
      <c r="C23" s="6" t="str">
        <f>VLOOKUP(B23,Sheet3!$B$2:$E$312,2,FALSE)</f>
        <v>B001-087</v>
      </c>
      <c r="D23" s="6" t="str">
        <f>VLOOKUP(B23,Sheet3!$B$2:$E$312,3,)</f>
        <v>bahan baku</v>
      </c>
      <c r="E23" s="6" t="str">
        <f>VLOOKUP(B23,Sheet3!$B$2:$E$312,4,)</f>
        <v>PCS</v>
      </c>
      <c r="F23" s="6">
        <v>2.0</v>
      </c>
      <c r="G23" s="6" t="s">
        <v>837</v>
      </c>
      <c r="H23" s="6" t="s">
        <v>832</v>
      </c>
    </row>
    <row r="24" ht="15.75" customHeight="1">
      <c r="A24" s="17">
        <v>45996.0</v>
      </c>
      <c r="B24" s="6" t="s">
        <v>139</v>
      </c>
      <c r="C24" s="6" t="str">
        <f>VLOOKUP(B24,Sheet3!$B$2:$E$312,2,FALSE)</f>
        <v>B001-061</v>
      </c>
      <c r="D24" s="6" t="str">
        <f>VLOOKUP(B24,Sheet3!$B$2:$E$312,3,)</f>
        <v>bahan baku</v>
      </c>
      <c r="E24" s="6" t="str">
        <f>VLOOKUP(B24,Sheet3!$B$2:$E$312,4,)</f>
        <v>GR</v>
      </c>
      <c r="F24" s="6">
        <v>15.0</v>
      </c>
      <c r="G24" s="6" t="s">
        <v>837</v>
      </c>
      <c r="H24" s="6" t="s">
        <v>832</v>
      </c>
    </row>
    <row r="25" ht="15.75" customHeight="1">
      <c r="A25" s="17">
        <v>45996.0</v>
      </c>
      <c r="B25" s="6" t="s">
        <v>137</v>
      </c>
      <c r="C25" s="6" t="str">
        <f>VLOOKUP(B25,Sheet3!$B$2:$E$312,2,FALSE)</f>
        <v>B001-060</v>
      </c>
      <c r="D25" s="6" t="str">
        <f>VLOOKUP(B25,Sheet3!$B$2:$E$312,3,)</f>
        <v>bahan baku</v>
      </c>
      <c r="E25" s="6" t="str">
        <f>VLOOKUP(B25,Sheet3!$B$2:$E$312,4,)</f>
        <v>GR</v>
      </c>
      <c r="F25" s="6">
        <v>8.0</v>
      </c>
      <c r="G25" s="6" t="s">
        <v>837</v>
      </c>
      <c r="H25" s="6" t="s">
        <v>832</v>
      </c>
    </row>
    <row r="26" ht="15.75" customHeight="1">
      <c r="A26" s="17">
        <v>45996.0</v>
      </c>
      <c r="B26" s="6" t="s">
        <v>805</v>
      </c>
      <c r="C26" s="6" t="str">
        <f>VLOOKUP(B26,Sheet3!$B$2:$E$312,2,FALSE)</f>
        <v>#N/A</v>
      </c>
      <c r="D26" s="6" t="str">
        <f>VLOOKUP(B26,Sheet3!$B$2:$E$312,3,)</f>
        <v>#N/A</v>
      </c>
      <c r="E26" s="6" t="str">
        <f>VLOOKUP(B26,Sheet3!$B$2:$E$312,4,)</f>
        <v>#N/A</v>
      </c>
      <c r="F26" s="6">
        <v>830.0</v>
      </c>
      <c r="G26" s="6" t="s">
        <v>837</v>
      </c>
      <c r="H26" s="6" t="s">
        <v>818</v>
      </c>
    </row>
    <row r="27" ht="15.75" customHeight="1">
      <c r="A27" s="17">
        <v>45996.0</v>
      </c>
      <c r="B27" s="6" t="s">
        <v>632</v>
      </c>
      <c r="C27" s="6" t="str">
        <f>VLOOKUP(B27,Sheet3!$B$2:$E$312,2,FALSE)</f>
        <v>P004-013</v>
      </c>
      <c r="D27" s="6" t="str">
        <f>VLOOKUP(B27,Sheet3!$B$2:$E$312,3,)</f>
        <v>barang jadi &amp; bahan baku</v>
      </c>
      <c r="E27" s="6" t="str">
        <f>VLOOKUP(B27,Sheet3!$B$2:$E$312,4,)</f>
        <v>PCS</v>
      </c>
      <c r="F27" s="6">
        <v>6.0</v>
      </c>
      <c r="G27" s="6" t="s">
        <v>837</v>
      </c>
      <c r="H27" s="6" t="s">
        <v>832</v>
      </c>
    </row>
    <row r="28" ht="15.75" customHeight="1">
      <c r="A28" s="17">
        <v>45997.0</v>
      </c>
      <c r="B28" s="6" t="s">
        <v>636</v>
      </c>
      <c r="C28" s="6" t="str">
        <f>VLOOKUP(B28,Sheet3!$B$2:$E$312,2,FALSE)</f>
        <v>P004-015</v>
      </c>
      <c r="D28" s="6" t="str">
        <f>VLOOKUP(B28,Sheet3!$B$2:$E$312,3,)</f>
        <v>barang jadi &amp; bahan baku</v>
      </c>
      <c r="E28" s="6" t="str">
        <f>VLOOKUP(B28,Sheet3!$B$2:$E$312,4,)</f>
        <v>GR</v>
      </c>
      <c r="F28" s="6">
        <v>266.0</v>
      </c>
      <c r="G28" s="6" t="s">
        <v>837</v>
      </c>
      <c r="H28" s="6" t="s">
        <v>832</v>
      </c>
    </row>
    <row r="29" ht="15.75" customHeight="1">
      <c r="A29" s="17">
        <v>45997.0</v>
      </c>
      <c r="B29" s="6" t="s">
        <v>632</v>
      </c>
      <c r="C29" s="6" t="str">
        <f>VLOOKUP(B29,Sheet3!$B$2:$E$312,2,FALSE)</f>
        <v>P004-013</v>
      </c>
      <c r="D29" s="6" t="str">
        <f>VLOOKUP(B29,Sheet3!$B$2:$E$312,3,)</f>
        <v>barang jadi &amp; bahan baku</v>
      </c>
      <c r="E29" s="6" t="str">
        <f>VLOOKUP(B29,Sheet3!$B$2:$E$312,4,)</f>
        <v>PCS</v>
      </c>
      <c r="F29" s="6">
        <v>35.0</v>
      </c>
      <c r="G29" s="6" t="s">
        <v>837</v>
      </c>
      <c r="H29" s="6" t="s">
        <v>832</v>
      </c>
    </row>
    <row r="30" ht="15.75" customHeight="1">
      <c r="A30" s="17">
        <v>45997.0</v>
      </c>
      <c r="B30" s="6" t="s">
        <v>478</v>
      </c>
      <c r="C30" s="6" t="str">
        <f>VLOOKUP(B30,Sheet3!$B$2:$E$312,2,FALSE)</f>
        <v>P001-004</v>
      </c>
      <c r="D30" s="6" t="str">
        <f>VLOOKUP(B30,Sheet3!$B$2:$E$312,3,)</f>
        <v>barang jadi</v>
      </c>
      <c r="E30" s="6" t="str">
        <f>VLOOKUP(B30,Sheet3!$B$2:$E$312,4,)</f>
        <v>PORSI</v>
      </c>
      <c r="F30" s="6">
        <v>1.0</v>
      </c>
      <c r="G30" s="6" t="s">
        <v>946</v>
      </c>
      <c r="H30" s="6" t="s">
        <v>832</v>
      </c>
    </row>
    <row r="31" ht="15.75" customHeight="1">
      <c r="A31" s="17">
        <v>45997.0</v>
      </c>
      <c r="B31" s="6" t="s">
        <v>608</v>
      </c>
      <c r="C31" s="6" t="str">
        <f>VLOOKUP(B31,Sheet3!$B$2:$E$312,2,FALSE)</f>
        <v>P004-001</v>
      </c>
      <c r="D31" s="6" t="str">
        <f>VLOOKUP(B31,Sheet3!$B$2:$E$312,3,)</f>
        <v>barang jadi &amp; bahan baku</v>
      </c>
      <c r="E31" s="6" t="str">
        <f>VLOOKUP(B31,Sheet3!$B$2:$E$312,4,)</f>
        <v>PCS</v>
      </c>
      <c r="F31" s="6">
        <v>3.0</v>
      </c>
      <c r="G31" s="6" t="s">
        <v>837</v>
      </c>
      <c r="H31" s="6" t="s">
        <v>1056</v>
      </c>
    </row>
    <row r="32" ht="15.75" customHeight="1">
      <c r="A32" s="17">
        <v>45997.0</v>
      </c>
      <c r="B32" s="6" t="s">
        <v>524</v>
      </c>
      <c r="C32" s="6" t="str">
        <f>VLOOKUP(B32,Sheet3!$B$2:$E$312,2,FALSE)</f>
        <v>S002-001</v>
      </c>
      <c r="D32" s="6" t="str">
        <f>VLOOKUP(B32,Sheet3!$B$2:$E$312,3,)</f>
        <v>barang jadi</v>
      </c>
      <c r="E32" s="6" t="str">
        <f>VLOOKUP(B32,Sheet3!$B$2:$E$312,4,)</f>
        <v>PORSI</v>
      </c>
      <c r="F32" s="6">
        <v>1.0</v>
      </c>
      <c r="G32" s="6" t="s">
        <v>837</v>
      </c>
      <c r="H32" s="6" t="s">
        <v>1056</v>
      </c>
    </row>
    <row r="33" ht="15.75" customHeight="1">
      <c r="A33" s="17">
        <v>45997.0</v>
      </c>
      <c r="B33" s="6" t="s">
        <v>805</v>
      </c>
      <c r="C33" s="6" t="str">
        <f>VLOOKUP(B33,Sheet3!$B$2:$E$312,2,FALSE)</f>
        <v>#N/A</v>
      </c>
      <c r="D33" s="6" t="str">
        <f>VLOOKUP(B33,Sheet3!$B$2:$E$312,3,)</f>
        <v>#N/A</v>
      </c>
      <c r="E33" s="6" t="str">
        <f>VLOOKUP(B33,Sheet3!$B$2:$E$312,4,)</f>
        <v>#N/A</v>
      </c>
      <c r="F33" s="6">
        <v>2600.0</v>
      </c>
      <c r="G33" s="6" t="s">
        <v>837</v>
      </c>
      <c r="H33" s="6" t="s">
        <v>1060</v>
      </c>
    </row>
    <row r="34" ht="15.75" customHeight="1">
      <c r="A34" s="17">
        <v>45997.0</v>
      </c>
      <c r="B34" s="6" t="s">
        <v>71</v>
      </c>
      <c r="C34" s="6" t="str">
        <f>VLOOKUP(B34,Sheet3!$B$2:$E$312,2,FALSE)</f>
        <v>B001-027</v>
      </c>
      <c r="D34" s="6" t="str">
        <f>VLOOKUP(B34,Sheet3!$B$2:$E$312,3,)</f>
        <v>bahan baku</v>
      </c>
      <c r="E34" s="6" t="str">
        <f>VLOOKUP(B34,Sheet3!$B$2:$E$312,4,)</f>
        <v>GR</v>
      </c>
      <c r="F34" s="6">
        <v>126.0</v>
      </c>
      <c r="G34" s="6" t="s">
        <v>837</v>
      </c>
      <c r="H34" s="6" t="s">
        <v>876</v>
      </c>
    </row>
    <row r="35" ht="15.75" customHeight="1">
      <c r="A35" s="17">
        <v>45998.0</v>
      </c>
      <c r="B35" s="6" t="s">
        <v>158</v>
      </c>
      <c r="C35" s="6" t="str">
        <f>VLOOKUP(B35,Sheet3!$B$2:$E$312,2,FALSE)</f>
        <v>B001-069</v>
      </c>
      <c r="D35" s="6" t="str">
        <f>VLOOKUP(B35,Sheet3!$B$2:$E$312,3,)</f>
        <v>bahan baku</v>
      </c>
      <c r="E35" s="6" t="str">
        <f>VLOOKUP(B35,Sheet3!$B$2:$E$312,4,)</f>
        <v>SLICE</v>
      </c>
      <c r="F35" s="6">
        <v>4.0</v>
      </c>
      <c r="G35" s="6" t="s">
        <v>1064</v>
      </c>
      <c r="H35" s="6" t="s">
        <v>953</v>
      </c>
    </row>
    <row r="36" ht="15.75" customHeight="1">
      <c r="A36" s="17">
        <v>45998.0</v>
      </c>
      <c r="B36" s="6" t="s">
        <v>490</v>
      </c>
      <c r="C36" s="6" t="str">
        <f>VLOOKUP(B36,Sheet3!$B$2:$E$312,2,FALSE)</f>
        <v>P002-004</v>
      </c>
      <c r="D36" s="6" t="str">
        <f>VLOOKUP(B36,Sheet3!$B$2:$E$312,3,)</f>
        <v>barang jadi</v>
      </c>
      <c r="E36" s="6" t="str">
        <f>VLOOKUP(B36,Sheet3!$B$2:$E$312,4,)</f>
        <v>PORSI</v>
      </c>
      <c r="F36" s="6">
        <v>1.0</v>
      </c>
      <c r="G36" s="6" t="s">
        <v>1073</v>
      </c>
      <c r="H36" s="6" t="s">
        <v>953</v>
      </c>
    </row>
    <row r="37" ht="15.75" customHeight="1">
      <c r="A37" s="17">
        <v>45998.0</v>
      </c>
      <c r="B37" s="6" t="s">
        <v>691</v>
      </c>
      <c r="C37" s="6" t="str">
        <f>VLOOKUP(B37,Sheet3!$B$2:$E$312,2,FALSE)</f>
        <v>P004-036</v>
      </c>
      <c r="D37" s="6" t="str">
        <f>VLOOKUP(B37,Sheet3!$B$2:$E$312,3,)</f>
        <v>barang jadi &amp; bahan baku</v>
      </c>
      <c r="E37" s="6" t="str">
        <f>VLOOKUP(B37,Sheet3!$B$2:$E$312,4,)</f>
        <v>GR</v>
      </c>
      <c r="F37" s="6">
        <v>3400.0</v>
      </c>
      <c r="G37" s="6" t="s">
        <v>837</v>
      </c>
      <c r="H37" s="6" t="s">
        <v>1077</v>
      </c>
    </row>
    <row r="38" ht="15.75" customHeight="1">
      <c r="A38" s="17">
        <v>45998.0</v>
      </c>
      <c r="B38" s="6" t="s">
        <v>805</v>
      </c>
      <c r="C38" s="6" t="str">
        <f>VLOOKUP(B38,Sheet3!$B$2:$E$312,2,FALSE)</f>
        <v>#N/A</v>
      </c>
      <c r="D38" s="6" t="str">
        <f>VLOOKUP(B38,Sheet3!$B$2:$E$312,3,)</f>
        <v>#N/A</v>
      </c>
      <c r="E38" s="6" t="str">
        <f>VLOOKUP(B38,Sheet3!$B$2:$E$312,4,)</f>
        <v>#N/A</v>
      </c>
      <c r="F38" s="6">
        <v>1500.0</v>
      </c>
      <c r="G38" s="6" t="s">
        <v>837</v>
      </c>
      <c r="H38" s="6" t="s">
        <v>1077</v>
      </c>
    </row>
    <row r="39" ht="15.75" customHeight="1">
      <c r="A39" s="17">
        <v>45998.0</v>
      </c>
      <c r="B39" s="6" t="s">
        <v>653</v>
      </c>
      <c r="C39" s="6" t="str">
        <f>VLOOKUP(B39,Sheet3!$B$2:$E$312,2,FALSE)</f>
        <v>P004-022</v>
      </c>
      <c r="D39" s="6" t="str">
        <f>VLOOKUP(B39,Sheet3!$B$2:$E$312,3,)</f>
        <v>barang jadi &amp; bahan baku</v>
      </c>
      <c r="E39" s="6" t="str">
        <f>VLOOKUP(B39,Sheet3!$B$2:$E$312,4,)</f>
        <v>CC</v>
      </c>
      <c r="F39" s="6">
        <v>500.0</v>
      </c>
      <c r="G39" s="6" t="s">
        <v>837</v>
      </c>
      <c r="H39" s="6" t="s">
        <v>1077</v>
      </c>
    </row>
    <row r="40" ht="15.75" customHeight="1">
      <c r="A40" s="17">
        <v>45998.0</v>
      </c>
      <c r="B40" s="6" t="s">
        <v>657</v>
      </c>
      <c r="C40" s="6" t="str">
        <f>VLOOKUP(B40,Sheet3!$B$2:$E$312,2,FALSE)</f>
        <v>P004-023</v>
      </c>
      <c r="D40" s="6" t="str">
        <f>VLOOKUP(B40,Sheet3!$B$2:$E$312,3,)</f>
        <v>barang jadi &amp; bahan baku</v>
      </c>
      <c r="E40" s="6" t="str">
        <f>VLOOKUP(B40,Sheet3!$B$2:$E$312,4,)</f>
        <v>CC</v>
      </c>
      <c r="F40" s="6">
        <v>300.0</v>
      </c>
      <c r="G40" s="6" t="s">
        <v>837</v>
      </c>
      <c r="H40" s="6" t="s">
        <v>1077</v>
      </c>
    </row>
    <row r="41" ht="15.75" customHeight="1">
      <c r="A41" s="17">
        <v>45998.0</v>
      </c>
      <c r="B41" s="6" t="s">
        <v>632</v>
      </c>
      <c r="C41" s="6" t="str">
        <f>VLOOKUP(B41,Sheet3!$B$2:$E$312,2,FALSE)</f>
        <v>P004-013</v>
      </c>
      <c r="D41" s="6" t="str">
        <f>VLOOKUP(B41,Sheet3!$B$2:$E$312,3,)</f>
        <v>barang jadi &amp; bahan baku</v>
      </c>
      <c r="E41" s="6" t="str">
        <f>VLOOKUP(B41,Sheet3!$B$2:$E$312,4,)</f>
        <v>PCS</v>
      </c>
      <c r="F41" s="6">
        <v>9.0</v>
      </c>
      <c r="G41" s="6" t="s">
        <v>837</v>
      </c>
      <c r="H41" s="6" t="s">
        <v>832</v>
      </c>
    </row>
    <row r="42" ht="15.75" customHeight="1">
      <c r="A42" s="17">
        <v>45999.0</v>
      </c>
      <c r="B42" s="6" t="s">
        <v>86</v>
      </c>
      <c r="C42" s="6" t="str">
        <f>VLOOKUP(B42,Sheet3!$B$2:$E$312,2,FALSE)</f>
        <v>B001-036</v>
      </c>
      <c r="D42" s="6" t="str">
        <f>VLOOKUP(B42,Sheet3!$B$2:$E$312,3,)</f>
        <v>bahan baku</v>
      </c>
      <c r="E42" s="6" t="str">
        <f>VLOOKUP(B42,Sheet3!$B$2:$E$312,4,)</f>
        <v>GR</v>
      </c>
      <c r="F42" s="6">
        <v>27.0</v>
      </c>
      <c r="G42" s="6" t="s">
        <v>1082</v>
      </c>
      <c r="H42" s="6" t="s">
        <v>1077</v>
      </c>
    </row>
    <row r="43" ht="15.75" customHeight="1">
      <c r="A43" s="17">
        <v>45999.0</v>
      </c>
      <c r="B43" s="6" t="s">
        <v>657</v>
      </c>
      <c r="C43" s="6" t="str">
        <f>VLOOKUP(B43,Sheet3!$B$2:$E$312,2,FALSE)</f>
        <v>P004-023</v>
      </c>
      <c r="D43" s="6" t="str">
        <f>VLOOKUP(B43,Sheet3!$B$2:$E$312,3,)</f>
        <v>barang jadi &amp; bahan baku</v>
      </c>
      <c r="E43" s="6" t="str">
        <f>VLOOKUP(B43,Sheet3!$B$2:$E$312,4,)</f>
        <v>CC</v>
      </c>
      <c r="F43" s="6">
        <v>2000.0</v>
      </c>
      <c r="G43" s="6" t="s">
        <v>837</v>
      </c>
      <c r="H43" s="6" t="s">
        <v>1077</v>
      </c>
    </row>
    <row r="44" ht="15.75" customHeight="1">
      <c r="A44" s="17">
        <v>45999.0</v>
      </c>
      <c r="B44" s="6" t="s">
        <v>653</v>
      </c>
      <c r="C44" s="6" t="str">
        <f>VLOOKUP(B44,Sheet3!$B$2:$E$312,2,FALSE)</f>
        <v>P004-022</v>
      </c>
      <c r="D44" s="6" t="str">
        <f>VLOOKUP(B44,Sheet3!$B$2:$E$312,3,)</f>
        <v>barang jadi &amp; bahan baku</v>
      </c>
      <c r="E44" s="6" t="str">
        <f>VLOOKUP(B44,Sheet3!$B$2:$E$312,4,)</f>
        <v>CC</v>
      </c>
      <c r="F44" s="6">
        <v>1000.0</v>
      </c>
      <c r="G44" s="6" t="s">
        <v>837</v>
      </c>
      <c r="H44" s="6" t="s">
        <v>1077</v>
      </c>
    </row>
    <row r="45" ht="15.75" customHeight="1">
      <c r="A45" s="17">
        <v>45999.0</v>
      </c>
      <c r="B45" s="6" t="s">
        <v>664</v>
      </c>
      <c r="C45" s="6" t="str">
        <f>VLOOKUP(B45,Sheet3!$B$2:$E$312,2,FALSE)</f>
        <v>P004-025</v>
      </c>
      <c r="D45" s="6" t="str">
        <f>VLOOKUP(B45,Sheet3!$B$2:$E$312,3,)</f>
        <v>barang jadi &amp; bahan baku</v>
      </c>
      <c r="E45" s="6" t="str">
        <f>VLOOKUP(B45,Sheet3!$B$2:$E$312,4,)</f>
        <v>ML</v>
      </c>
      <c r="F45" s="6">
        <v>2500.0</v>
      </c>
      <c r="G45" s="6" t="s">
        <v>837</v>
      </c>
      <c r="H45" s="6" t="s">
        <v>1077</v>
      </c>
    </row>
    <row r="46" ht="15.75" customHeight="1">
      <c r="A46" s="17">
        <v>45999.0</v>
      </c>
      <c r="B46" s="6" t="s">
        <v>805</v>
      </c>
      <c r="C46" s="6" t="str">
        <f>VLOOKUP(B46,Sheet3!$B$2:$E$312,2,FALSE)</f>
        <v>#N/A</v>
      </c>
      <c r="D46" s="6" t="str">
        <f>VLOOKUP(B46,Sheet3!$B$2:$E$312,3,)</f>
        <v>#N/A</v>
      </c>
      <c r="E46" s="6" t="str">
        <f>VLOOKUP(B46,Sheet3!$B$2:$E$312,4,)</f>
        <v>#N/A</v>
      </c>
      <c r="F46" s="6">
        <v>1500.0</v>
      </c>
      <c r="G46" s="6" t="s">
        <v>837</v>
      </c>
      <c r="H46" s="6" t="s">
        <v>1077</v>
      </c>
    </row>
    <row r="47" ht="15.75" customHeight="1">
      <c r="A47" s="17">
        <v>45999.0</v>
      </c>
      <c r="B47" s="6" t="s">
        <v>608</v>
      </c>
      <c r="C47" s="6" t="str">
        <f>VLOOKUP(B47,Sheet3!$B$2:$E$312,2,FALSE)</f>
        <v>P004-001</v>
      </c>
      <c r="D47" s="6" t="str">
        <f>VLOOKUP(B47,Sheet3!$B$2:$E$312,3,)</f>
        <v>barang jadi &amp; bahan baku</v>
      </c>
      <c r="E47" s="6" t="str">
        <f>VLOOKUP(B47,Sheet3!$B$2:$E$312,4,)</f>
        <v>PCS</v>
      </c>
      <c r="F47" s="6">
        <v>3.0</v>
      </c>
      <c r="G47" s="6" t="s">
        <v>837</v>
      </c>
      <c r="H47" s="6" t="s">
        <v>1056</v>
      </c>
    </row>
    <row r="48" ht="15.75" customHeight="1">
      <c r="A48" s="17">
        <v>45999.0</v>
      </c>
      <c r="B48" s="6" t="s">
        <v>208</v>
      </c>
      <c r="C48" s="6" t="str">
        <f>VLOOKUP(B48,Sheet3!$B$2:$E$312,2,FALSE)</f>
        <v>B001-087</v>
      </c>
      <c r="D48" s="6" t="str">
        <f>VLOOKUP(B48,Sheet3!$B$2:$E$312,3,)</f>
        <v>bahan baku</v>
      </c>
      <c r="E48" s="6" t="str">
        <f>VLOOKUP(B48,Sheet3!$B$2:$E$312,4,)</f>
        <v>PCS</v>
      </c>
      <c r="F48" s="6">
        <v>1.0</v>
      </c>
      <c r="G48" s="6" t="s">
        <v>837</v>
      </c>
      <c r="H48" s="6" t="s">
        <v>876</v>
      </c>
    </row>
    <row r="49" ht="15.75" customHeight="1">
      <c r="A49" s="17">
        <v>45999.0</v>
      </c>
      <c r="B49" s="6" t="s">
        <v>608</v>
      </c>
      <c r="C49" s="6" t="str">
        <f>VLOOKUP(B49,Sheet3!$B$2:$E$312,2,FALSE)</f>
        <v>P004-001</v>
      </c>
      <c r="D49" s="6" t="str">
        <f>VLOOKUP(B49,Sheet3!$B$2:$E$312,3,)</f>
        <v>barang jadi &amp; bahan baku</v>
      </c>
      <c r="E49" s="6" t="str">
        <f>VLOOKUP(B49,Sheet3!$B$2:$E$312,4,)</f>
        <v>PCS</v>
      </c>
      <c r="F49" s="6">
        <v>6.0</v>
      </c>
      <c r="G49" s="6" t="s">
        <v>837</v>
      </c>
      <c r="H49" s="6" t="s">
        <v>832</v>
      </c>
    </row>
    <row r="50" ht="15.75" customHeight="1">
      <c r="A50" s="17">
        <v>46000.0</v>
      </c>
      <c r="B50" s="6" t="s">
        <v>634</v>
      </c>
      <c r="C50" s="6" t="str">
        <f>VLOOKUP(B50,Sheet3!$B$2:$E$312,2,FALSE)</f>
        <v>P004-014</v>
      </c>
      <c r="D50" s="6" t="str">
        <f>VLOOKUP(B50,Sheet3!$B$2:$E$312,3,)</f>
        <v>barang jadi &amp; bahan baku</v>
      </c>
      <c r="E50" s="6" t="str">
        <f>VLOOKUP(B50,Sheet3!$B$2:$E$312,4,)</f>
        <v>GR</v>
      </c>
      <c r="F50" s="6">
        <v>4.0</v>
      </c>
      <c r="G50" s="6" t="s">
        <v>837</v>
      </c>
      <c r="H50" s="6" t="s">
        <v>832</v>
      </c>
    </row>
    <row r="51" ht="15.75" customHeight="1">
      <c r="A51" s="17">
        <v>46000.0</v>
      </c>
      <c r="B51" s="6" t="s">
        <v>632</v>
      </c>
      <c r="C51" s="6" t="str">
        <f>VLOOKUP(B51,Sheet3!$B$2:$E$312,2,FALSE)</f>
        <v>P004-013</v>
      </c>
      <c r="D51" s="6" t="str">
        <f>VLOOKUP(B51,Sheet3!$B$2:$E$312,3,)</f>
        <v>barang jadi &amp; bahan baku</v>
      </c>
      <c r="E51" s="6" t="str">
        <f>VLOOKUP(B51,Sheet3!$B$2:$E$312,4,)</f>
        <v>PCS</v>
      </c>
      <c r="F51" s="6">
        <v>15.0</v>
      </c>
      <c r="G51" s="6" t="s">
        <v>837</v>
      </c>
      <c r="H51" s="6" t="s">
        <v>832</v>
      </c>
    </row>
    <row r="52" ht="15.75" customHeight="1">
      <c r="A52" s="17">
        <v>46000.0</v>
      </c>
      <c r="B52" s="6" t="s">
        <v>132</v>
      </c>
      <c r="C52" s="6" t="str">
        <f>VLOOKUP(B52,Sheet3!$B$2:$E$312,2,FALSE)</f>
        <v>B001-057</v>
      </c>
      <c r="D52" s="6" t="str">
        <f>VLOOKUP(B52,Sheet3!$B$2:$E$312,3,)</f>
        <v>bahan baku</v>
      </c>
      <c r="E52" s="6" t="str">
        <f>VLOOKUP(B52,Sheet3!$B$2:$E$312,4,)</f>
        <v>GR</v>
      </c>
      <c r="F52" s="6">
        <v>83.0</v>
      </c>
      <c r="G52" s="6" t="s">
        <v>837</v>
      </c>
      <c r="H52" s="6" t="s">
        <v>832</v>
      </c>
    </row>
    <row r="53" ht="15.75" customHeight="1">
      <c r="A53" s="17">
        <v>46000.0</v>
      </c>
      <c r="B53" s="6" t="s">
        <v>664</v>
      </c>
      <c r="C53" s="6" t="str">
        <f>VLOOKUP(B53,Sheet3!$B$2:$E$312,2,FALSE)</f>
        <v>P004-025</v>
      </c>
      <c r="D53" s="6" t="str">
        <f>VLOOKUP(B53,Sheet3!$B$2:$E$312,3,)</f>
        <v>barang jadi &amp; bahan baku</v>
      </c>
      <c r="E53" s="6" t="str">
        <f>VLOOKUP(B53,Sheet3!$B$2:$E$312,4,)</f>
        <v>ML</v>
      </c>
      <c r="F53" s="6">
        <v>1300.0</v>
      </c>
      <c r="G53" s="6" t="s">
        <v>837</v>
      </c>
      <c r="H53" s="6" t="s">
        <v>818</v>
      </c>
    </row>
    <row r="54" ht="15.75" customHeight="1">
      <c r="A54" s="17">
        <v>46000.0</v>
      </c>
      <c r="B54" s="6" t="s">
        <v>657</v>
      </c>
      <c r="C54" s="6" t="str">
        <f>VLOOKUP(B54,Sheet3!$B$2:$E$312,2,FALSE)</f>
        <v>P004-023</v>
      </c>
      <c r="D54" s="6" t="str">
        <f>VLOOKUP(B54,Sheet3!$B$2:$E$312,3,)</f>
        <v>barang jadi &amp; bahan baku</v>
      </c>
      <c r="E54" s="6" t="str">
        <f>VLOOKUP(B54,Sheet3!$B$2:$E$312,4,)</f>
        <v>CC</v>
      </c>
      <c r="F54" s="6">
        <v>750.0</v>
      </c>
      <c r="G54" s="6" t="s">
        <v>837</v>
      </c>
      <c r="H54" s="6" t="s">
        <v>818</v>
      </c>
    </row>
    <row r="55" ht="15.75" customHeight="1">
      <c r="A55" s="17">
        <v>46000.0</v>
      </c>
      <c r="B55" s="6" t="s">
        <v>653</v>
      </c>
      <c r="C55" s="6" t="str">
        <f>VLOOKUP(B55,Sheet3!$B$2:$E$312,2,FALSE)</f>
        <v>P004-022</v>
      </c>
      <c r="D55" s="6" t="str">
        <f>VLOOKUP(B55,Sheet3!$B$2:$E$312,3,)</f>
        <v>barang jadi &amp; bahan baku</v>
      </c>
      <c r="E55" s="6" t="str">
        <f>VLOOKUP(B55,Sheet3!$B$2:$E$312,4,)</f>
        <v>CC</v>
      </c>
      <c r="F55" s="6">
        <v>775.0</v>
      </c>
      <c r="G55" s="6" t="s">
        <v>837</v>
      </c>
      <c r="H55" s="6" t="s">
        <v>818</v>
      </c>
    </row>
    <row r="56" ht="15.75" customHeight="1">
      <c r="A56" s="17">
        <v>46000.0</v>
      </c>
      <c r="B56" s="6" t="s">
        <v>691</v>
      </c>
      <c r="C56" s="6" t="str">
        <f>VLOOKUP(B56,Sheet3!$B$2:$E$312,2,FALSE)</f>
        <v>P004-036</v>
      </c>
      <c r="D56" s="6" t="str">
        <f>VLOOKUP(B56,Sheet3!$B$2:$E$312,3,)</f>
        <v>barang jadi &amp; bahan baku</v>
      </c>
      <c r="E56" s="6" t="str">
        <f>VLOOKUP(B56,Sheet3!$B$2:$E$312,4,)</f>
        <v>GR</v>
      </c>
      <c r="F56" s="6">
        <v>150.0</v>
      </c>
      <c r="G56" s="6" t="s">
        <v>837</v>
      </c>
      <c r="H56" s="6" t="s">
        <v>818</v>
      </c>
    </row>
    <row r="57" ht="15.75" customHeight="1">
      <c r="A57" s="17">
        <v>46000.0</v>
      </c>
      <c r="B57" s="6" t="s">
        <v>79</v>
      </c>
      <c r="C57" s="6" t="str">
        <f>VLOOKUP(B57,Sheet3!$B$2:$E$312,2,FALSE)</f>
        <v>B001-033</v>
      </c>
      <c r="D57" s="6" t="str">
        <f>VLOOKUP(B57,Sheet3!$B$2:$E$312,3,)</f>
        <v>bahan baku</v>
      </c>
      <c r="E57" s="6" t="str">
        <f>VLOOKUP(B57,Sheet3!$B$2:$E$312,4,)</f>
        <v>PCS</v>
      </c>
      <c r="F57" s="6">
        <v>1.0</v>
      </c>
      <c r="G57" s="6" t="s">
        <v>1139</v>
      </c>
      <c r="H57" s="6" t="s">
        <v>1077</v>
      </c>
    </row>
    <row r="58" ht="15.75" customHeight="1">
      <c r="A58" s="17">
        <v>46001.0</v>
      </c>
      <c r="B58" s="6" t="s">
        <v>634</v>
      </c>
      <c r="C58" s="6" t="str">
        <f>VLOOKUP(B58,Sheet3!$B$2:$E$312,2,FALSE)</f>
        <v>P004-014</v>
      </c>
      <c r="D58" s="6" t="str">
        <f>VLOOKUP(B58,Sheet3!$B$2:$E$312,3,)</f>
        <v>barang jadi &amp; bahan baku</v>
      </c>
      <c r="E58" s="6" t="str">
        <f>VLOOKUP(B58,Sheet3!$B$2:$E$312,4,)</f>
        <v>GR</v>
      </c>
      <c r="F58" s="6">
        <v>2.0</v>
      </c>
      <c r="G58" s="6" t="s">
        <v>837</v>
      </c>
      <c r="H58" s="6" t="s">
        <v>832</v>
      </c>
    </row>
    <row r="59" ht="15.75" customHeight="1">
      <c r="A59" s="17">
        <v>46001.0</v>
      </c>
      <c r="B59" s="6" t="s">
        <v>632</v>
      </c>
      <c r="C59" s="6" t="str">
        <f>VLOOKUP(B59,Sheet3!$B$2:$E$312,2,FALSE)</f>
        <v>P004-013</v>
      </c>
      <c r="D59" s="6" t="str">
        <f>VLOOKUP(B59,Sheet3!$B$2:$E$312,3,)</f>
        <v>barang jadi &amp; bahan baku</v>
      </c>
      <c r="E59" s="6" t="str">
        <f>VLOOKUP(B59,Sheet3!$B$2:$E$312,4,)</f>
        <v>PCS</v>
      </c>
      <c r="F59" s="6">
        <v>20.0</v>
      </c>
      <c r="G59" s="6" t="s">
        <v>837</v>
      </c>
      <c r="H59" s="6" t="s">
        <v>832</v>
      </c>
    </row>
    <row r="60" ht="15.75" customHeight="1">
      <c r="A60" s="17">
        <v>46001.0</v>
      </c>
      <c r="B60" s="6" t="s">
        <v>608</v>
      </c>
      <c r="C60" s="6" t="str">
        <f>VLOOKUP(B60,Sheet3!$B$2:$E$312,2,FALSE)</f>
        <v>P004-001</v>
      </c>
      <c r="D60" s="6" t="str">
        <f>VLOOKUP(B60,Sheet3!$B$2:$E$312,3,)</f>
        <v>barang jadi &amp; bahan baku</v>
      </c>
      <c r="E60" s="6" t="str">
        <f>VLOOKUP(B60,Sheet3!$B$2:$E$312,4,)</f>
        <v>PCS</v>
      </c>
      <c r="F60" s="6">
        <v>5.0</v>
      </c>
      <c r="G60" s="6" t="s">
        <v>837</v>
      </c>
      <c r="H60" s="6" t="s">
        <v>832</v>
      </c>
    </row>
    <row r="61" ht="15.75" customHeight="1">
      <c r="A61" s="17">
        <v>46001.0</v>
      </c>
      <c r="B61" s="6" t="s">
        <v>653</v>
      </c>
      <c r="C61" s="6" t="str">
        <f>VLOOKUP(B61,Sheet3!$B$2:$E$312,2,FALSE)</f>
        <v>P004-022</v>
      </c>
      <c r="D61" s="6" t="str">
        <f>VLOOKUP(B61,Sheet3!$B$2:$E$312,3,)</f>
        <v>barang jadi &amp; bahan baku</v>
      </c>
      <c r="E61" s="6" t="str">
        <f>VLOOKUP(B61,Sheet3!$B$2:$E$312,4,)</f>
        <v>CC</v>
      </c>
      <c r="F61" s="6">
        <v>500.0</v>
      </c>
      <c r="G61" s="6" t="s">
        <v>837</v>
      </c>
      <c r="H61" s="6" t="s">
        <v>1146</v>
      </c>
    </row>
    <row r="62" ht="15.75" customHeight="1">
      <c r="A62" s="17">
        <v>46001.0</v>
      </c>
      <c r="B62" s="6" t="s">
        <v>657</v>
      </c>
      <c r="C62" s="6" t="str">
        <f>VLOOKUP(B62,Sheet3!$B$2:$E$312,2,FALSE)</f>
        <v>P004-023</v>
      </c>
      <c r="D62" s="6" t="str">
        <f>VLOOKUP(B62,Sheet3!$B$2:$E$312,3,)</f>
        <v>barang jadi &amp; bahan baku</v>
      </c>
      <c r="E62" s="6" t="str">
        <f>VLOOKUP(B62,Sheet3!$B$2:$E$312,4,)</f>
        <v>CC</v>
      </c>
      <c r="F62" s="6">
        <v>1900.0</v>
      </c>
      <c r="G62" s="6" t="s">
        <v>837</v>
      </c>
      <c r="H62" s="6" t="s">
        <v>1146</v>
      </c>
    </row>
    <row r="63" ht="15.75" customHeight="1">
      <c r="A63" s="17">
        <v>46001.0</v>
      </c>
      <c r="B63" s="6" t="s">
        <v>664</v>
      </c>
      <c r="C63" s="6" t="str">
        <f>VLOOKUP(B63,Sheet3!$B$2:$E$312,2,FALSE)</f>
        <v>P004-025</v>
      </c>
      <c r="D63" s="6" t="str">
        <f>VLOOKUP(B63,Sheet3!$B$2:$E$312,3,)</f>
        <v>barang jadi &amp; bahan baku</v>
      </c>
      <c r="E63" s="6" t="str">
        <f>VLOOKUP(B63,Sheet3!$B$2:$E$312,4,)</f>
        <v>ML</v>
      </c>
      <c r="F63" s="6">
        <v>2000.0</v>
      </c>
      <c r="G63" s="6" t="s">
        <v>837</v>
      </c>
      <c r="H63" s="6" t="s">
        <v>1146</v>
      </c>
    </row>
    <row r="64" ht="15.75" customHeight="1">
      <c r="A64" s="17">
        <v>46001.0</v>
      </c>
      <c r="B64" s="6" t="s">
        <v>79</v>
      </c>
      <c r="C64" s="6" t="str">
        <f>VLOOKUP(B64,Sheet3!$B$2:$E$312,2,FALSE)</f>
        <v>B001-033</v>
      </c>
      <c r="D64" s="6" t="str">
        <f>VLOOKUP(B64,Sheet3!$B$2:$E$312,3,)</f>
        <v>bahan baku</v>
      </c>
      <c r="E64" s="6" t="str">
        <f>VLOOKUP(B64,Sheet3!$B$2:$E$312,4,)</f>
        <v>PCS</v>
      </c>
      <c r="F64" s="6">
        <v>3.0</v>
      </c>
      <c r="G64" s="6" t="s">
        <v>837</v>
      </c>
      <c r="H64" s="6" t="s">
        <v>1146</v>
      </c>
    </row>
    <row r="65" ht="15.75" customHeight="1">
      <c r="A65" s="17">
        <v>46002.0</v>
      </c>
      <c r="B65" s="6" t="s">
        <v>54</v>
      </c>
      <c r="C65" s="6" t="str">
        <f>VLOOKUP(B65,Sheet3!$B$2:$E$312,2,FALSE)</f>
        <v>B001-019</v>
      </c>
      <c r="D65" s="6" t="str">
        <f>VLOOKUP(B65,Sheet3!$B$2:$E$312,3,)</f>
        <v>bahan baku</v>
      </c>
      <c r="E65" s="6" t="str">
        <f>VLOOKUP(B65,Sheet3!$B$2:$E$312,4,)</f>
        <v>GR</v>
      </c>
      <c r="F65" s="6">
        <v>421.0</v>
      </c>
      <c r="G65" s="6" t="s">
        <v>1082</v>
      </c>
      <c r="H65" s="6" t="s">
        <v>1146</v>
      </c>
    </row>
    <row r="66" ht="15.75" customHeight="1">
      <c r="A66" s="17">
        <v>46002.0</v>
      </c>
      <c r="B66" s="6" t="s">
        <v>86</v>
      </c>
      <c r="C66" s="6" t="str">
        <f>VLOOKUP(B66,Sheet3!$B$2:$E$312,2,FALSE)</f>
        <v>B001-036</v>
      </c>
      <c r="D66" s="6" t="str">
        <f>VLOOKUP(B66,Sheet3!$B$2:$E$312,3,)</f>
        <v>bahan baku</v>
      </c>
      <c r="E66" s="6" t="str">
        <f>VLOOKUP(B66,Sheet3!$B$2:$E$312,4,)</f>
        <v>GR</v>
      </c>
      <c r="F66" s="6">
        <v>6.0</v>
      </c>
      <c r="G66" s="6" t="s">
        <v>1082</v>
      </c>
      <c r="H66" s="6" t="s">
        <v>818</v>
      </c>
    </row>
    <row r="67" ht="15.75" customHeight="1">
      <c r="A67" s="17">
        <v>46002.0</v>
      </c>
      <c r="B67" s="6" t="s">
        <v>634</v>
      </c>
      <c r="C67" s="6" t="str">
        <f>VLOOKUP(B67,Sheet3!$B$2:$E$312,2,FALSE)</f>
        <v>P004-014</v>
      </c>
      <c r="D67" s="6" t="str">
        <f>VLOOKUP(B67,Sheet3!$B$2:$E$312,3,)</f>
        <v>barang jadi &amp; bahan baku</v>
      </c>
      <c r="E67" s="6" t="str">
        <f>VLOOKUP(B67,Sheet3!$B$2:$E$312,4,)</f>
        <v>GR</v>
      </c>
      <c r="F67" s="6">
        <v>183.0</v>
      </c>
      <c r="G67" s="6" t="s">
        <v>837</v>
      </c>
      <c r="H67" s="6" t="s">
        <v>1146</v>
      </c>
    </row>
    <row r="68" ht="15.75" customHeight="1">
      <c r="A68" s="17">
        <v>46002.0</v>
      </c>
      <c r="B68" s="6" t="s">
        <v>632</v>
      </c>
      <c r="C68" s="6" t="str">
        <f>VLOOKUP(B68,Sheet3!$B$2:$E$312,2,FALSE)</f>
        <v>P004-013</v>
      </c>
      <c r="D68" s="6" t="str">
        <f>VLOOKUP(B68,Sheet3!$B$2:$E$312,3,)</f>
        <v>barang jadi &amp; bahan baku</v>
      </c>
      <c r="E68" s="6" t="str">
        <f>VLOOKUP(B68,Sheet3!$B$2:$E$312,4,)</f>
        <v>PCS</v>
      </c>
      <c r="F68" s="6">
        <v>10.0</v>
      </c>
      <c r="G68" s="6" t="s">
        <v>837</v>
      </c>
      <c r="H68" s="6" t="s">
        <v>832</v>
      </c>
    </row>
    <row r="69" ht="15.75" customHeight="1">
      <c r="A69" s="17">
        <v>46002.0</v>
      </c>
      <c r="B69" s="6" t="s">
        <v>608</v>
      </c>
      <c r="C69" s="6" t="str">
        <f>VLOOKUP(B69,Sheet3!$B$2:$E$312,2,FALSE)</f>
        <v>P004-001</v>
      </c>
      <c r="D69" s="6" t="str">
        <f>VLOOKUP(B69,Sheet3!$B$2:$E$312,3,)</f>
        <v>barang jadi &amp; bahan baku</v>
      </c>
      <c r="E69" s="6" t="str">
        <f>VLOOKUP(B69,Sheet3!$B$2:$E$312,4,)</f>
        <v>PCS</v>
      </c>
      <c r="F69" s="6">
        <v>1.0</v>
      </c>
      <c r="G69" s="6" t="s">
        <v>837</v>
      </c>
      <c r="H69" s="6" t="s">
        <v>832</v>
      </c>
    </row>
    <row r="70" ht="15.75" customHeight="1">
      <c r="A70" s="17">
        <v>46002.0</v>
      </c>
      <c r="B70" s="6" t="s">
        <v>805</v>
      </c>
      <c r="C70" s="6" t="str">
        <f>VLOOKUP(B70,Sheet3!$B$2:$E$312,2,FALSE)</f>
        <v>#N/A</v>
      </c>
      <c r="D70" s="6" t="str">
        <f>VLOOKUP(B70,Sheet3!$B$2:$E$312,3,)</f>
        <v>#N/A</v>
      </c>
      <c r="E70" s="6" t="str">
        <f>VLOOKUP(B70,Sheet3!$B$2:$E$312,4,)</f>
        <v>#N/A</v>
      </c>
      <c r="F70" s="6">
        <v>1550.0</v>
      </c>
      <c r="G70" s="6" t="s">
        <v>837</v>
      </c>
      <c r="H70" s="6" t="s">
        <v>818</v>
      </c>
    </row>
    <row r="71" ht="15.75" customHeight="1">
      <c r="A71" s="17">
        <v>46002.0</v>
      </c>
      <c r="B71" s="6" t="s">
        <v>657</v>
      </c>
      <c r="C71" s="6" t="str">
        <f>VLOOKUP(B71,Sheet3!$B$2:$E$312,2,FALSE)</f>
        <v>P004-023</v>
      </c>
      <c r="D71" s="6" t="str">
        <f>VLOOKUP(B71,Sheet3!$B$2:$E$312,3,)</f>
        <v>barang jadi &amp; bahan baku</v>
      </c>
      <c r="E71" s="6" t="str">
        <f>VLOOKUP(B71,Sheet3!$B$2:$E$312,4,)</f>
        <v>CC</v>
      </c>
      <c r="F71" s="6">
        <v>2100.0</v>
      </c>
      <c r="G71" s="6" t="s">
        <v>837</v>
      </c>
      <c r="H71" s="6" t="s">
        <v>818</v>
      </c>
    </row>
    <row r="72" ht="15.75" customHeight="1">
      <c r="A72" s="17">
        <v>46002.0</v>
      </c>
      <c r="B72" s="6" t="s">
        <v>653</v>
      </c>
      <c r="C72" s="6" t="str">
        <f>VLOOKUP(B72,Sheet3!$B$2:$E$312,2,FALSE)</f>
        <v>P004-022</v>
      </c>
      <c r="D72" s="6" t="str">
        <f>VLOOKUP(B72,Sheet3!$B$2:$E$312,3,)</f>
        <v>barang jadi &amp; bahan baku</v>
      </c>
      <c r="E72" s="6" t="str">
        <f>VLOOKUP(B72,Sheet3!$B$2:$E$312,4,)</f>
        <v>CC</v>
      </c>
      <c r="F72" s="6">
        <v>1300.0</v>
      </c>
      <c r="G72" s="6" t="s">
        <v>837</v>
      </c>
      <c r="H72" s="6" t="s">
        <v>818</v>
      </c>
    </row>
    <row r="73" ht="15.75" customHeight="1">
      <c r="A73" s="17">
        <v>46003.0</v>
      </c>
      <c r="B73" s="6" t="s">
        <v>632</v>
      </c>
      <c r="C73" s="6" t="str">
        <f>VLOOKUP(B73,Sheet3!$B$2:$E$312,2,FALSE)</f>
        <v>P004-013</v>
      </c>
      <c r="D73" s="6" t="str">
        <f>VLOOKUP(B73,Sheet3!$B$2:$E$312,3,)</f>
        <v>barang jadi &amp; bahan baku</v>
      </c>
      <c r="E73" s="6" t="str">
        <f>VLOOKUP(B73,Sheet3!$B$2:$E$312,4,)</f>
        <v>PCS</v>
      </c>
      <c r="F73" s="6">
        <v>5.0</v>
      </c>
      <c r="G73" s="6" t="s">
        <v>837</v>
      </c>
      <c r="H73" s="6" t="s">
        <v>876</v>
      </c>
    </row>
    <row r="74" ht="15.75" customHeight="1">
      <c r="A74" s="17">
        <v>46003.0</v>
      </c>
      <c r="B74" s="6" t="s">
        <v>632</v>
      </c>
      <c r="C74" s="6" t="str">
        <f>VLOOKUP(B74,Sheet3!$B$2:$E$312,2,FALSE)</f>
        <v>P004-013</v>
      </c>
      <c r="D74" s="6" t="str">
        <f>VLOOKUP(B74,Sheet3!$B$2:$E$312,3,)</f>
        <v>barang jadi &amp; bahan baku</v>
      </c>
      <c r="E74" s="6" t="str">
        <f>VLOOKUP(B74,Sheet3!$B$2:$E$312,4,)</f>
        <v>PCS</v>
      </c>
      <c r="F74" s="6">
        <v>50.0</v>
      </c>
      <c r="G74" s="6" t="s">
        <v>1188</v>
      </c>
      <c r="H74" s="6" t="s">
        <v>832</v>
      </c>
    </row>
    <row r="75" ht="15.75" customHeight="1">
      <c r="A75" s="17">
        <v>46003.0</v>
      </c>
      <c r="B75" s="6" t="s">
        <v>532</v>
      </c>
      <c r="C75" s="6" t="str">
        <f>VLOOKUP(B75,Sheet3!$B$2:$E$312,2,FALSE)</f>
        <v>S002-007</v>
      </c>
      <c r="D75" s="6" t="str">
        <f>VLOOKUP(B75,Sheet3!$B$2:$E$312,3,)</f>
        <v>barang jadi</v>
      </c>
      <c r="E75" s="6" t="str">
        <f>VLOOKUP(B75,Sheet3!$B$2:$E$312,4,)</f>
        <v>PORSI</v>
      </c>
      <c r="F75" s="6">
        <v>1.0</v>
      </c>
      <c r="G75" s="6" t="s">
        <v>837</v>
      </c>
      <c r="H75" s="6" t="s">
        <v>832</v>
      </c>
    </row>
    <row r="76" ht="15.75" customHeight="1">
      <c r="A76" s="17">
        <v>46003.0</v>
      </c>
      <c r="B76" s="6" t="s">
        <v>634</v>
      </c>
      <c r="C76" s="6" t="str">
        <f>VLOOKUP(B76,Sheet3!$B$2:$E$312,2,FALSE)</f>
        <v>P004-014</v>
      </c>
      <c r="D76" s="6" t="str">
        <f>VLOOKUP(B76,Sheet3!$B$2:$E$312,3,)</f>
        <v>barang jadi &amp; bahan baku</v>
      </c>
      <c r="E76" s="6" t="str">
        <f>VLOOKUP(B76,Sheet3!$B$2:$E$312,4,)</f>
        <v>GR</v>
      </c>
      <c r="F76" s="6">
        <v>305.0</v>
      </c>
      <c r="G76" s="6" t="s">
        <v>837</v>
      </c>
      <c r="H76" s="6" t="s">
        <v>832</v>
      </c>
    </row>
    <row r="77" ht="15.75" customHeight="1">
      <c r="A77" s="17">
        <v>46003.0</v>
      </c>
      <c r="B77" s="6" t="s">
        <v>65</v>
      </c>
      <c r="C77" s="6" t="str">
        <f>VLOOKUP(B77,Sheet3!$B$2:$E$312,2,FALSE)</f>
        <v>B001-023</v>
      </c>
      <c r="D77" s="6" t="str">
        <f>VLOOKUP(B77,Sheet3!$B$2:$E$312,3,)</f>
        <v>bahan baku</v>
      </c>
      <c r="E77" s="6" t="str">
        <f>VLOOKUP(B77,Sheet3!$B$2:$E$312,4,)</f>
        <v>GR</v>
      </c>
      <c r="F77" s="6">
        <v>144.0</v>
      </c>
      <c r="G77" s="6" t="s">
        <v>1211</v>
      </c>
      <c r="H77" s="6" t="s">
        <v>832</v>
      </c>
    </row>
    <row r="78" ht="15.75" customHeight="1">
      <c r="A78" s="17">
        <v>46003.0</v>
      </c>
      <c r="B78" s="6" t="s">
        <v>71</v>
      </c>
      <c r="C78" s="6" t="str">
        <f>VLOOKUP(B78,Sheet3!$B$2:$E$312,2,FALSE)</f>
        <v>B001-027</v>
      </c>
      <c r="D78" s="6" t="str">
        <f>VLOOKUP(B78,Sheet3!$B$2:$E$312,3,)</f>
        <v>bahan baku</v>
      </c>
      <c r="E78" s="6" t="str">
        <f>VLOOKUP(B78,Sheet3!$B$2:$E$312,4,)</f>
        <v>GR</v>
      </c>
      <c r="F78" s="6">
        <v>127.0</v>
      </c>
      <c r="G78" s="6" t="s">
        <v>837</v>
      </c>
      <c r="H78" s="6" t="s">
        <v>1146</v>
      </c>
    </row>
    <row r="79" ht="15.75" customHeight="1">
      <c r="A79" s="17">
        <v>46004.0</v>
      </c>
      <c r="B79" s="6" t="s">
        <v>1215</v>
      </c>
      <c r="C79" s="6" t="str">
        <f>VLOOKUP(B79,Sheet3!$B$2:$E$312,2,FALSE)</f>
        <v>B001-033</v>
      </c>
      <c r="D79" s="6" t="str">
        <f>VLOOKUP(B79,Sheet3!$B$2:$E$312,3,)</f>
        <v>bahan baku</v>
      </c>
      <c r="E79" s="6" t="str">
        <f>VLOOKUP(B79,Sheet3!$B$2:$E$312,4,)</f>
        <v>PCS</v>
      </c>
      <c r="F79" s="6">
        <v>3.0</v>
      </c>
      <c r="G79" s="6" t="s">
        <v>1139</v>
      </c>
      <c r="H79" s="6" t="s">
        <v>1060</v>
      </c>
    </row>
    <row r="80" ht="15.75" customHeight="1">
      <c r="A80" s="17">
        <v>46004.0</v>
      </c>
      <c r="B80" s="6" t="s">
        <v>677</v>
      </c>
      <c r="C80" s="6" t="str">
        <f>VLOOKUP(B80,Sheet3!$B$2:$E$312,2,FALSE)</f>
        <v>P004-031</v>
      </c>
      <c r="D80" s="6" t="str">
        <f>VLOOKUP(B80,Sheet3!$B$2:$E$312,3,)</f>
        <v>barang jadi &amp; bahan baku</v>
      </c>
      <c r="E80" s="6" t="str">
        <f>VLOOKUP(B80,Sheet3!$B$2:$E$312,4,)</f>
        <v>GR</v>
      </c>
      <c r="F80" s="6">
        <v>50.0</v>
      </c>
      <c r="G80" s="6" t="s">
        <v>837</v>
      </c>
      <c r="H80" s="6" t="s">
        <v>1077</v>
      </c>
    </row>
    <row r="81" ht="15.75" customHeight="1">
      <c r="A81" s="17">
        <v>46004.0</v>
      </c>
      <c r="B81" s="6" t="s">
        <v>608</v>
      </c>
      <c r="C81" s="6" t="str">
        <f>VLOOKUP(B81,Sheet3!$B$2:$E$312,2,FALSE)</f>
        <v>P004-001</v>
      </c>
      <c r="D81" s="6" t="str">
        <f>VLOOKUP(B81,Sheet3!$B$2:$E$312,3,)</f>
        <v>barang jadi &amp; bahan baku</v>
      </c>
      <c r="E81" s="6" t="str">
        <f>VLOOKUP(B81,Sheet3!$B$2:$E$312,4,)</f>
        <v>PCS</v>
      </c>
      <c r="F81" s="6">
        <v>4.0</v>
      </c>
      <c r="G81" s="6" t="s">
        <v>837</v>
      </c>
      <c r="H81" s="6" t="s">
        <v>832</v>
      </c>
    </row>
    <row r="82" ht="15.75" customHeight="1">
      <c r="A82" s="17">
        <v>46004.0</v>
      </c>
      <c r="B82" s="6" t="s">
        <v>632</v>
      </c>
      <c r="C82" s="6" t="str">
        <f>VLOOKUP(B82,Sheet3!$B$2:$E$312,2,FALSE)</f>
        <v>P004-013</v>
      </c>
      <c r="D82" s="6" t="str">
        <f>VLOOKUP(B82,Sheet3!$B$2:$E$312,3,)</f>
        <v>barang jadi &amp; bahan baku</v>
      </c>
      <c r="E82" s="6" t="str">
        <f>VLOOKUP(B82,Sheet3!$B$2:$E$312,4,)</f>
        <v>PCS</v>
      </c>
      <c r="F82" s="6">
        <v>13.0</v>
      </c>
      <c r="G82" s="6" t="s">
        <v>837</v>
      </c>
      <c r="H82" s="6" t="s">
        <v>876</v>
      </c>
    </row>
    <row r="83" ht="15.75" customHeight="1">
      <c r="A83" s="17">
        <v>46004.0</v>
      </c>
      <c r="B83" s="6" t="s">
        <v>634</v>
      </c>
      <c r="C83" s="6" t="str">
        <f>VLOOKUP(B83,Sheet3!$B$2:$E$312,2,FALSE)</f>
        <v>P004-014</v>
      </c>
      <c r="D83" s="6" t="str">
        <f>VLOOKUP(B83,Sheet3!$B$2:$E$312,3,)</f>
        <v>barang jadi &amp; bahan baku</v>
      </c>
      <c r="E83" s="6" t="str">
        <f>VLOOKUP(B83,Sheet3!$B$2:$E$312,4,)</f>
        <v>GR</v>
      </c>
      <c r="F83" s="6">
        <v>252.0</v>
      </c>
      <c r="G83" s="6" t="s">
        <v>837</v>
      </c>
      <c r="H83" s="6" t="s">
        <v>876</v>
      </c>
    </row>
    <row r="84" ht="15.75" customHeight="1">
      <c r="A84" s="17">
        <v>46004.0</v>
      </c>
      <c r="B84" s="6" t="s">
        <v>653</v>
      </c>
      <c r="C84" s="6" t="str">
        <f>VLOOKUP(B84,Sheet3!$B$2:$E$312,2,FALSE)</f>
        <v>P004-022</v>
      </c>
      <c r="D84" s="6" t="str">
        <f>VLOOKUP(B84,Sheet3!$B$2:$E$312,3,)</f>
        <v>barang jadi &amp; bahan baku</v>
      </c>
      <c r="E84" s="6" t="str">
        <f>VLOOKUP(B84,Sheet3!$B$2:$E$312,4,)</f>
        <v>CC</v>
      </c>
      <c r="F84" s="6">
        <v>2000.0</v>
      </c>
      <c r="G84" s="6" t="s">
        <v>837</v>
      </c>
      <c r="H84" s="6" t="s">
        <v>818</v>
      </c>
    </row>
    <row r="85" ht="15.75" customHeight="1">
      <c r="A85" s="17">
        <v>46004.0</v>
      </c>
      <c r="B85" s="6" t="s">
        <v>657</v>
      </c>
      <c r="C85" s="6" t="str">
        <f>VLOOKUP(B85,Sheet3!$B$2:$E$312,2,FALSE)</f>
        <v>P004-023</v>
      </c>
      <c r="D85" s="6" t="str">
        <f>VLOOKUP(B85,Sheet3!$B$2:$E$312,3,)</f>
        <v>barang jadi &amp; bahan baku</v>
      </c>
      <c r="E85" s="6" t="str">
        <f>VLOOKUP(B85,Sheet3!$B$2:$E$312,4,)</f>
        <v>CC</v>
      </c>
      <c r="F85" s="6">
        <v>2400.0</v>
      </c>
      <c r="G85" s="6" t="s">
        <v>837</v>
      </c>
      <c r="H85" s="6" t="s">
        <v>818</v>
      </c>
    </row>
    <row r="86" ht="15.75" customHeight="1">
      <c r="A86" s="17">
        <v>46004.0</v>
      </c>
      <c r="B86" s="6" t="s">
        <v>640</v>
      </c>
      <c r="C86" s="6" t="str">
        <f>VLOOKUP(B86,Sheet3!$B$2:$E$312,2,FALSE)</f>
        <v>P004-016</v>
      </c>
      <c r="D86" s="6" t="str">
        <f>VLOOKUP(B86,Sheet3!$B$2:$E$312,3,)</f>
        <v>barang jadi &amp; bahan baku</v>
      </c>
      <c r="E86" s="6" t="str">
        <f>VLOOKUP(B86,Sheet3!$B$2:$E$312,4,)</f>
        <v>GR</v>
      </c>
      <c r="F86" s="6">
        <v>731.0</v>
      </c>
      <c r="G86" s="6" t="s">
        <v>837</v>
      </c>
      <c r="H86" s="6" t="s">
        <v>876</v>
      </c>
    </row>
    <row r="87" ht="15.75" customHeight="1">
      <c r="A87" s="17">
        <v>46004.0</v>
      </c>
      <c r="B87" s="6" t="s">
        <v>684</v>
      </c>
      <c r="C87" s="6" t="str">
        <f>VLOOKUP(B87,Sheet3!$B$2:$E$312,2,FALSE)</f>
        <v>P004-034</v>
      </c>
      <c r="D87" s="6" t="str">
        <f>VLOOKUP(B87,Sheet3!$B$2:$E$312,3,)</f>
        <v>barang jadi &amp; bahan baku</v>
      </c>
      <c r="E87" s="6" t="str">
        <f>VLOOKUP(B87,Sheet3!$B$2:$E$312,4,)</f>
        <v>GR</v>
      </c>
      <c r="F87" s="6">
        <v>51.0</v>
      </c>
      <c r="G87" s="6" t="s">
        <v>837</v>
      </c>
      <c r="H87" s="6" t="s">
        <v>876</v>
      </c>
    </row>
    <row r="88" ht="15.75" customHeight="1">
      <c r="A88" s="17">
        <v>46004.0</v>
      </c>
      <c r="B88" s="6" t="s">
        <v>1215</v>
      </c>
      <c r="C88" s="6" t="str">
        <f>VLOOKUP(B88,Sheet3!$B$2:$E$312,2,FALSE)</f>
        <v>B001-033</v>
      </c>
      <c r="D88" s="6" t="str">
        <f>VLOOKUP(B88,Sheet3!$B$2:$E$312,3,)</f>
        <v>bahan baku</v>
      </c>
      <c r="E88" s="6" t="str">
        <f>VLOOKUP(B88,Sheet3!$B$2:$E$312,4,)</f>
        <v>PCS</v>
      </c>
      <c r="F88" s="6">
        <v>4.0</v>
      </c>
      <c r="G88" s="6" t="s">
        <v>1234</v>
      </c>
      <c r="H88" s="6" t="s">
        <v>1077</v>
      </c>
    </row>
    <row r="89" ht="15.75" customHeight="1">
      <c r="A89" s="17">
        <v>46005.0</v>
      </c>
      <c r="B89" s="6" t="s">
        <v>323</v>
      </c>
      <c r="C89" s="6" t="str">
        <f>VLOOKUP(B89,Sheet3!$B$2:$E$312,2,FALSE)</f>
        <v>D001-004</v>
      </c>
      <c r="D89" s="6" t="str">
        <f>VLOOKUP(B89,Sheet3!$B$2:$E$312,3,)</f>
        <v>barang jadi</v>
      </c>
      <c r="E89" s="6" t="str">
        <f>VLOOKUP(B89,Sheet3!$B$2:$E$312,4,)</f>
        <v>PORSI</v>
      </c>
      <c r="F89" s="6">
        <v>1.0</v>
      </c>
      <c r="G89" s="6" t="s">
        <v>1235</v>
      </c>
      <c r="H89" s="6" t="s">
        <v>832</v>
      </c>
    </row>
    <row r="90" ht="15.75" customHeight="1">
      <c r="A90" s="17">
        <v>46005.0</v>
      </c>
      <c r="B90" s="6" t="s">
        <v>608</v>
      </c>
      <c r="C90" s="6" t="str">
        <f>VLOOKUP(B90,Sheet3!$B$2:$E$312,2,FALSE)</f>
        <v>P004-001</v>
      </c>
      <c r="D90" s="6" t="str">
        <f>VLOOKUP(B90,Sheet3!$B$2:$E$312,3,)</f>
        <v>barang jadi &amp; bahan baku</v>
      </c>
      <c r="E90" s="6" t="str">
        <f>VLOOKUP(B90,Sheet3!$B$2:$E$312,4,)</f>
        <v>PCS</v>
      </c>
      <c r="F90" s="6">
        <v>2.0</v>
      </c>
      <c r="G90" s="6" t="s">
        <v>837</v>
      </c>
      <c r="H90" s="6" t="s">
        <v>832</v>
      </c>
    </row>
    <row r="91" ht="15.75" customHeight="1">
      <c r="A91" s="17">
        <v>46005.0</v>
      </c>
      <c r="B91" s="6" t="s">
        <v>634</v>
      </c>
      <c r="C91" s="6" t="str">
        <f>VLOOKUP(B91,Sheet3!$B$2:$E$312,2,FALSE)</f>
        <v>P004-014</v>
      </c>
      <c r="D91" s="6" t="str">
        <f>VLOOKUP(B91,Sheet3!$B$2:$E$312,3,)</f>
        <v>barang jadi &amp; bahan baku</v>
      </c>
      <c r="E91" s="6" t="str">
        <f>VLOOKUP(B91,Sheet3!$B$2:$E$312,4,)</f>
        <v>GR</v>
      </c>
      <c r="F91" s="6">
        <v>116.0</v>
      </c>
      <c r="G91" s="6" t="s">
        <v>837</v>
      </c>
      <c r="H91" s="6" t="s">
        <v>832</v>
      </c>
    </row>
    <row r="92" ht="15.75" customHeight="1">
      <c r="A92" s="17">
        <v>46005.0</v>
      </c>
      <c r="B92" s="6" t="s">
        <v>653</v>
      </c>
      <c r="C92" s="6" t="str">
        <f>VLOOKUP(B92,Sheet3!$B$2:$E$312,2,FALSE)</f>
        <v>P004-022</v>
      </c>
      <c r="D92" s="6" t="str">
        <f>VLOOKUP(B92,Sheet3!$B$2:$E$312,3,)</f>
        <v>barang jadi &amp; bahan baku</v>
      </c>
      <c r="E92" s="6" t="str">
        <f>VLOOKUP(B92,Sheet3!$B$2:$E$312,4,)</f>
        <v>CC</v>
      </c>
      <c r="F92" s="6">
        <v>2500.0</v>
      </c>
      <c r="G92" s="6" t="s">
        <v>837</v>
      </c>
      <c r="H92" s="6" t="s">
        <v>1077</v>
      </c>
    </row>
    <row r="93" ht="15.75" customHeight="1">
      <c r="A93" s="17">
        <v>46005.0</v>
      </c>
      <c r="B93" s="6" t="s">
        <v>657</v>
      </c>
      <c r="C93" s="6" t="str">
        <f>VLOOKUP(B93,Sheet3!$B$2:$E$312,2,FALSE)</f>
        <v>P004-023</v>
      </c>
      <c r="D93" s="6" t="str">
        <f>VLOOKUP(B93,Sheet3!$B$2:$E$312,3,)</f>
        <v>barang jadi &amp; bahan baku</v>
      </c>
      <c r="E93" s="6" t="str">
        <f>VLOOKUP(B93,Sheet3!$B$2:$E$312,4,)</f>
        <v>CC</v>
      </c>
      <c r="F93" s="6">
        <v>1000.0</v>
      </c>
      <c r="G93" s="6" t="s">
        <v>837</v>
      </c>
      <c r="H93" s="6" t="s">
        <v>1077</v>
      </c>
    </row>
    <row r="94" ht="15.75" customHeight="1">
      <c r="A94" s="17">
        <v>46005.0</v>
      </c>
      <c r="B94" s="6" t="s">
        <v>674</v>
      </c>
      <c r="C94" s="6" t="str">
        <f>VLOOKUP(B94,Sheet3!$B$2:$E$312,2,FALSE)</f>
        <v>P004-029</v>
      </c>
      <c r="D94" s="6" t="str">
        <f>VLOOKUP(B94,Sheet3!$B$2:$E$312,3,)</f>
        <v>barang jadi &amp; bahan baku</v>
      </c>
      <c r="E94" s="6" t="str">
        <f>VLOOKUP(B94,Sheet3!$B$2:$E$312,4,)</f>
        <v>GR</v>
      </c>
      <c r="F94" s="6">
        <v>200.0</v>
      </c>
      <c r="G94" s="6" t="s">
        <v>837</v>
      </c>
      <c r="H94" s="6" t="s">
        <v>969</v>
      </c>
    </row>
    <row r="95" ht="15.75" customHeight="1">
      <c r="A95" s="17">
        <v>46006.0</v>
      </c>
      <c r="B95" s="6" t="s">
        <v>150</v>
      </c>
      <c r="C95" s="6" t="str">
        <f>VLOOKUP(B95,Sheet3!$B$2:$E$312,2,FALSE)</f>
        <v>B001-066</v>
      </c>
      <c r="D95" s="6" t="str">
        <f>VLOOKUP(B95,Sheet3!$B$2:$E$312,3,)</f>
        <v>bahan baku</v>
      </c>
      <c r="E95" s="6" t="str">
        <f>VLOOKUP(B95,Sheet3!$B$2:$E$312,4,)</f>
        <v>PCS</v>
      </c>
      <c r="F95" s="6">
        <v>1.0</v>
      </c>
      <c r="G95" s="6" t="s">
        <v>837</v>
      </c>
      <c r="H95" s="6" t="s">
        <v>876</v>
      </c>
    </row>
    <row r="96" ht="15.75" customHeight="1">
      <c r="A96" s="17">
        <v>46006.0</v>
      </c>
      <c r="B96" s="6" t="s">
        <v>71</v>
      </c>
      <c r="C96" s="6" t="str">
        <f>VLOOKUP(B96,Sheet3!$B$2:$E$312,2,FALSE)</f>
        <v>B001-027</v>
      </c>
      <c r="D96" s="6" t="str">
        <f>VLOOKUP(B96,Sheet3!$B$2:$E$312,3,)</f>
        <v>bahan baku</v>
      </c>
      <c r="E96" s="6" t="str">
        <f>VLOOKUP(B96,Sheet3!$B$2:$E$312,4,)</f>
        <v>GR</v>
      </c>
      <c r="F96" s="6">
        <v>240.0</v>
      </c>
      <c r="G96" s="6" t="s">
        <v>837</v>
      </c>
      <c r="H96" s="6" t="s">
        <v>876</v>
      </c>
    </row>
    <row r="97" ht="15.75" customHeight="1">
      <c r="A97" s="17">
        <v>46006.0</v>
      </c>
      <c r="B97" s="6" t="s">
        <v>158</v>
      </c>
      <c r="C97" s="6" t="str">
        <f>VLOOKUP(B97,Sheet3!$B$2:$E$312,2,FALSE)</f>
        <v>B001-069</v>
      </c>
      <c r="D97" s="6" t="str">
        <f>VLOOKUP(B97,Sheet3!$B$2:$E$312,3,)</f>
        <v>bahan baku</v>
      </c>
      <c r="E97" s="6" t="str">
        <f>VLOOKUP(B97,Sheet3!$B$2:$E$312,4,)</f>
        <v>SLICE</v>
      </c>
      <c r="F97" s="6">
        <v>2.0</v>
      </c>
      <c r="G97" s="6" t="s">
        <v>1139</v>
      </c>
      <c r="H97" s="6" t="s">
        <v>876</v>
      </c>
    </row>
    <row r="98" ht="15.75" customHeight="1">
      <c r="A98" s="17">
        <v>46006.0</v>
      </c>
      <c r="B98" s="6" t="s">
        <v>632</v>
      </c>
      <c r="C98" s="6" t="str">
        <f>VLOOKUP(B98,Sheet3!$B$2:$E$312,2,FALSE)</f>
        <v>P004-013</v>
      </c>
      <c r="D98" s="6" t="str">
        <f>VLOOKUP(B98,Sheet3!$B$2:$E$312,3,)</f>
        <v>barang jadi &amp; bahan baku</v>
      </c>
      <c r="E98" s="6" t="str">
        <f>VLOOKUP(B98,Sheet3!$B$2:$E$312,4,)</f>
        <v>PCS</v>
      </c>
      <c r="F98" s="6">
        <v>13.0</v>
      </c>
      <c r="G98" s="6" t="s">
        <v>837</v>
      </c>
      <c r="H98" s="6" t="s">
        <v>1247</v>
      </c>
    </row>
    <row r="99" ht="15.75" customHeight="1">
      <c r="A99" s="17">
        <v>46006.0</v>
      </c>
      <c r="B99" s="6" t="s">
        <v>608</v>
      </c>
      <c r="C99" s="6" t="str">
        <f>VLOOKUP(B99,Sheet3!$B$2:$E$312,2,FALSE)</f>
        <v>P004-001</v>
      </c>
      <c r="D99" s="6" t="str">
        <f>VLOOKUP(B99,Sheet3!$B$2:$E$312,3,)</f>
        <v>barang jadi &amp; bahan baku</v>
      </c>
      <c r="E99" s="6" t="str">
        <f>VLOOKUP(B99,Sheet3!$B$2:$E$312,4,)</f>
        <v>PCS</v>
      </c>
      <c r="F99" s="6">
        <v>1.0</v>
      </c>
      <c r="G99" s="6" t="s">
        <v>837</v>
      </c>
      <c r="H99" s="6" t="s">
        <v>1247</v>
      </c>
    </row>
    <row r="100" ht="15.75" customHeight="1">
      <c r="A100" s="17">
        <v>46007.0</v>
      </c>
      <c r="B100" s="6" t="s">
        <v>79</v>
      </c>
      <c r="C100" s="6" t="str">
        <f>VLOOKUP(B100,Sheet3!$B$2:$E$312,2,FALSE)</f>
        <v>B001-033</v>
      </c>
      <c r="D100" s="6" t="str">
        <f>VLOOKUP(B100,Sheet3!$B$2:$E$312,3,)</f>
        <v>bahan baku</v>
      </c>
      <c r="E100" s="6" t="str">
        <f>VLOOKUP(B100,Sheet3!$B$2:$E$312,4,)</f>
        <v>PCS</v>
      </c>
      <c r="F100" s="6">
        <v>3.0</v>
      </c>
      <c r="G100" s="6" t="s">
        <v>1139</v>
      </c>
      <c r="H100" s="6" t="s">
        <v>1251</v>
      </c>
    </row>
    <row r="101" ht="15.75" customHeight="1">
      <c r="A101" s="17">
        <v>46006.0</v>
      </c>
      <c r="B101" s="6" t="s">
        <v>653</v>
      </c>
      <c r="C101" s="6" t="str">
        <f>VLOOKUP(B101,Sheet3!$B$2:$E$312,2,FALSE)</f>
        <v>P004-022</v>
      </c>
      <c r="D101" s="6" t="str">
        <f>VLOOKUP(B101,Sheet3!$B$2:$E$312,3,)</f>
        <v>barang jadi &amp; bahan baku</v>
      </c>
      <c r="E101" s="6" t="str">
        <f>VLOOKUP(B101,Sheet3!$B$2:$E$312,4,)</f>
        <v>CC</v>
      </c>
      <c r="F101" s="6">
        <v>2600.0</v>
      </c>
      <c r="G101" s="6" t="s">
        <v>837</v>
      </c>
      <c r="H101" s="6" t="s">
        <v>1077</v>
      </c>
    </row>
    <row r="102" ht="15.75" customHeight="1">
      <c r="A102" s="17">
        <v>46006.0</v>
      </c>
      <c r="B102" s="6" t="s">
        <v>657</v>
      </c>
      <c r="C102" s="6" t="str">
        <f>VLOOKUP(B102,Sheet3!$B$2:$E$312,2,FALSE)</f>
        <v>P004-023</v>
      </c>
      <c r="D102" s="6" t="str">
        <f>VLOOKUP(B102,Sheet3!$B$2:$E$312,3,)</f>
        <v>barang jadi &amp; bahan baku</v>
      </c>
      <c r="E102" s="6" t="str">
        <f>VLOOKUP(B102,Sheet3!$B$2:$E$312,4,)</f>
        <v>CC</v>
      </c>
      <c r="F102" s="6">
        <v>2400.0</v>
      </c>
      <c r="G102" s="6" t="s">
        <v>837</v>
      </c>
      <c r="H102" s="6" t="s">
        <v>1077</v>
      </c>
    </row>
    <row r="103" ht="15.75" customHeight="1">
      <c r="A103" s="17">
        <v>46006.0</v>
      </c>
      <c r="B103" s="6" t="s">
        <v>664</v>
      </c>
      <c r="C103" s="6" t="str">
        <f>VLOOKUP(B103,Sheet3!$B$2:$E$312,2,FALSE)</f>
        <v>P004-025</v>
      </c>
      <c r="D103" s="6" t="str">
        <f>VLOOKUP(B103,Sheet3!$B$2:$E$312,3,)</f>
        <v>barang jadi &amp; bahan baku</v>
      </c>
      <c r="E103" s="6" t="str">
        <f>VLOOKUP(B103,Sheet3!$B$2:$E$312,4,)</f>
        <v>ML</v>
      </c>
      <c r="F103" s="6">
        <v>600.0</v>
      </c>
      <c r="G103" s="6" t="s">
        <v>837</v>
      </c>
      <c r="H103" s="6" t="s">
        <v>1077</v>
      </c>
    </row>
    <row r="104" ht="15.75" customHeight="1">
      <c r="A104" s="17">
        <v>46006.0</v>
      </c>
      <c r="B104" s="6" t="s">
        <v>805</v>
      </c>
      <c r="C104" s="6" t="str">
        <f>VLOOKUP(B104,Sheet3!$B$2:$E$312,2,FALSE)</f>
        <v>#N/A</v>
      </c>
      <c r="D104" s="6" t="str">
        <f>VLOOKUP(B104,Sheet3!$B$2:$E$312,3,)</f>
        <v>#N/A</v>
      </c>
      <c r="E104" s="6" t="str">
        <f>VLOOKUP(B104,Sheet3!$B$2:$E$312,4,)</f>
        <v>#N/A</v>
      </c>
      <c r="F104" s="6">
        <v>600.0</v>
      </c>
      <c r="G104" s="6" t="s">
        <v>837</v>
      </c>
      <c r="H104" s="6" t="s">
        <v>1077</v>
      </c>
    </row>
    <row r="105" ht="15.75" customHeight="1">
      <c r="A105" s="17">
        <v>46007.0</v>
      </c>
      <c r="B105" s="6" t="s">
        <v>132</v>
      </c>
      <c r="C105" s="6" t="str">
        <f>VLOOKUP(B105,Sheet3!$B$2:$E$312,2,FALSE)</f>
        <v>B001-057</v>
      </c>
      <c r="D105" s="6" t="str">
        <f>VLOOKUP(B105,Sheet3!$B$2:$E$312,3,)</f>
        <v>bahan baku</v>
      </c>
      <c r="E105" s="6" t="str">
        <f>VLOOKUP(B105,Sheet3!$B$2:$E$312,4,)</f>
        <v>GR</v>
      </c>
      <c r="F105" s="6">
        <v>55.0</v>
      </c>
      <c r="G105" s="6" t="s">
        <v>837</v>
      </c>
      <c r="H105" s="6" t="s">
        <v>969</v>
      </c>
    </row>
    <row r="106" ht="15.75" customHeight="1">
      <c r="A106" s="17">
        <v>46007.0</v>
      </c>
      <c r="B106" s="6" t="s">
        <v>643</v>
      </c>
      <c r="C106" s="6" t="str">
        <f>VLOOKUP(B106,Sheet3!$B$2:$E$312,2,FALSE)</f>
        <v>P004-018</v>
      </c>
      <c r="D106" s="6" t="str">
        <f>VLOOKUP(B106,Sheet3!$B$2:$E$312,3,)</f>
        <v>barang jadi &amp; bahan baku</v>
      </c>
      <c r="E106" s="6" t="str">
        <f>VLOOKUP(B106,Sheet3!$B$2:$E$312,4,)</f>
        <v>GR</v>
      </c>
      <c r="F106" s="6">
        <v>450.0</v>
      </c>
      <c r="G106" s="6" t="s">
        <v>837</v>
      </c>
      <c r="H106" s="6" t="s">
        <v>969</v>
      </c>
    </row>
    <row r="107" ht="15.75" customHeight="1">
      <c r="A107" s="17">
        <v>46007.0</v>
      </c>
      <c r="B107" s="6" t="s">
        <v>52</v>
      </c>
      <c r="C107" s="6" t="str">
        <f>VLOOKUP(B107,Sheet3!$B$2:$E$312,2,FALSE)</f>
        <v>B001-018</v>
      </c>
      <c r="D107" s="6" t="str">
        <f>VLOOKUP(B107,Sheet3!$B$2:$E$312,3,)</f>
        <v>bahan baku</v>
      </c>
      <c r="E107" s="6" t="str">
        <f>VLOOKUP(B107,Sheet3!$B$2:$E$312,4,)</f>
        <v>GR</v>
      </c>
      <c r="F107" s="6">
        <v>186.0</v>
      </c>
      <c r="G107" s="6" t="s">
        <v>1082</v>
      </c>
      <c r="H107" s="6" t="s">
        <v>969</v>
      </c>
    </row>
    <row r="108" ht="15.75" customHeight="1">
      <c r="A108" s="17">
        <v>46007.0</v>
      </c>
      <c r="B108" s="6" t="s">
        <v>148</v>
      </c>
      <c r="C108" s="6" t="str">
        <f>VLOOKUP(B108,Sheet3!$B$2:$E$312,2,FALSE)</f>
        <v>B001-064</v>
      </c>
      <c r="D108" s="6" t="str">
        <f>VLOOKUP(B108,Sheet3!$B$2:$E$312,3,)</f>
        <v>bahan baku</v>
      </c>
      <c r="E108" s="6" t="str">
        <f>VLOOKUP(B108,Sheet3!$B$2:$E$312,4,)</f>
        <v>GR</v>
      </c>
      <c r="F108" s="6">
        <v>100.0</v>
      </c>
      <c r="G108" s="6" t="s">
        <v>1082</v>
      </c>
      <c r="H108" s="6" t="s">
        <v>969</v>
      </c>
    </row>
    <row r="109" ht="15.75" customHeight="1">
      <c r="A109" s="17">
        <v>46007.0</v>
      </c>
      <c r="B109" s="6" t="s">
        <v>26</v>
      </c>
      <c r="C109" s="6" t="str">
        <f>VLOOKUP(B109,Sheet3!$B$2:$E$312,2,FALSE)</f>
        <v>B001-005</v>
      </c>
      <c r="D109" s="6" t="str">
        <f>VLOOKUP(B109,Sheet3!$B$2:$E$312,3,)</f>
        <v>bahan baku</v>
      </c>
      <c r="E109" s="6" t="str">
        <f>VLOOKUP(B109,Sheet3!$B$2:$E$312,4,)</f>
        <v>PCS</v>
      </c>
      <c r="F109" s="6">
        <v>1.0</v>
      </c>
      <c r="G109" s="6" t="s">
        <v>837</v>
      </c>
      <c r="H109" s="6" t="s">
        <v>818</v>
      </c>
    </row>
    <row r="110" ht="15.75" customHeight="1">
      <c r="A110" s="17">
        <v>46007.0</v>
      </c>
      <c r="B110" s="6" t="s">
        <v>634</v>
      </c>
      <c r="C110" s="6" t="str">
        <f>VLOOKUP(B110,Sheet3!$B$2:$E$312,2,FALSE)</f>
        <v>P004-014</v>
      </c>
      <c r="D110" s="6" t="str">
        <f>VLOOKUP(B110,Sheet3!$B$2:$E$312,3,)</f>
        <v>barang jadi &amp; bahan baku</v>
      </c>
      <c r="E110" s="6" t="str">
        <f>VLOOKUP(B110,Sheet3!$B$2:$E$312,4,)</f>
        <v>GR</v>
      </c>
      <c r="F110" s="6">
        <v>107.0</v>
      </c>
      <c r="G110" s="6" t="s">
        <v>837</v>
      </c>
      <c r="H110" s="6" t="s">
        <v>818</v>
      </c>
    </row>
    <row r="111" ht="15.75" customHeight="1">
      <c r="A111" s="17">
        <v>46007.0</v>
      </c>
      <c r="B111" s="6" t="s">
        <v>632</v>
      </c>
      <c r="C111" s="6" t="str">
        <f>VLOOKUP(B111,Sheet3!$B$2:$E$312,2,FALSE)</f>
        <v>P004-013</v>
      </c>
      <c r="D111" s="6" t="str">
        <f>VLOOKUP(B111,Sheet3!$B$2:$E$312,3,)</f>
        <v>barang jadi &amp; bahan baku</v>
      </c>
      <c r="E111" s="6" t="str">
        <f>VLOOKUP(B111,Sheet3!$B$2:$E$312,4,)</f>
        <v>PCS</v>
      </c>
      <c r="F111" s="6">
        <v>5.0</v>
      </c>
      <c r="G111" s="6" t="s">
        <v>837</v>
      </c>
      <c r="H111" s="6" t="s">
        <v>1247</v>
      </c>
    </row>
    <row r="112" ht="15.75" customHeight="1">
      <c r="A112" s="17">
        <v>46007.0</v>
      </c>
      <c r="B112" s="6" t="s">
        <v>657</v>
      </c>
      <c r="C112" s="6" t="str">
        <f>VLOOKUP(B112,Sheet3!$B$2:$E$312,2,FALSE)</f>
        <v>P004-023</v>
      </c>
      <c r="D112" s="6" t="str">
        <f>VLOOKUP(B112,Sheet3!$B$2:$E$312,3,)</f>
        <v>barang jadi &amp; bahan baku</v>
      </c>
      <c r="E112" s="6" t="str">
        <f>VLOOKUP(B112,Sheet3!$B$2:$E$312,4,)</f>
        <v>CC</v>
      </c>
      <c r="F112" s="6">
        <v>1000.0</v>
      </c>
      <c r="G112" s="6" t="s">
        <v>837</v>
      </c>
      <c r="H112" s="6" t="s">
        <v>1077</v>
      </c>
    </row>
    <row r="113" ht="15.75" customHeight="1">
      <c r="A113" s="17">
        <v>46007.0</v>
      </c>
      <c r="B113" s="6" t="s">
        <v>805</v>
      </c>
      <c r="C113" s="6" t="str">
        <f>VLOOKUP(B113,Sheet3!$B$2:$E$312,2,FALSE)</f>
        <v>#N/A</v>
      </c>
      <c r="D113" s="6" t="str">
        <f>VLOOKUP(B113,Sheet3!$B$2:$E$312,3,)</f>
        <v>#N/A</v>
      </c>
      <c r="E113" s="6" t="str">
        <f>VLOOKUP(B113,Sheet3!$B$2:$E$312,4,)</f>
        <v>#N/A</v>
      </c>
      <c r="F113" s="6">
        <v>1000.0</v>
      </c>
      <c r="G113" s="6" t="s">
        <v>837</v>
      </c>
      <c r="H113" s="6" t="s">
        <v>1077</v>
      </c>
    </row>
    <row r="114" ht="15.75" customHeight="1">
      <c r="A114" s="17">
        <v>46007.0</v>
      </c>
      <c r="B114" s="6" t="s">
        <v>664</v>
      </c>
      <c r="C114" s="6" t="str">
        <f>VLOOKUP(B114,Sheet3!$B$2:$E$312,2,FALSE)</f>
        <v>P004-025</v>
      </c>
      <c r="D114" s="6" t="str">
        <f>VLOOKUP(B114,Sheet3!$B$2:$E$312,3,)</f>
        <v>barang jadi &amp; bahan baku</v>
      </c>
      <c r="E114" s="6" t="str">
        <f>VLOOKUP(B114,Sheet3!$B$2:$E$312,4,)</f>
        <v>ML</v>
      </c>
      <c r="F114" s="6">
        <v>700.0</v>
      </c>
      <c r="G114" s="6" t="s">
        <v>837</v>
      </c>
      <c r="H114" s="6" t="s">
        <v>1077</v>
      </c>
    </row>
    <row r="115" ht="15.75" customHeight="1">
      <c r="A115" s="17">
        <v>46007.0</v>
      </c>
      <c r="B115" s="6" t="s">
        <v>653</v>
      </c>
      <c r="C115" s="6" t="str">
        <f>VLOOKUP(B115,Sheet3!$B$2:$E$312,2,FALSE)</f>
        <v>P004-022</v>
      </c>
      <c r="D115" s="6" t="str">
        <f>VLOOKUP(B115,Sheet3!$B$2:$E$312,3,)</f>
        <v>barang jadi &amp; bahan baku</v>
      </c>
      <c r="E115" s="6" t="str">
        <f>VLOOKUP(B115,Sheet3!$B$2:$E$312,4,)</f>
        <v>CC</v>
      </c>
      <c r="F115" s="6">
        <v>2000.0</v>
      </c>
      <c r="G115" s="6" t="s">
        <v>837</v>
      </c>
      <c r="H115" s="6" t="s">
        <v>1077</v>
      </c>
    </row>
    <row r="116" ht="15.75" customHeight="1">
      <c r="A116" s="17">
        <v>46008.0</v>
      </c>
      <c r="B116" s="6" t="s">
        <v>150</v>
      </c>
      <c r="C116" s="6" t="str">
        <f>VLOOKUP(B116,Sheet3!$B$2:$E$312,2,FALSE)</f>
        <v>B001-066</v>
      </c>
      <c r="D116" s="6" t="str">
        <f>VLOOKUP(B116,Sheet3!$B$2:$E$312,3,)</f>
        <v>bahan baku</v>
      </c>
      <c r="E116" s="6" t="str">
        <f>VLOOKUP(B116,Sheet3!$B$2:$E$312,4,)</f>
        <v>PCS</v>
      </c>
      <c r="F116" s="6">
        <v>1.0</v>
      </c>
      <c r="G116" s="6" t="s">
        <v>837</v>
      </c>
      <c r="H116" s="6" t="s">
        <v>876</v>
      </c>
    </row>
    <row r="117" ht="15.75" customHeight="1">
      <c r="A117" s="17">
        <v>46008.0</v>
      </c>
      <c r="B117" s="6" t="s">
        <v>620</v>
      </c>
      <c r="C117" s="6" t="str">
        <f>VLOOKUP(B117,Sheet3!$B$2:$E$312,2,FALSE)</f>
        <v>P004-009</v>
      </c>
      <c r="D117" s="6" t="str">
        <f>VLOOKUP(B117,Sheet3!$B$2:$E$312,3,)</f>
        <v>barang jadi &amp; bahan baku</v>
      </c>
      <c r="E117" s="6" t="str">
        <f>VLOOKUP(B117,Sheet3!$B$2:$E$312,4,)</f>
        <v>GR</v>
      </c>
      <c r="F117" s="6">
        <v>311.0</v>
      </c>
      <c r="G117" s="6" t="s">
        <v>837</v>
      </c>
      <c r="H117" s="6" t="s">
        <v>876</v>
      </c>
    </row>
    <row r="118" ht="15.75" customHeight="1">
      <c r="A118" s="17">
        <v>46008.0</v>
      </c>
      <c r="B118" s="6" t="s">
        <v>653</v>
      </c>
      <c r="C118" s="6" t="str">
        <f>VLOOKUP(B118,Sheet3!$B$2:$E$312,2,FALSE)</f>
        <v>P004-022</v>
      </c>
      <c r="D118" s="6" t="str">
        <f>VLOOKUP(B118,Sheet3!$B$2:$E$312,3,)</f>
        <v>barang jadi &amp; bahan baku</v>
      </c>
      <c r="E118" s="6" t="str">
        <f>VLOOKUP(B118,Sheet3!$B$2:$E$312,4,)</f>
        <v>CC</v>
      </c>
      <c r="F118" s="6">
        <v>600.0</v>
      </c>
      <c r="G118" s="6" t="s">
        <v>837</v>
      </c>
      <c r="H118" s="6" t="s">
        <v>1322</v>
      </c>
    </row>
    <row r="119" ht="15.75" customHeight="1">
      <c r="A119" s="17">
        <v>46008.0</v>
      </c>
      <c r="B119" s="6" t="s">
        <v>657</v>
      </c>
      <c r="C119" s="6" t="str">
        <f>VLOOKUP(B119,Sheet3!$B$2:$E$312,2,FALSE)</f>
        <v>P004-023</v>
      </c>
      <c r="D119" s="6" t="str">
        <f>VLOOKUP(B119,Sheet3!$B$2:$E$312,3,)</f>
        <v>barang jadi &amp; bahan baku</v>
      </c>
      <c r="E119" s="6" t="str">
        <f>VLOOKUP(B119,Sheet3!$B$2:$E$312,4,)</f>
        <v>CC</v>
      </c>
      <c r="F119" s="6">
        <v>700.0</v>
      </c>
      <c r="G119" s="6" t="s">
        <v>837</v>
      </c>
      <c r="H119" s="6" t="s">
        <v>1322</v>
      </c>
    </row>
    <row r="120" ht="15.75" customHeight="1">
      <c r="A120" s="17">
        <v>46008.0</v>
      </c>
      <c r="B120" s="6" t="s">
        <v>805</v>
      </c>
      <c r="C120" s="6" t="str">
        <f>VLOOKUP(B120,Sheet3!$B$2:$E$312,2,FALSE)</f>
        <v>#N/A</v>
      </c>
      <c r="D120" s="6" t="str">
        <f>VLOOKUP(B120,Sheet3!$B$2:$E$312,3,)</f>
        <v>#N/A</v>
      </c>
      <c r="E120" s="6" t="str">
        <f>VLOOKUP(B120,Sheet3!$B$2:$E$312,4,)</f>
        <v>#N/A</v>
      </c>
      <c r="F120" s="6">
        <v>4500.0</v>
      </c>
      <c r="G120" s="6" t="s">
        <v>837</v>
      </c>
      <c r="H120" s="6" t="s">
        <v>1322</v>
      </c>
    </row>
    <row r="121" ht="15.75" customHeight="1">
      <c r="A121" s="17">
        <v>46008.0</v>
      </c>
      <c r="B121" s="6" t="s">
        <v>664</v>
      </c>
      <c r="C121" s="6" t="str">
        <f>VLOOKUP(B121,Sheet3!$B$2:$E$312,2,FALSE)</f>
        <v>P004-025</v>
      </c>
      <c r="D121" s="6" t="str">
        <f>VLOOKUP(B121,Sheet3!$B$2:$E$312,3,)</f>
        <v>barang jadi &amp; bahan baku</v>
      </c>
      <c r="E121" s="6" t="str">
        <f>VLOOKUP(B121,Sheet3!$B$2:$E$312,4,)</f>
        <v>ML</v>
      </c>
      <c r="F121" s="6">
        <v>1000.0</v>
      </c>
      <c r="G121" s="6" t="s">
        <v>837</v>
      </c>
      <c r="H121" s="6" t="s">
        <v>1322</v>
      </c>
    </row>
    <row r="122" ht="15.75" customHeight="1">
      <c r="A122" s="17">
        <v>46008.0</v>
      </c>
      <c r="B122" s="6" t="s">
        <v>532</v>
      </c>
      <c r="C122" s="6" t="str">
        <f>VLOOKUP(B122,Sheet3!$B$2:$E$312,2,FALSE)</f>
        <v>S002-007</v>
      </c>
      <c r="D122" s="6" t="str">
        <f>VLOOKUP(B122,Sheet3!$B$2:$E$312,3,)</f>
        <v>barang jadi</v>
      </c>
      <c r="E122" s="6" t="str">
        <f>VLOOKUP(B122,Sheet3!$B$2:$E$312,4,)</f>
        <v>PORSI</v>
      </c>
      <c r="F122" s="6">
        <v>1.0</v>
      </c>
      <c r="G122" s="6" t="s">
        <v>837</v>
      </c>
      <c r="H122" s="6" t="s">
        <v>832</v>
      </c>
    </row>
    <row r="123" ht="15.75" customHeight="1">
      <c r="A123" s="17">
        <v>46008.0</v>
      </c>
      <c r="B123" s="6" t="s">
        <v>632</v>
      </c>
      <c r="C123" s="6" t="str">
        <f>VLOOKUP(B123,Sheet3!$B$2:$E$312,2,FALSE)</f>
        <v>P004-013</v>
      </c>
      <c r="D123" s="6" t="str">
        <f>VLOOKUP(B123,Sheet3!$B$2:$E$312,3,)</f>
        <v>barang jadi &amp; bahan baku</v>
      </c>
      <c r="E123" s="6" t="str">
        <f>VLOOKUP(B123,Sheet3!$B$2:$E$312,4,)</f>
        <v>PCS</v>
      </c>
      <c r="F123" s="6">
        <v>9.0</v>
      </c>
      <c r="G123" s="6" t="s">
        <v>837</v>
      </c>
      <c r="H123" s="6" t="s">
        <v>832</v>
      </c>
    </row>
    <row r="124" ht="15.75" customHeight="1">
      <c r="A124" s="17">
        <v>46008.0</v>
      </c>
      <c r="B124" s="6" t="s">
        <v>634</v>
      </c>
      <c r="C124" s="6" t="str">
        <f>VLOOKUP(B124,Sheet3!$B$2:$E$312,2,FALSE)</f>
        <v>P004-014</v>
      </c>
      <c r="D124" s="6" t="str">
        <f>VLOOKUP(B124,Sheet3!$B$2:$E$312,3,)</f>
        <v>barang jadi &amp; bahan baku</v>
      </c>
      <c r="E124" s="6" t="str">
        <f>VLOOKUP(B124,Sheet3!$B$2:$E$312,4,)</f>
        <v>GR</v>
      </c>
      <c r="F124" s="6">
        <v>34.0</v>
      </c>
      <c r="G124" s="6" t="s">
        <v>837</v>
      </c>
      <c r="H124" s="6" t="s">
        <v>876</v>
      </c>
    </row>
    <row r="125" ht="15.75" customHeight="1">
      <c r="A125" s="17">
        <v>46009.0</v>
      </c>
      <c r="B125" s="6" t="s">
        <v>23</v>
      </c>
      <c r="C125" s="6" t="str">
        <f>VLOOKUP(B125,Sheet3!$B$2:$E$312,2,FALSE)</f>
        <v>B001-004</v>
      </c>
      <c r="D125" s="6" t="str">
        <f>VLOOKUP(B125,Sheet3!$B$2:$E$312,3,)</f>
        <v>bahan baku</v>
      </c>
      <c r="E125" s="6" t="str">
        <f>VLOOKUP(B125,Sheet3!$B$2:$E$312,4,)</f>
        <v>PCS</v>
      </c>
      <c r="F125" s="6">
        <v>1.0</v>
      </c>
      <c r="G125" s="6" t="s">
        <v>1082</v>
      </c>
      <c r="H125" s="6" t="s">
        <v>1364</v>
      </c>
    </row>
    <row r="126" ht="15.75" customHeight="1">
      <c r="A126" s="17">
        <v>46009.0</v>
      </c>
      <c r="B126" s="6" t="s">
        <v>132</v>
      </c>
      <c r="C126" s="6" t="str">
        <f>VLOOKUP(B126,Sheet3!$B$2:$E$312,2,FALSE)</f>
        <v>B001-057</v>
      </c>
      <c r="D126" s="6" t="str">
        <f>VLOOKUP(B126,Sheet3!$B$2:$E$312,3,)</f>
        <v>bahan baku</v>
      </c>
      <c r="E126" s="6" t="str">
        <f>VLOOKUP(B126,Sheet3!$B$2:$E$312,4,)</f>
        <v>GR</v>
      </c>
      <c r="F126" s="6">
        <v>32.0</v>
      </c>
      <c r="G126" s="6" t="s">
        <v>837</v>
      </c>
      <c r="H126" s="6" t="s">
        <v>969</v>
      </c>
    </row>
    <row r="127" ht="15.75" customHeight="1">
      <c r="A127" s="17">
        <v>46009.0</v>
      </c>
      <c r="B127" s="6" t="s">
        <v>632</v>
      </c>
      <c r="C127" s="6" t="str">
        <f>VLOOKUP(B127,Sheet3!$B$2:$E$312,2,FALSE)</f>
        <v>P004-013</v>
      </c>
      <c r="D127" s="6" t="str">
        <f>VLOOKUP(B127,Sheet3!$B$2:$E$312,3,)</f>
        <v>barang jadi &amp; bahan baku</v>
      </c>
      <c r="E127" s="6" t="str">
        <f>VLOOKUP(B127,Sheet3!$B$2:$E$312,4,)</f>
        <v>PCS</v>
      </c>
      <c r="F127" s="6">
        <v>3.0</v>
      </c>
      <c r="G127" s="6" t="s">
        <v>837</v>
      </c>
      <c r="H127" s="6" t="s">
        <v>1247</v>
      </c>
    </row>
    <row r="128" ht="15.75" customHeight="1">
      <c r="A128" s="17">
        <v>46009.0</v>
      </c>
      <c r="B128" s="6" t="s">
        <v>691</v>
      </c>
      <c r="C128" s="6" t="str">
        <f>VLOOKUP(B128,Sheet3!$B$2:$E$312,2,FALSE)</f>
        <v>P004-036</v>
      </c>
      <c r="D128" s="6" t="str">
        <f>VLOOKUP(B128,Sheet3!$B$2:$E$312,3,)</f>
        <v>barang jadi &amp; bahan baku</v>
      </c>
      <c r="E128" s="6" t="str">
        <f>VLOOKUP(B128,Sheet3!$B$2:$E$312,4,)</f>
        <v>GR</v>
      </c>
      <c r="F128" s="6">
        <v>5000.0</v>
      </c>
      <c r="G128" s="6" t="s">
        <v>837</v>
      </c>
      <c r="H128" s="6" t="s">
        <v>1077</v>
      </c>
    </row>
    <row r="129" ht="15.75" customHeight="1">
      <c r="A129" s="17">
        <v>46009.0</v>
      </c>
      <c r="B129" s="6" t="s">
        <v>26</v>
      </c>
      <c r="C129" s="6" t="str">
        <f>VLOOKUP(B129,Sheet3!$B$2:$E$312,2,FALSE)</f>
        <v>B001-005</v>
      </c>
      <c r="D129" s="6" t="str">
        <f>VLOOKUP(B129,Sheet3!$B$2:$E$312,3,)</f>
        <v>bahan baku</v>
      </c>
      <c r="E129" s="6" t="str">
        <f>VLOOKUP(B129,Sheet3!$B$2:$E$312,4,)</f>
        <v>PCS</v>
      </c>
      <c r="F129" s="6">
        <v>3.0</v>
      </c>
      <c r="G129" s="6" t="s">
        <v>837</v>
      </c>
      <c r="H129" s="6" t="s">
        <v>1364</v>
      </c>
    </row>
    <row r="130" ht="15.75" customHeight="1">
      <c r="A130" s="17">
        <v>46009.0</v>
      </c>
      <c r="B130" s="6" t="s">
        <v>687</v>
      </c>
      <c r="C130" s="6" t="str">
        <f>VLOOKUP(B130,Sheet3!$B$2:$E$312,2,FALSE)</f>
        <v>P004-035</v>
      </c>
      <c r="D130" s="6" t="str">
        <f>VLOOKUP(B130,Sheet3!$B$2:$E$312,3,)</f>
        <v>barang jadi &amp; bahan baku</v>
      </c>
      <c r="E130" s="6" t="str">
        <f>VLOOKUP(B130,Sheet3!$B$2:$E$312,4,)</f>
        <v>GR</v>
      </c>
      <c r="F130" s="6">
        <v>778.0</v>
      </c>
      <c r="G130" s="6" t="s">
        <v>837</v>
      </c>
      <c r="H130" s="6" t="s">
        <v>969</v>
      </c>
    </row>
    <row r="131" ht="15.75" customHeight="1">
      <c r="A131" s="17">
        <v>46009.0</v>
      </c>
      <c r="B131" s="6" t="s">
        <v>632</v>
      </c>
      <c r="C131" s="6" t="str">
        <f>VLOOKUP(B131,Sheet3!$B$2:$E$312,2,FALSE)</f>
        <v>P004-013</v>
      </c>
      <c r="D131" s="6" t="str">
        <f>VLOOKUP(B131,Sheet3!$B$2:$E$312,3,)</f>
        <v>barang jadi &amp; bahan baku</v>
      </c>
      <c r="E131" s="6" t="str">
        <f>VLOOKUP(B131,Sheet3!$B$2:$E$312,4,)</f>
        <v>PCS</v>
      </c>
      <c r="F131" s="6">
        <v>2.0</v>
      </c>
      <c r="G131" s="6" t="s">
        <v>837</v>
      </c>
      <c r="H131" s="6" t="s">
        <v>876</v>
      </c>
    </row>
    <row r="132" ht="15.75" customHeight="1">
      <c r="A132" s="17">
        <v>46009.0</v>
      </c>
      <c r="B132" s="6" t="s">
        <v>634</v>
      </c>
      <c r="C132" s="6" t="str">
        <f>VLOOKUP(B132,Sheet3!$B$2:$E$312,2,FALSE)</f>
        <v>P004-014</v>
      </c>
      <c r="D132" s="6" t="str">
        <f>VLOOKUP(B132,Sheet3!$B$2:$E$312,3,)</f>
        <v>barang jadi &amp; bahan baku</v>
      </c>
      <c r="E132" s="6" t="str">
        <f>VLOOKUP(B132,Sheet3!$B$2:$E$312,4,)</f>
        <v>GR</v>
      </c>
      <c r="F132" s="6">
        <v>41.0</v>
      </c>
      <c r="G132" s="6" t="s">
        <v>837</v>
      </c>
      <c r="H132" s="6" t="s">
        <v>876</v>
      </c>
    </row>
    <row r="133" ht="15.75" customHeight="1">
      <c r="A133" s="17">
        <v>46009.0</v>
      </c>
      <c r="B133" s="6" t="s">
        <v>254</v>
      </c>
      <c r="C133" s="6" t="str">
        <f>VLOOKUP(B133,Sheet3!$B$2:$E$312,2,FALSE)</f>
        <v>B001-112</v>
      </c>
      <c r="D133" s="6" t="str">
        <f>VLOOKUP(B133,Sheet3!$B$2:$E$312,3,)</f>
        <v>bahan baku</v>
      </c>
      <c r="E133" s="6" t="str">
        <f>VLOOKUP(B133,Sheet3!$B$2:$E$312,4,)</f>
        <v>GR</v>
      </c>
      <c r="F133" s="6">
        <v>157.0</v>
      </c>
      <c r="G133" s="6" t="s">
        <v>837</v>
      </c>
      <c r="H133" s="6" t="s">
        <v>876</v>
      </c>
    </row>
    <row r="134" ht="15.75" customHeight="1">
      <c r="A134" s="17">
        <v>46009.0</v>
      </c>
      <c r="B134" s="6" t="s">
        <v>1372</v>
      </c>
      <c r="C134" s="6" t="str">
        <f>VLOOKUP(B134,Sheet3!$B$2:$E$312,2,FALSE)</f>
        <v>#N/A</v>
      </c>
      <c r="D134" s="6" t="str">
        <f>VLOOKUP(B134,Sheet3!$B$2:$E$312,3,)</f>
        <v>#N/A</v>
      </c>
      <c r="E134" s="6" t="s">
        <v>1374</v>
      </c>
      <c r="F134" s="6">
        <v>495.0</v>
      </c>
      <c r="G134" s="6" t="s">
        <v>837</v>
      </c>
      <c r="H134" s="6" t="s">
        <v>876</v>
      </c>
    </row>
    <row r="135" ht="15.75" customHeight="1">
      <c r="A135" s="17">
        <v>46009.0</v>
      </c>
      <c r="B135" s="6" t="s">
        <v>632</v>
      </c>
      <c r="C135" s="6" t="str">
        <f>VLOOKUP(B135,Sheet3!$B$2:$E$312,2,FALSE)</f>
        <v>P004-013</v>
      </c>
      <c r="D135" s="6" t="str">
        <f>VLOOKUP(B135,Sheet3!$B$2:$E$312,3,)</f>
        <v>barang jadi &amp; bahan baku</v>
      </c>
      <c r="E135" s="6" t="str">
        <f>VLOOKUP(B135,Sheet3!$B$2:$E$312,4,)</f>
        <v>PCS</v>
      </c>
      <c r="F135" s="6">
        <v>4.0</v>
      </c>
      <c r="G135" s="6" t="s">
        <v>837</v>
      </c>
      <c r="H135" s="6" t="s">
        <v>1247</v>
      </c>
    </row>
    <row r="136" ht="15.75" customHeight="1">
      <c r="A136" s="17">
        <v>46009.0</v>
      </c>
      <c r="B136" s="6" t="s">
        <v>532</v>
      </c>
      <c r="C136" s="6" t="str">
        <f>VLOOKUP(B136,Sheet3!$B$2:$E$312,2,FALSE)</f>
        <v>S002-007</v>
      </c>
      <c r="D136" s="6" t="str">
        <f>VLOOKUP(B136,Sheet3!$B$2:$E$312,3,)</f>
        <v>barang jadi</v>
      </c>
      <c r="E136" s="6" t="str">
        <f>VLOOKUP(B136,Sheet3!$B$2:$E$312,4,)</f>
        <v>PORSI</v>
      </c>
      <c r="F136" s="6">
        <v>1.0</v>
      </c>
      <c r="G136" s="6" t="s">
        <v>837</v>
      </c>
      <c r="H136" s="6" t="s">
        <v>1247</v>
      </c>
    </row>
    <row r="137" ht="15.75" customHeight="1">
      <c r="A137" s="17">
        <v>46010.0</v>
      </c>
      <c r="B137" s="6" t="s">
        <v>186</v>
      </c>
      <c r="C137" s="6" t="str">
        <f>VLOOKUP(B137,Sheet3!$B$2:$E$312,2,FALSE)</f>
        <v>B001-078</v>
      </c>
      <c r="D137" s="6" t="str">
        <f>VLOOKUP(B137,Sheet3!$B$2:$E$312,3,)</f>
        <v>bahan baku</v>
      </c>
      <c r="E137" s="6" t="str">
        <f>VLOOKUP(B137,Sheet3!$B$2:$E$312,4,)</f>
        <v>GR</v>
      </c>
      <c r="F137" s="6">
        <v>76.0</v>
      </c>
      <c r="G137" s="6" t="s">
        <v>837</v>
      </c>
      <c r="H137" s="6" t="s">
        <v>969</v>
      </c>
    </row>
    <row r="138" ht="15.75" customHeight="1">
      <c r="A138" s="17">
        <v>46010.0</v>
      </c>
      <c r="B138" s="6" t="s">
        <v>208</v>
      </c>
      <c r="C138" s="6" t="str">
        <f>VLOOKUP(B138,Sheet3!$B$2:$E$312,2,FALSE)</f>
        <v>B001-087</v>
      </c>
      <c r="D138" s="6" t="str">
        <f>VLOOKUP(B138,Sheet3!$B$2:$E$312,3,)</f>
        <v>bahan baku</v>
      </c>
      <c r="E138" s="6" t="str">
        <f>VLOOKUP(B138,Sheet3!$B$2:$E$312,4,)</f>
        <v>PCS</v>
      </c>
      <c r="F138" s="6">
        <v>1.0</v>
      </c>
      <c r="G138" s="6" t="s">
        <v>1378</v>
      </c>
      <c r="H138" s="6" t="s">
        <v>969</v>
      </c>
    </row>
    <row r="139" ht="15.75" customHeight="1">
      <c r="A139" s="17">
        <v>46010.0</v>
      </c>
      <c r="B139" s="6" t="s">
        <v>1372</v>
      </c>
      <c r="C139" s="6" t="str">
        <f>VLOOKUP(B139,Sheet3!$B$2:$E$312,2,FALSE)</f>
        <v>#N/A</v>
      </c>
      <c r="D139" s="6" t="str">
        <f>VLOOKUP(B139,Sheet3!$B$2:$E$312,3,)</f>
        <v>#N/A</v>
      </c>
      <c r="E139" s="6" t="s">
        <v>1374</v>
      </c>
      <c r="F139" s="6">
        <v>88.0</v>
      </c>
      <c r="G139" s="6" t="s">
        <v>837</v>
      </c>
      <c r="H139" s="6" t="s">
        <v>969</v>
      </c>
    </row>
    <row r="140" ht="15.75" customHeight="1">
      <c r="A140" s="17">
        <v>46010.0</v>
      </c>
      <c r="B140" s="6" t="s">
        <v>208</v>
      </c>
      <c r="C140" s="6" t="str">
        <f>VLOOKUP(B140,Sheet3!$B$2:$E$312,2,FALSE)</f>
        <v>B001-087</v>
      </c>
      <c r="D140" s="6" t="str">
        <f>VLOOKUP(B140,Sheet3!$B$2:$E$312,3,)</f>
        <v>bahan baku</v>
      </c>
      <c r="E140" s="6" t="str">
        <f>VLOOKUP(B140,Sheet3!$B$2:$E$312,4,)</f>
        <v>PCS</v>
      </c>
      <c r="F140" s="6">
        <v>1.0</v>
      </c>
      <c r="G140" s="6" t="s">
        <v>837</v>
      </c>
      <c r="H140" s="6" t="s">
        <v>1247</v>
      </c>
    </row>
    <row r="141" ht="15.75" customHeight="1">
      <c r="A141" s="17">
        <v>46010.0</v>
      </c>
      <c r="B141" s="6" t="s">
        <v>634</v>
      </c>
      <c r="C141" s="6" t="str">
        <f>VLOOKUP(B141,Sheet3!$B$2:$E$312,2,FALSE)</f>
        <v>P004-014</v>
      </c>
      <c r="D141" s="6" t="str">
        <f>VLOOKUP(B141,Sheet3!$B$2:$E$312,3,)</f>
        <v>barang jadi &amp; bahan baku</v>
      </c>
      <c r="E141" s="6" t="str">
        <f>VLOOKUP(B141,Sheet3!$B$2:$E$312,4,)</f>
        <v>GR</v>
      </c>
      <c r="F141" s="6">
        <v>186.0</v>
      </c>
      <c r="G141" s="6" t="s">
        <v>837</v>
      </c>
      <c r="H141" s="6" t="s">
        <v>1247</v>
      </c>
    </row>
    <row r="142" ht="15.75" customHeight="1">
      <c r="A142" s="17">
        <v>46010.0</v>
      </c>
      <c r="B142" s="6" t="s">
        <v>805</v>
      </c>
      <c r="C142" s="6" t="str">
        <f>VLOOKUP(B142,Sheet3!$B$2:$E$312,2,FALSE)</f>
        <v>#N/A</v>
      </c>
      <c r="D142" s="6" t="str">
        <f>VLOOKUP(B142,Sheet3!$B$2:$E$312,3,)</f>
        <v>#N/A</v>
      </c>
      <c r="E142" s="6" t="str">
        <f>VLOOKUP(B142,Sheet3!$B$2:$E$312,4,)</f>
        <v>#N/A</v>
      </c>
      <c r="F142" s="6">
        <v>3500.0</v>
      </c>
      <c r="G142" s="6" t="s">
        <v>837</v>
      </c>
      <c r="H142" s="6" t="s">
        <v>1322</v>
      </c>
    </row>
    <row r="143" ht="15.75" customHeight="1">
      <c r="A143" s="17">
        <v>46010.0</v>
      </c>
      <c r="B143" s="6" t="s">
        <v>657</v>
      </c>
      <c r="C143" s="6" t="str">
        <f>VLOOKUP(B143,Sheet3!$B$2:$E$312,2,FALSE)</f>
        <v>P004-023</v>
      </c>
      <c r="D143" s="6" t="str">
        <f>VLOOKUP(B143,Sheet3!$B$2:$E$312,3,)</f>
        <v>barang jadi &amp; bahan baku</v>
      </c>
      <c r="E143" s="6" t="str">
        <f>VLOOKUP(B143,Sheet3!$B$2:$E$312,4,)</f>
        <v>CC</v>
      </c>
      <c r="F143" s="6">
        <v>2000.0</v>
      </c>
      <c r="G143" s="6" t="s">
        <v>837</v>
      </c>
      <c r="H143" s="6" t="s">
        <v>1322</v>
      </c>
    </row>
    <row r="144" ht="15.75" customHeight="1">
      <c r="A144" s="17">
        <v>46010.0</v>
      </c>
      <c r="B144" s="6" t="s">
        <v>664</v>
      </c>
      <c r="C144" s="6" t="str">
        <f>VLOOKUP(B144,Sheet3!$B$2:$E$312,2,FALSE)</f>
        <v>P004-025</v>
      </c>
      <c r="D144" s="6" t="str">
        <f>VLOOKUP(B144,Sheet3!$B$2:$E$312,3,)</f>
        <v>barang jadi &amp; bahan baku</v>
      </c>
      <c r="E144" s="6" t="str">
        <f>VLOOKUP(B144,Sheet3!$B$2:$E$312,4,)</f>
        <v>ML</v>
      </c>
      <c r="F144" s="6">
        <v>700.0</v>
      </c>
      <c r="G144" s="6" t="s">
        <v>837</v>
      </c>
      <c r="H144" s="6" t="s">
        <v>1322</v>
      </c>
    </row>
    <row r="145" ht="15.75" customHeight="1">
      <c r="A145" s="17">
        <v>46010.0</v>
      </c>
      <c r="B145" s="6" t="s">
        <v>653</v>
      </c>
      <c r="C145" s="6" t="str">
        <f>VLOOKUP(B145,Sheet3!$B$2:$E$312,2,FALSE)</f>
        <v>P004-022</v>
      </c>
      <c r="D145" s="6" t="str">
        <f>VLOOKUP(B145,Sheet3!$B$2:$E$312,3,)</f>
        <v>barang jadi &amp; bahan baku</v>
      </c>
      <c r="E145" s="6" t="str">
        <f>VLOOKUP(B145,Sheet3!$B$2:$E$312,4,)</f>
        <v>CC</v>
      </c>
      <c r="F145" s="6">
        <v>2500.0</v>
      </c>
      <c r="G145" s="6" t="s">
        <v>837</v>
      </c>
      <c r="H145" s="6" t="s">
        <v>1322</v>
      </c>
    </row>
    <row r="146" ht="15.75" customHeight="1">
      <c r="A146" s="17">
        <v>46010.0</v>
      </c>
      <c r="B146" s="6" t="s">
        <v>502</v>
      </c>
      <c r="C146" s="6" t="str">
        <f>VLOOKUP(B146,Sheet3!$B$2:$E$312,2,FALSE)</f>
        <v>S001-002</v>
      </c>
      <c r="D146" s="6" t="str">
        <f>VLOOKUP(B146,Sheet3!$B$2:$E$312,3,)</f>
        <v>barang jadi</v>
      </c>
      <c r="E146" s="6" t="str">
        <f>VLOOKUP(B146,Sheet3!$B$2:$E$312,4,)</f>
        <v>PORSI</v>
      </c>
      <c r="F146" s="6">
        <v>2.0</v>
      </c>
      <c r="G146" s="6" t="s">
        <v>837</v>
      </c>
      <c r="H146" s="6" t="s">
        <v>1247</v>
      </c>
    </row>
    <row r="147" ht="15.75" customHeight="1">
      <c r="A147" s="17">
        <v>46010.0</v>
      </c>
      <c r="B147" s="6" t="s">
        <v>632</v>
      </c>
      <c r="C147" s="6" t="str">
        <f>VLOOKUP(B147,Sheet3!$B$2:$E$312,2,FALSE)</f>
        <v>P004-013</v>
      </c>
      <c r="D147" s="6" t="str">
        <f>VLOOKUP(B147,Sheet3!$B$2:$E$312,3,)</f>
        <v>barang jadi &amp; bahan baku</v>
      </c>
      <c r="E147" s="6" t="str">
        <f>VLOOKUP(B147,Sheet3!$B$2:$E$312,4,)</f>
        <v>PCS</v>
      </c>
      <c r="F147" s="6">
        <v>13.0</v>
      </c>
      <c r="G147" s="6" t="s">
        <v>837</v>
      </c>
      <c r="H147" s="6" t="s">
        <v>1247</v>
      </c>
    </row>
    <row r="148" ht="15.75" customHeight="1">
      <c r="A148" s="17">
        <v>46010.0</v>
      </c>
      <c r="B148" s="6" t="s">
        <v>632</v>
      </c>
      <c r="C148" s="6" t="str">
        <f>VLOOKUP(B148,Sheet3!$B$2:$E$312,2,FALSE)</f>
        <v>P004-013</v>
      </c>
      <c r="D148" s="6" t="str">
        <f>VLOOKUP(B148,Sheet3!$B$2:$E$312,3,)</f>
        <v>barang jadi &amp; bahan baku</v>
      </c>
      <c r="E148" s="6" t="str">
        <f>VLOOKUP(B148,Sheet3!$B$2:$E$312,4,)</f>
        <v>PCS</v>
      </c>
      <c r="F148" s="6">
        <v>12.0</v>
      </c>
      <c r="G148" s="6" t="s">
        <v>837</v>
      </c>
      <c r="H148" s="6" t="s">
        <v>1247</v>
      </c>
    </row>
    <row r="149" ht="15.75" customHeight="1">
      <c r="A149" s="17">
        <v>46010.0</v>
      </c>
      <c r="B149" s="6" t="s">
        <v>632</v>
      </c>
      <c r="C149" s="6" t="str">
        <f>VLOOKUP(B149,Sheet3!$B$2:$E$312,2,FALSE)</f>
        <v>P004-013</v>
      </c>
      <c r="D149" s="6" t="str">
        <f>VLOOKUP(B149,Sheet3!$B$2:$E$312,3,)</f>
        <v>barang jadi &amp; bahan baku</v>
      </c>
      <c r="E149" s="6" t="str">
        <f>VLOOKUP(B149,Sheet3!$B$2:$E$312,4,)</f>
        <v>PCS</v>
      </c>
      <c r="F149" s="6">
        <v>16.0</v>
      </c>
      <c r="G149" s="6" t="s">
        <v>837</v>
      </c>
      <c r="H149" s="6" t="s">
        <v>1247</v>
      </c>
    </row>
    <row r="150" ht="15.75" customHeight="1">
      <c r="A150" s="17">
        <v>46011.0</v>
      </c>
      <c r="B150" s="6" t="s">
        <v>648</v>
      </c>
      <c r="C150" s="6" t="str">
        <f>VLOOKUP(B150,Sheet3!$B$2:$E$312,2,FALSE)</f>
        <v>P004-020</v>
      </c>
      <c r="D150" s="6" t="str">
        <f>VLOOKUP(B150,Sheet3!$B$2:$E$312,3,)</f>
        <v>barang jadi &amp; bahan baku</v>
      </c>
      <c r="E150" s="6" t="str">
        <f>VLOOKUP(B150,Sheet3!$B$2:$E$312,4,)</f>
        <v>GR</v>
      </c>
      <c r="F150" s="6">
        <v>249.0</v>
      </c>
      <c r="G150" s="6" t="s">
        <v>837</v>
      </c>
      <c r="H150" s="6" t="s">
        <v>1322</v>
      </c>
    </row>
    <row r="151" ht="15.75" customHeight="1">
      <c r="A151" s="17">
        <v>46011.0</v>
      </c>
      <c r="B151" s="6" t="s">
        <v>632</v>
      </c>
      <c r="C151" s="6" t="str">
        <f>VLOOKUP(B151,Sheet3!$B$2:$E$312,2,FALSE)</f>
        <v>P004-013</v>
      </c>
      <c r="D151" s="6" t="str">
        <f>VLOOKUP(B151,Sheet3!$B$2:$E$312,3,)</f>
        <v>barang jadi &amp; bahan baku</v>
      </c>
      <c r="E151" s="6" t="str">
        <f>VLOOKUP(B151,Sheet3!$B$2:$E$312,4,)</f>
        <v>PCS</v>
      </c>
      <c r="F151" s="6">
        <v>21.0</v>
      </c>
      <c r="G151" s="6" t="s">
        <v>837</v>
      </c>
      <c r="H151" s="6" t="s">
        <v>1392</v>
      </c>
    </row>
    <row r="152" ht="15.75" customHeight="1">
      <c r="A152" s="17">
        <v>46011.0</v>
      </c>
      <c r="B152" s="6" t="s">
        <v>148</v>
      </c>
      <c r="C152" s="6" t="str">
        <f>VLOOKUP(B152,Sheet3!$B$2:$E$312,2,FALSE)</f>
        <v>B001-064</v>
      </c>
      <c r="D152" s="6" t="str">
        <f>VLOOKUP(B152,Sheet3!$B$2:$E$312,3,)</f>
        <v>bahan baku</v>
      </c>
      <c r="E152" s="6" t="str">
        <f>VLOOKUP(B152,Sheet3!$B$2:$E$312,4,)</f>
        <v>GR</v>
      </c>
      <c r="F152" s="6">
        <v>115.0</v>
      </c>
      <c r="G152" s="6" t="s">
        <v>837</v>
      </c>
      <c r="H152" s="6" t="s">
        <v>1056</v>
      </c>
    </row>
    <row r="153" ht="15.75" customHeight="1">
      <c r="A153" s="17">
        <v>46011.0</v>
      </c>
      <c r="B153" s="6" t="s">
        <v>664</v>
      </c>
      <c r="C153" s="6" t="str">
        <f>VLOOKUP(B153,Sheet3!$B$2:$E$312,2,FALSE)</f>
        <v>P004-025</v>
      </c>
      <c r="D153" s="6" t="str">
        <f>VLOOKUP(B153,Sheet3!$B$2:$E$312,3,)</f>
        <v>barang jadi &amp; bahan baku</v>
      </c>
      <c r="E153" s="6" t="str">
        <f>VLOOKUP(B153,Sheet3!$B$2:$E$312,4,)</f>
        <v>ML</v>
      </c>
      <c r="F153" s="6">
        <v>3400.0</v>
      </c>
      <c r="G153" s="6" t="s">
        <v>837</v>
      </c>
      <c r="H153" s="6" t="s">
        <v>1077</v>
      </c>
    </row>
    <row r="154" ht="15.75" customHeight="1">
      <c r="A154" s="17">
        <v>46011.0</v>
      </c>
      <c r="B154" s="6" t="s">
        <v>653</v>
      </c>
      <c r="C154" s="6" t="str">
        <f>VLOOKUP(B154,Sheet3!$B$2:$E$312,2,FALSE)</f>
        <v>P004-022</v>
      </c>
      <c r="D154" s="6" t="str">
        <f>VLOOKUP(B154,Sheet3!$B$2:$E$312,3,)</f>
        <v>barang jadi &amp; bahan baku</v>
      </c>
      <c r="E154" s="6" t="str">
        <f>VLOOKUP(B154,Sheet3!$B$2:$E$312,4,)</f>
        <v>CC</v>
      </c>
      <c r="F154" s="6">
        <v>1700.0</v>
      </c>
      <c r="G154" s="6" t="s">
        <v>837</v>
      </c>
      <c r="H154" s="6" t="s">
        <v>1077</v>
      </c>
    </row>
    <row r="155" ht="15.75" customHeight="1">
      <c r="A155" s="17">
        <v>46011.0</v>
      </c>
      <c r="B155" s="6" t="s">
        <v>657</v>
      </c>
      <c r="C155" s="6" t="str">
        <f>VLOOKUP(B155,Sheet3!$B$2:$E$312,2,FALSE)</f>
        <v>P004-023</v>
      </c>
      <c r="D155" s="6" t="str">
        <f>VLOOKUP(B155,Sheet3!$B$2:$E$312,3,)</f>
        <v>barang jadi &amp; bahan baku</v>
      </c>
      <c r="E155" s="6" t="str">
        <f>VLOOKUP(B155,Sheet3!$B$2:$E$312,4,)</f>
        <v>CC</v>
      </c>
      <c r="F155" s="6">
        <v>1700.0</v>
      </c>
      <c r="G155" s="6" t="s">
        <v>837</v>
      </c>
      <c r="H155" s="6" t="s">
        <v>1077</v>
      </c>
    </row>
    <row r="156" ht="15.75" customHeight="1">
      <c r="A156" s="17">
        <v>46011.0</v>
      </c>
      <c r="B156" s="6" t="s">
        <v>632</v>
      </c>
      <c r="C156" s="6" t="str">
        <f>VLOOKUP(B156,Sheet3!$B$2:$E$312,2,FALSE)</f>
        <v>P004-013</v>
      </c>
      <c r="D156" s="6" t="str">
        <f>VLOOKUP(B156,Sheet3!$B$2:$E$312,3,)</f>
        <v>barang jadi &amp; bahan baku</v>
      </c>
      <c r="E156" s="6" t="str">
        <f>VLOOKUP(B156,Sheet3!$B$2:$E$312,4,)</f>
        <v>PCS</v>
      </c>
      <c r="F156" s="6">
        <v>18.0</v>
      </c>
      <c r="G156" s="6" t="s">
        <v>837</v>
      </c>
      <c r="H156" s="6" t="s">
        <v>1247</v>
      </c>
    </row>
    <row r="157" ht="15.75" customHeight="1">
      <c r="A157" s="17">
        <v>46011.0</v>
      </c>
      <c r="B157" s="6" t="s">
        <v>632</v>
      </c>
      <c r="C157" s="6" t="str">
        <f>VLOOKUP(B157,Sheet3!$B$2:$E$312,2,FALSE)</f>
        <v>P004-013</v>
      </c>
      <c r="D157" s="6" t="str">
        <f>VLOOKUP(B157,Sheet3!$B$2:$E$312,3,)</f>
        <v>barang jadi &amp; bahan baku</v>
      </c>
      <c r="E157" s="6" t="str">
        <f>VLOOKUP(B157,Sheet3!$B$2:$E$312,4,)</f>
        <v>PCS</v>
      </c>
      <c r="F157" s="6">
        <v>4.0</v>
      </c>
      <c r="G157" s="6" t="s">
        <v>837</v>
      </c>
      <c r="H157" s="6" t="s">
        <v>1247</v>
      </c>
    </row>
    <row r="158" ht="15.75" customHeight="1">
      <c r="A158" s="17">
        <v>46011.0</v>
      </c>
      <c r="B158" s="6" t="s">
        <v>625</v>
      </c>
      <c r="C158" s="6" t="str">
        <f>VLOOKUP(B158,Sheet3!$B$2:$E$312,2,FALSE)</f>
        <v>P004-011</v>
      </c>
      <c r="D158" s="6" t="str">
        <f>VLOOKUP(B158,Sheet3!$B$2:$E$312,3,)</f>
        <v>barang jadi &amp; bahan baku</v>
      </c>
      <c r="E158" s="6" t="str">
        <f>VLOOKUP(B158,Sheet3!$B$2:$E$312,4,)</f>
        <v>GR</v>
      </c>
      <c r="F158" s="6">
        <v>163.0</v>
      </c>
      <c r="G158" s="6" t="s">
        <v>837</v>
      </c>
      <c r="H158" s="6" t="s">
        <v>1247</v>
      </c>
    </row>
    <row r="159" ht="15.75" customHeight="1">
      <c r="A159" s="17">
        <v>46012.0</v>
      </c>
      <c r="B159" s="6" t="s">
        <v>561</v>
      </c>
      <c r="C159" s="6" t="str">
        <f>VLOOKUP(B159,Sheet3!$B$2:$E$312,2,FALSE)</f>
        <v>S002-004</v>
      </c>
      <c r="D159" s="6" t="str">
        <f>VLOOKUP(B159,Sheet3!$B$2:$E$312,3,)</f>
        <v>barang jadi</v>
      </c>
      <c r="E159" s="6" t="str">
        <f>VLOOKUP(B159,Sheet3!$B$2:$E$312,4,)</f>
        <v>PORSI</v>
      </c>
      <c r="F159" s="6">
        <v>2.0</v>
      </c>
      <c r="G159" s="6" t="s">
        <v>837</v>
      </c>
      <c r="H159" s="6" t="s">
        <v>1364</v>
      </c>
    </row>
    <row r="160" ht="15.75" customHeight="1">
      <c r="A160" s="17">
        <v>46012.0</v>
      </c>
      <c r="B160" s="6" t="s">
        <v>1396</v>
      </c>
      <c r="C160" s="6" t="str">
        <f>VLOOKUP(B160,Sheet3!$B$2:$E$312,2,FALSE)</f>
        <v>B001-036</v>
      </c>
      <c r="D160" s="6" t="str">
        <f>VLOOKUP(B160,Sheet3!$B$2:$E$312,3,)</f>
        <v>bahan baku</v>
      </c>
      <c r="E160" s="6" t="str">
        <f>VLOOKUP(B160,Sheet3!$B$2:$E$312,4,)</f>
        <v>GR</v>
      </c>
      <c r="F160" s="6">
        <v>10.0</v>
      </c>
      <c r="G160" s="6" t="s">
        <v>1397</v>
      </c>
      <c r="H160" s="6" t="s">
        <v>1322</v>
      </c>
    </row>
    <row r="161" ht="15.75" customHeight="1">
      <c r="A161" s="17">
        <v>46012.0</v>
      </c>
      <c r="B161" s="6" t="s">
        <v>657</v>
      </c>
      <c r="C161" s="6" t="str">
        <f>VLOOKUP(B161,Sheet3!$B$2:$E$312,2,FALSE)</f>
        <v>P004-023</v>
      </c>
      <c r="D161" s="6" t="str">
        <f>VLOOKUP(B161,Sheet3!$B$2:$E$312,3,)</f>
        <v>barang jadi &amp; bahan baku</v>
      </c>
      <c r="E161" s="6" t="str">
        <f>VLOOKUP(B161,Sheet3!$B$2:$E$312,4,)</f>
        <v>CC</v>
      </c>
      <c r="F161" s="6">
        <v>500.0</v>
      </c>
      <c r="G161" s="6" t="s">
        <v>837</v>
      </c>
      <c r="H161" s="6" t="s">
        <v>1322</v>
      </c>
    </row>
    <row r="162" ht="15.75" customHeight="1">
      <c r="A162" s="17">
        <v>46012.0</v>
      </c>
      <c r="B162" s="6" t="s">
        <v>664</v>
      </c>
      <c r="C162" s="6" t="str">
        <f>VLOOKUP(B162,Sheet3!$B$2:$E$312,2,FALSE)</f>
        <v>P004-025</v>
      </c>
      <c r="D162" s="6" t="str">
        <f>VLOOKUP(B162,Sheet3!$B$2:$E$312,3,)</f>
        <v>barang jadi &amp; bahan baku</v>
      </c>
      <c r="E162" s="6" t="str">
        <f>VLOOKUP(B162,Sheet3!$B$2:$E$312,4,)</f>
        <v>ML</v>
      </c>
      <c r="F162" s="6">
        <v>900.0</v>
      </c>
      <c r="G162" s="6" t="s">
        <v>837</v>
      </c>
      <c r="H162" s="6" t="s">
        <v>1322</v>
      </c>
    </row>
    <row r="163" ht="15.75" customHeight="1">
      <c r="A163" s="17">
        <v>46012.0</v>
      </c>
      <c r="B163" s="6" t="s">
        <v>805</v>
      </c>
      <c r="C163" s="6" t="str">
        <f>VLOOKUP(B163,Sheet3!$B$2:$E$312,2,FALSE)</f>
        <v>#N/A</v>
      </c>
      <c r="D163" s="6" t="str">
        <f>VLOOKUP(B163,Sheet3!$B$2:$E$312,3,)</f>
        <v>#N/A</v>
      </c>
      <c r="E163" s="6" t="str">
        <f>VLOOKUP(B163,Sheet3!$B$2:$E$312,4,)</f>
        <v>#N/A</v>
      </c>
      <c r="F163" s="6">
        <v>150.0</v>
      </c>
      <c r="G163" s="6" t="s">
        <v>837</v>
      </c>
      <c r="H163" s="6" t="s">
        <v>1322</v>
      </c>
    </row>
    <row r="164" ht="15.75" customHeight="1">
      <c r="A164" s="17">
        <v>46012.0</v>
      </c>
      <c r="B164" s="6" t="s">
        <v>653</v>
      </c>
      <c r="C164" s="6" t="str">
        <f>VLOOKUP(B164,Sheet3!$B$2:$E$312,2,FALSE)</f>
        <v>P004-022</v>
      </c>
      <c r="D164" s="6" t="str">
        <f>VLOOKUP(B164,Sheet3!$B$2:$E$312,3,)</f>
        <v>barang jadi &amp; bahan baku</v>
      </c>
      <c r="E164" s="6" t="str">
        <f>VLOOKUP(B164,Sheet3!$B$2:$E$312,4,)</f>
        <v>CC</v>
      </c>
      <c r="F164" s="6">
        <v>1400.0</v>
      </c>
      <c r="G164" s="6" t="s">
        <v>837</v>
      </c>
      <c r="H164" s="6" t="s">
        <v>1322</v>
      </c>
    </row>
    <row r="165" ht="15.75" customHeight="1">
      <c r="A165" s="17">
        <v>46012.0</v>
      </c>
      <c r="B165" s="6" t="s">
        <v>54</v>
      </c>
      <c r="C165" s="6" t="str">
        <f>VLOOKUP(B165,Sheet3!$B$2:$E$312,2,FALSE)</f>
        <v>B001-019</v>
      </c>
      <c r="D165" s="6" t="str">
        <f>VLOOKUP(B165,Sheet3!$B$2:$E$312,3,)</f>
        <v>bahan baku</v>
      </c>
      <c r="E165" s="6" t="str">
        <f>VLOOKUP(B165,Sheet3!$B$2:$E$312,4,)</f>
        <v>GR</v>
      </c>
      <c r="F165" s="6">
        <v>105.0</v>
      </c>
      <c r="G165" s="6" t="s">
        <v>837</v>
      </c>
      <c r="H165" s="6" t="s">
        <v>1247</v>
      </c>
    </row>
    <row r="166" ht="15.75" customHeight="1">
      <c r="A166" s="17">
        <v>46012.0</v>
      </c>
      <c r="B166" s="6" t="s">
        <v>50</v>
      </c>
      <c r="C166" s="6" t="str">
        <f>VLOOKUP(B166,Sheet3!$B$2:$E$312,2,FALSE)</f>
        <v>B001-017</v>
      </c>
      <c r="D166" s="6" t="str">
        <f>VLOOKUP(B166,Sheet3!$B$2:$E$312,3,)</f>
        <v>bahan baku</v>
      </c>
      <c r="E166" s="6" t="str">
        <f>VLOOKUP(B166,Sheet3!$B$2:$E$312,4,)</f>
        <v>GR</v>
      </c>
      <c r="F166" s="6">
        <v>500.0</v>
      </c>
      <c r="G166" s="6" t="s">
        <v>837</v>
      </c>
      <c r="H166" s="6" t="s">
        <v>1247</v>
      </c>
    </row>
    <row r="167" ht="15.75" customHeight="1">
      <c r="A167" s="17">
        <v>46012.0</v>
      </c>
      <c r="B167" s="6" t="s">
        <v>632</v>
      </c>
      <c r="C167" s="6" t="str">
        <f>VLOOKUP(B167,Sheet3!$B$2:$E$312,2,FALSE)</f>
        <v>P004-013</v>
      </c>
      <c r="D167" s="6" t="str">
        <f>VLOOKUP(B167,Sheet3!$B$2:$E$312,3,)</f>
        <v>barang jadi &amp; bahan baku</v>
      </c>
      <c r="E167" s="6" t="str">
        <f>VLOOKUP(B167,Sheet3!$B$2:$E$312,4,)</f>
        <v>PCS</v>
      </c>
      <c r="F167" s="6">
        <v>11.0</v>
      </c>
      <c r="G167" s="6" t="s">
        <v>837</v>
      </c>
      <c r="H167" s="6" t="s">
        <v>1247</v>
      </c>
    </row>
    <row r="168" ht="15.75" customHeight="1">
      <c r="A168" s="17">
        <v>46012.0</v>
      </c>
      <c r="B168" s="6" t="s">
        <v>632</v>
      </c>
      <c r="C168" s="6" t="str">
        <f>VLOOKUP(B168,Sheet3!$B$2:$E$312,2,FALSE)</f>
        <v>P004-013</v>
      </c>
      <c r="D168" s="6" t="str">
        <f>VLOOKUP(B168,Sheet3!$B$2:$E$312,3,)</f>
        <v>barang jadi &amp; bahan baku</v>
      </c>
      <c r="E168" s="6" t="str">
        <f>VLOOKUP(B168,Sheet3!$B$2:$E$312,4,)</f>
        <v>PCS</v>
      </c>
      <c r="F168" s="6">
        <v>8.0</v>
      </c>
      <c r="G168" s="6" t="s">
        <v>837</v>
      </c>
      <c r="H168" s="6" t="s">
        <v>1247</v>
      </c>
    </row>
    <row r="169" ht="15.75" customHeight="1">
      <c r="A169" s="17">
        <v>46013.0</v>
      </c>
      <c r="B169" s="6" t="s">
        <v>150</v>
      </c>
      <c r="C169" s="6" t="str">
        <f>VLOOKUP(B169,Sheet3!$B$2:$E$312,2,FALSE)</f>
        <v>B001-066</v>
      </c>
      <c r="D169" s="6" t="str">
        <f>VLOOKUP(B169,Sheet3!$B$2:$E$312,3,)</f>
        <v>bahan baku</v>
      </c>
      <c r="E169" s="6" t="str">
        <f>VLOOKUP(B169,Sheet3!$B$2:$E$312,4,)</f>
        <v>PCS</v>
      </c>
      <c r="F169" s="6">
        <v>1.0</v>
      </c>
      <c r="G169" s="6" t="s">
        <v>817</v>
      </c>
      <c r="H169" s="6" t="s">
        <v>876</v>
      </c>
    </row>
    <row r="170" ht="15.75" customHeight="1">
      <c r="A170" s="17">
        <v>46013.0</v>
      </c>
      <c r="B170" s="6" t="s">
        <v>651</v>
      </c>
      <c r="C170" s="6" t="str">
        <f>VLOOKUP(B170,Sheet3!$B$2:$E$312,2,FALSE)</f>
        <v>P004-021</v>
      </c>
      <c r="D170" s="6" t="str">
        <f>VLOOKUP(B170,Sheet3!$B$2:$E$312,3,)</f>
        <v>barang jadi &amp; bahan baku</v>
      </c>
      <c r="E170" s="6" t="str">
        <f>VLOOKUP(B170,Sheet3!$B$2:$E$312,4,)</f>
        <v>GR</v>
      </c>
      <c r="F170" s="6">
        <v>81.0</v>
      </c>
      <c r="G170" s="6" t="s">
        <v>837</v>
      </c>
      <c r="H170" s="6" t="s">
        <v>876</v>
      </c>
    </row>
    <row r="171" ht="15.75" customHeight="1">
      <c r="A171" s="17">
        <v>46013.0</v>
      </c>
      <c r="B171" s="6" t="s">
        <v>79</v>
      </c>
      <c r="C171" s="6" t="str">
        <f>VLOOKUP(B171,Sheet3!$B$2:$E$312,2,FALSE)</f>
        <v>B001-033</v>
      </c>
      <c r="D171" s="6" t="str">
        <f>VLOOKUP(B171,Sheet3!$B$2:$E$312,3,)</f>
        <v>bahan baku</v>
      </c>
      <c r="E171" s="6" t="str">
        <f>VLOOKUP(B171,Sheet3!$B$2:$E$312,4,)</f>
        <v>PCS</v>
      </c>
      <c r="F171" s="6">
        <v>5.0</v>
      </c>
      <c r="G171" s="6" t="s">
        <v>1403</v>
      </c>
      <c r="H171" s="6" t="s">
        <v>1251</v>
      </c>
    </row>
    <row r="172" ht="15.75" customHeight="1">
      <c r="A172" s="17">
        <v>46013.0</v>
      </c>
      <c r="B172" s="6" t="s">
        <v>664</v>
      </c>
      <c r="C172" s="6" t="str">
        <f>VLOOKUP(B172,Sheet3!$B$2:$E$312,2,FALSE)</f>
        <v>P004-025</v>
      </c>
      <c r="D172" s="6" t="str">
        <f>VLOOKUP(B172,Sheet3!$B$2:$E$312,3,)</f>
        <v>barang jadi &amp; bahan baku</v>
      </c>
      <c r="E172" s="6" t="str">
        <f>VLOOKUP(B172,Sheet3!$B$2:$E$312,4,)</f>
        <v>ML</v>
      </c>
      <c r="F172" s="6">
        <v>2100.0</v>
      </c>
      <c r="G172" s="6" t="s">
        <v>837</v>
      </c>
      <c r="H172" s="6" t="s">
        <v>1322</v>
      </c>
    </row>
    <row r="173" ht="15.75" customHeight="1">
      <c r="A173" s="17">
        <v>46013.0</v>
      </c>
      <c r="B173" s="6" t="s">
        <v>653</v>
      </c>
      <c r="C173" s="6" t="str">
        <f>VLOOKUP(B173,Sheet3!$B$2:$E$312,2,FALSE)</f>
        <v>P004-022</v>
      </c>
      <c r="D173" s="6" t="str">
        <f>VLOOKUP(B173,Sheet3!$B$2:$E$312,3,)</f>
        <v>barang jadi &amp; bahan baku</v>
      </c>
      <c r="E173" s="6" t="str">
        <f>VLOOKUP(B173,Sheet3!$B$2:$E$312,4,)</f>
        <v>CC</v>
      </c>
      <c r="F173" s="6">
        <v>3500.0</v>
      </c>
      <c r="G173" s="6" t="s">
        <v>837</v>
      </c>
      <c r="H173" s="6" t="s">
        <v>1322</v>
      </c>
    </row>
    <row r="174" ht="15.75" customHeight="1">
      <c r="A174" s="17">
        <v>46013.0</v>
      </c>
      <c r="B174" s="6" t="s">
        <v>805</v>
      </c>
      <c r="C174" s="6" t="str">
        <f>VLOOKUP(B174,Sheet3!$B$2:$E$312,2,FALSE)</f>
        <v>#N/A</v>
      </c>
      <c r="D174" s="6" t="str">
        <f>VLOOKUP(B174,Sheet3!$B$2:$E$312,3,)</f>
        <v>#N/A</v>
      </c>
      <c r="E174" s="6" t="str">
        <f>VLOOKUP(B174,Sheet3!$B$2:$E$312,4,)</f>
        <v>#N/A</v>
      </c>
      <c r="F174" s="6">
        <v>1000.0</v>
      </c>
      <c r="G174" s="6" t="s">
        <v>837</v>
      </c>
      <c r="H174" s="6" t="s">
        <v>1322</v>
      </c>
    </row>
    <row r="175" ht="15.75" customHeight="1">
      <c r="A175" s="17">
        <v>46013.0</v>
      </c>
      <c r="B175" s="6" t="s">
        <v>657</v>
      </c>
      <c r="C175" s="6" t="str">
        <f>VLOOKUP(B175,Sheet3!$B$2:$E$312,2,FALSE)</f>
        <v>P004-023</v>
      </c>
      <c r="D175" s="6" t="str">
        <f>VLOOKUP(B175,Sheet3!$B$2:$E$312,3,)</f>
        <v>barang jadi &amp; bahan baku</v>
      </c>
      <c r="E175" s="6" t="str">
        <f>VLOOKUP(B175,Sheet3!$B$2:$E$312,4,)</f>
        <v>CC</v>
      </c>
      <c r="F175" s="6">
        <v>3500.0</v>
      </c>
      <c r="G175" s="6" t="s">
        <v>837</v>
      </c>
      <c r="H175" s="6" t="s">
        <v>1322</v>
      </c>
    </row>
    <row r="176" ht="15.75" customHeight="1">
      <c r="A176" s="17">
        <v>46013.0</v>
      </c>
      <c r="B176" s="6" t="s">
        <v>632</v>
      </c>
      <c r="C176" s="6" t="str">
        <f>VLOOKUP(B176,Sheet3!$B$2:$E$312,2,FALSE)</f>
        <v>P004-013</v>
      </c>
      <c r="D176" s="6" t="str">
        <f>VLOOKUP(B176,Sheet3!$B$2:$E$312,3,)</f>
        <v>barang jadi &amp; bahan baku</v>
      </c>
      <c r="E176" s="6" t="str">
        <f>VLOOKUP(B176,Sheet3!$B$2:$E$312,4,)</f>
        <v>PCS</v>
      </c>
      <c r="F176" s="6">
        <f>4680/130</f>
        <v>36</v>
      </c>
      <c r="G176" s="6" t="s">
        <v>837</v>
      </c>
      <c r="H176" s="6" t="s">
        <v>1247</v>
      </c>
    </row>
    <row r="177" ht="15.75" customHeight="1">
      <c r="A177" s="17">
        <v>46013.0</v>
      </c>
      <c r="B177" s="6" t="s">
        <v>632</v>
      </c>
      <c r="C177" s="6" t="str">
        <f>VLOOKUP(B177,Sheet3!$B$2:$E$312,2,FALSE)</f>
        <v>P004-013</v>
      </c>
      <c r="D177" s="6" t="str">
        <f>VLOOKUP(B177,Sheet3!$B$2:$E$312,3,)</f>
        <v>barang jadi &amp; bahan baku</v>
      </c>
      <c r="E177" s="6" t="str">
        <f>VLOOKUP(B177,Sheet3!$B$2:$E$312,4,)</f>
        <v>PCS</v>
      </c>
      <c r="F177" s="6">
        <v>28.0</v>
      </c>
      <c r="G177" s="6" t="s">
        <v>837</v>
      </c>
      <c r="H177" s="6" t="s">
        <v>1247</v>
      </c>
    </row>
    <row r="178" ht="15.75" customHeight="1">
      <c r="A178" s="17">
        <v>46013.0</v>
      </c>
      <c r="B178" s="6" t="s">
        <v>634</v>
      </c>
      <c r="C178" s="6" t="str">
        <f>VLOOKUP(B178,Sheet3!$B$2:$E$312,2,FALSE)</f>
        <v>P004-014</v>
      </c>
      <c r="D178" s="6" t="str">
        <f>VLOOKUP(B178,Sheet3!$B$2:$E$312,3,)</f>
        <v>barang jadi &amp; bahan baku</v>
      </c>
      <c r="E178" s="6" t="str">
        <f>VLOOKUP(B178,Sheet3!$B$2:$E$312,4,)</f>
        <v>GR</v>
      </c>
      <c r="F178" s="6">
        <v>285.0</v>
      </c>
      <c r="G178" s="6" t="s">
        <v>837</v>
      </c>
      <c r="H178" s="6" t="s">
        <v>1247</v>
      </c>
    </row>
    <row r="179" ht="15.75" customHeight="1">
      <c r="A179" s="17">
        <v>46013.0</v>
      </c>
      <c r="B179" s="6" t="s">
        <v>502</v>
      </c>
      <c r="C179" s="6" t="str">
        <f>VLOOKUP(B179,Sheet3!$B$2:$E$312,2,FALSE)</f>
        <v>S001-002</v>
      </c>
      <c r="D179" s="6" t="str">
        <f>VLOOKUP(B179,Sheet3!$B$2:$E$312,3,)</f>
        <v>barang jadi</v>
      </c>
      <c r="E179" s="6" t="str">
        <f>VLOOKUP(B179,Sheet3!$B$2:$E$312,4,)</f>
        <v>PORSI</v>
      </c>
      <c r="F179" s="6">
        <v>3.0</v>
      </c>
      <c r="G179" s="6" t="s">
        <v>837</v>
      </c>
      <c r="H179" s="6" t="s">
        <v>1247</v>
      </c>
    </row>
    <row r="180" ht="15.75" customHeight="1">
      <c r="A180" s="17">
        <v>46013.0</v>
      </c>
      <c r="B180" s="6" t="s">
        <v>532</v>
      </c>
      <c r="C180" s="6" t="str">
        <f>VLOOKUP(B180,Sheet3!$B$2:$E$312,2,FALSE)</f>
        <v>S002-007</v>
      </c>
      <c r="D180" s="6" t="str">
        <f>VLOOKUP(B180,Sheet3!$B$2:$E$312,3,)</f>
        <v>barang jadi</v>
      </c>
      <c r="E180" s="6" t="str">
        <f>VLOOKUP(B180,Sheet3!$B$2:$E$312,4,)</f>
        <v>PORSI</v>
      </c>
      <c r="F180" s="6">
        <v>1.0</v>
      </c>
      <c r="G180" s="6" t="s">
        <v>837</v>
      </c>
      <c r="H180" s="6" t="s">
        <v>1247</v>
      </c>
    </row>
    <row r="181" ht="15.75" customHeight="1">
      <c r="A181" s="17">
        <v>46014.0</v>
      </c>
      <c r="B181" s="6" t="s">
        <v>684</v>
      </c>
      <c r="C181" s="6" t="str">
        <f>VLOOKUP(B181,Sheet3!$B$2:$E$312,2,FALSE)</f>
        <v>P004-034</v>
      </c>
      <c r="D181" s="6" t="str">
        <f>VLOOKUP(B181,Sheet3!$B$2:$E$312,3,)</f>
        <v>barang jadi &amp; bahan baku</v>
      </c>
      <c r="E181" s="6" t="str">
        <f>VLOOKUP(B181,Sheet3!$B$2:$E$312,4,)</f>
        <v>GR</v>
      </c>
      <c r="F181" s="6">
        <v>454.0</v>
      </c>
      <c r="G181" s="6" t="s">
        <v>837</v>
      </c>
      <c r="H181" s="6" t="s">
        <v>832</v>
      </c>
    </row>
    <row r="182" ht="15.75" customHeight="1">
      <c r="A182" s="17">
        <v>46014.0</v>
      </c>
      <c r="B182" s="6" t="s">
        <v>632</v>
      </c>
      <c r="C182" s="6" t="str">
        <f>VLOOKUP(B182,Sheet3!$B$2:$E$312,2,FALSE)</f>
        <v>P004-013</v>
      </c>
      <c r="D182" s="6" t="str">
        <f>VLOOKUP(B182,Sheet3!$B$2:$E$312,3,)</f>
        <v>barang jadi &amp; bahan baku</v>
      </c>
      <c r="E182" s="6" t="str">
        <f>VLOOKUP(B182,Sheet3!$B$2:$E$312,4,)</f>
        <v>PCS</v>
      </c>
      <c r="F182" s="6">
        <v>22.0</v>
      </c>
      <c r="G182" s="6" t="s">
        <v>837</v>
      </c>
      <c r="H182" s="6" t="s">
        <v>832</v>
      </c>
    </row>
    <row r="183" ht="15.75" customHeight="1">
      <c r="A183" s="17">
        <v>46014.0</v>
      </c>
      <c r="B183" s="6" t="s">
        <v>653</v>
      </c>
      <c r="C183" s="6" t="str">
        <f>VLOOKUP(B183,Sheet3!$B$2:$E$312,2,FALSE)</f>
        <v>P004-022</v>
      </c>
      <c r="D183" s="6" t="str">
        <f>VLOOKUP(B183,Sheet3!$B$2:$E$312,3,)</f>
        <v>barang jadi &amp; bahan baku</v>
      </c>
      <c r="E183" s="6" t="str">
        <f>VLOOKUP(B183,Sheet3!$B$2:$E$312,4,)</f>
        <v>CC</v>
      </c>
      <c r="F183" s="6">
        <v>150.0</v>
      </c>
      <c r="G183" s="6" t="s">
        <v>837</v>
      </c>
      <c r="H183" s="6" t="s">
        <v>1322</v>
      </c>
    </row>
    <row r="184" ht="15.75" customHeight="1">
      <c r="A184" s="17">
        <v>46014.0</v>
      </c>
      <c r="B184" s="6" t="s">
        <v>664</v>
      </c>
      <c r="C184" s="6" t="str">
        <f>VLOOKUP(B184,Sheet3!$B$2:$E$312,2,FALSE)</f>
        <v>P004-025</v>
      </c>
      <c r="D184" s="6" t="str">
        <f>VLOOKUP(B184,Sheet3!$B$2:$E$312,3,)</f>
        <v>barang jadi &amp; bahan baku</v>
      </c>
      <c r="E184" s="6" t="str">
        <f>VLOOKUP(B184,Sheet3!$B$2:$E$312,4,)</f>
        <v>ML</v>
      </c>
      <c r="F184" s="6">
        <v>1000.0</v>
      </c>
      <c r="G184" s="6" t="s">
        <v>837</v>
      </c>
      <c r="H184" s="6" t="s">
        <v>1322</v>
      </c>
    </row>
    <row r="185" ht="15.75" customHeight="1">
      <c r="A185" s="17">
        <v>46014.0</v>
      </c>
      <c r="B185" s="6" t="s">
        <v>805</v>
      </c>
      <c r="C185" s="6" t="str">
        <f>VLOOKUP(B185,Sheet3!$B$2:$E$312,2,FALSE)</f>
        <v>#N/A</v>
      </c>
      <c r="D185" s="6" t="str">
        <f>VLOOKUP(B185,Sheet3!$B$2:$E$312,3,)</f>
        <v>#N/A</v>
      </c>
      <c r="E185" s="6" t="str">
        <f>VLOOKUP(B185,Sheet3!$B$2:$E$312,4,)</f>
        <v>#N/A</v>
      </c>
      <c r="F185" s="6">
        <v>1000.0</v>
      </c>
      <c r="G185" s="6" t="s">
        <v>837</v>
      </c>
      <c r="H185" s="6" t="s">
        <v>1322</v>
      </c>
    </row>
    <row r="186" ht="15.75" customHeight="1">
      <c r="A186" s="17">
        <v>46014.0</v>
      </c>
      <c r="B186" s="6" t="s">
        <v>657</v>
      </c>
      <c r="C186" s="6" t="str">
        <f>VLOOKUP(B186,Sheet3!$B$2:$E$312,2,FALSE)</f>
        <v>P004-023</v>
      </c>
      <c r="D186" s="6" t="str">
        <f>VLOOKUP(B186,Sheet3!$B$2:$E$312,3,)</f>
        <v>barang jadi &amp; bahan baku</v>
      </c>
      <c r="E186" s="6" t="str">
        <f>VLOOKUP(B186,Sheet3!$B$2:$E$312,4,)</f>
        <v>CC</v>
      </c>
      <c r="F186" s="6">
        <v>3400.0</v>
      </c>
      <c r="G186" s="6" t="s">
        <v>837</v>
      </c>
      <c r="H186" s="6" t="s">
        <v>1322</v>
      </c>
    </row>
    <row r="187" ht="15.75" customHeight="1">
      <c r="A187" s="17">
        <v>46015.0</v>
      </c>
      <c r="B187" s="6" t="s">
        <v>197</v>
      </c>
      <c r="C187" s="6" t="str">
        <f>VLOOKUP(B187,Sheet3!$B$2:$E$312,2,FALSE)</f>
        <v>B001-082</v>
      </c>
      <c r="D187" s="6" t="str">
        <f>VLOOKUP(B187,Sheet3!$B$2:$E$312,3,)</f>
        <v>bahan baku</v>
      </c>
      <c r="E187" s="6" t="str">
        <f>VLOOKUP(B187,Sheet3!$B$2:$E$312,4,)</f>
        <v>ML</v>
      </c>
      <c r="F187" s="6">
        <v>300.0</v>
      </c>
      <c r="G187" s="6" t="s">
        <v>837</v>
      </c>
      <c r="H187" s="6" t="s">
        <v>1384</v>
      </c>
    </row>
    <row r="188" ht="15.75" customHeight="1">
      <c r="A188" s="17">
        <v>46015.0</v>
      </c>
      <c r="B188" s="6" t="s">
        <v>648</v>
      </c>
      <c r="C188" s="6" t="str">
        <f>VLOOKUP(B188,Sheet3!$B$2:$E$312,2,FALSE)</f>
        <v>P004-020</v>
      </c>
      <c r="D188" s="6" t="str">
        <f>VLOOKUP(B188,Sheet3!$B$2:$E$312,3,)</f>
        <v>barang jadi &amp; bahan baku</v>
      </c>
      <c r="E188" s="6" t="str">
        <f>VLOOKUP(B188,Sheet3!$B$2:$E$312,4,)</f>
        <v>GR</v>
      </c>
      <c r="F188" s="6">
        <v>289.0</v>
      </c>
      <c r="G188" s="6" t="s">
        <v>837</v>
      </c>
      <c r="H188" s="6" t="s">
        <v>876</v>
      </c>
    </row>
    <row r="189" ht="15.75" customHeight="1">
      <c r="A189" s="17">
        <v>46015.0</v>
      </c>
      <c r="B189" s="6" t="s">
        <v>632</v>
      </c>
      <c r="C189" s="6" t="str">
        <f>VLOOKUP(B189,Sheet3!$B$2:$E$312,2,FALSE)</f>
        <v>P004-013</v>
      </c>
      <c r="D189" s="6" t="str">
        <f>VLOOKUP(B189,Sheet3!$B$2:$E$312,3,)</f>
        <v>barang jadi &amp; bahan baku</v>
      </c>
      <c r="E189" s="6" t="str">
        <f>VLOOKUP(B189,Sheet3!$B$2:$E$312,4,)</f>
        <v>PCS</v>
      </c>
      <c r="F189" s="6">
        <v>15.0</v>
      </c>
      <c r="G189" s="6" t="s">
        <v>837</v>
      </c>
      <c r="H189" s="6" t="s">
        <v>832</v>
      </c>
    </row>
    <row r="190" ht="15.75" customHeight="1">
      <c r="A190" s="17">
        <v>46016.0</v>
      </c>
      <c r="B190" s="6" t="s">
        <v>632</v>
      </c>
      <c r="C190" s="6" t="str">
        <f>VLOOKUP(B190,Sheet3!$B$2:$E$312,2,FALSE)</f>
        <v>P004-013</v>
      </c>
      <c r="D190" s="6" t="str">
        <f>VLOOKUP(B190,Sheet3!$B$2:$E$312,3,)</f>
        <v>barang jadi &amp; bahan baku</v>
      </c>
      <c r="E190" s="6" t="str">
        <f>VLOOKUP(B190,Sheet3!$B$2:$E$312,4,)</f>
        <v>PCS</v>
      </c>
      <c r="F190" s="6">
        <v>7.0</v>
      </c>
      <c r="G190" s="6" t="s">
        <v>837</v>
      </c>
      <c r="H190" s="6" t="s">
        <v>969</v>
      </c>
    </row>
    <row r="191" ht="15.75" customHeight="1">
      <c r="A191" s="17">
        <v>46016.0</v>
      </c>
      <c r="B191" s="6" t="s">
        <v>632</v>
      </c>
      <c r="C191" s="6" t="str">
        <f>VLOOKUP(B191,Sheet3!$B$2:$E$312,2,FALSE)</f>
        <v>P004-013</v>
      </c>
      <c r="D191" s="6" t="str">
        <f>VLOOKUP(B191,Sheet3!$B$2:$E$312,3,)</f>
        <v>barang jadi &amp; bahan baku</v>
      </c>
      <c r="E191" s="6" t="str">
        <f>VLOOKUP(B191,Sheet3!$B$2:$E$312,4,)</f>
        <v>PCS</v>
      </c>
      <c r="F191" s="6">
        <v>21.0</v>
      </c>
      <c r="G191" s="6" t="s">
        <v>837</v>
      </c>
      <c r="H191" s="6" t="s">
        <v>969</v>
      </c>
    </row>
    <row r="192" ht="15.75" customHeight="1">
      <c r="A192" s="17">
        <v>46016.0</v>
      </c>
      <c r="B192" s="6" t="s">
        <v>664</v>
      </c>
      <c r="C192" s="6" t="str">
        <f>VLOOKUP(B192,Sheet3!$B$2:$E$312,2,FALSE)</f>
        <v>P004-025</v>
      </c>
      <c r="D192" s="6" t="str">
        <f>VLOOKUP(B192,Sheet3!$B$2:$E$312,3,)</f>
        <v>barang jadi &amp; bahan baku</v>
      </c>
      <c r="E192" s="6" t="str">
        <f>VLOOKUP(B192,Sheet3!$B$2:$E$312,4,)</f>
        <v>ML</v>
      </c>
      <c r="F192" s="6">
        <v>900.0</v>
      </c>
      <c r="G192" s="6" t="s">
        <v>837</v>
      </c>
      <c r="H192" s="6" t="s">
        <v>1373</v>
      </c>
    </row>
    <row r="193" ht="15.75" customHeight="1">
      <c r="A193" s="17">
        <v>46016.0</v>
      </c>
      <c r="B193" s="6" t="s">
        <v>805</v>
      </c>
      <c r="C193" s="6" t="str">
        <f>VLOOKUP(B193,Sheet3!$B$2:$E$312,2,FALSE)</f>
        <v>#N/A</v>
      </c>
      <c r="D193" s="6" t="str">
        <f>VLOOKUP(B193,Sheet3!$B$2:$E$312,3,)</f>
        <v>#N/A</v>
      </c>
      <c r="E193" s="6" t="str">
        <f>VLOOKUP(B193,Sheet3!$B$2:$E$312,4,)</f>
        <v>#N/A</v>
      </c>
      <c r="F193" s="6">
        <v>300.0</v>
      </c>
      <c r="G193" s="6" t="s">
        <v>837</v>
      </c>
      <c r="H193" s="6" t="s">
        <v>1373</v>
      </c>
    </row>
    <row r="194" ht="15.75" customHeight="1">
      <c r="A194" s="17">
        <v>46016.0</v>
      </c>
      <c r="B194" s="6" t="s">
        <v>657</v>
      </c>
      <c r="C194" s="6" t="str">
        <f>VLOOKUP(B194,Sheet3!$B$2:$E$312,2,FALSE)</f>
        <v>P004-023</v>
      </c>
      <c r="D194" s="6" t="str">
        <f>VLOOKUP(B194,Sheet3!$B$2:$E$312,3,)</f>
        <v>barang jadi &amp; bahan baku</v>
      </c>
      <c r="E194" s="6" t="str">
        <f>VLOOKUP(B194,Sheet3!$B$2:$E$312,4,)</f>
        <v>CC</v>
      </c>
      <c r="F194" s="6">
        <v>600.0</v>
      </c>
      <c r="G194" s="6" t="s">
        <v>837</v>
      </c>
      <c r="H194" s="6" t="s">
        <v>1373</v>
      </c>
    </row>
    <row r="195" ht="15.75" customHeight="1">
      <c r="A195" s="17">
        <v>46016.0</v>
      </c>
      <c r="B195" s="6" t="s">
        <v>611</v>
      </c>
      <c r="C195" s="6" t="str">
        <f>VLOOKUP(B195,Sheet3!$B$2:$E$312,2,FALSE)</f>
        <v>P004-004</v>
      </c>
      <c r="D195" s="6" t="str">
        <f>VLOOKUP(B195,Sheet3!$B$2:$E$312,3,)</f>
        <v>barang jadi &amp; bahan baku</v>
      </c>
      <c r="E195" s="6" t="str">
        <f>VLOOKUP(B195,Sheet3!$B$2:$E$312,4,)</f>
        <v>PCS</v>
      </c>
      <c r="F195" s="6">
        <v>1.0</v>
      </c>
      <c r="G195" s="6" t="s">
        <v>837</v>
      </c>
      <c r="H195" s="6" t="s">
        <v>1392</v>
      </c>
    </row>
    <row r="196" ht="15.75" customHeight="1">
      <c r="A196" s="17">
        <v>46016.0</v>
      </c>
      <c r="B196" s="6" t="s">
        <v>629</v>
      </c>
      <c r="C196" s="6" t="str">
        <f>VLOOKUP(B196,Sheet3!$B$2:$E$312,2,FALSE)</f>
        <v>P004-012</v>
      </c>
      <c r="D196" s="6" t="str">
        <f>VLOOKUP(B196,Sheet3!$B$2:$E$312,3,)</f>
        <v>barang jadi &amp; bahan baku</v>
      </c>
      <c r="E196" s="6" t="str">
        <f>VLOOKUP(B196,Sheet3!$B$2:$E$312,4,)</f>
        <v>GR</v>
      </c>
      <c r="F196" s="6">
        <v>69.0</v>
      </c>
      <c r="G196" s="6" t="s">
        <v>837</v>
      </c>
      <c r="H196" s="6" t="s">
        <v>1322</v>
      </c>
    </row>
    <row r="197" ht="15.75" customHeight="1">
      <c r="A197" s="17">
        <v>46016.0</v>
      </c>
      <c r="B197" s="6" t="s">
        <v>150</v>
      </c>
      <c r="C197" s="6" t="str">
        <f>VLOOKUP(B197,Sheet3!$B$2:$E$312,2,FALSE)</f>
        <v>B001-066</v>
      </c>
      <c r="D197" s="6" t="str">
        <f>VLOOKUP(B197,Sheet3!$B$2:$E$312,3,)</f>
        <v>bahan baku</v>
      </c>
      <c r="E197" s="6" t="str">
        <f>VLOOKUP(B197,Sheet3!$B$2:$E$312,4,)</f>
        <v>PCS</v>
      </c>
      <c r="F197" s="6">
        <v>1.0</v>
      </c>
      <c r="G197" s="6" t="s">
        <v>1188</v>
      </c>
      <c r="H197" s="6" t="s">
        <v>1322</v>
      </c>
    </row>
    <row r="198" ht="15.75" customHeight="1">
      <c r="A198" s="17">
        <v>46016.0</v>
      </c>
      <c r="B198" s="6" t="s">
        <v>132</v>
      </c>
      <c r="C198" s="6" t="str">
        <f>VLOOKUP(B198,Sheet3!$B$2:$E$312,2,FALSE)</f>
        <v>B001-057</v>
      </c>
      <c r="D198" s="6" t="str">
        <f>VLOOKUP(B198,Sheet3!$B$2:$E$312,3,)</f>
        <v>bahan baku</v>
      </c>
      <c r="E198" s="6" t="str">
        <f>VLOOKUP(B198,Sheet3!$B$2:$E$312,4,)</f>
        <v>GR</v>
      </c>
      <c r="F198" s="6">
        <v>39.0</v>
      </c>
      <c r="G198" s="6" t="s">
        <v>837</v>
      </c>
      <c r="H198" s="6" t="s">
        <v>1322</v>
      </c>
    </row>
    <row r="199" ht="15.75" customHeight="1">
      <c r="A199" s="17">
        <v>46017.0</v>
      </c>
      <c r="B199" s="6" t="s">
        <v>632</v>
      </c>
      <c r="C199" s="6" t="str">
        <f>VLOOKUP(B199,Sheet3!$B$2:$E$312,2,FALSE)</f>
        <v>P004-013</v>
      </c>
      <c r="D199" s="6" t="str">
        <f>VLOOKUP(B199,Sheet3!$B$2:$E$312,3,)</f>
        <v>barang jadi &amp; bahan baku</v>
      </c>
      <c r="E199" s="6" t="str">
        <f>VLOOKUP(B199,Sheet3!$B$2:$E$312,4,)</f>
        <v>PCS</v>
      </c>
      <c r="F199" s="6">
        <v>38.0</v>
      </c>
      <c r="G199" s="6" t="s">
        <v>837</v>
      </c>
      <c r="H199" s="6" t="s">
        <v>1373</v>
      </c>
    </row>
    <row r="200" ht="15.75" customHeight="1">
      <c r="A200" s="17">
        <v>46017.0</v>
      </c>
      <c r="B200" s="6" t="s">
        <v>608</v>
      </c>
      <c r="C200" s="6" t="str">
        <f>VLOOKUP(B200,Sheet3!$B$2:$E$312,2,FALSE)</f>
        <v>P004-001</v>
      </c>
      <c r="D200" s="6" t="str">
        <f>VLOOKUP(B200,Sheet3!$B$2:$E$312,3,)</f>
        <v>barang jadi &amp; bahan baku</v>
      </c>
      <c r="E200" s="6" t="str">
        <f>VLOOKUP(B200,Sheet3!$B$2:$E$312,4,)</f>
        <v>PCS</v>
      </c>
      <c r="F200" s="6">
        <v>3.0</v>
      </c>
      <c r="G200" s="6" t="s">
        <v>837</v>
      </c>
      <c r="H200" s="6" t="s">
        <v>1392</v>
      </c>
    </row>
    <row r="201" ht="15.75" customHeight="1">
      <c r="A201" s="17">
        <v>46017.0</v>
      </c>
      <c r="B201" s="6" t="s">
        <v>653</v>
      </c>
      <c r="C201" s="6" t="str">
        <f>VLOOKUP(B201,Sheet3!$B$2:$E$312,2,FALSE)</f>
        <v>P004-022</v>
      </c>
      <c r="D201" s="6" t="str">
        <f>VLOOKUP(B201,Sheet3!$B$2:$E$312,3,)</f>
        <v>barang jadi &amp; bahan baku</v>
      </c>
      <c r="E201" s="6" t="str">
        <f>VLOOKUP(B201,Sheet3!$B$2:$E$312,4,)</f>
        <v>CC</v>
      </c>
      <c r="F201" s="6">
        <v>400.0</v>
      </c>
      <c r="G201" s="6" t="s">
        <v>837</v>
      </c>
      <c r="H201" s="6" t="s">
        <v>1406</v>
      </c>
    </row>
    <row r="202" ht="15.75" customHeight="1">
      <c r="A202" s="17">
        <v>46017.0</v>
      </c>
      <c r="B202" s="6" t="s">
        <v>657</v>
      </c>
      <c r="C202" s="6" t="str">
        <f>VLOOKUP(B202,Sheet3!$B$2:$E$312,2,FALSE)</f>
        <v>P004-023</v>
      </c>
      <c r="D202" s="6" t="str">
        <f>VLOOKUP(B202,Sheet3!$B$2:$E$312,3,)</f>
        <v>barang jadi &amp; bahan baku</v>
      </c>
      <c r="E202" s="6" t="str">
        <f>VLOOKUP(B202,Sheet3!$B$2:$E$312,4,)</f>
        <v>CC</v>
      </c>
      <c r="F202" s="6">
        <v>1300.0</v>
      </c>
      <c r="G202" s="6" t="s">
        <v>837</v>
      </c>
      <c r="H202" s="6" t="s">
        <v>1406</v>
      </c>
    </row>
    <row r="203" ht="15.75" customHeight="1">
      <c r="A203" s="17">
        <v>46017.0</v>
      </c>
      <c r="B203" s="6" t="s">
        <v>805</v>
      </c>
      <c r="C203" s="6" t="str">
        <f>VLOOKUP(B203,Sheet3!$B$2:$E$312,2,FALSE)</f>
        <v>#N/A</v>
      </c>
      <c r="D203" s="6" t="str">
        <f>VLOOKUP(B203,Sheet3!$B$2:$E$312,3,)</f>
        <v>#N/A</v>
      </c>
      <c r="E203" s="6" t="str">
        <f>VLOOKUP(B203,Sheet3!$B$2:$E$312,4,)</f>
        <v>#N/A</v>
      </c>
      <c r="F203" s="6">
        <v>1200.0</v>
      </c>
      <c r="G203" s="6" t="s">
        <v>837</v>
      </c>
      <c r="H203" s="6" t="s">
        <v>1406</v>
      </c>
    </row>
    <row r="204" ht="15.75" customHeight="1">
      <c r="A204" s="17">
        <v>46017.0</v>
      </c>
      <c r="B204" s="6" t="s">
        <v>664</v>
      </c>
      <c r="C204" s="6" t="str">
        <f>VLOOKUP(B204,Sheet3!$B$2:$E$312,2,FALSE)</f>
        <v>P004-025</v>
      </c>
      <c r="D204" s="6" t="str">
        <f>VLOOKUP(B204,Sheet3!$B$2:$E$312,3,)</f>
        <v>barang jadi &amp; bahan baku</v>
      </c>
      <c r="E204" s="6" t="str">
        <f>VLOOKUP(B204,Sheet3!$B$2:$E$312,4,)</f>
        <v>ML</v>
      </c>
      <c r="F204" s="6">
        <v>1500.0</v>
      </c>
      <c r="G204" s="6" t="s">
        <v>837</v>
      </c>
      <c r="H204" s="6" t="s">
        <v>1406</v>
      </c>
    </row>
    <row r="205" ht="15.75" customHeight="1">
      <c r="A205" s="17">
        <v>46017.0</v>
      </c>
      <c r="B205" s="6" t="s">
        <v>132</v>
      </c>
      <c r="C205" s="6" t="str">
        <f>VLOOKUP(B205,Sheet3!$B$2:$E$312,2,FALSE)</f>
        <v>B001-057</v>
      </c>
      <c r="D205" s="6" t="str">
        <f>VLOOKUP(B205,Sheet3!$B$2:$E$312,3,)</f>
        <v>bahan baku</v>
      </c>
      <c r="E205" s="6" t="str">
        <f>VLOOKUP(B205,Sheet3!$B$2:$E$312,4,)</f>
        <v>GR</v>
      </c>
      <c r="F205" s="6">
        <v>70.0</v>
      </c>
      <c r="G205" s="6" t="s">
        <v>837</v>
      </c>
      <c r="H205" s="6" t="s">
        <v>1322</v>
      </c>
    </row>
    <row r="206" ht="15.75" customHeight="1">
      <c r="A206" s="17">
        <v>46018.0</v>
      </c>
      <c r="B206" s="6" t="s">
        <v>563</v>
      </c>
      <c r="C206" s="6" t="str">
        <f>VLOOKUP(B206,Sheet3!$B$2:$E$312,2,FALSE)</f>
        <v>B003-001</v>
      </c>
      <c r="D206" s="6" t="str">
        <f>VLOOKUP(B206,Sheet3!$B$2:$E$312,3,)</f>
        <v>barang jadi</v>
      </c>
      <c r="E206" s="6" t="str">
        <f>VLOOKUP(B206,Sheet3!$B$2:$E$312,4,)</f>
        <v>PORSI</v>
      </c>
      <c r="F206" s="6">
        <v>1.0</v>
      </c>
      <c r="G206" s="6" t="s">
        <v>817</v>
      </c>
      <c r="H206" s="6" t="s">
        <v>1430</v>
      </c>
    </row>
    <row r="207" ht="15.75" customHeight="1">
      <c r="A207" s="17">
        <v>46018.0</v>
      </c>
      <c r="B207" s="6" t="s">
        <v>565</v>
      </c>
      <c r="C207" s="6" t="str">
        <f>VLOOKUP(B207,Sheet3!$B$2:$E$312,2,FALSE)</f>
        <v>B003-002</v>
      </c>
      <c r="D207" s="6" t="str">
        <f>VLOOKUP(B207,Sheet3!$B$2:$E$312,3,)</f>
        <v>barang jadi</v>
      </c>
      <c r="E207" s="6" t="str">
        <f>VLOOKUP(B207,Sheet3!$B$2:$E$312,4,)</f>
        <v>PORSI</v>
      </c>
      <c r="F207" s="6">
        <v>1.0</v>
      </c>
      <c r="G207" s="6" t="s">
        <v>817</v>
      </c>
      <c r="H207" s="6" t="s">
        <v>1322</v>
      </c>
    </row>
    <row r="208" ht="15.75" customHeight="1">
      <c r="A208" s="17">
        <v>46018.0</v>
      </c>
      <c r="B208" s="6" t="s">
        <v>653</v>
      </c>
      <c r="C208" s="6" t="str">
        <f>VLOOKUP(B208,Sheet3!$B$2:$E$312,2,FALSE)</f>
        <v>P004-022</v>
      </c>
      <c r="D208" s="6" t="str">
        <f>VLOOKUP(B208,Sheet3!$B$2:$E$312,3,)</f>
        <v>barang jadi &amp; bahan baku</v>
      </c>
      <c r="E208" s="6" t="str">
        <f>VLOOKUP(B208,Sheet3!$B$2:$E$312,4,)</f>
        <v>CC</v>
      </c>
      <c r="F208" s="6">
        <v>1700.0</v>
      </c>
      <c r="G208" s="6" t="s">
        <v>837</v>
      </c>
      <c r="H208" s="6" t="s">
        <v>1146</v>
      </c>
    </row>
    <row r="209" ht="15.75" customHeight="1">
      <c r="A209" s="17">
        <v>46018.0</v>
      </c>
      <c r="B209" s="6" t="s">
        <v>657</v>
      </c>
      <c r="C209" s="6" t="str">
        <f>VLOOKUP(B209,Sheet3!$B$2:$E$312,2,FALSE)</f>
        <v>P004-023</v>
      </c>
      <c r="D209" s="6" t="str">
        <f>VLOOKUP(B209,Sheet3!$B$2:$E$312,3,)</f>
        <v>barang jadi &amp; bahan baku</v>
      </c>
      <c r="E209" s="6" t="str">
        <f>VLOOKUP(B209,Sheet3!$B$2:$E$312,4,)</f>
        <v>CC</v>
      </c>
      <c r="F209" s="6">
        <v>2800.0</v>
      </c>
      <c r="G209" s="6" t="s">
        <v>837</v>
      </c>
      <c r="H209" s="6" t="s">
        <v>1146</v>
      </c>
    </row>
    <row r="210" ht="15.75" customHeight="1">
      <c r="A210" s="17">
        <v>46018.0</v>
      </c>
      <c r="B210" s="6" t="s">
        <v>1215</v>
      </c>
      <c r="C210" s="6" t="str">
        <f>VLOOKUP(B210,Sheet3!$B$2:$E$312,2,FALSE)</f>
        <v>B001-033</v>
      </c>
      <c r="D210" s="6" t="str">
        <f>VLOOKUP(B210,Sheet3!$B$2:$E$312,3,)</f>
        <v>bahan baku</v>
      </c>
      <c r="E210" s="6" t="str">
        <f>VLOOKUP(B210,Sheet3!$B$2:$E$312,4,)</f>
        <v>PCS</v>
      </c>
      <c r="F210" s="6">
        <v>9.0</v>
      </c>
      <c r="G210" s="6" t="s">
        <v>1434</v>
      </c>
      <c r="H210" s="6" t="s">
        <v>1251</v>
      </c>
    </row>
    <row r="211" ht="15.75" customHeight="1">
      <c r="A211" s="17">
        <v>46018.0</v>
      </c>
      <c r="B211" s="6" t="s">
        <v>664</v>
      </c>
      <c r="C211" s="6" t="str">
        <f>VLOOKUP(B211,Sheet3!$B$2:$E$312,2,FALSE)</f>
        <v>P004-025</v>
      </c>
      <c r="D211" s="6" t="str">
        <f>VLOOKUP(B211,Sheet3!$B$2:$E$312,3,)</f>
        <v>barang jadi &amp; bahan baku</v>
      </c>
      <c r="E211" s="6" t="str">
        <f>VLOOKUP(B211,Sheet3!$B$2:$E$312,4,)</f>
        <v>ML</v>
      </c>
      <c r="F211" s="6">
        <v>1400.0</v>
      </c>
      <c r="G211" s="6" t="s">
        <v>837</v>
      </c>
      <c r="H211" s="6" t="s">
        <v>1146</v>
      </c>
    </row>
    <row r="212" ht="15.75" customHeight="1">
      <c r="A212" s="17">
        <v>46018.0</v>
      </c>
      <c r="B212" s="6" t="s">
        <v>132</v>
      </c>
      <c r="C212" s="6" t="str">
        <f>VLOOKUP(B212,Sheet3!$B$2:$E$312,2,FALSE)</f>
        <v>B001-057</v>
      </c>
      <c r="D212" s="6" t="str">
        <f>VLOOKUP(B212,Sheet3!$B$2:$E$312,3,)</f>
        <v>bahan baku</v>
      </c>
      <c r="E212" s="6" t="str">
        <f>VLOOKUP(B212,Sheet3!$B$2:$E$312,4,)</f>
        <v>GR</v>
      </c>
      <c r="F212" s="6">
        <v>60.0</v>
      </c>
      <c r="G212" s="6" t="s">
        <v>837</v>
      </c>
      <c r="H212" s="6" t="s">
        <v>1322</v>
      </c>
    </row>
    <row r="213" ht="15.75" customHeight="1">
      <c r="A213" s="17">
        <v>46018.0</v>
      </c>
      <c r="B213" s="6" t="s">
        <v>632</v>
      </c>
      <c r="C213" s="6" t="str">
        <f>VLOOKUP(B213,Sheet3!$B$2:$E$312,2,FALSE)</f>
        <v>P004-013</v>
      </c>
      <c r="D213" s="6" t="str">
        <f>VLOOKUP(B213,Sheet3!$B$2:$E$312,3,)</f>
        <v>barang jadi &amp; bahan baku</v>
      </c>
      <c r="E213" s="6" t="str">
        <f>VLOOKUP(B213,Sheet3!$B$2:$E$312,4,)</f>
        <v>PCS</v>
      </c>
      <c r="F213" s="6">
        <v>21.0</v>
      </c>
      <c r="G213" s="6" t="s">
        <v>837</v>
      </c>
      <c r="H213" s="6" t="s">
        <v>832</v>
      </c>
    </row>
    <row r="214" ht="15.75" customHeight="1">
      <c r="A214" s="17">
        <v>46018.0</v>
      </c>
      <c r="B214" s="6" t="s">
        <v>629</v>
      </c>
      <c r="C214" s="6" t="str">
        <f>VLOOKUP(B214,Sheet3!$B$2:$E$312,2,FALSE)</f>
        <v>P004-012</v>
      </c>
      <c r="D214" s="6" t="str">
        <f>VLOOKUP(B214,Sheet3!$B$2:$E$312,3,)</f>
        <v>barang jadi &amp; bahan baku</v>
      </c>
      <c r="E214" s="6" t="str">
        <f>VLOOKUP(B214,Sheet3!$B$2:$E$312,4,)</f>
        <v>GR</v>
      </c>
      <c r="F214" s="6">
        <v>378.0</v>
      </c>
      <c r="G214" s="6" t="s">
        <v>837</v>
      </c>
      <c r="H214" s="6" t="s">
        <v>876</v>
      </c>
    </row>
    <row r="215" ht="15.75" customHeight="1">
      <c r="A215" s="17">
        <v>46018.0</v>
      </c>
      <c r="B215" s="6" t="s">
        <v>1437</v>
      </c>
      <c r="C215" s="6" t="str">
        <f>VLOOKUP(B215,Sheet3!$B$2:$E$312,2,FALSE)</f>
        <v>#N/A</v>
      </c>
      <c r="D215" s="6" t="str">
        <f>VLOOKUP(B215,Sheet3!$B$2:$E$312,3,)</f>
        <v>#N/A</v>
      </c>
      <c r="E215" s="6" t="s">
        <v>1374</v>
      </c>
      <c r="F215" s="6">
        <v>128.0</v>
      </c>
      <c r="G215" s="6" t="s">
        <v>837</v>
      </c>
      <c r="H215" s="6" t="s">
        <v>876</v>
      </c>
    </row>
    <row r="216" ht="15.75" customHeight="1">
      <c r="A216" s="17">
        <v>46018.0</v>
      </c>
      <c r="B216" s="6" t="s">
        <v>698</v>
      </c>
      <c r="C216" s="6" t="str">
        <f>VLOOKUP(B216,Sheet3!$B$2:$E$312,2,FALSE)</f>
        <v>P004-038</v>
      </c>
      <c r="D216" s="6" t="str">
        <f>VLOOKUP(B216,Sheet3!$B$2:$E$312,3,)</f>
        <v>barang jadi &amp; bahan baku</v>
      </c>
      <c r="E216" s="6" t="str">
        <f>VLOOKUP(B216,Sheet3!$B$2:$E$312,4,)</f>
        <v>PCS</v>
      </c>
      <c r="F216" s="6">
        <v>1.0</v>
      </c>
      <c r="G216" s="6" t="s">
        <v>1188</v>
      </c>
      <c r="H216" s="6" t="s">
        <v>876</v>
      </c>
    </row>
    <row r="217" ht="15.75" customHeight="1">
      <c r="A217" s="17">
        <v>46018.0</v>
      </c>
      <c r="B217" s="6" t="s">
        <v>698</v>
      </c>
      <c r="C217" s="6" t="str">
        <f>VLOOKUP(B217,Sheet3!$B$2:$E$312,2,FALSE)</f>
        <v>P004-038</v>
      </c>
      <c r="D217" s="6" t="str">
        <f>VLOOKUP(B217,Sheet3!$B$2:$E$312,3,)</f>
        <v>barang jadi &amp; bahan baku</v>
      </c>
      <c r="E217" s="6" t="str">
        <f>VLOOKUP(B217,Sheet3!$B$2:$E$312,4,)</f>
        <v>PCS</v>
      </c>
      <c r="F217" s="6">
        <v>4.0</v>
      </c>
      <c r="G217" s="6" t="s">
        <v>1188</v>
      </c>
      <c r="H217" s="6" t="s">
        <v>876</v>
      </c>
    </row>
    <row r="218" ht="15.75" customHeight="1">
      <c r="A218" s="17">
        <v>46019.0</v>
      </c>
      <c r="B218" s="6" t="s">
        <v>657</v>
      </c>
      <c r="C218" s="6" t="str">
        <f>VLOOKUP(B218,Sheet3!$B$2:$E$312,2,FALSE)</f>
        <v>P004-023</v>
      </c>
      <c r="D218" s="6" t="str">
        <f>VLOOKUP(B218,Sheet3!$B$2:$E$312,3,)</f>
        <v>barang jadi &amp; bahan baku</v>
      </c>
      <c r="E218" s="6" t="str">
        <f>VLOOKUP(B218,Sheet3!$B$2:$E$312,4,)</f>
        <v>CC</v>
      </c>
      <c r="F218" s="6">
        <v>1200.0</v>
      </c>
      <c r="G218" s="6" t="s">
        <v>837</v>
      </c>
      <c r="H218" s="6" t="s">
        <v>1146</v>
      </c>
    </row>
    <row r="219" ht="15.75" customHeight="1">
      <c r="A219" s="17">
        <v>46019.0</v>
      </c>
      <c r="B219" s="6" t="s">
        <v>664</v>
      </c>
      <c r="C219" s="6" t="str">
        <f>VLOOKUP(B219,Sheet3!$B$2:$E$312,2,FALSE)</f>
        <v>P004-025</v>
      </c>
      <c r="D219" s="6" t="str">
        <f>VLOOKUP(B219,Sheet3!$B$2:$E$312,3,)</f>
        <v>barang jadi &amp; bahan baku</v>
      </c>
      <c r="E219" s="6" t="str">
        <f>VLOOKUP(B219,Sheet3!$B$2:$E$312,4,)</f>
        <v>ML</v>
      </c>
      <c r="F219" s="6">
        <v>3000.0</v>
      </c>
      <c r="G219" s="6" t="s">
        <v>837</v>
      </c>
      <c r="H219" s="6" t="s">
        <v>1146</v>
      </c>
    </row>
    <row r="220" ht="15.75" customHeight="1">
      <c r="A220" s="17">
        <v>46019.0</v>
      </c>
      <c r="B220" s="6" t="s">
        <v>653</v>
      </c>
      <c r="C220" s="6" t="str">
        <f>VLOOKUP(B220,Sheet3!$B$2:$E$312,2,FALSE)</f>
        <v>P004-022</v>
      </c>
      <c r="D220" s="6" t="str">
        <f>VLOOKUP(B220,Sheet3!$B$2:$E$312,3,)</f>
        <v>barang jadi &amp; bahan baku</v>
      </c>
      <c r="E220" s="6" t="str">
        <f>VLOOKUP(B220,Sheet3!$B$2:$E$312,4,)</f>
        <v>CC</v>
      </c>
      <c r="F220" s="6">
        <v>1800.0</v>
      </c>
      <c r="G220" s="6" t="s">
        <v>837</v>
      </c>
      <c r="H220" s="6" t="s">
        <v>1146</v>
      </c>
    </row>
    <row r="221" ht="15.75" customHeight="1">
      <c r="A221" s="17">
        <v>46019.0</v>
      </c>
      <c r="B221" s="6" t="s">
        <v>805</v>
      </c>
      <c r="C221" s="6" t="str">
        <f>VLOOKUP(B221,Sheet3!$B$2:$E$312,2,FALSE)</f>
        <v>#N/A</v>
      </c>
      <c r="D221" s="6" t="str">
        <f>VLOOKUP(B221,Sheet3!$B$2:$E$312,3,)</f>
        <v>#N/A</v>
      </c>
      <c r="E221" s="6" t="str">
        <f>VLOOKUP(B221,Sheet3!$B$2:$E$312,4,)</f>
        <v>#N/A</v>
      </c>
      <c r="F221" s="6">
        <v>600.0</v>
      </c>
      <c r="G221" s="6" t="s">
        <v>837</v>
      </c>
      <c r="H221" s="6" t="s">
        <v>1146</v>
      </c>
    </row>
    <row r="222" ht="15.75" customHeight="1">
      <c r="A222" s="17">
        <v>46019.0</v>
      </c>
      <c r="B222" s="6" t="s">
        <v>532</v>
      </c>
      <c r="C222" s="6" t="str">
        <f>VLOOKUP(B222,Sheet3!$B$2:$E$312,2,FALSE)</f>
        <v>S002-007</v>
      </c>
      <c r="D222" s="6" t="str">
        <f>VLOOKUP(B222,Sheet3!$B$2:$E$312,3,)</f>
        <v>barang jadi</v>
      </c>
      <c r="E222" s="6" t="str">
        <f>VLOOKUP(B222,Sheet3!$B$2:$E$312,4,)</f>
        <v>PORSI</v>
      </c>
      <c r="F222" s="6">
        <v>1.0</v>
      </c>
      <c r="G222" s="6" t="s">
        <v>837</v>
      </c>
      <c r="H222" s="6" t="s">
        <v>1441</v>
      </c>
    </row>
    <row r="223" ht="15.75" customHeight="1">
      <c r="A223" s="17">
        <v>46019.0</v>
      </c>
      <c r="B223" s="6" t="s">
        <v>608</v>
      </c>
      <c r="C223" s="6" t="str">
        <f>VLOOKUP(B223,Sheet3!$B$2:$E$312,2,FALSE)</f>
        <v>P004-001</v>
      </c>
      <c r="D223" s="6" t="str">
        <f>VLOOKUP(B223,Sheet3!$B$2:$E$312,3,)</f>
        <v>barang jadi &amp; bahan baku</v>
      </c>
      <c r="E223" s="6" t="str">
        <f>VLOOKUP(B223,Sheet3!$B$2:$E$312,4,)</f>
        <v>PCS</v>
      </c>
      <c r="F223" s="6">
        <v>1.0</v>
      </c>
      <c r="G223" s="6" t="s">
        <v>837</v>
      </c>
      <c r="H223" s="6" t="s">
        <v>1441</v>
      </c>
    </row>
    <row r="224" ht="15.75" customHeight="1">
      <c r="A224" s="17">
        <v>46019.0</v>
      </c>
      <c r="B224" s="6" t="s">
        <v>632</v>
      </c>
      <c r="C224" s="6" t="str">
        <f>VLOOKUP(B224,Sheet3!$B$2:$E$312,2,FALSE)</f>
        <v>P004-013</v>
      </c>
      <c r="D224" s="6" t="str">
        <f>VLOOKUP(B224,Sheet3!$B$2:$E$312,3,)</f>
        <v>barang jadi &amp; bahan baku</v>
      </c>
      <c r="E224" s="6" t="str">
        <f>VLOOKUP(B224,Sheet3!$B$2:$E$312,4,)</f>
        <v>PCS</v>
      </c>
      <c r="F224" s="6">
        <v>24.0</v>
      </c>
      <c r="G224" s="6" t="s">
        <v>837</v>
      </c>
      <c r="H224" s="6" t="s">
        <v>969</v>
      </c>
    </row>
    <row r="225" ht="15.75" customHeight="1">
      <c r="A225" s="17">
        <v>46019.0</v>
      </c>
      <c r="B225" s="6" t="s">
        <v>632</v>
      </c>
      <c r="C225" s="6" t="str">
        <f>VLOOKUP(B225,Sheet3!$B$2:$E$312,2,FALSE)</f>
        <v>P004-013</v>
      </c>
      <c r="D225" s="6" t="str">
        <f>VLOOKUP(B225,Sheet3!$B$2:$E$312,3,)</f>
        <v>barang jadi &amp; bahan baku</v>
      </c>
      <c r="E225" s="6" t="str">
        <f>VLOOKUP(B225,Sheet3!$B$2:$E$312,4,)</f>
        <v>PCS</v>
      </c>
      <c r="F225" s="6">
        <v>19.0</v>
      </c>
      <c r="G225" s="6" t="s">
        <v>837</v>
      </c>
      <c r="H225" s="6" t="s">
        <v>969</v>
      </c>
    </row>
    <row r="226" ht="15.75" customHeight="1">
      <c r="A226" s="17">
        <v>46019.0</v>
      </c>
      <c r="B226" s="6" t="s">
        <v>132</v>
      </c>
      <c r="C226" s="6" t="str">
        <f>VLOOKUP(B226,Sheet3!$B$2:$E$312,2,FALSE)</f>
        <v>B001-057</v>
      </c>
      <c r="D226" s="6" t="str">
        <f>VLOOKUP(B226,Sheet3!$B$2:$E$312,3,)</f>
        <v>bahan baku</v>
      </c>
      <c r="E226" s="6" t="str">
        <f>VLOOKUP(B226,Sheet3!$B$2:$E$312,4,)</f>
        <v>GR</v>
      </c>
      <c r="F226" s="6">
        <v>20.0</v>
      </c>
      <c r="G226" s="6" t="s">
        <v>837</v>
      </c>
      <c r="H226" s="6" t="s">
        <v>1322</v>
      </c>
    </row>
    <row r="227" ht="15.75" customHeight="1">
      <c r="A227" s="17">
        <v>46019.0</v>
      </c>
      <c r="B227" s="6" t="s">
        <v>50</v>
      </c>
      <c r="C227" s="6" t="str">
        <f>VLOOKUP(B227,Sheet3!$B$2:$E$312,2,FALSE)</f>
        <v>B001-017</v>
      </c>
      <c r="D227" s="6" t="str">
        <f>VLOOKUP(B227,Sheet3!$B$2:$E$312,3,)</f>
        <v>bahan baku</v>
      </c>
      <c r="E227" s="6" t="str">
        <f>VLOOKUP(B227,Sheet3!$B$2:$E$312,4,)</f>
        <v>GR</v>
      </c>
      <c r="F227" s="6">
        <v>384.0</v>
      </c>
      <c r="G227" s="6" t="s">
        <v>837</v>
      </c>
      <c r="H227" s="6" t="s">
        <v>1322</v>
      </c>
    </row>
    <row r="228" ht="15.75" customHeight="1">
      <c r="A228" s="17">
        <v>46020.0</v>
      </c>
      <c r="B228" s="6" t="s">
        <v>643</v>
      </c>
      <c r="C228" s="6" t="str">
        <f>VLOOKUP(B228,Sheet3!$B$2:$E$312,2,FALSE)</f>
        <v>P004-018</v>
      </c>
      <c r="D228" s="6" t="str">
        <f>VLOOKUP(B228,Sheet3!$B$2:$E$312,3,)</f>
        <v>barang jadi &amp; bahan baku</v>
      </c>
      <c r="E228" s="6" t="str">
        <f>VLOOKUP(B228,Sheet3!$B$2:$E$312,4,)</f>
        <v>GR</v>
      </c>
      <c r="F228" s="6">
        <v>110.0</v>
      </c>
      <c r="G228" s="6" t="s">
        <v>837</v>
      </c>
      <c r="H228" s="6" t="s">
        <v>1406</v>
      </c>
    </row>
    <row r="229" ht="15.75" customHeight="1">
      <c r="A229" s="17">
        <v>46020.0</v>
      </c>
      <c r="B229" s="6" t="s">
        <v>111</v>
      </c>
      <c r="C229" s="6" t="str">
        <f>VLOOKUP(B229,Sheet3!$B$2:$E$312,2,FALSE)</f>
        <v>B001-047</v>
      </c>
      <c r="D229" s="6" t="str">
        <f>VLOOKUP(B229,Sheet3!$B$2:$E$312,3,)</f>
        <v>bahan baku</v>
      </c>
      <c r="E229" s="6" t="str">
        <f>VLOOKUP(B229,Sheet3!$B$2:$E$312,4,)</f>
        <v>GR</v>
      </c>
      <c r="F229" s="6">
        <v>31.0</v>
      </c>
      <c r="G229" s="6" t="s">
        <v>837</v>
      </c>
      <c r="H229" s="6" t="s">
        <v>1406</v>
      </c>
    </row>
    <row r="230" ht="15.75" customHeight="1">
      <c r="A230" s="17">
        <v>46020.0</v>
      </c>
      <c r="B230" s="6" t="s">
        <v>657</v>
      </c>
      <c r="C230" s="6" t="str">
        <f>VLOOKUP(B230,Sheet3!$B$2:$E$312,2,FALSE)</f>
        <v>P004-023</v>
      </c>
      <c r="D230" s="6" t="str">
        <f>VLOOKUP(B230,Sheet3!$B$2:$E$312,3,)</f>
        <v>barang jadi &amp; bahan baku</v>
      </c>
      <c r="E230" s="6" t="str">
        <f>VLOOKUP(B230,Sheet3!$B$2:$E$312,4,)</f>
        <v>CC</v>
      </c>
      <c r="F230" s="6">
        <v>1178.0</v>
      </c>
      <c r="G230" s="6" t="s">
        <v>837</v>
      </c>
      <c r="H230" s="6" t="s">
        <v>1375</v>
      </c>
    </row>
    <row r="231" ht="15.75" customHeight="1">
      <c r="A231" s="17">
        <v>46020.0</v>
      </c>
      <c r="B231" s="6" t="s">
        <v>632</v>
      </c>
      <c r="C231" s="6" t="str">
        <f>VLOOKUP(B231,Sheet3!$B$2:$E$312,2,FALSE)</f>
        <v>P004-013</v>
      </c>
      <c r="D231" s="6" t="str">
        <f>VLOOKUP(B231,Sheet3!$B$2:$E$312,3,)</f>
        <v>barang jadi &amp; bahan baku</v>
      </c>
      <c r="E231" s="6" t="str">
        <f>VLOOKUP(B231,Sheet3!$B$2:$E$312,4,)</f>
        <v>PCS</v>
      </c>
      <c r="F231" s="6">
        <v>23.0</v>
      </c>
      <c r="G231" s="6" t="s">
        <v>837</v>
      </c>
      <c r="H231" s="6" t="s">
        <v>876</v>
      </c>
    </row>
    <row r="232" ht="15.75" customHeight="1">
      <c r="A232" s="17">
        <v>46020.0</v>
      </c>
      <c r="B232" s="6" t="s">
        <v>36</v>
      </c>
      <c r="C232" s="6" t="str">
        <f>VLOOKUP(B232,Sheet3!$B$2:$E$312,2,FALSE)</f>
        <v>B001-009</v>
      </c>
      <c r="D232" s="6" t="str">
        <f>VLOOKUP(B232,Sheet3!$B$2:$E$312,3,)</f>
        <v>bahan baku</v>
      </c>
      <c r="E232" s="6" t="str">
        <f>VLOOKUP(B232,Sheet3!$B$2:$E$312,4,)</f>
        <v>GR</v>
      </c>
      <c r="F232" s="6">
        <v>13.0</v>
      </c>
      <c r="G232" s="6" t="s">
        <v>837</v>
      </c>
      <c r="H232" s="6" t="s">
        <v>1406</v>
      </c>
    </row>
    <row r="233" ht="15.75" customHeight="1">
      <c r="A233" s="17">
        <v>46021.0</v>
      </c>
      <c r="B233" s="6" t="s">
        <v>664</v>
      </c>
      <c r="C233" s="6" t="str">
        <f>VLOOKUP(B233,Sheet3!$B$2:$E$312,2,FALSE)</f>
        <v>P004-025</v>
      </c>
      <c r="D233" s="6" t="str">
        <f>VLOOKUP(B233,Sheet3!$B$2:$E$312,3,)</f>
        <v>barang jadi &amp; bahan baku</v>
      </c>
      <c r="E233" s="6" t="str">
        <f>VLOOKUP(B233,Sheet3!$B$2:$E$312,4,)</f>
        <v>ML</v>
      </c>
      <c r="F233" s="6">
        <v>800.0</v>
      </c>
      <c r="G233" s="6" t="s">
        <v>837</v>
      </c>
      <c r="H233" s="6" t="s">
        <v>1375</v>
      </c>
    </row>
    <row r="234" ht="15.75" customHeight="1">
      <c r="A234" s="17">
        <v>46021.0</v>
      </c>
      <c r="B234" s="6" t="s">
        <v>1372</v>
      </c>
      <c r="C234" s="6" t="str">
        <f>VLOOKUP(B234,Sheet3!$B$2:$E$312,2,FALSE)</f>
        <v>#N/A</v>
      </c>
      <c r="D234" s="6" t="str">
        <f>VLOOKUP(B234,Sheet3!$B$2:$E$312,3,)</f>
        <v>#N/A</v>
      </c>
      <c r="E234" s="6" t="str">
        <f>VLOOKUP(B234,Sheet3!$B$2:$E$312,4,)</f>
        <v>#N/A</v>
      </c>
      <c r="F234" s="6">
        <v>175.0</v>
      </c>
      <c r="G234" s="6" t="s">
        <v>837</v>
      </c>
      <c r="H234" s="6" t="s">
        <v>1077</v>
      </c>
    </row>
    <row r="235" ht="15.75" customHeight="1">
      <c r="A235" s="17">
        <v>46021.0</v>
      </c>
      <c r="B235" s="6" t="s">
        <v>632</v>
      </c>
      <c r="C235" s="6" t="str">
        <f>VLOOKUP(B235,Sheet3!$B$2:$E$312,2,FALSE)</f>
        <v>P004-013</v>
      </c>
      <c r="D235" s="6" t="str">
        <f>VLOOKUP(B235,Sheet3!$B$2:$E$312,3,)</f>
        <v>barang jadi &amp; bahan baku</v>
      </c>
      <c r="E235" s="6" t="str">
        <f>VLOOKUP(B235,Sheet3!$B$2:$E$312,4,)</f>
        <v>PCS</v>
      </c>
      <c r="F235" s="6">
        <v>22.0</v>
      </c>
      <c r="G235" s="6" t="s">
        <v>837</v>
      </c>
      <c r="H235" s="6" t="s">
        <v>876</v>
      </c>
    </row>
    <row r="236" ht="15.75" customHeight="1">
      <c r="A236" s="17">
        <v>46021.0</v>
      </c>
      <c r="B236" s="6" t="s">
        <v>632</v>
      </c>
      <c r="C236" s="6" t="str">
        <f>VLOOKUP(B236,Sheet3!$B$2:$E$312,2,FALSE)</f>
        <v>P004-013</v>
      </c>
      <c r="D236" s="6" t="str">
        <f>VLOOKUP(B236,Sheet3!$B$2:$E$312,3,)</f>
        <v>barang jadi &amp; bahan baku</v>
      </c>
      <c r="E236" s="6" t="str">
        <f>VLOOKUP(B236,Sheet3!$B$2:$E$312,4,)</f>
        <v>PCS</v>
      </c>
      <c r="F236" s="6">
        <v>23.0</v>
      </c>
      <c r="G236" s="6" t="s">
        <v>837</v>
      </c>
      <c r="H236" s="6" t="s">
        <v>876</v>
      </c>
    </row>
    <row r="237" ht="15.75" customHeight="1">
      <c r="A237" s="17">
        <v>46021.0</v>
      </c>
      <c r="B237" s="6" t="s">
        <v>502</v>
      </c>
      <c r="C237" s="6" t="str">
        <f>VLOOKUP(B237,Sheet3!$B$2:$E$312,2,FALSE)</f>
        <v>S001-002</v>
      </c>
      <c r="D237" s="6" t="str">
        <f>VLOOKUP(B237,Sheet3!$B$2:$E$312,3,)</f>
        <v>barang jadi</v>
      </c>
      <c r="E237" s="6" t="str">
        <f>VLOOKUP(B237,Sheet3!$B$2:$E$312,4,)</f>
        <v>PORSI</v>
      </c>
      <c r="F237" s="6">
        <v>2.0</v>
      </c>
      <c r="G237" s="6" t="s">
        <v>837</v>
      </c>
      <c r="H237" s="6" t="s">
        <v>876</v>
      </c>
    </row>
    <row r="238" ht="15.75" customHeight="1">
      <c r="A238" s="17">
        <v>46022.0</v>
      </c>
      <c r="B238" s="6" t="s">
        <v>135</v>
      </c>
      <c r="C238" s="6" t="str">
        <f>VLOOKUP(B238,Sheet3!$B$2:$E$312,2,FALSE)</f>
        <v>B001-058</v>
      </c>
      <c r="D238" s="6" t="str">
        <f>VLOOKUP(B238,Sheet3!$B$2:$E$312,3,)</f>
        <v>bahan baku</v>
      </c>
      <c r="E238" s="6" t="str">
        <f>VLOOKUP(B238,Sheet3!$B$2:$E$312,4,)</f>
        <v>GR</v>
      </c>
      <c r="F238" s="6">
        <v>223.0</v>
      </c>
      <c r="G238" s="6" t="s">
        <v>837</v>
      </c>
      <c r="H238" s="6" t="s">
        <v>1322</v>
      </c>
    </row>
    <row r="239" ht="15.75" customHeight="1">
      <c r="A239" s="6"/>
      <c r="B239" s="6"/>
      <c r="C239" s="6" t="str">
        <f>VLOOKUP(B239,Sheet3!$B$2:$E$312,2,FALSE)</f>
        <v>#N/A</v>
      </c>
      <c r="D239" s="6" t="str">
        <f>VLOOKUP(B239,Sheet3!$B$2:$E$312,3,)</f>
        <v>#N/A</v>
      </c>
      <c r="E239" s="6" t="str">
        <f>VLOOKUP(B239,Sheet3!$B$2:$E$312,4,)</f>
        <v>#N/A</v>
      </c>
      <c r="F239" s="6"/>
      <c r="G239" s="6"/>
      <c r="H239" s="6"/>
    </row>
    <row r="240" ht="15.75" customHeight="1">
      <c r="A240" s="6"/>
      <c r="B240" s="6"/>
      <c r="C240" s="6" t="str">
        <f>VLOOKUP(B240,Sheet3!$B$2:$E$312,2,FALSE)</f>
        <v>#N/A</v>
      </c>
      <c r="D240" s="6" t="str">
        <f>VLOOKUP(B240,Sheet3!$B$2:$E$312,3,)</f>
        <v>#N/A</v>
      </c>
      <c r="E240" s="6" t="str">
        <f>VLOOKUP(B240,Sheet3!$B$2:$E$312,4,)</f>
        <v>#N/A</v>
      </c>
      <c r="F240" s="6"/>
      <c r="G240" s="6"/>
      <c r="H240" s="6"/>
    </row>
    <row r="241" ht="15.75" customHeight="1">
      <c r="A241" s="6"/>
      <c r="B241" s="6"/>
      <c r="C241" s="6" t="str">
        <f>VLOOKUP(B241,Sheet3!$B$2:$E$312,2,FALSE)</f>
        <v>#N/A</v>
      </c>
      <c r="D241" s="6" t="str">
        <f>VLOOKUP(B241,Sheet3!$B$2:$E$312,3,)</f>
        <v>#N/A</v>
      </c>
      <c r="E241" s="6" t="str">
        <f>VLOOKUP(B241,Sheet3!$B$2:$E$312,4,)</f>
        <v>#N/A</v>
      </c>
      <c r="F241" s="6"/>
      <c r="G241" s="6"/>
      <c r="H241" s="6"/>
    </row>
    <row r="242" ht="15.75" customHeight="1">
      <c r="A242" s="6"/>
      <c r="B242" s="6"/>
      <c r="C242" s="6" t="str">
        <f>VLOOKUP(B242,Sheet3!$B$2:$E$312,2,FALSE)</f>
        <v>#N/A</v>
      </c>
      <c r="D242" s="6" t="str">
        <f>VLOOKUP(B242,Sheet3!$B$2:$E$312,3,)</f>
        <v>#N/A</v>
      </c>
      <c r="E242" s="6" t="str">
        <f>VLOOKUP(B242,Sheet3!$B$2:$E$312,4,)</f>
        <v>#N/A</v>
      </c>
      <c r="F242" s="6"/>
      <c r="G242" s="6"/>
      <c r="H242" s="6"/>
    </row>
    <row r="243" ht="15.75" customHeight="1">
      <c r="A243" s="6"/>
      <c r="B243" s="6"/>
      <c r="C243" s="6" t="str">
        <f>VLOOKUP(B243,Sheet3!$B$2:$E$312,2,FALSE)</f>
        <v>#N/A</v>
      </c>
      <c r="D243" s="6" t="str">
        <f>VLOOKUP(B243,Sheet3!$B$2:$E$312,3,)</f>
        <v>#N/A</v>
      </c>
      <c r="E243" s="6" t="str">
        <f>VLOOKUP(B243,Sheet3!$B$2:$E$312,4,)</f>
        <v>#N/A</v>
      </c>
      <c r="F243" s="6"/>
      <c r="G243" s="6"/>
      <c r="H243" s="6"/>
    </row>
    <row r="244" ht="15.75" customHeight="1">
      <c r="A244" s="6"/>
      <c r="B244" s="6"/>
      <c r="C244" s="6" t="str">
        <f>VLOOKUP(B244,Sheet3!$B$2:$E$312,2,FALSE)</f>
        <v>#N/A</v>
      </c>
      <c r="D244" s="6" t="str">
        <f>VLOOKUP(B244,Sheet3!$B$2:$E$312,3,)</f>
        <v>#N/A</v>
      </c>
      <c r="E244" s="6" t="str">
        <f>VLOOKUP(B244,Sheet3!$B$2:$E$312,4,)</f>
        <v>#N/A</v>
      </c>
      <c r="F244" s="6"/>
      <c r="G244" s="6"/>
      <c r="H244" s="6"/>
    </row>
    <row r="245" ht="15.75" customHeight="1">
      <c r="A245" s="6"/>
      <c r="B245" s="6"/>
      <c r="C245" s="6" t="str">
        <f>VLOOKUP(B245,Sheet3!$B$2:$E$312,2,FALSE)</f>
        <v>#N/A</v>
      </c>
      <c r="D245" s="6" t="str">
        <f>VLOOKUP(B245,Sheet3!$B$2:$E$312,3,)</f>
        <v>#N/A</v>
      </c>
      <c r="E245" s="6" t="str">
        <f>VLOOKUP(B245,Sheet3!$B$2:$E$312,4,)</f>
        <v>#N/A</v>
      </c>
      <c r="F245" s="6"/>
      <c r="G245" s="6"/>
      <c r="H245" s="6"/>
    </row>
    <row r="246" ht="15.75" customHeight="1">
      <c r="A246" s="6"/>
      <c r="B246" s="6"/>
      <c r="C246" s="6" t="str">
        <f>VLOOKUP(B246,Sheet3!$B$2:$E$312,2,FALSE)</f>
        <v>#N/A</v>
      </c>
      <c r="D246" s="6" t="str">
        <f>VLOOKUP(B246,Sheet3!$B$2:$E$312,3,)</f>
        <v>#N/A</v>
      </c>
      <c r="E246" s="6" t="str">
        <f>VLOOKUP(B246,Sheet3!$B$2:$E$312,4,)</f>
        <v>#N/A</v>
      </c>
      <c r="F246" s="6"/>
      <c r="G246" s="6"/>
      <c r="H246" s="6"/>
    </row>
    <row r="247" ht="15.75" customHeight="1">
      <c r="A247" s="6"/>
      <c r="B247" s="6"/>
      <c r="C247" s="6" t="str">
        <f>VLOOKUP(B247,Sheet3!$B$2:$E$312,2,FALSE)</f>
        <v>#N/A</v>
      </c>
      <c r="D247" s="6" t="str">
        <f>VLOOKUP(B247,Sheet3!$B$2:$E$312,3,)</f>
        <v>#N/A</v>
      </c>
      <c r="E247" s="6" t="str">
        <f>VLOOKUP(B247,Sheet3!$B$2:$E$312,4,)</f>
        <v>#N/A</v>
      </c>
      <c r="F247" s="6"/>
      <c r="G247" s="6"/>
      <c r="H247" s="6"/>
    </row>
    <row r="248" ht="15.75" customHeight="1">
      <c r="A248" s="6"/>
      <c r="B248" s="6"/>
      <c r="C248" s="6" t="str">
        <f>VLOOKUP(B248,Sheet3!$B$2:$E$312,2,FALSE)</f>
        <v>#N/A</v>
      </c>
      <c r="D248" s="6" t="str">
        <f>VLOOKUP(B248,Sheet3!$B$2:$E$312,3,)</f>
        <v>#N/A</v>
      </c>
      <c r="E248" s="6" t="str">
        <f>VLOOKUP(B248,Sheet3!$B$2:$E$312,4,)</f>
        <v>#N/A</v>
      </c>
      <c r="F248" s="6"/>
      <c r="G248" s="6"/>
      <c r="H248" s="6"/>
    </row>
    <row r="249" ht="15.75" customHeight="1">
      <c r="A249" s="6"/>
      <c r="B249" s="6"/>
      <c r="C249" s="6" t="str">
        <f>VLOOKUP(B249,Sheet3!$B$2:$E$312,2,FALSE)</f>
        <v>#N/A</v>
      </c>
      <c r="D249" s="6" t="str">
        <f>VLOOKUP(B249,Sheet3!$B$2:$E$312,3,)</f>
        <v>#N/A</v>
      </c>
      <c r="E249" s="6" t="str">
        <f>VLOOKUP(B249,Sheet3!$B$2:$E$312,4,)</f>
        <v>#N/A</v>
      </c>
      <c r="F249" s="6"/>
      <c r="G249" s="6"/>
      <c r="H249" s="6"/>
    </row>
    <row r="250" ht="15.75" customHeight="1">
      <c r="A250" s="6"/>
      <c r="B250" s="6"/>
      <c r="C250" s="6" t="str">
        <f>VLOOKUP(B250,Sheet3!$B$2:$E$312,2,FALSE)</f>
        <v>#N/A</v>
      </c>
      <c r="D250" s="6" t="str">
        <f>VLOOKUP(B250,Sheet3!$B$2:$E$312,3,)</f>
        <v>#N/A</v>
      </c>
      <c r="E250" s="6" t="str">
        <f>VLOOKUP(B250,Sheet3!$B$2:$E$312,4,)</f>
        <v>#N/A</v>
      </c>
      <c r="F250" s="6"/>
      <c r="G250" s="6"/>
      <c r="H250" s="6"/>
    </row>
    <row r="251" ht="15.75" customHeight="1">
      <c r="A251" s="6"/>
      <c r="B251" s="6"/>
      <c r="C251" s="6" t="str">
        <f>VLOOKUP(B251,Sheet3!$B$2:$E$312,2,FALSE)</f>
        <v>#N/A</v>
      </c>
      <c r="D251" s="6" t="str">
        <f>VLOOKUP(B251,Sheet3!$B$2:$E$312,3,)</f>
        <v>#N/A</v>
      </c>
      <c r="E251" s="6" t="str">
        <f>VLOOKUP(B251,Sheet3!$B$2:$E$312,4,)</f>
        <v>#N/A</v>
      </c>
      <c r="F251" s="6"/>
      <c r="G251" s="6"/>
      <c r="H251" s="6"/>
    </row>
    <row r="252" ht="15.75" customHeight="1">
      <c r="A252" s="6"/>
      <c r="B252" s="6"/>
      <c r="C252" s="6" t="str">
        <f>VLOOKUP(B252,Sheet3!$B$2:$E$312,2,FALSE)</f>
        <v>#N/A</v>
      </c>
      <c r="D252" s="6" t="str">
        <f>VLOOKUP(B252,Sheet3!$B$2:$E$312,3,)</f>
        <v>#N/A</v>
      </c>
      <c r="E252" s="6" t="str">
        <f>VLOOKUP(B252,Sheet3!$B$2:$E$312,4,)</f>
        <v>#N/A</v>
      </c>
      <c r="F252" s="6"/>
      <c r="G252" s="6"/>
      <c r="H252" s="6"/>
    </row>
    <row r="253" ht="15.75" customHeight="1">
      <c r="A253" s="6"/>
      <c r="B253" s="6"/>
      <c r="C253" s="6" t="str">
        <f>VLOOKUP(B253,Sheet3!$B$2:$E$312,2,FALSE)</f>
        <v>#N/A</v>
      </c>
      <c r="D253" s="6" t="str">
        <f>VLOOKUP(B253,Sheet3!$B$2:$E$312,3,)</f>
        <v>#N/A</v>
      </c>
      <c r="E253" s="6" t="str">
        <f>VLOOKUP(B253,Sheet3!$B$2:$E$312,4,)</f>
        <v>#N/A</v>
      </c>
      <c r="F253" s="6"/>
      <c r="G253" s="6"/>
      <c r="H253" s="6"/>
    </row>
    <row r="254" ht="15.75" customHeight="1">
      <c r="A254" s="6"/>
      <c r="B254" s="6"/>
      <c r="C254" s="6" t="str">
        <f>VLOOKUP(B254,Sheet3!$B$2:$E$312,2,FALSE)</f>
        <v>#N/A</v>
      </c>
      <c r="D254" s="6" t="str">
        <f>VLOOKUP(B254,Sheet3!$B$2:$E$312,3,)</f>
        <v>#N/A</v>
      </c>
      <c r="E254" s="6" t="str">
        <f>VLOOKUP(B254,Sheet3!$B$2:$E$312,4,)</f>
        <v>#N/A</v>
      </c>
      <c r="F254" s="6"/>
      <c r="G254" s="6"/>
      <c r="H254" s="6"/>
    </row>
    <row r="255" ht="15.75" customHeight="1">
      <c r="A255" s="6"/>
      <c r="B255" s="6"/>
      <c r="C255" s="6" t="str">
        <f>VLOOKUP(B255,Sheet3!$B$2:$E$312,2,FALSE)</f>
        <v>#N/A</v>
      </c>
      <c r="D255" s="6" t="str">
        <f>VLOOKUP(B255,Sheet3!$B$2:$E$312,3,)</f>
        <v>#N/A</v>
      </c>
      <c r="E255" s="6" t="str">
        <f>VLOOKUP(B255,Sheet3!$B$2:$E$312,4,)</f>
        <v>#N/A</v>
      </c>
      <c r="F255" s="6"/>
      <c r="G255" s="6"/>
      <c r="H255" s="6"/>
    </row>
    <row r="256" ht="15.75" customHeight="1">
      <c r="A256" s="6"/>
      <c r="B256" s="6"/>
      <c r="C256" s="6" t="str">
        <f>VLOOKUP(B256,Sheet3!$B$2:$E$312,2,FALSE)</f>
        <v>#N/A</v>
      </c>
      <c r="D256" s="6" t="str">
        <f>VLOOKUP(B256,Sheet3!$B$2:$E$312,3,)</f>
        <v>#N/A</v>
      </c>
      <c r="E256" s="6" t="str">
        <f>VLOOKUP(B256,Sheet3!$B$2:$E$312,4,)</f>
        <v>#N/A</v>
      </c>
      <c r="F256" s="6"/>
      <c r="G256" s="6"/>
      <c r="H256" s="6"/>
    </row>
    <row r="257" ht="15.75" customHeight="1">
      <c r="A257" s="6"/>
      <c r="B257" s="6"/>
      <c r="C257" s="6" t="str">
        <f>VLOOKUP(B257,Sheet3!$B$2:$E$312,2,FALSE)</f>
        <v>#N/A</v>
      </c>
      <c r="D257" s="6" t="str">
        <f>VLOOKUP(B257,Sheet3!$B$2:$E$312,3,)</f>
        <v>#N/A</v>
      </c>
      <c r="E257" s="6" t="str">
        <f>VLOOKUP(B257,Sheet3!$B$2:$E$312,4,)</f>
        <v>#N/A</v>
      </c>
      <c r="F257" s="6"/>
      <c r="G257" s="6"/>
      <c r="H257" s="6"/>
    </row>
    <row r="258" ht="15.75" customHeight="1">
      <c r="A258" s="6"/>
      <c r="B258" s="6"/>
      <c r="C258" s="6" t="str">
        <f>VLOOKUP(B258,Sheet3!$B$2:$E$312,2,FALSE)</f>
        <v>#N/A</v>
      </c>
      <c r="D258" s="6" t="str">
        <f>VLOOKUP(B258,Sheet3!$B$2:$E$312,3,)</f>
        <v>#N/A</v>
      </c>
      <c r="E258" s="6" t="str">
        <f>VLOOKUP(B258,Sheet3!$B$2:$E$312,4,)</f>
        <v>#N/A</v>
      </c>
      <c r="F258" s="6"/>
      <c r="G258" s="6"/>
      <c r="H258" s="6"/>
    </row>
    <row r="259" ht="15.75" customHeight="1">
      <c r="A259" s="6"/>
      <c r="B259" s="6"/>
      <c r="C259" s="6" t="str">
        <f>VLOOKUP(B259,Sheet3!$B$2:$E$312,2,FALSE)</f>
        <v>#N/A</v>
      </c>
      <c r="D259" s="6" t="str">
        <f>VLOOKUP(B259,Sheet3!$B$2:$E$312,3,)</f>
        <v>#N/A</v>
      </c>
      <c r="E259" s="6" t="str">
        <f>VLOOKUP(B259,Sheet3!$B$2:$E$312,4,)</f>
        <v>#N/A</v>
      </c>
      <c r="F259" s="6"/>
      <c r="G259" s="6"/>
      <c r="H259" s="6"/>
    </row>
    <row r="260" ht="15.75" customHeight="1">
      <c r="A260" s="6"/>
      <c r="B260" s="6"/>
      <c r="C260" s="6" t="str">
        <f>VLOOKUP(B260,Sheet3!$B$2:$E$312,2,FALSE)</f>
        <v>#N/A</v>
      </c>
      <c r="D260" s="6" t="str">
        <f>VLOOKUP(B260,Sheet3!$B$2:$E$312,3,)</f>
        <v>#N/A</v>
      </c>
      <c r="E260" s="6" t="str">
        <f>VLOOKUP(B260,Sheet3!$B$2:$E$312,4,)</f>
        <v>#N/A</v>
      </c>
      <c r="F260" s="6"/>
      <c r="G260" s="6"/>
      <c r="H260" s="6"/>
    </row>
    <row r="261" ht="15.75" customHeight="1">
      <c r="A261" s="6"/>
      <c r="B261" s="6"/>
      <c r="C261" s="6" t="str">
        <f>VLOOKUP(B261,Sheet3!$B$2:$E$312,2,FALSE)</f>
        <v>#N/A</v>
      </c>
      <c r="D261" s="6" t="str">
        <f>VLOOKUP(B261,Sheet3!$B$2:$E$312,3,)</f>
        <v>#N/A</v>
      </c>
      <c r="E261" s="6" t="str">
        <f>VLOOKUP(B261,Sheet3!$B$2:$E$312,4,)</f>
        <v>#N/A</v>
      </c>
      <c r="F261" s="6"/>
      <c r="G261" s="6"/>
      <c r="H261" s="6"/>
    </row>
    <row r="262" ht="15.75" customHeight="1">
      <c r="A262" s="6"/>
      <c r="B262" s="6"/>
      <c r="C262" s="6" t="str">
        <f>VLOOKUP(B262,Sheet3!$B$2:$E$312,2,FALSE)</f>
        <v>#N/A</v>
      </c>
      <c r="D262" s="6" t="str">
        <f>VLOOKUP(B262,Sheet3!$B$2:$E$312,3,)</f>
        <v>#N/A</v>
      </c>
      <c r="E262" s="6" t="str">
        <f>VLOOKUP(B262,Sheet3!$B$2:$E$312,4,)</f>
        <v>#N/A</v>
      </c>
      <c r="F262" s="6"/>
      <c r="G262" s="6"/>
      <c r="H262" s="6"/>
    </row>
    <row r="263" ht="15.75" customHeight="1">
      <c r="A263" s="6"/>
      <c r="B263" s="6"/>
      <c r="C263" s="6" t="str">
        <f>VLOOKUP(B263,Sheet3!$B$2:$E$312,2,FALSE)</f>
        <v>#N/A</v>
      </c>
      <c r="D263" s="6" t="str">
        <f>VLOOKUP(B263,Sheet3!$B$2:$E$312,3,)</f>
        <v>#N/A</v>
      </c>
      <c r="E263" s="6" t="str">
        <f>VLOOKUP(B263,Sheet3!$B$2:$E$312,4,)</f>
        <v>#N/A</v>
      </c>
      <c r="F263" s="6"/>
      <c r="G263" s="6"/>
      <c r="H263" s="6"/>
    </row>
    <row r="264" ht="15.75" customHeight="1">
      <c r="A264" s="6"/>
      <c r="B264" s="6"/>
      <c r="C264" s="6" t="str">
        <f>VLOOKUP(B264,Sheet3!$B$2:$E$312,2,FALSE)</f>
        <v>#N/A</v>
      </c>
      <c r="D264" s="6" t="str">
        <f>VLOOKUP(B264,Sheet3!$B$2:$E$312,3,)</f>
        <v>#N/A</v>
      </c>
      <c r="E264" s="6" t="str">
        <f>VLOOKUP(B264,Sheet3!$B$2:$E$312,4,)</f>
        <v>#N/A</v>
      </c>
      <c r="F264" s="6"/>
      <c r="G264" s="6"/>
      <c r="H264" s="6"/>
    </row>
    <row r="265" ht="15.75" customHeight="1">
      <c r="A265" s="6"/>
      <c r="B265" s="6"/>
      <c r="C265" s="6" t="str">
        <f>VLOOKUP(B265,Sheet3!$B$2:$E$312,2,FALSE)</f>
        <v>#N/A</v>
      </c>
      <c r="D265" s="6" t="str">
        <f>VLOOKUP(B265,Sheet3!$B$2:$E$312,3,)</f>
        <v>#N/A</v>
      </c>
      <c r="E265" s="6" t="str">
        <f>VLOOKUP(B265,Sheet3!$B$2:$E$312,4,)</f>
        <v>#N/A</v>
      </c>
      <c r="F265" s="6"/>
      <c r="G265" s="6"/>
      <c r="H265" s="6"/>
    </row>
    <row r="266" ht="15.75" customHeight="1">
      <c r="A266" s="6"/>
      <c r="B266" s="6"/>
      <c r="C266" s="6" t="str">
        <f>VLOOKUP(B266,Sheet3!$B$2:$E$312,2,FALSE)</f>
        <v>#N/A</v>
      </c>
      <c r="D266" s="6" t="str">
        <f>VLOOKUP(B266,Sheet3!$B$2:$E$312,3,)</f>
        <v>#N/A</v>
      </c>
      <c r="E266" s="6" t="str">
        <f>VLOOKUP(B266,Sheet3!$B$2:$E$312,4,)</f>
        <v>#N/A</v>
      </c>
      <c r="F266" s="6"/>
      <c r="G266" s="6"/>
      <c r="H266" s="6"/>
    </row>
    <row r="267" ht="15.75" customHeight="1">
      <c r="A267" s="6"/>
      <c r="B267" s="6"/>
      <c r="C267" s="6" t="str">
        <f>VLOOKUP(B267,Sheet3!$B$2:$E$312,2,FALSE)</f>
        <v>#N/A</v>
      </c>
      <c r="D267" s="6" t="str">
        <f>VLOOKUP(B267,Sheet3!$B$2:$E$312,3,)</f>
        <v>#N/A</v>
      </c>
      <c r="E267" s="6" t="str">
        <f>VLOOKUP(B267,Sheet3!$B$2:$E$312,4,)</f>
        <v>#N/A</v>
      </c>
      <c r="F267" s="6"/>
      <c r="G267" s="6"/>
      <c r="H267" s="6"/>
    </row>
    <row r="268" ht="15.75" customHeight="1">
      <c r="A268" s="6"/>
      <c r="B268" s="6"/>
      <c r="C268" s="6" t="str">
        <f>VLOOKUP(B268,Sheet3!$B$2:$E$312,2,FALSE)</f>
        <v>#N/A</v>
      </c>
      <c r="D268" s="6" t="str">
        <f>VLOOKUP(B268,Sheet3!$B$2:$E$312,3,)</f>
        <v>#N/A</v>
      </c>
      <c r="E268" s="6" t="str">
        <f>VLOOKUP(B268,Sheet3!$B$2:$E$312,4,)</f>
        <v>#N/A</v>
      </c>
      <c r="F268" s="6"/>
      <c r="G268" s="6"/>
      <c r="H268" s="6"/>
    </row>
    <row r="269" ht="15.75" customHeight="1">
      <c r="A269" s="6"/>
      <c r="B269" s="6"/>
      <c r="C269" s="6" t="str">
        <f>VLOOKUP(B269,Sheet3!$B$2:$E$312,2,FALSE)</f>
        <v>#N/A</v>
      </c>
      <c r="D269" s="6" t="str">
        <f>VLOOKUP(B269,Sheet3!$B$2:$E$312,3,)</f>
        <v>#N/A</v>
      </c>
      <c r="E269" s="6" t="str">
        <f>VLOOKUP(B269,Sheet3!$B$2:$E$312,4,)</f>
        <v>#N/A</v>
      </c>
      <c r="F269" s="6"/>
      <c r="G269" s="6"/>
      <c r="H269" s="6"/>
    </row>
    <row r="270" ht="15.75" customHeight="1">
      <c r="A270" s="6"/>
      <c r="B270" s="6"/>
      <c r="C270" s="6" t="str">
        <f>VLOOKUP(B270,Sheet3!$B$2:$E$312,2,FALSE)</f>
        <v>#N/A</v>
      </c>
      <c r="D270" s="6" t="str">
        <f>VLOOKUP(B270,Sheet3!$B$2:$E$312,3,)</f>
        <v>#N/A</v>
      </c>
      <c r="E270" s="6" t="str">
        <f>VLOOKUP(B270,Sheet3!$B$2:$E$312,4,)</f>
        <v>#N/A</v>
      </c>
      <c r="F270" s="6"/>
      <c r="G270" s="6"/>
      <c r="H270" s="6"/>
    </row>
    <row r="271" ht="15.75" customHeight="1">
      <c r="A271" s="6"/>
      <c r="B271" s="6"/>
      <c r="C271" s="6" t="str">
        <f>VLOOKUP(B271,Sheet3!$B$2:$E$312,2,FALSE)</f>
        <v>#N/A</v>
      </c>
      <c r="D271" s="6" t="str">
        <f>VLOOKUP(B271,Sheet3!$B$2:$E$312,3,)</f>
        <v>#N/A</v>
      </c>
      <c r="E271" s="6" t="str">
        <f>VLOOKUP(B271,Sheet3!$B$2:$E$312,4,)</f>
        <v>#N/A</v>
      </c>
      <c r="F271" s="6"/>
      <c r="G271" s="6"/>
      <c r="H271" s="6"/>
    </row>
    <row r="272" ht="15.75" customHeight="1">
      <c r="A272" s="6"/>
      <c r="B272" s="6"/>
      <c r="C272" s="6" t="str">
        <f>VLOOKUP(B272,Sheet3!$B$2:$E$312,2,FALSE)</f>
        <v>#N/A</v>
      </c>
      <c r="D272" s="6" t="str">
        <f>VLOOKUP(B272,Sheet3!$B$2:$E$312,3,)</f>
        <v>#N/A</v>
      </c>
      <c r="E272" s="6" t="str">
        <f>VLOOKUP(B272,Sheet3!$B$2:$E$312,4,)</f>
        <v>#N/A</v>
      </c>
      <c r="F272" s="6"/>
      <c r="G272" s="6"/>
      <c r="H272" s="6"/>
    </row>
    <row r="273" ht="15.75" customHeight="1">
      <c r="A273" s="6"/>
      <c r="B273" s="6"/>
      <c r="C273" s="6" t="str">
        <f>VLOOKUP(B273,Sheet3!$B$2:$E$312,2,FALSE)</f>
        <v>#N/A</v>
      </c>
      <c r="D273" s="6" t="str">
        <f>VLOOKUP(B273,Sheet3!$B$2:$E$312,3,)</f>
        <v>#N/A</v>
      </c>
      <c r="E273" s="6" t="str">
        <f>VLOOKUP(B273,Sheet3!$B$2:$E$312,4,)</f>
        <v>#N/A</v>
      </c>
      <c r="F273" s="6"/>
      <c r="G273" s="6"/>
      <c r="H273" s="6"/>
    </row>
    <row r="274" ht="15.75" customHeight="1">
      <c r="A274" s="6"/>
      <c r="B274" s="6"/>
      <c r="C274" s="6" t="str">
        <f>VLOOKUP(B274,Sheet3!$B$2:$E$312,2,FALSE)</f>
        <v>#N/A</v>
      </c>
      <c r="D274" s="6" t="str">
        <f>VLOOKUP(B274,Sheet3!$B$2:$E$312,3,)</f>
        <v>#N/A</v>
      </c>
      <c r="E274" s="6" t="str">
        <f>VLOOKUP(B274,Sheet3!$B$2:$E$312,4,)</f>
        <v>#N/A</v>
      </c>
      <c r="F274" s="6"/>
      <c r="G274" s="6"/>
      <c r="H274" s="6"/>
    </row>
    <row r="275" ht="15.75" customHeight="1">
      <c r="A275" s="6"/>
      <c r="B275" s="6"/>
      <c r="C275" s="6" t="str">
        <f>VLOOKUP(B275,Sheet3!$B$2:$E$312,2,FALSE)</f>
        <v>#N/A</v>
      </c>
      <c r="D275" s="6" t="str">
        <f>VLOOKUP(B275,Sheet3!$B$2:$E$312,3,)</f>
        <v>#N/A</v>
      </c>
      <c r="E275" s="6" t="str">
        <f>VLOOKUP(B275,Sheet3!$B$2:$E$312,4,)</f>
        <v>#N/A</v>
      </c>
      <c r="F275" s="6"/>
      <c r="G275" s="6"/>
      <c r="H275" s="6"/>
    </row>
    <row r="276" ht="15.75" customHeight="1">
      <c r="A276" s="6"/>
      <c r="B276" s="6"/>
      <c r="C276" s="6" t="str">
        <f>VLOOKUP(B276,Sheet3!$B$2:$E$312,2,FALSE)</f>
        <v>#N/A</v>
      </c>
      <c r="D276" s="6" t="str">
        <f>VLOOKUP(B276,Sheet3!$B$2:$E$312,3,)</f>
        <v>#N/A</v>
      </c>
      <c r="E276" s="6" t="str">
        <f>VLOOKUP(B276,Sheet3!$B$2:$E$312,4,)</f>
        <v>#N/A</v>
      </c>
      <c r="F276" s="6"/>
      <c r="G276" s="6"/>
      <c r="H276" s="6"/>
    </row>
    <row r="277" ht="15.75" customHeight="1">
      <c r="A277" s="6"/>
      <c r="B277" s="6"/>
      <c r="C277" s="6" t="str">
        <f>VLOOKUP(B277,Sheet3!$B$2:$E$312,2,FALSE)</f>
        <v>#N/A</v>
      </c>
      <c r="D277" s="6" t="str">
        <f>VLOOKUP(B277,Sheet3!$B$2:$E$312,3,)</f>
        <v>#N/A</v>
      </c>
      <c r="E277" s="6" t="str">
        <f>VLOOKUP(B277,Sheet3!$B$2:$E$312,4,)</f>
        <v>#N/A</v>
      </c>
      <c r="F277" s="6"/>
      <c r="G277" s="6"/>
      <c r="H277" s="6"/>
    </row>
    <row r="278" ht="15.75" customHeight="1">
      <c r="A278" s="6"/>
      <c r="B278" s="6"/>
      <c r="C278" s="6" t="str">
        <f>VLOOKUP(B278,Sheet3!$B$2:$E$312,2,FALSE)</f>
        <v>#N/A</v>
      </c>
      <c r="D278" s="6" t="str">
        <f>VLOOKUP(B278,Sheet3!$B$2:$E$312,3,)</f>
        <v>#N/A</v>
      </c>
      <c r="E278" s="6" t="str">
        <f>VLOOKUP(B278,Sheet3!$B$2:$E$312,4,)</f>
        <v>#N/A</v>
      </c>
      <c r="F278" s="6"/>
      <c r="G278" s="6"/>
      <c r="H278" s="6"/>
    </row>
    <row r="279" ht="15.75" customHeight="1">
      <c r="A279" s="6"/>
      <c r="B279" s="6"/>
      <c r="C279" s="6" t="str">
        <f>VLOOKUP(B279,Sheet3!$B$2:$E$312,2,FALSE)</f>
        <v>#N/A</v>
      </c>
      <c r="D279" s="6" t="str">
        <f>VLOOKUP(B279,Sheet3!$B$2:$E$312,3,)</f>
        <v>#N/A</v>
      </c>
      <c r="E279" s="6" t="str">
        <f>VLOOKUP(B279,Sheet3!$B$2:$E$312,4,)</f>
        <v>#N/A</v>
      </c>
      <c r="F279" s="6"/>
      <c r="G279" s="6"/>
      <c r="H279" s="6"/>
    </row>
    <row r="280" ht="15.75" customHeight="1">
      <c r="A280" s="6"/>
      <c r="B280" s="6"/>
      <c r="C280" s="6" t="str">
        <f>VLOOKUP(B280,Sheet3!$B$2:$E$312,2,FALSE)</f>
        <v>#N/A</v>
      </c>
      <c r="D280" s="6" t="str">
        <f>VLOOKUP(B280,Sheet3!$B$2:$E$312,3,)</f>
        <v>#N/A</v>
      </c>
      <c r="E280" s="6" t="str">
        <f>VLOOKUP(B280,Sheet3!$B$2:$E$312,4,)</f>
        <v>#N/A</v>
      </c>
      <c r="F280" s="6"/>
      <c r="G280" s="6"/>
      <c r="H280" s="6"/>
    </row>
    <row r="281" ht="15.75" customHeight="1">
      <c r="A281" s="6"/>
      <c r="B281" s="6"/>
      <c r="C281" s="6" t="str">
        <f>VLOOKUP(B281,Sheet3!$B$2:$E$312,2,FALSE)</f>
        <v>#N/A</v>
      </c>
      <c r="D281" s="6" t="str">
        <f>VLOOKUP(B281,Sheet3!$B$2:$E$312,3,)</f>
        <v>#N/A</v>
      </c>
      <c r="E281" s="6" t="str">
        <f>VLOOKUP(B281,Sheet3!$B$2:$E$312,4,)</f>
        <v>#N/A</v>
      </c>
      <c r="F281" s="6"/>
      <c r="G281" s="6"/>
      <c r="H281" s="6"/>
    </row>
    <row r="282" ht="15.75" customHeight="1">
      <c r="A282" s="6"/>
      <c r="B282" s="6"/>
      <c r="C282" s="6" t="str">
        <f>VLOOKUP(B282,Sheet3!$B$2:$E$312,2,FALSE)</f>
        <v>#N/A</v>
      </c>
      <c r="D282" s="6" t="str">
        <f>VLOOKUP(B282,Sheet3!$B$2:$E$312,3,)</f>
        <v>#N/A</v>
      </c>
      <c r="E282" s="6" t="str">
        <f>VLOOKUP(B282,Sheet3!$B$2:$E$312,4,)</f>
        <v>#N/A</v>
      </c>
      <c r="F282" s="6"/>
      <c r="G282" s="6"/>
      <c r="H282" s="6"/>
    </row>
    <row r="283" ht="15.75" customHeight="1">
      <c r="A283" s="6"/>
      <c r="B283" s="6"/>
      <c r="C283" s="6" t="str">
        <f>VLOOKUP(B283,Sheet3!$B$2:$E$312,2,FALSE)</f>
        <v>#N/A</v>
      </c>
      <c r="D283" s="6" t="str">
        <f>VLOOKUP(B283,Sheet3!$B$2:$E$312,3,)</f>
        <v>#N/A</v>
      </c>
      <c r="E283" s="6" t="str">
        <f>VLOOKUP(B283,Sheet3!$B$2:$E$312,4,)</f>
        <v>#N/A</v>
      </c>
      <c r="F283" s="6"/>
      <c r="G283" s="6"/>
      <c r="H283" s="6"/>
    </row>
    <row r="284" ht="15.75" customHeight="1">
      <c r="A284" s="6"/>
      <c r="B284" s="6"/>
      <c r="C284" s="6" t="str">
        <f>VLOOKUP(B284,Sheet3!$B$2:$E$312,2,FALSE)</f>
        <v>#N/A</v>
      </c>
      <c r="D284" s="6" t="str">
        <f>VLOOKUP(B284,Sheet3!$B$2:$E$312,3,)</f>
        <v>#N/A</v>
      </c>
      <c r="E284" s="6" t="str">
        <f>VLOOKUP(B284,Sheet3!$B$2:$E$312,4,)</f>
        <v>#N/A</v>
      </c>
      <c r="F284" s="6"/>
      <c r="G284" s="6"/>
      <c r="H284" s="6"/>
    </row>
    <row r="285" ht="15.75" customHeight="1">
      <c r="A285" s="6"/>
      <c r="B285" s="6"/>
      <c r="C285" s="6" t="str">
        <f>VLOOKUP(B285,Sheet3!$B$2:$E$312,2,FALSE)</f>
        <v>#N/A</v>
      </c>
      <c r="D285" s="6" t="str">
        <f>VLOOKUP(B285,Sheet3!$B$2:$E$312,3,)</f>
        <v>#N/A</v>
      </c>
      <c r="E285" s="6" t="str">
        <f>VLOOKUP(B285,Sheet3!$B$2:$E$312,4,)</f>
        <v>#N/A</v>
      </c>
      <c r="F285" s="6"/>
      <c r="G285" s="6"/>
      <c r="H285" s="6"/>
    </row>
    <row r="286" ht="15.75" customHeight="1">
      <c r="A286" s="6"/>
      <c r="B286" s="6"/>
      <c r="C286" s="6" t="str">
        <f>VLOOKUP(B286,Sheet3!$B$2:$E$312,2,FALSE)</f>
        <v>#N/A</v>
      </c>
      <c r="D286" s="6" t="str">
        <f>VLOOKUP(B286,Sheet3!$B$2:$E$312,3,)</f>
        <v>#N/A</v>
      </c>
      <c r="E286" s="6" t="str">
        <f>VLOOKUP(B286,Sheet3!$B$2:$E$312,4,)</f>
        <v>#N/A</v>
      </c>
      <c r="F286" s="6"/>
      <c r="G286" s="6"/>
      <c r="H286" s="6"/>
    </row>
    <row r="287" ht="15.75" customHeight="1">
      <c r="A287" s="6"/>
      <c r="B287" s="6"/>
      <c r="C287" s="6" t="str">
        <f>VLOOKUP(B287,Sheet3!$B$2:$E$312,2,FALSE)</f>
        <v>#N/A</v>
      </c>
      <c r="D287" s="6" t="str">
        <f>VLOOKUP(B287,Sheet3!$B$2:$E$312,3,)</f>
        <v>#N/A</v>
      </c>
      <c r="E287" s="6" t="str">
        <f>VLOOKUP(B287,Sheet3!$B$2:$E$312,4,)</f>
        <v>#N/A</v>
      </c>
      <c r="F287" s="6"/>
      <c r="G287" s="6"/>
      <c r="H287" s="6"/>
    </row>
    <row r="288" ht="15.75" customHeight="1">
      <c r="A288" s="6"/>
      <c r="B288" s="6"/>
      <c r="C288" s="6" t="str">
        <f>VLOOKUP(B288,Sheet3!$B$2:$E$312,2,FALSE)</f>
        <v>#N/A</v>
      </c>
      <c r="D288" s="6" t="str">
        <f>VLOOKUP(B288,Sheet3!$B$2:$E$312,3,)</f>
        <v>#N/A</v>
      </c>
      <c r="E288" s="6" t="str">
        <f>VLOOKUP(B288,Sheet3!$B$2:$E$312,4,)</f>
        <v>#N/A</v>
      </c>
      <c r="F288" s="6"/>
      <c r="G288" s="6"/>
      <c r="H288" s="6"/>
    </row>
    <row r="289" ht="15.75" customHeight="1">
      <c r="A289" s="6"/>
      <c r="B289" s="6"/>
      <c r="C289" s="6" t="str">
        <f>VLOOKUP(B289,Sheet3!$B$2:$E$312,2,FALSE)</f>
        <v>#N/A</v>
      </c>
      <c r="D289" s="6" t="str">
        <f>VLOOKUP(B289,Sheet3!$B$2:$E$312,3,)</f>
        <v>#N/A</v>
      </c>
      <c r="E289" s="6" t="str">
        <f>VLOOKUP(B289,Sheet3!$B$2:$E$312,4,)</f>
        <v>#N/A</v>
      </c>
      <c r="F289" s="6"/>
      <c r="G289" s="6"/>
      <c r="H289" s="6"/>
    </row>
    <row r="290" ht="15.75" customHeight="1">
      <c r="A290" s="6"/>
      <c r="B290" s="6"/>
      <c r="C290" s="6" t="str">
        <f>VLOOKUP(B290,Sheet3!$B$2:$E$312,2,FALSE)</f>
        <v>#N/A</v>
      </c>
      <c r="D290" s="6" t="str">
        <f>VLOOKUP(B290,Sheet3!$B$2:$E$312,3,)</f>
        <v>#N/A</v>
      </c>
      <c r="E290" s="6" t="str">
        <f>VLOOKUP(B290,Sheet3!$B$2:$E$312,4,)</f>
        <v>#N/A</v>
      </c>
      <c r="F290" s="6"/>
      <c r="G290" s="6"/>
      <c r="H290" s="6"/>
    </row>
    <row r="291" ht="15.75" customHeight="1">
      <c r="A291" s="6"/>
      <c r="B291" s="6"/>
      <c r="C291" s="6" t="str">
        <f>VLOOKUP(B291,Sheet3!$B$2:$E$312,2,FALSE)</f>
        <v>#N/A</v>
      </c>
      <c r="D291" s="6" t="str">
        <f>VLOOKUP(B291,Sheet3!$B$2:$E$312,3,)</f>
        <v>#N/A</v>
      </c>
      <c r="E291" s="6" t="str">
        <f>VLOOKUP(B291,Sheet3!$B$2:$E$312,4,)</f>
        <v>#N/A</v>
      </c>
      <c r="F291" s="6"/>
      <c r="G291" s="6"/>
      <c r="H291" s="6"/>
    </row>
    <row r="292" ht="15.75" customHeight="1">
      <c r="A292" s="6"/>
      <c r="B292" s="6"/>
      <c r="C292" s="6" t="str">
        <f>VLOOKUP(B292,Sheet3!$B$2:$E$312,2,FALSE)</f>
        <v>#N/A</v>
      </c>
      <c r="D292" s="6" t="str">
        <f>VLOOKUP(B292,Sheet3!$B$2:$E$312,3,)</f>
        <v>#N/A</v>
      </c>
      <c r="E292" s="6" t="str">
        <f>VLOOKUP(B292,Sheet3!$B$2:$E$312,4,)</f>
        <v>#N/A</v>
      </c>
      <c r="F292" s="6"/>
      <c r="G292" s="6"/>
      <c r="H292" s="6"/>
    </row>
    <row r="293" ht="15.75" customHeight="1">
      <c r="A293" s="6"/>
      <c r="B293" s="6"/>
      <c r="C293" s="6" t="str">
        <f>VLOOKUP(B293,Sheet3!$B$2:$E$312,2,FALSE)</f>
        <v>#N/A</v>
      </c>
      <c r="D293" s="6" t="str">
        <f>VLOOKUP(B293,Sheet3!$B$2:$E$312,3,)</f>
        <v>#N/A</v>
      </c>
      <c r="E293" s="6" t="str">
        <f>VLOOKUP(B293,Sheet3!$B$2:$E$312,4,)</f>
        <v>#N/A</v>
      </c>
      <c r="F293" s="6"/>
      <c r="G293" s="6"/>
      <c r="H293" s="6"/>
    </row>
    <row r="294" ht="15.75" customHeight="1">
      <c r="A294" s="6"/>
      <c r="B294" s="6"/>
      <c r="C294" s="6" t="str">
        <f>VLOOKUP(B294,Sheet3!$B$2:$E$312,2,FALSE)</f>
        <v>#N/A</v>
      </c>
      <c r="D294" s="6" t="str">
        <f>VLOOKUP(B294,Sheet3!$B$2:$E$312,3,)</f>
        <v>#N/A</v>
      </c>
      <c r="E294" s="6" t="str">
        <f>VLOOKUP(B294,Sheet3!$B$2:$E$312,4,)</f>
        <v>#N/A</v>
      </c>
      <c r="F294" s="6"/>
      <c r="G294" s="6"/>
      <c r="H294" s="6"/>
    </row>
    <row r="295" ht="15.75" customHeight="1">
      <c r="A295" s="6"/>
      <c r="B295" s="6"/>
      <c r="C295" s="6" t="str">
        <f>VLOOKUP(B295,Sheet3!$B$2:$E$312,2,FALSE)</f>
        <v>#N/A</v>
      </c>
      <c r="D295" s="6" t="str">
        <f>VLOOKUP(B295,Sheet3!$B$2:$E$312,3,)</f>
        <v>#N/A</v>
      </c>
      <c r="E295" s="6" t="str">
        <f>VLOOKUP(B295,Sheet3!$B$2:$E$312,4,)</f>
        <v>#N/A</v>
      </c>
      <c r="F295" s="6"/>
      <c r="G295" s="6"/>
      <c r="H295" s="6"/>
    </row>
    <row r="296" ht="15.75" customHeight="1">
      <c r="A296" s="6"/>
      <c r="B296" s="6"/>
      <c r="C296" s="6" t="str">
        <f>VLOOKUP(B296,Sheet3!$B$2:$E$312,2,FALSE)</f>
        <v>#N/A</v>
      </c>
      <c r="D296" s="6" t="str">
        <f>VLOOKUP(B296,Sheet3!$B$2:$E$312,3,)</f>
        <v>#N/A</v>
      </c>
      <c r="E296" s="6" t="str">
        <f>VLOOKUP(B296,Sheet3!$B$2:$E$312,4,)</f>
        <v>#N/A</v>
      </c>
      <c r="F296" s="6"/>
      <c r="G296" s="6"/>
      <c r="H296" s="6"/>
    </row>
    <row r="297" ht="15.75" customHeight="1">
      <c r="A297" s="6"/>
      <c r="B297" s="6"/>
      <c r="C297" s="6" t="str">
        <f>VLOOKUP(B297,Sheet3!$B$2:$E$312,2,FALSE)</f>
        <v>#N/A</v>
      </c>
      <c r="D297" s="6" t="str">
        <f>VLOOKUP(B297,Sheet3!$B$2:$E$312,3,)</f>
        <v>#N/A</v>
      </c>
      <c r="E297" s="6" t="str">
        <f>VLOOKUP(B297,Sheet3!$B$2:$E$312,4,)</f>
        <v>#N/A</v>
      </c>
      <c r="F297" s="6"/>
      <c r="G297" s="6"/>
      <c r="H297" s="6"/>
    </row>
    <row r="298" ht="15.75" customHeight="1">
      <c r="A298" s="6"/>
      <c r="B298" s="6"/>
      <c r="C298" s="6" t="str">
        <f>VLOOKUP(B298,Sheet3!$B$2:$E$312,2,FALSE)</f>
        <v>#N/A</v>
      </c>
      <c r="D298" s="6" t="str">
        <f>VLOOKUP(B298,Sheet3!$B$2:$E$312,3,)</f>
        <v>#N/A</v>
      </c>
      <c r="E298" s="6" t="str">
        <f>VLOOKUP(B298,Sheet3!$B$2:$E$312,4,)</f>
        <v>#N/A</v>
      </c>
      <c r="F298" s="6"/>
      <c r="G298" s="6"/>
      <c r="H298" s="6"/>
    </row>
    <row r="299" ht="15.75" customHeight="1">
      <c r="A299" s="6"/>
      <c r="B299" s="6"/>
      <c r="C299" s="6" t="str">
        <f>VLOOKUP(B299,Sheet3!$B$2:$E$312,2,FALSE)</f>
        <v>#N/A</v>
      </c>
      <c r="D299" s="6" t="str">
        <f>VLOOKUP(B299,Sheet3!$B$2:$E$312,3,)</f>
        <v>#N/A</v>
      </c>
      <c r="E299" s="6" t="str">
        <f>VLOOKUP(B299,Sheet3!$B$2:$E$312,4,)</f>
        <v>#N/A</v>
      </c>
      <c r="F299" s="6"/>
      <c r="G299" s="6"/>
      <c r="H299" s="6"/>
    </row>
    <row r="300" ht="15.75" customHeight="1">
      <c r="A300" s="6"/>
      <c r="B300" s="6"/>
      <c r="C300" s="6" t="str">
        <f>VLOOKUP(B300,Sheet3!$B$2:$E$312,2,FALSE)</f>
        <v>#N/A</v>
      </c>
      <c r="D300" s="6" t="str">
        <f>VLOOKUP(B300,Sheet3!$B$2:$E$312,3,)</f>
        <v>#N/A</v>
      </c>
      <c r="E300" s="6" t="str">
        <f>VLOOKUP(B300,Sheet3!$B$2:$E$312,4,)</f>
        <v>#N/A</v>
      </c>
      <c r="F300" s="6"/>
      <c r="G300" s="6"/>
      <c r="H300" s="6"/>
    </row>
    <row r="301" ht="15.75" customHeight="1">
      <c r="A301" s="6"/>
      <c r="B301" s="6"/>
      <c r="C301" s="6" t="str">
        <f>VLOOKUP(B301,Sheet3!$B$2:$E$312,2,FALSE)</f>
        <v>#N/A</v>
      </c>
      <c r="D301" s="6" t="str">
        <f>VLOOKUP(B301,Sheet3!$B$2:$E$312,3,)</f>
        <v>#N/A</v>
      </c>
      <c r="E301" s="6" t="str">
        <f>VLOOKUP(B301,Sheet3!$B$2:$E$312,4,)</f>
        <v>#N/A</v>
      </c>
      <c r="F301" s="6"/>
      <c r="G301" s="6"/>
      <c r="H301" s="6"/>
    </row>
    <row r="302" ht="15.75" customHeight="1">
      <c r="A302" s="6"/>
      <c r="B302" s="6"/>
      <c r="C302" s="6" t="str">
        <f>VLOOKUP(B302,Sheet3!$B$2:$E$312,2,FALSE)</f>
        <v>#N/A</v>
      </c>
      <c r="D302" s="6" t="str">
        <f>VLOOKUP(B302,Sheet3!$B$2:$E$312,3,)</f>
        <v>#N/A</v>
      </c>
      <c r="E302" s="6" t="str">
        <f>VLOOKUP(B302,Sheet3!$B$2:$E$312,4,)</f>
        <v>#N/A</v>
      </c>
      <c r="F302" s="6"/>
      <c r="G302" s="6"/>
      <c r="H302" s="6"/>
    </row>
    <row r="303" ht="15.75" customHeight="1">
      <c r="A303" s="6"/>
      <c r="B303" s="6"/>
      <c r="C303" s="6" t="str">
        <f>VLOOKUP(B303,Sheet3!$B$2:$E$312,2,FALSE)</f>
        <v>#N/A</v>
      </c>
      <c r="D303" s="6" t="str">
        <f>VLOOKUP(B303,Sheet3!$B$2:$E$312,3,)</f>
        <v>#N/A</v>
      </c>
      <c r="E303" s="6" t="str">
        <f>VLOOKUP(B303,Sheet3!$B$2:$E$312,4,)</f>
        <v>#N/A</v>
      </c>
      <c r="F303" s="6"/>
      <c r="G303" s="6"/>
      <c r="H303" s="6"/>
    </row>
    <row r="304" ht="15.75" customHeight="1">
      <c r="A304" s="6"/>
      <c r="B304" s="6"/>
      <c r="C304" s="6" t="str">
        <f>VLOOKUP(B304,Sheet3!$B$2:$E$312,2,FALSE)</f>
        <v>#N/A</v>
      </c>
      <c r="D304" s="6" t="str">
        <f>VLOOKUP(B304,Sheet3!$B$2:$E$312,3,)</f>
        <v>#N/A</v>
      </c>
      <c r="E304" s="6" t="str">
        <f>VLOOKUP(B304,Sheet3!$B$2:$E$312,4,)</f>
        <v>#N/A</v>
      </c>
      <c r="F304" s="6"/>
      <c r="G304" s="6"/>
      <c r="H304" s="6"/>
    </row>
    <row r="305" ht="15.75" customHeight="1">
      <c r="A305" s="6"/>
      <c r="B305" s="6"/>
      <c r="C305" s="6" t="str">
        <f>VLOOKUP(B305,Sheet3!$B$2:$E$312,2,FALSE)</f>
        <v>#N/A</v>
      </c>
      <c r="D305" s="6" t="str">
        <f>VLOOKUP(B305,Sheet3!$B$2:$E$312,3,)</f>
        <v>#N/A</v>
      </c>
      <c r="E305" s="6" t="str">
        <f>VLOOKUP(B305,Sheet3!$B$2:$E$312,4,)</f>
        <v>#N/A</v>
      </c>
      <c r="F305" s="6"/>
      <c r="G305" s="6"/>
      <c r="H305" s="6"/>
    </row>
    <row r="306" ht="15.75" customHeight="1">
      <c r="A306" s="6"/>
      <c r="B306" s="6"/>
      <c r="C306" s="6" t="str">
        <f>VLOOKUP(B306,Sheet3!$B$2:$E$312,2,FALSE)</f>
        <v>#N/A</v>
      </c>
      <c r="D306" s="6" t="str">
        <f>VLOOKUP(B306,Sheet3!$B$2:$E$312,3,)</f>
        <v>#N/A</v>
      </c>
      <c r="E306" s="6" t="str">
        <f>VLOOKUP(B306,Sheet3!$B$2:$E$312,4,)</f>
        <v>#N/A</v>
      </c>
      <c r="F306" s="6"/>
      <c r="G306" s="6"/>
      <c r="H306" s="6"/>
    </row>
    <row r="307" ht="15.75" customHeight="1">
      <c r="A307" s="6"/>
      <c r="B307" s="6"/>
      <c r="C307" s="6" t="str">
        <f>VLOOKUP(B307,Sheet3!$B$2:$E$312,2,FALSE)</f>
        <v>#N/A</v>
      </c>
      <c r="D307" s="6" t="str">
        <f>VLOOKUP(B307,Sheet3!$B$2:$E$312,3,)</f>
        <v>#N/A</v>
      </c>
      <c r="E307" s="6" t="str">
        <f>VLOOKUP(B307,Sheet3!$B$2:$E$312,4,)</f>
        <v>#N/A</v>
      </c>
      <c r="F307" s="6"/>
      <c r="G307" s="6"/>
      <c r="H307" s="6"/>
    </row>
    <row r="308" ht="15.75" customHeight="1">
      <c r="A308" s="6"/>
      <c r="B308" s="6"/>
      <c r="C308" s="6" t="str">
        <f>VLOOKUP(B308,Sheet3!$B$2:$E$312,2,FALSE)</f>
        <v>#N/A</v>
      </c>
      <c r="D308" s="6" t="str">
        <f>VLOOKUP(B308,Sheet3!$B$2:$E$312,3,)</f>
        <v>#N/A</v>
      </c>
      <c r="E308" s="6" t="str">
        <f>VLOOKUP(B308,Sheet3!$B$2:$E$312,4,)</f>
        <v>#N/A</v>
      </c>
      <c r="F308" s="6"/>
      <c r="G308" s="6"/>
      <c r="H308" s="6"/>
    </row>
    <row r="309" ht="15.75" customHeight="1">
      <c r="A309" s="6"/>
      <c r="B309" s="6"/>
      <c r="C309" s="6" t="str">
        <f>VLOOKUP(B309,Sheet3!$B$2:$E$312,2,FALSE)</f>
        <v>#N/A</v>
      </c>
      <c r="D309" s="6" t="str">
        <f>VLOOKUP(B309,Sheet3!$B$2:$E$312,3,)</f>
        <v>#N/A</v>
      </c>
      <c r="E309" s="6" t="str">
        <f>VLOOKUP(B309,Sheet3!$B$2:$E$312,4,)</f>
        <v>#N/A</v>
      </c>
      <c r="F309" s="6"/>
      <c r="G309" s="6"/>
      <c r="H309" s="6"/>
    </row>
    <row r="310" ht="15.75" customHeight="1">
      <c r="A310" s="6"/>
      <c r="B310" s="6"/>
      <c r="C310" s="6" t="str">
        <f>VLOOKUP(B310,Sheet3!$B$2:$E$312,2,FALSE)</f>
        <v>#N/A</v>
      </c>
      <c r="D310" s="6" t="str">
        <f>VLOOKUP(B310,Sheet3!$B$2:$E$312,3,)</f>
        <v>#N/A</v>
      </c>
      <c r="E310" s="6" t="str">
        <f>VLOOKUP(B310,Sheet3!$B$2:$E$312,4,)</f>
        <v>#N/A</v>
      </c>
      <c r="F310" s="6"/>
      <c r="G310" s="6"/>
      <c r="H310" s="6"/>
    </row>
    <row r="311" ht="15.75" customHeight="1">
      <c r="A311" s="6"/>
      <c r="B311" s="6"/>
      <c r="C311" s="6" t="str">
        <f>VLOOKUP(B311,Sheet3!$B$2:$E$312,2,FALSE)</f>
        <v>#N/A</v>
      </c>
      <c r="D311" s="6" t="str">
        <f>VLOOKUP(B311,Sheet3!$B$2:$E$312,3,)</f>
        <v>#N/A</v>
      </c>
      <c r="E311" s="6" t="str">
        <f>VLOOKUP(B311,Sheet3!$B$2:$E$312,4,)</f>
        <v>#N/A</v>
      </c>
      <c r="F311" s="6"/>
      <c r="G311" s="6"/>
      <c r="H311" s="6"/>
    </row>
    <row r="312" ht="15.75" customHeight="1">
      <c r="A312" s="6"/>
      <c r="B312" s="6"/>
      <c r="C312" s="6" t="str">
        <f>VLOOKUP(B312,Sheet3!$B$2:$E$312,2,FALSE)</f>
        <v>#N/A</v>
      </c>
      <c r="D312" s="6" t="str">
        <f>VLOOKUP(B312,Sheet3!$B$2:$E$312,3,)</f>
        <v>#N/A</v>
      </c>
      <c r="E312" s="6" t="str">
        <f>VLOOKUP(B312,Sheet3!$B$2:$E$312,4,)</f>
        <v>#N/A</v>
      </c>
      <c r="F312" s="6"/>
      <c r="G312" s="6"/>
      <c r="H312" s="6"/>
    </row>
    <row r="313" ht="15.75" customHeight="1">
      <c r="A313" s="6"/>
      <c r="B313" s="6"/>
      <c r="C313" s="6" t="str">
        <f>VLOOKUP(B313,Sheet3!$B$2:$E$312,2,FALSE)</f>
        <v>#N/A</v>
      </c>
      <c r="D313" s="6" t="str">
        <f>VLOOKUP(B313,Sheet3!$B$2:$E$312,3,)</f>
        <v>#N/A</v>
      </c>
      <c r="E313" s="6" t="str">
        <f>VLOOKUP(B313,Sheet3!$B$2:$E$312,4,)</f>
        <v>#N/A</v>
      </c>
      <c r="F313" s="6"/>
      <c r="G313" s="6"/>
      <c r="H313" s="6"/>
    </row>
    <row r="314" ht="15.75" customHeight="1">
      <c r="A314" s="6"/>
      <c r="B314" s="6"/>
      <c r="C314" s="6" t="str">
        <f>VLOOKUP(B314,Sheet3!$B$2:$E$312,2,FALSE)</f>
        <v>#N/A</v>
      </c>
      <c r="D314" s="6" t="str">
        <f>VLOOKUP(B314,Sheet3!$B$2:$E$312,3,)</f>
        <v>#N/A</v>
      </c>
      <c r="E314" s="6" t="str">
        <f>VLOOKUP(B314,Sheet3!$B$2:$E$312,4,)</f>
        <v>#N/A</v>
      </c>
      <c r="F314" s="6"/>
      <c r="G314" s="6"/>
      <c r="H314" s="6"/>
    </row>
    <row r="315" ht="15.75" customHeight="1">
      <c r="A315" s="6"/>
      <c r="B315" s="6"/>
      <c r="C315" s="6" t="str">
        <f>VLOOKUP(B315,Sheet3!$B$2:$E$312,2,FALSE)</f>
        <v>#N/A</v>
      </c>
      <c r="D315" s="6" t="str">
        <f>VLOOKUP(B315,Sheet3!$B$2:$E$312,3,)</f>
        <v>#N/A</v>
      </c>
      <c r="E315" s="6" t="str">
        <f>VLOOKUP(B315,Sheet3!$B$2:$E$312,4,)</f>
        <v>#N/A</v>
      </c>
      <c r="F315" s="6"/>
      <c r="G315" s="6"/>
      <c r="H315" s="6"/>
    </row>
    <row r="316" ht="15.75" customHeight="1">
      <c r="A316" s="6"/>
      <c r="B316" s="6"/>
      <c r="C316" s="6" t="str">
        <f>VLOOKUP(B316,Sheet3!$B$2:$E$312,2,FALSE)</f>
        <v>#N/A</v>
      </c>
      <c r="D316" s="6" t="str">
        <f>VLOOKUP(B316,Sheet3!$B$2:$E$312,3,)</f>
        <v>#N/A</v>
      </c>
      <c r="E316" s="6" t="str">
        <f>VLOOKUP(B316,Sheet3!$B$2:$E$312,4,)</f>
        <v>#N/A</v>
      </c>
      <c r="F316" s="6"/>
      <c r="G316" s="6"/>
      <c r="H316" s="6"/>
    </row>
    <row r="317" ht="15.75" customHeight="1">
      <c r="A317" s="6"/>
      <c r="B317" s="6"/>
      <c r="C317" s="6" t="str">
        <f>VLOOKUP(B317,Sheet3!$B$2:$E$312,2,FALSE)</f>
        <v>#N/A</v>
      </c>
      <c r="D317" s="6" t="str">
        <f>VLOOKUP(B317,Sheet3!$B$2:$E$312,3,)</f>
        <v>#N/A</v>
      </c>
      <c r="E317" s="6" t="str">
        <f>VLOOKUP(B317,Sheet3!$B$2:$E$312,4,)</f>
        <v>#N/A</v>
      </c>
      <c r="F317" s="6"/>
      <c r="G317" s="6"/>
      <c r="H317" s="6"/>
    </row>
    <row r="318" ht="15.75" customHeight="1">
      <c r="A318" s="6"/>
      <c r="B318" s="6"/>
      <c r="C318" s="6" t="str">
        <f>VLOOKUP(B318,Sheet3!$B$2:$E$312,2,FALSE)</f>
        <v>#N/A</v>
      </c>
      <c r="D318" s="6" t="str">
        <f>VLOOKUP(B318,Sheet3!$B$2:$E$312,3,)</f>
        <v>#N/A</v>
      </c>
      <c r="E318" s="6" t="str">
        <f>VLOOKUP(B318,Sheet3!$B$2:$E$312,4,)</f>
        <v>#N/A</v>
      </c>
      <c r="F318" s="6"/>
      <c r="G318" s="6"/>
      <c r="H318" s="6"/>
    </row>
    <row r="319" ht="15.75" customHeight="1">
      <c r="A319" s="6"/>
      <c r="B319" s="6"/>
      <c r="C319" s="6" t="str">
        <f>VLOOKUP(B319,Sheet3!$B$2:$E$312,2,FALSE)</f>
        <v>#N/A</v>
      </c>
      <c r="D319" s="6" t="str">
        <f>VLOOKUP(B319,Sheet3!$B$2:$E$312,3,)</f>
        <v>#N/A</v>
      </c>
      <c r="E319" s="6" t="str">
        <f>VLOOKUP(B319,Sheet3!$B$2:$E$312,4,)</f>
        <v>#N/A</v>
      </c>
      <c r="F319" s="6"/>
      <c r="G319" s="6"/>
      <c r="H319" s="6"/>
    </row>
    <row r="320" ht="15.75" customHeight="1">
      <c r="A320" s="6"/>
      <c r="B320" s="6"/>
      <c r="C320" s="6" t="str">
        <f>VLOOKUP(B320,Sheet3!$B$2:$E$312,2,FALSE)</f>
        <v>#N/A</v>
      </c>
      <c r="D320" s="6" t="str">
        <f>VLOOKUP(B320,Sheet3!$B$2:$E$312,3,)</f>
        <v>#N/A</v>
      </c>
      <c r="E320" s="6" t="str">
        <f>VLOOKUP(B320,Sheet3!$B$2:$E$312,4,)</f>
        <v>#N/A</v>
      </c>
      <c r="F320" s="6"/>
      <c r="G320" s="6"/>
      <c r="H320" s="6"/>
    </row>
    <row r="321" ht="15.75" customHeight="1">
      <c r="A321" s="6"/>
      <c r="B321" s="6"/>
      <c r="C321" s="6" t="str">
        <f>VLOOKUP(B321,Sheet3!$B$2:$E$312,2,FALSE)</f>
        <v>#N/A</v>
      </c>
      <c r="D321" s="6" t="str">
        <f>VLOOKUP(B321,Sheet3!$B$2:$E$312,3,)</f>
        <v>#N/A</v>
      </c>
      <c r="E321" s="6" t="str">
        <f>VLOOKUP(B321,Sheet3!$B$2:$E$312,4,)</f>
        <v>#N/A</v>
      </c>
      <c r="F321" s="6"/>
      <c r="G321" s="6"/>
      <c r="H321" s="6"/>
    </row>
    <row r="322" ht="15.75" customHeight="1">
      <c r="A322" s="6"/>
      <c r="B322" s="6"/>
      <c r="C322" s="6" t="str">
        <f>VLOOKUP(B322,Sheet3!$B$2:$E$312,2,FALSE)</f>
        <v>#N/A</v>
      </c>
      <c r="D322" s="6" t="str">
        <f>VLOOKUP(B322,Sheet3!$B$2:$E$312,3,)</f>
        <v>#N/A</v>
      </c>
      <c r="E322" s="6" t="str">
        <f>VLOOKUP(B322,Sheet3!$B$2:$E$312,4,)</f>
        <v>#N/A</v>
      </c>
      <c r="F322" s="6"/>
      <c r="G322" s="6"/>
      <c r="H322" s="6"/>
    </row>
    <row r="323" ht="15.75" customHeight="1">
      <c r="A323" s="6"/>
      <c r="B323" s="6"/>
      <c r="C323" s="6" t="str">
        <f>VLOOKUP(B323,Sheet3!$B$2:$E$312,2,FALSE)</f>
        <v>#N/A</v>
      </c>
      <c r="D323" s="6" t="str">
        <f>VLOOKUP(B323,Sheet3!$B$2:$E$312,3,)</f>
        <v>#N/A</v>
      </c>
      <c r="E323" s="6" t="str">
        <f>VLOOKUP(B323,Sheet3!$B$2:$E$312,4,)</f>
        <v>#N/A</v>
      </c>
      <c r="F323" s="6"/>
      <c r="G323" s="6"/>
      <c r="H323" s="6"/>
    </row>
    <row r="324" ht="15.75" customHeight="1">
      <c r="A324" s="6"/>
      <c r="B324" s="6"/>
      <c r="C324" s="6" t="str">
        <f>VLOOKUP(B324,Sheet3!$B$2:$E$312,2,FALSE)</f>
        <v>#N/A</v>
      </c>
      <c r="D324" s="6" t="str">
        <f>VLOOKUP(B324,Sheet3!$B$2:$E$312,3,)</f>
        <v>#N/A</v>
      </c>
      <c r="E324" s="6" t="str">
        <f>VLOOKUP(B324,Sheet3!$B$2:$E$312,4,)</f>
        <v>#N/A</v>
      </c>
      <c r="F324" s="6"/>
      <c r="G324" s="6"/>
      <c r="H324" s="6"/>
    </row>
    <row r="325" ht="15.75" customHeight="1">
      <c r="A325" s="6"/>
      <c r="B325" s="6"/>
      <c r="C325" s="6" t="str">
        <f>VLOOKUP(B325,Sheet3!$B$2:$E$312,2,FALSE)</f>
        <v>#N/A</v>
      </c>
      <c r="D325" s="6" t="str">
        <f>VLOOKUP(B325,Sheet3!$B$2:$E$312,3,)</f>
        <v>#N/A</v>
      </c>
      <c r="E325" s="6" t="str">
        <f>VLOOKUP(B325,Sheet3!$B$2:$E$312,4,)</f>
        <v>#N/A</v>
      </c>
      <c r="F325" s="6"/>
      <c r="G325" s="6"/>
      <c r="H325" s="6"/>
    </row>
    <row r="326" ht="15.75" customHeight="1">
      <c r="A326" s="6"/>
      <c r="B326" s="6"/>
      <c r="C326" s="6" t="str">
        <f>VLOOKUP(B326,Sheet3!$B$2:$E$312,2,FALSE)</f>
        <v>#N/A</v>
      </c>
      <c r="D326" s="6" t="str">
        <f>VLOOKUP(B326,Sheet3!$B$2:$E$312,3,)</f>
        <v>#N/A</v>
      </c>
      <c r="E326" s="6" t="str">
        <f>VLOOKUP(B326,Sheet3!$B$2:$E$312,4,)</f>
        <v>#N/A</v>
      </c>
      <c r="F326" s="6"/>
      <c r="G326" s="6"/>
      <c r="H326" s="6"/>
    </row>
    <row r="327" ht="15.75" customHeight="1">
      <c r="A327" s="6"/>
      <c r="B327" s="6"/>
      <c r="C327" s="6" t="str">
        <f>VLOOKUP(B327,Sheet3!$B$2:$E$312,2,FALSE)</f>
        <v>#N/A</v>
      </c>
      <c r="D327" s="6" t="str">
        <f>VLOOKUP(B327,Sheet3!$B$2:$E$312,3,)</f>
        <v>#N/A</v>
      </c>
      <c r="E327" s="6" t="str">
        <f>VLOOKUP(B327,Sheet3!$B$2:$E$312,4,)</f>
        <v>#N/A</v>
      </c>
      <c r="F327" s="6"/>
      <c r="G327" s="6"/>
      <c r="H327" s="6"/>
    </row>
    <row r="328" ht="15.75" customHeight="1">
      <c r="A328" s="6"/>
      <c r="B328" s="6"/>
      <c r="C328" s="6" t="str">
        <f>VLOOKUP(B328,Sheet3!$B$2:$E$312,2,FALSE)</f>
        <v>#N/A</v>
      </c>
      <c r="D328" s="6" t="str">
        <f>VLOOKUP(B328,Sheet3!$B$2:$E$312,3,)</f>
        <v>#N/A</v>
      </c>
      <c r="E328" s="6" t="str">
        <f>VLOOKUP(B328,Sheet3!$B$2:$E$312,4,)</f>
        <v>#N/A</v>
      </c>
      <c r="F328" s="6"/>
      <c r="G328" s="6"/>
      <c r="H328" s="6"/>
    </row>
    <row r="329" ht="15.75" customHeight="1">
      <c r="A329" s="6"/>
      <c r="B329" s="6"/>
      <c r="C329" s="6" t="str">
        <f>VLOOKUP(B329,Sheet3!$B$2:$E$312,2,FALSE)</f>
        <v>#N/A</v>
      </c>
      <c r="D329" s="6" t="str">
        <f>VLOOKUP(B329,Sheet3!$B$2:$E$312,3,)</f>
        <v>#N/A</v>
      </c>
      <c r="E329" s="6" t="str">
        <f>VLOOKUP(B329,Sheet3!$B$2:$E$312,4,)</f>
        <v>#N/A</v>
      </c>
      <c r="F329" s="6"/>
      <c r="G329" s="6"/>
      <c r="H329" s="6"/>
    </row>
    <row r="330" ht="15.75" customHeight="1">
      <c r="A330" s="6"/>
      <c r="B330" s="6"/>
      <c r="C330" s="6" t="str">
        <f>VLOOKUP(B330,Sheet3!$B$2:$E$312,2,FALSE)</f>
        <v>#N/A</v>
      </c>
      <c r="D330" s="6" t="str">
        <f>VLOOKUP(B330,Sheet3!$B$2:$E$312,3,)</f>
        <v>#N/A</v>
      </c>
      <c r="E330" s="6" t="str">
        <f>VLOOKUP(B330,Sheet3!$B$2:$E$312,4,)</f>
        <v>#N/A</v>
      </c>
      <c r="F330" s="6"/>
      <c r="G330" s="6"/>
      <c r="H330" s="6"/>
    </row>
    <row r="331" ht="15.75" customHeight="1">
      <c r="A331" s="6"/>
      <c r="B331" s="6"/>
      <c r="C331" s="6" t="str">
        <f>VLOOKUP(B331,Sheet3!$B$2:$E$312,2,FALSE)</f>
        <v>#N/A</v>
      </c>
      <c r="D331" s="6" t="str">
        <f>VLOOKUP(B331,Sheet3!$B$2:$E$312,3,)</f>
        <v>#N/A</v>
      </c>
      <c r="E331" s="6" t="str">
        <f>VLOOKUP(B331,Sheet3!$B$2:$E$312,4,)</f>
        <v>#N/A</v>
      </c>
      <c r="F331" s="6"/>
      <c r="G331" s="6"/>
      <c r="H331" s="6"/>
    </row>
    <row r="332" ht="15.75" customHeight="1">
      <c r="A332" s="6"/>
      <c r="B332" s="6"/>
      <c r="C332" s="6" t="str">
        <f>VLOOKUP(B332,Sheet3!$B$2:$E$312,2,FALSE)</f>
        <v>#N/A</v>
      </c>
      <c r="D332" s="6" t="str">
        <f>VLOOKUP(B332,Sheet3!$B$2:$E$312,3,)</f>
        <v>#N/A</v>
      </c>
      <c r="E332" s="6" t="str">
        <f>VLOOKUP(B332,Sheet3!$B$2:$E$312,4,)</f>
        <v>#N/A</v>
      </c>
      <c r="F332" s="6"/>
      <c r="G332" s="6"/>
      <c r="H332" s="6"/>
    </row>
    <row r="333" ht="15.75" customHeight="1">
      <c r="A333" s="6"/>
      <c r="B333" s="6"/>
      <c r="C333" s="6" t="str">
        <f>VLOOKUP(B333,Sheet3!$B$2:$E$312,2,FALSE)</f>
        <v>#N/A</v>
      </c>
      <c r="D333" s="6" t="str">
        <f>VLOOKUP(B333,Sheet3!$B$2:$E$312,3,)</f>
        <v>#N/A</v>
      </c>
      <c r="E333" s="6" t="str">
        <f>VLOOKUP(B333,Sheet3!$B$2:$E$312,4,)</f>
        <v>#N/A</v>
      </c>
      <c r="F333" s="6"/>
      <c r="G333" s="6"/>
      <c r="H333" s="6"/>
    </row>
    <row r="334" ht="15.75" customHeight="1">
      <c r="A334" s="6"/>
      <c r="B334" s="6"/>
      <c r="C334" s="6" t="str">
        <f>VLOOKUP(B334,Sheet3!$B$2:$E$312,2,FALSE)</f>
        <v>#N/A</v>
      </c>
      <c r="D334" s="6" t="str">
        <f>VLOOKUP(B334,Sheet3!$B$2:$E$312,3,)</f>
        <v>#N/A</v>
      </c>
      <c r="E334" s="6" t="str">
        <f>VLOOKUP(B334,Sheet3!$B$2:$E$312,4,)</f>
        <v>#N/A</v>
      </c>
      <c r="F334" s="6"/>
      <c r="G334" s="6"/>
      <c r="H334" s="6"/>
    </row>
    <row r="335" ht="15.75" customHeight="1">
      <c r="A335" s="6"/>
      <c r="B335" s="6"/>
      <c r="C335" s="6" t="str">
        <f>VLOOKUP(B335,Sheet3!$B$2:$E$312,2,FALSE)</f>
        <v>#N/A</v>
      </c>
      <c r="D335" s="6" t="str">
        <f>VLOOKUP(B335,Sheet3!$B$2:$E$312,3,)</f>
        <v>#N/A</v>
      </c>
      <c r="E335" s="6" t="str">
        <f>VLOOKUP(B335,Sheet3!$B$2:$E$312,4,)</f>
        <v>#N/A</v>
      </c>
      <c r="F335" s="6"/>
      <c r="G335" s="6"/>
      <c r="H335" s="6"/>
    </row>
    <row r="336" ht="15.75" customHeight="1">
      <c r="A336" s="6"/>
      <c r="B336" s="6"/>
      <c r="C336" s="6" t="str">
        <f>VLOOKUP(B336,Sheet3!$B$2:$E$312,2,FALSE)</f>
        <v>#N/A</v>
      </c>
      <c r="D336" s="6" t="str">
        <f>VLOOKUP(B336,Sheet3!$B$2:$E$312,3,)</f>
        <v>#N/A</v>
      </c>
      <c r="E336" s="6" t="str">
        <f>VLOOKUP(B336,Sheet3!$B$2:$E$312,4,)</f>
        <v>#N/A</v>
      </c>
      <c r="F336" s="6"/>
      <c r="G336" s="6"/>
      <c r="H336" s="6"/>
    </row>
    <row r="337" ht="15.75" customHeight="1">
      <c r="A337" s="6"/>
      <c r="B337" s="6"/>
      <c r="C337" s="6" t="str">
        <f>VLOOKUP(B337,Sheet3!$B$2:$E$312,2,FALSE)</f>
        <v>#N/A</v>
      </c>
      <c r="D337" s="6" t="str">
        <f>VLOOKUP(B337,Sheet3!$B$2:$E$312,3,)</f>
        <v>#N/A</v>
      </c>
      <c r="E337" s="6" t="str">
        <f>VLOOKUP(B337,Sheet3!$B$2:$E$312,4,)</f>
        <v>#N/A</v>
      </c>
      <c r="F337" s="6"/>
      <c r="G337" s="6"/>
      <c r="H337" s="6"/>
    </row>
    <row r="338" ht="15.75" customHeight="1">
      <c r="A338" s="6"/>
      <c r="B338" s="6"/>
      <c r="C338" s="6" t="str">
        <f>VLOOKUP(B338,Sheet3!$B$2:$E$312,2,FALSE)</f>
        <v>#N/A</v>
      </c>
      <c r="D338" s="6" t="str">
        <f>VLOOKUP(B338,Sheet3!$B$2:$E$312,3,)</f>
        <v>#N/A</v>
      </c>
      <c r="E338" s="6" t="str">
        <f>VLOOKUP(B338,Sheet3!$B$2:$E$312,4,)</f>
        <v>#N/A</v>
      </c>
      <c r="F338" s="6"/>
      <c r="G338" s="6"/>
      <c r="H338" s="6"/>
    </row>
    <row r="339" ht="15.75" customHeight="1">
      <c r="A339" s="6"/>
      <c r="B339" s="6"/>
      <c r="C339" s="6" t="str">
        <f>VLOOKUP(B339,Sheet3!$B$2:$E$312,2,FALSE)</f>
        <v>#N/A</v>
      </c>
      <c r="D339" s="6" t="str">
        <f>VLOOKUP(B339,Sheet3!$B$2:$E$312,3,)</f>
        <v>#N/A</v>
      </c>
      <c r="E339" s="6" t="str">
        <f>VLOOKUP(B339,Sheet3!$B$2:$E$312,4,)</f>
        <v>#N/A</v>
      </c>
      <c r="F339" s="6"/>
      <c r="G339" s="6"/>
      <c r="H339" s="6"/>
    </row>
    <row r="340" ht="15.75" customHeight="1">
      <c r="A340" s="6"/>
      <c r="B340" s="6"/>
      <c r="C340" s="6" t="str">
        <f>VLOOKUP(B340,Sheet3!$B$2:$E$312,2,FALSE)</f>
        <v>#N/A</v>
      </c>
      <c r="D340" s="6" t="str">
        <f>VLOOKUP(B340,Sheet3!$B$2:$E$312,3,)</f>
        <v>#N/A</v>
      </c>
      <c r="E340" s="6" t="str">
        <f>VLOOKUP(B340,Sheet3!$B$2:$E$312,4,)</f>
        <v>#N/A</v>
      </c>
      <c r="F340" s="6"/>
      <c r="G340" s="6"/>
      <c r="H340" s="6"/>
    </row>
    <row r="341" ht="15.75" customHeight="1">
      <c r="A341" s="6"/>
      <c r="B341" s="6"/>
      <c r="C341" s="6" t="str">
        <f>VLOOKUP(B341,Sheet3!$B$2:$E$312,2,FALSE)</f>
        <v>#N/A</v>
      </c>
      <c r="D341" s="6" t="str">
        <f>VLOOKUP(B341,Sheet3!$B$2:$E$312,3,)</f>
        <v>#N/A</v>
      </c>
      <c r="E341" s="6" t="str">
        <f>VLOOKUP(B341,Sheet3!$B$2:$E$312,4,)</f>
        <v>#N/A</v>
      </c>
      <c r="F341" s="6"/>
      <c r="G341" s="6"/>
      <c r="H341" s="6"/>
    </row>
    <row r="342" ht="15.75" customHeight="1">
      <c r="A342" s="6"/>
      <c r="B342" s="6"/>
      <c r="C342" s="6" t="str">
        <f>VLOOKUP(B342,Sheet3!$B$2:$E$312,2,FALSE)</f>
        <v>#N/A</v>
      </c>
      <c r="D342" s="6" t="str">
        <f>VLOOKUP(B342,Sheet3!$B$2:$E$312,3,)</f>
        <v>#N/A</v>
      </c>
      <c r="E342" s="6" t="str">
        <f>VLOOKUP(B342,Sheet3!$B$2:$E$312,4,)</f>
        <v>#N/A</v>
      </c>
      <c r="F342" s="6"/>
      <c r="G342" s="6"/>
      <c r="H342" s="6"/>
    </row>
    <row r="343" ht="15.75" customHeight="1">
      <c r="A343" s="6"/>
      <c r="B343" s="6"/>
      <c r="C343" s="6" t="str">
        <f>VLOOKUP(B343,Sheet3!$B$2:$E$312,2,FALSE)</f>
        <v>#N/A</v>
      </c>
      <c r="D343" s="6" t="str">
        <f>VLOOKUP(B343,Sheet3!$B$2:$E$312,3,)</f>
        <v>#N/A</v>
      </c>
      <c r="E343" s="6" t="str">
        <f>VLOOKUP(B343,Sheet3!$B$2:$E$312,4,)</f>
        <v>#N/A</v>
      </c>
      <c r="F343" s="6"/>
      <c r="G343" s="6"/>
      <c r="H343" s="6"/>
    </row>
    <row r="344" ht="15.75" customHeight="1">
      <c r="A344" s="6"/>
      <c r="B344" s="6"/>
      <c r="C344" s="6" t="str">
        <f>VLOOKUP(B344,Sheet3!$B$2:$E$312,2,FALSE)</f>
        <v>#N/A</v>
      </c>
      <c r="D344" s="6" t="str">
        <f>VLOOKUP(B344,Sheet3!$B$2:$E$312,3,)</f>
        <v>#N/A</v>
      </c>
      <c r="E344" s="6" t="str">
        <f>VLOOKUP(B344,Sheet3!$B$2:$E$312,4,)</f>
        <v>#N/A</v>
      </c>
      <c r="F344" s="6"/>
      <c r="G344" s="6"/>
      <c r="H344" s="6"/>
    </row>
    <row r="345" ht="15.75" customHeight="1">
      <c r="A345" s="6"/>
      <c r="B345" s="6"/>
      <c r="C345" s="6" t="str">
        <f>VLOOKUP(B345,Sheet3!$B$2:$E$312,2,FALSE)</f>
        <v>#N/A</v>
      </c>
      <c r="D345" s="6" t="str">
        <f>VLOOKUP(B345,Sheet3!$B$2:$E$312,3,)</f>
        <v>#N/A</v>
      </c>
      <c r="E345" s="6" t="str">
        <f>VLOOKUP(B345,Sheet3!$B$2:$E$312,4,)</f>
        <v>#N/A</v>
      </c>
      <c r="F345" s="6"/>
      <c r="G345" s="6"/>
      <c r="H345" s="6"/>
    </row>
    <row r="346" ht="15.75" customHeight="1">
      <c r="A346" s="6"/>
      <c r="B346" s="6"/>
      <c r="C346" s="6" t="str">
        <f>VLOOKUP(B346,Sheet3!$B$2:$E$312,2,FALSE)</f>
        <v>#N/A</v>
      </c>
      <c r="D346" s="6" t="str">
        <f>VLOOKUP(B346,Sheet3!$B$2:$E$312,3,)</f>
        <v>#N/A</v>
      </c>
      <c r="E346" s="6" t="str">
        <f>VLOOKUP(B346,Sheet3!$B$2:$E$312,4,)</f>
        <v>#N/A</v>
      </c>
      <c r="F346" s="6"/>
      <c r="G346" s="6"/>
      <c r="H346" s="6"/>
    </row>
    <row r="347" ht="15.75" customHeight="1">
      <c r="A347" s="6"/>
      <c r="B347" s="6"/>
      <c r="C347" s="6" t="str">
        <f>VLOOKUP(B347,Sheet3!$B$2:$E$312,2,FALSE)</f>
        <v>#N/A</v>
      </c>
      <c r="D347" s="6" t="str">
        <f>VLOOKUP(B347,Sheet3!$B$2:$E$312,3,)</f>
        <v>#N/A</v>
      </c>
      <c r="E347" s="6" t="str">
        <f>VLOOKUP(B347,Sheet3!$B$2:$E$312,4,)</f>
        <v>#N/A</v>
      </c>
      <c r="F347" s="6"/>
      <c r="G347" s="6"/>
      <c r="H347" s="6"/>
    </row>
    <row r="348" ht="15.75" customHeight="1">
      <c r="A348" s="6"/>
      <c r="B348" s="6"/>
      <c r="C348" s="6" t="str">
        <f>VLOOKUP(B348,Sheet3!$B$2:$E$312,2,FALSE)</f>
        <v>#N/A</v>
      </c>
      <c r="D348" s="6" t="str">
        <f>VLOOKUP(B348,Sheet3!$B$2:$E$312,3,)</f>
        <v>#N/A</v>
      </c>
      <c r="E348" s="6" t="str">
        <f>VLOOKUP(B348,Sheet3!$B$2:$E$312,4,)</f>
        <v>#N/A</v>
      </c>
      <c r="F348" s="6"/>
      <c r="G348" s="6"/>
      <c r="H348" s="6"/>
    </row>
    <row r="349" ht="15.75" customHeight="1">
      <c r="A349" s="6"/>
      <c r="B349" s="6"/>
      <c r="C349" s="6" t="str">
        <f>VLOOKUP(B349,Sheet3!$B$2:$E$312,2,FALSE)</f>
        <v>#N/A</v>
      </c>
      <c r="D349" s="6" t="str">
        <f>VLOOKUP(B349,Sheet3!$B$2:$E$312,3,)</f>
        <v>#N/A</v>
      </c>
      <c r="E349" s="6" t="str">
        <f>VLOOKUP(B349,Sheet3!$B$2:$E$312,4,)</f>
        <v>#N/A</v>
      </c>
      <c r="F349" s="6"/>
      <c r="G349" s="6"/>
      <c r="H349" s="6"/>
    </row>
    <row r="350" ht="15.75" customHeight="1">
      <c r="A350" s="6"/>
      <c r="B350" s="6"/>
      <c r="C350" s="6" t="str">
        <f>VLOOKUP(B350,Sheet3!$B$2:$E$312,2,FALSE)</f>
        <v>#N/A</v>
      </c>
      <c r="D350" s="6" t="str">
        <f>VLOOKUP(B350,Sheet3!$B$2:$E$312,3,)</f>
        <v>#N/A</v>
      </c>
      <c r="E350" s="6" t="str">
        <f>VLOOKUP(B350,Sheet3!$B$2:$E$312,4,)</f>
        <v>#N/A</v>
      </c>
      <c r="F350" s="6"/>
      <c r="G350" s="6"/>
      <c r="H350" s="6"/>
    </row>
    <row r="351" ht="15.75" customHeight="1">
      <c r="A351" s="6"/>
      <c r="B351" s="6"/>
      <c r="C351" s="6" t="str">
        <f>VLOOKUP(B351,Sheet3!$B$2:$E$312,2,FALSE)</f>
        <v>#N/A</v>
      </c>
      <c r="D351" s="6" t="str">
        <f>VLOOKUP(B351,Sheet3!$B$2:$E$312,3,)</f>
        <v>#N/A</v>
      </c>
      <c r="E351" s="6" t="str">
        <f>VLOOKUP(B351,Sheet3!$B$2:$E$312,4,)</f>
        <v>#N/A</v>
      </c>
      <c r="F351" s="6"/>
      <c r="G351" s="6"/>
      <c r="H351" s="6"/>
    </row>
    <row r="352" ht="15.75" customHeight="1">
      <c r="A352" s="6"/>
      <c r="B352" s="6"/>
      <c r="C352" s="6" t="str">
        <f>VLOOKUP(B352,Sheet3!$B$2:$E$312,2,FALSE)</f>
        <v>#N/A</v>
      </c>
      <c r="D352" s="6" t="str">
        <f>VLOOKUP(B352,Sheet3!$B$2:$E$312,3,)</f>
        <v>#N/A</v>
      </c>
      <c r="E352" s="6" t="str">
        <f>VLOOKUP(B352,Sheet3!$B$2:$E$312,4,)</f>
        <v>#N/A</v>
      </c>
      <c r="F352" s="6"/>
      <c r="G352" s="6"/>
      <c r="H352" s="6"/>
    </row>
    <row r="353" ht="15.75" customHeight="1">
      <c r="A353" s="6"/>
      <c r="B353" s="6"/>
      <c r="C353" s="6" t="str">
        <f>VLOOKUP(B353,Sheet3!$B$2:$E$312,2,FALSE)</f>
        <v>#N/A</v>
      </c>
      <c r="D353" s="6" t="str">
        <f>VLOOKUP(B353,Sheet3!$B$2:$E$312,3,)</f>
        <v>#N/A</v>
      </c>
      <c r="E353" s="6" t="str">
        <f>VLOOKUP(B353,Sheet3!$B$2:$E$312,4,)</f>
        <v>#N/A</v>
      </c>
      <c r="F353" s="6"/>
      <c r="G353" s="6"/>
      <c r="H353" s="6"/>
    </row>
    <row r="354" ht="15.75" customHeight="1">
      <c r="A354" s="6"/>
      <c r="B354" s="6"/>
      <c r="C354" s="6" t="str">
        <f>VLOOKUP(B354,Sheet3!$B$2:$E$312,2,FALSE)</f>
        <v>#N/A</v>
      </c>
      <c r="D354" s="6" t="str">
        <f>VLOOKUP(B354,Sheet3!$B$2:$E$312,3,)</f>
        <v>#N/A</v>
      </c>
      <c r="E354" s="6" t="str">
        <f>VLOOKUP(B354,Sheet3!$B$2:$E$312,4,)</f>
        <v>#N/A</v>
      </c>
      <c r="F354" s="6"/>
      <c r="G354" s="6"/>
      <c r="H354" s="6"/>
    </row>
    <row r="355" ht="15.75" customHeight="1">
      <c r="A355" s="6"/>
      <c r="B355" s="6"/>
      <c r="C355" s="6" t="str">
        <f>VLOOKUP(B355,Sheet3!$B$2:$E$312,2,FALSE)</f>
        <v>#N/A</v>
      </c>
      <c r="D355" s="6" t="str">
        <f>VLOOKUP(B355,Sheet3!$B$2:$E$312,3,)</f>
        <v>#N/A</v>
      </c>
      <c r="E355" s="6" t="str">
        <f>VLOOKUP(B355,Sheet3!$B$2:$E$312,4,)</f>
        <v>#N/A</v>
      </c>
      <c r="F355" s="6"/>
      <c r="G355" s="6"/>
      <c r="H355" s="6"/>
    </row>
    <row r="356" ht="15.75" customHeight="1">
      <c r="A356" s="6"/>
      <c r="B356" s="6"/>
      <c r="C356" s="6" t="str">
        <f>VLOOKUP(B356,Sheet3!$B$2:$E$312,2,FALSE)</f>
        <v>#N/A</v>
      </c>
      <c r="D356" s="6" t="str">
        <f>VLOOKUP(B356,Sheet3!$B$2:$E$312,3,)</f>
        <v>#N/A</v>
      </c>
      <c r="E356" s="6" t="str">
        <f>VLOOKUP(B356,Sheet3!$B$2:$E$312,4,)</f>
        <v>#N/A</v>
      </c>
      <c r="F356" s="6"/>
      <c r="G356" s="6"/>
      <c r="H356" s="6"/>
    </row>
    <row r="357" ht="15.75" customHeight="1">
      <c r="A357" s="6"/>
      <c r="B357" s="6"/>
      <c r="C357" s="6" t="str">
        <f>VLOOKUP(B357,Sheet3!$B$2:$E$312,2,FALSE)</f>
        <v>#N/A</v>
      </c>
      <c r="D357" s="6" t="str">
        <f>VLOOKUP(B357,Sheet3!$B$2:$E$312,3,)</f>
        <v>#N/A</v>
      </c>
      <c r="E357" s="6" t="str">
        <f>VLOOKUP(B357,Sheet3!$B$2:$E$312,4,)</f>
        <v>#N/A</v>
      </c>
      <c r="F357" s="6"/>
      <c r="G357" s="6"/>
      <c r="H357" s="6"/>
    </row>
    <row r="358" ht="15.75" customHeight="1">
      <c r="A358" s="6"/>
      <c r="B358" s="6"/>
      <c r="C358" s="6" t="str">
        <f>VLOOKUP(B358,Sheet3!$B$2:$E$312,2,FALSE)</f>
        <v>#N/A</v>
      </c>
      <c r="D358" s="6" t="str">
        <f>VLOOKUP(B358,Sheet3!$B$2:$E$312,3,)</f>
        <v>#N/A</v>
      </c>
      <c r="E358" s="6" t="str">
        <f>VLOOKUP(B358,Sheet3!$B$2:$E$312,4,)</f>
        <v>#N/A</v>
      </c>
      <c r="F358" s="6"/>
      <c r="G358" s="6"/>
      <c r="H358" s="6"/>
    </row>
    <row r="359" ht="15.75" customHeight="1">
      <c r="A359" s="6"/>
      <c r="B359" s="6"/>
      <c r="C359" s="6" t="str">
        <f>VLOOKUP(B359,Sheet3!$B$2:$E$312,2,FALSE)</f>
        <v>#N/A</v>
      </c>
      <c r="D359" s="6" t="str">
        <f>VLOOKUP(B359,Sheet3!$B$2:$E$312,3,)</f>
        <v>#N/A</v>
      </c>
      <c r="E359" s="6" t="str">
        <f>VLOOKUP(B359,Sheet3!$B$2:$E$312,4,)</f>
        <v>#N/A</v>
      </c>
      <c r="F359" s="6"/>
      <c r="G359" s="6"/>
      <c r="H359" s="6"/>
    </row>
    <row r="360" ht="15.75" customHeight="1">
      <c r="A360" s="6"/>
      <c r="B360" s="6"/>
      <c r="C360" s="6" t="str">
        <f>VLOOKUP(B360,Sheet3!$B$2:$E$312,2,FALSE)</f>
        <v>#N/A</v>
      </c>
      <c r="D360" s="6" t="str">
        <f>VLOOKUP(B360,Sheet3!$B$2:$E$312,3,)</f>
        <v>#N/A</v>
      </c>
      <c r="E360" s="6" t="str">
        <f>VLOOKUP(B360,Sheet3!$B$2:$E$312,4,)</f>
        <v>#N/A</v>
      </c>
      <c r="F360" s="6"/>
      <c r="G360" s="6"/>
      <c r="H360" s="6"/>
    </row>
    <row r="361" ht="15.75" customHeight="1">
      <c r="A361" s="6"/>
      <c r="B361" s="6"/>
      <c r="C361" s="6" t="str">
        <f>VLOOKUP(B361,Sheet3!$B$2:$E$312,2,FALSE)</f>
        <v>#N/A</v>
      </c>
      <c r="D361" s="6" t="str">
        <f>VLOOKUP(B361,Sheet3!$B$2:$E$312,3,)</f>
        <v>#N/A</v>
      </c>
      <c r="E361" s="6" t="str">
        <f>VLOOKUP(B361,Sheet3!$B$2:$E$312,4,)</f>
        <v>#N/A</v>
      </c>
      <c r="F361" s="6"/>
      <c r="G361" s="6"/>
      <c r="H361" s="6"/>
    </row>
    <row r="362" ht="15.75" customHeight="1">
      <c r="A362" s="6"/>
      <c r="B362" s="6"/>
      <c r="C362" s="6" t="str">
        <f>VLOOKUP(B362,Sheet3!$B$2:$E$312,2,FALSE)</f>
        <v>#N/A</v>
      </c>
      <c r="D362" s="6" t="str">
        <f>VLOOKUP(B362,Sheet3!$B$2:$E$312,3,)</f>
        <v>#N/A</v>
      </c>
      <c r="E362" s="6" t="str">
        <f>VLOOKUP(B362,Sheet3!$B$2:$E$312,4,)</f>
        <v>#N/A</v>
      </c>
      <c r="F362" s="6"/>
      <c r="G362" s="6"/>
      <c r="H362" s="6"/>
    </row>
    <row r="363" ht="15.75" customHeight="1">
      <c r="A363" s="6"/>
      <c r="B363" s="6"/>
      <c r="C363" s="6" t="str">
        <f>VLOOKUP(B363,Sheet3!$B$2:$E$312,2,FALSE)</f>
        <v>#N/A</v>
      </c>
      <c r="D363" s="6" t="str">
        <f>VLOOKUP(B363,Sheet3!$B$2:$E$312,3,)</f>
        <v>#N/A</v>
      </c>
      <c r="E363" s="6" t="str">
        <f>VLOOKUP(B363,Sheet3!$B$2:$E$312,4,)</f>
        <v>#N/A</v>
      </c>
      <c r="F363" s="6"/>
      <c r="G363" s="6"/>
      <c r="H363" s="6"/>
    </row>
    <row r="364" ht="15.75" customHeight="1">
      <c r="A364" s="6"/>
      <c r="B364" s="6"/>
      <c r="C364" s="6" t="str">
        <f>VLOOKUP(B364,Sheet3!$B$2:$E$312,2,FALSE)</f>
        <v>#N/A</v>
      </c>
      <c r="D364" s="6" t="str">
        <f>VLOOKUP(B364,Sheet3!$B$2:$E$312,3,)</f>
        <v>#N/A</v>
      </c>
      <c r="E364" s="6" t="str">
        <f>VLOOKUP(B364,Sheet3!$B$2:$E$312,4,)</f>
        <v>#N/A</v>
      </c>
      <c r="F364" s="6"/>
      <c r="G364" s="6"/>
      <c r="H364" s="6"/>
    </row>
    <row r="365" ht="15.75" customHeight="1">
      <c r="A365" s="6"/>
      <c r="B365" s="6"/>
      <c r="C365" s="6" t="str">
        <f>VLOOKUP(B365,Sheet3!$B$2:$E$312,2,FALSE)</f>
        <v>#N/A</v>
      </c>
      <c r="D365" s="6" t="str">
        <f>VLOOKUP(B365,Sheet3!$B$2:$E$312,3,)</f>
        <v>#N/A</v>
      </c>
      <c r="E365" s="6" t="str">
        <f>VLOOKUP(B365,Sheet3!$B$2:$E$312,4,)</f>
        <v>#N/A</v>
      </c>
      <c r="F365" s="6"/>
      <c r="G365" s="6"/>
      <c r="H365" s="6"/>
    </row>
    <row r="366" ht="15.75" customHeight="1">
      <c r="A366" s="6"/>
      <c r="B366" s="6"/>
      <c r="C366" s="6" t="str">
        <f>VLOOKUP(B366,Sheet3!$B$2:$E$312,2,FALSE)</f>
        <v>#N/A</v>
      </c>
      <c r="D366" s="6" t="str">
        <f>VLOOKUP(B366,Sheet3!$B$2:$E$312,3,)</f>
        <v>#N/A</v>
      </c>
      <c r="E366" s="6" t="str">
        <f>VLOOKUP(B366,Sheet3!$B$2:$E$312,4,)</f>
        <v>#N/A</v>
      </c>
      <c r="F366" s="6"/>
      <c r="G366" s="6"/>
      <c r="H366" s="6"/>
    </row>
    <row r="367" ht="15.75" customHeight="1">
      <c r="A367" s="6"/>
      <c r="B367" s="6"/>
      <c r="C367" s="6" t="str">
        <f>VLOOKUP(B367,Sheet3!$B$2:$E$312,2,FALSE)</f>
        <v>#N/A</v>
      </c>
      <c r="D367" s="6" t="str">
        <f>VLOOKUP(B367,Sheet3!$B$2:$E$312,3,)</f>
        <v>#N/A</v>
      </c>
      <c r="E367" s="6" t="str">
        <f>VLOOKUP(B367,Sheet3!$B$2:$E$312,4,)</f>
        <v>#N/A</v>
      </c>
      <c r="F367" s="6"/>
      <c r="G367" s="6"/>
      <c r="H367" s="6"/>
    </row>
    <row r="368" ht="15.75" customHeight="1">
      <c r="A368" s="6"/>
      <c r="B368" s="6"/>
      <c r="C368" s="6" t="str">
        <f>VLOOKUP(B368,Sheet3!$B$2:$E$312,2,FALSE)</f>
        <v>#N/A</v>
      </c>
      <c r="D368" s="6" t="str">
        <f>VLOOKUP(B368,Sheet3!$B$2:$E$312,3,)</f>
        <v>#N/A</v>
      </c>
      <c r="E368" s="6" t="str">
        <f>VLOOKUP(B368,Sheet3!$B$2:$E$312,4,)</f>
        <v>#N/A</v>
      </c>
      <c r="F368" s="6"/>
      <c r="G368" s="6"/>
      <c r="H368" s="6"/>
    </row>
    <row r="369" ht="15.75" customHeight="1">
      <c r="A369" s="6"/>
      <c r="B369" s="6"/>
      <c r="C369" s="6" t="str">
        <f>VLOOKUP(B369,Sheet3!$B$2:$E$312,2,FALSE)</f>
        <v>#N/A</v>
      </c>
      <c r="D369" s="6" t="str">
        <f>VLOOKUP(B369,Sheet3!$B$2:$E$312,3,)</f>
        <v>#N/A</v>
      </c>
      <c r="E369" s="6" t="str">
        <f>VLOOKUP(B369,Sheet3!$B$2:$E$312,4,)</f>
        <v>#N/A</v>
      </c>
      <c r="F369" s="6"/>
      <c r="G369" s="6"/>
      <c r="H369" s="6"/>
    </row>
    <row r="370" ht="15.75" customHeight="1">
      <c r="A370" s="6"/>
      <c r="B370" s="6"/>
      <c r="C370" s="6" t="str">
        <f>VLOOKUP(B370,Sheet3!$B$2:$E$312,2,FALSE)</f>
        <v>#N/A</v>
      </c>
      <c r="D370" s="6" t="str">
        <f>VLOOKUP(B370,Sheet3!$B$2:$E$312,3,)</f>
        <v>#N/A</v>
      </c>
      <c r="E370" s="6" t="str">
        <f>VLOOKUP(B370,Sheet3!$B$2:$E$312,4,)</f>
        <v>#N/A</v>
      </c>
      <c r="F370" s="6"/>
      <c r="G370" s="6"/>
      <c r="H370" s="6"/>
    </row>
    <row r="371" ht="15.75" customHeight="1">
      <c r="A371" s="6"/>
      <c r="B371" s="6"/>
      <c r="C371" s="6" t="str">
        <f>VLOOKUP(B371,Sheet3!$B$2:$E$312,2,FALSE)</f>
        <v>#N/A</v>
      </c>
      <c r="D371" s="6" t="str">
        <f>VLOOKUP(B371,Sheet3!$B$2:$E$312,3,)</f>
        <v>#N/A</v>
      </c>
      <c r="E371" s="6" t="str">
        <f>VLOOKUP(B371,Sheet3!$B$2:$E$312,4,)</f>
        <v>#N/A</v>
      </c>
      <c r="F371" s="6"/>
      <c r="G371" s="6"/>
      <c r="H371" s="6"/>
    </row>
    <row r="372" ht="15.75" customHeight="1">
      <c r="A372" s="6"/>
      <c r="B372" s="6"/>
      <c r="C372" s="6" t="str">
        <f>VLOOKUP(B372,Sheet3!$B$2:$E$312,2,FALSE)</f>
        <v>#N/A</v>
      </c>
      <c r="D372" s="6" t="str">
        <f>VLOOKUP(B372,Sheet3!$B$2:$E$312,3,)</f>
        <v>#N/A</v>
      </c>
      <c r="E372" s="6" t="str">
        <f>VLOOKUP(B372,Sheet3!$B$2:$E$312,4,)</f>
        <v>#N/A</v>
      </c>
      <c r="F372" s="6"/>
      <c r="G372" s="6"/>
      <c r="H372" s="6"/>
    </row>
    <row r="373" ht="15.75" customHeight="1">
      <c r="A373" s="6"/>
      <c r="B373" s="6"/>
      <c r="C373" s="6" t="str">
        <f>VLOOKUP(B373,Sheet3!$B$2:$E$312,2,FALSE)</f>
        <v>#N/A</v>
      </c>
      <c r="D373" s="6" t="str">
        <f>VLOOKUP(B373,Sheet3!$B$2:$E$312,3,)</f>
        <v>#N/A</v>
      </c>
      <c r="E373" s="6" t="str">
        <f>VLOOKUP(B373,Sheet3!$B$2:$E$312,4,)</f>
        <v>#N/A</v>
      </c>
      <c r="F373" s="6"/>
      <c r="G373" s="6"/>
      <c r="H373" s="6"/>
    </row>
    <row r="374" ht="15.75" customHeight="1">
      <c r="A374" s="6"/>
      <c r="B374" s="6"/>
      <c r="C374" s="6" t="str">
        <f>VLOOKUP(B374,Sheet3!$B$2:$E$312,2,FALSE)</f>
        <v>#N/A</v>
      </c>
      <c r="D374" s="6" t="str">
        <f>VLOOKUP(B374,Sheet3!$B$2:$E$312,3,)</f>
        <v>#N/A</v>
      </c>
      <c r="E374" s="6" t="str">
        <f>VLOOKUP(B374,Sheet3!$B$2:$E$312,4,)</f>
        <v>#N/A</v>
      </c>
      <c r="F374" s="6"/>
      <c r="G374" s="6"/>
      <c r="H374" s="6"/>
    </row>
    <row r="375" ht="15.75" customHeight="1">
      <c r="A375" s="6"/>
      <c r="B375" s="6"/>
      <c r="C375" s="6" t="str">
        <f>VLOOKUP(B375,Sheet3!$B$2:$E$312,2,FALSE)</f>
        <v>#N/A</v>
      </c>
      <c r="D375" s="6" t="str">
        <f>VLOOKUP(B375,Sheet3!$B$2:$E$312,3,)</f>
        <v>#N/A</v>
      </c>
      <c r="E375" s="6" t="str">
        <f>VLOOKUP(B375,Sheet3!$B$2:$E$312,4,)</f>
        <v>#N/A</v>
      </c>
      <c r="F375" s="6"/>
      <c r="G375" s="6"/>
      <c r="H375" s="6"/>
    </row>
    <row r="376" ht="15.75" customHeight="1">
      <c r="A376" s="6"/>
      <c r="B376" s="6"/>
      <c r="C376" s="6" t="str">
        <f>VLOOKUP(B376,Sheet3!$B$2:$E$312,2,FALSE)</f>
        <v>#N/A</v>
      </c>
      <c r="D376" s="6" t="str">
        <f>VLOOKUP(B376,Sheet3!$B$2:$E$312,3,)</f>
        <v>#N/A</v>
      </c>
      <c r="E376" s="6" t="str">
        <f>VLOOKUP(B376,Sheet3!$B$2:$E$312,4,)</f>
        <v>#N/A</v>
      </c>
      <c r="F376" s="6"/>
      <c r="G376" s="6"/>
      <c r="H376" s="6"/>
    </row>
    <row r="377" ht="15.75" customHeight="1">
      <c r="A377" s="6"/>
      <c r="B377" s="6"/>
      <c r="C377" s="6" t="str">
        <f>VLOOKUP(B377,Sheet3!$B$2:$E$312,2,FALSE)</f>
        <v>#N/A</v>
      </c>
      <c r="D377" s="6" t="str">
        <f>VLOOKUP(B377,Sheet3!$B$2:$E$312,3,)</f>
        <v>#N/A</v>
      </c>
      <c r="E377" s="6" t="str">
        <f>VLOOKUP(B377,Sheet3!$B$2:$E$312,4,)</f>
        <v>#N/A</v>
      </c>
      <c r="F377" s="6"/>
      <c r="G377" s="6"/>
      <c r="H377" s="6"/>
    </row>
    <row r="378" ht="15.75" customHeight="1">
      <c r="A378" s="6"/>
      <c r="B378" s="6"/>
      <c r="C378" s="6" t="str">
        <f>VLOOKUP(B378,Sheet3!$B$2:$E$312,2,FALSE)</f>
        <v>#N/A</v>
      </c>
      <c r="D378" s="6" t="str">
        <f>VLOOKUP(B378,Sheet3!$B$2:$E$312,3,)</f>
        <v>#N/A</v>
      </c>
      <c r="E378" s="6" t="str">
        <f>VLOOKUP(B378,Sheet3!$B$2:$E$312,4,)</f>
        <v>#N/A</v>
      </c>
      <c r="F378" s="6"/>
      <c r="G378" s="6"/>
      <c r="H378" s="6"/>
    </row>
    <row r="379" ht="15.75" customHeight="1">
      <c r="A379" s="6"/>
      <c r="B379" s="6"/>
      <c r="C379" s="6" t="str">
        <f>VLOOKUP(B379,Sheet3!$B$2:$E$312,2,FALSE)</f>
        <v>#N/A</v>
      </c>
      <c r="D379" s="6" t="str">
        <f>VLOOKUP(B379,Sheet3!$B$2:$E$312,3,)</f>
        <v>#N/A</v>
      </c>
      <c r="E379" s="6" t="str">
        <f>VLOOKUP(B379,Sheet3!$B$2:$E$312,4,)</f>
        <v>#N/A</v>
      </c>
      <c r="F379" s="6"/>
      <c r="G379" s="6"/>
      <c r="H379" s="6"/>
    </row>
    <row r="380" ht="15.75" customHeight="1">
      <c r="A380" s="6"/>
      <c r="B380" s="6"/>
      <c r="C380" s="6" t="str">
        <f>VLOOKUP(B380,Sheet3!$B$2:$E$312,2,FALSE)</f>
        <v>#N/A</v>
      </c>
      <c r="D380" s="6" t="str">
        <f>VLOOKUP(B380,Sheet3!$B$2:$E$312,3,)</f>
        <v>#N/A</v>
      </c>
      <c r="E380" s="6" t="str">
        <f>VLOOKUP(B380,Sheet3!$B$2:$E$312,4,)</f>
        <v>#N/A</v>
      </c>
      <c r="F380" s="6"/>
      <c r="G380" s="6"/>
      <c r="H380" s="6"/>
    </row>
    <row r="381" ht="15.75" customHeight="1">
      <c r="A381" s="6"/>
      <c r="B381" s="6"/>
      <c r="C381" s="6" t="str">
        <f>VLOOKUP(B381,Sheet3!$B$2:$E$312,2,FALSE)</f>
        <v>#N/A</v>
      </c>
      <c r="D381" s="6" t="str">
        <f>VLOOKUP(B381,Sheet3!$B$2:$E$312,3,)</f>
        <v>#N/A</v>
      </c>
      <c r="E381" s="6" t="str">
        <f>VLOOKUP(B381,Sheet3!$B$2:$E$312,4,)</f>
        <v>#N/A</v>
      </c>
      <c r="F381" s="6"/>
      <c r="G381" s="6"/>
      <c r="H381" s="6"/>
    </row>
    <row r="382" ht="15.75" customHeight="1">
      <c r="A382" s="6"/>
      <c r="B382" s="6"/>
      <c r="C382" s="6" t="str">
        <f>VLOOKUP(B382,Sheet3!$B$2:$E$312,2,FALSE)</f>
        <v>#N/A</v>
      </c>
      <c r="D382" s="6" t="str">
        <f>VLOOKUP(B382,Sheet3!$B$2:$E$312,3,)</f>
        <v>#N/A</v>
      </c>
      <c r="E382" s="6" t="str">
        <f>VLOOKUP(B382,Sheet3!$B$2:$E$312,4,)</f>
        <v>#N/A</v>
      </c>
      <c r="F382" s="6"/>
      <c r="G382" s="6"/>
      <c r="H382" s="6"/>
    </row>
    <row r="383" ht="15.75" customHeight="1">
      <c r="A383" s="6"/>
      <c r="B383" s="6"/>
      <c r="C383" s="6" t="str">
        <f>VLOOKUP(B383,Sheet3!$B$2:$E$312,2,FALSE)</f>
        <v>#N/A</v>
      </c>
      <c r="D383" s="6" t="str">
        <f>VLOOKUP(B383,Sheet3!$B$2:$E$312,3,)</f>
        <v>#N/A</v>
      </c>
      <c r="E383" s="6" t="str">
        <f>VLOOKUP(B383,Sheet3!$B$2:$E$312,4,)</f>
        <v>#N/A</v>
      </c>
      <c r="F383" s="6"/>
      <c r="G383" s="6"/>
      <c r="H383" s="6"/>
    </row>
    <row r="384" ht="15.75" customHeight="1">
      <c r="A384" s="6"/>
      <c r="B384" s="6"/>
      <c r="C384" s="6" t="str">
        <f>VLOOKUP(B384,Sheet3!$B$2:$E$312,2,FALSE)</f>
        <v>#N/A</v>
      </c>
      <c r="D384" s="6" t="str">
        <f>VLOOKUP(B384,Sheet3!$B$2:$E$312,3,)</f>
        <v>#N/A</v>
      </c>
      <c r="E384" s="6" t="str">
        <f>VLOOKUP(B384,Sheet3!$B$2:$E$312,4,)</f>
        <v>#N/A</v>
      </c>
      <c r="F384" s="6"/>
      <c r="G384" s="6"/>
      <c r="H384" s="6"/>
    </row>
    <row r="385" ht="15.75" customHeight="1">
      <c r="A385" s="6"/>
      <c r="B385" s="6"/>
      <c r="C385" s="6" t="str">
        <f>VLOOKUP(B385,Sheet3!$B$2:$E$312,2,FALSE)</f>
        <v>#N/A</v>
      </c>
      <c r="D385" s="6" t="str">
        <f>VLOOKUP(B385,Sheet3!$B$2:$E$312,3,)</f>
        <v>#N/A</v>
      </c>
      <c r="E385" s="6" t="str">
        <f>VLOOKUP(B385,Sheet3!$B$2:$E$312,4,)</f>
        <v>#N/A</v>
      </c>
      <c r="F385" s="6"/>
      <c r="G385" s="6"/>
      <c r="H385" s="6"/>
    </row>
    <row r="386" ht="15.75" customHeight="1">
      <c r="A386" s="6"/>
      <c r="B386" s="6"/>
      <c r="C386" s="6" t="str">
        <f>VLOOKUP(B386,Sheet3!$B$2:$E$312,2,FALSE)</f>
        <v>#N/A</v>
      </c>
      <c r="D386" s="6" t="str">
        <f>VLOOKUP(B386,Sheet3!$B$2:$E$312,3,)</f>
        <v>#N/A</v>
      </c>
      <c r="E386" s="6" t="str">
        <f>VLOOKUP(B386,Sheet3!$B$2:$E$312,4,)</f>
        <v>#N/A</v>
      </c>
      <c r="F386" s="6"/>
      <c r="G386" s="6"/>
      <c r="H386" s="6"/>
    </row>
    <row r="387" ht="15.75" customHeight="1">
      <c r="A387" s="6"/>
      <c r="B387" s="6"/>
      <c r="C387" s="6" t="str">
        <f>VLOOKUP(B387,Sheet3!$B$2:$E$312,2,FALSE)</f>
        <v>#N/A</v>
      </c>
      <c r="D387" s="6" t="str">
        <f>VLOOKUP(B387,Sheet3!$B$2:$E$312,3,)</f>
        <v>#N/A</v>
      </c>
      <c r="E387" s="6" t="str">
        <f>VLOOKUP(B387,Sheet3!$B$2:$E$312,4,)</f>
        <v>#N/A</v>
      </c>
      <c r="F387" s="6"/>
      <c r="G387" s="6"/>
      <c r="H387" s="6"/>
    </row>
    <row r="388" ht="15.75" customHeight="1">
      <c r="A388" s="6"/>
      <c r="B388" s="6"/>
      <c r="C388" s="6" t="str">
        <f>VLOOKUP(B388,Sheet3!$B$2:$E$312,2,FALSE)</f>
        <v>#N/A</v>
      </c>
      <c r="D388" s="6" t="str">
        <f>VLOOKUP(B388,Sheet3!$B$2:$E$312,3,)</f>
        <v>#N/A</v>
      </c>
      <c r="E388" s="6" t="str">
        <f>VLOOKUP(B388,Sheet3!$B$2:$E$312,4,)</f>
        <v>#N/A</v>
      </c>
      <c r="F388" s="6"/>
      <c r="G388" s="6"/>
      <c r="H388" s="6"/>
    </row>
    <row r="389" ht="15.75" customHeight="1">
      <c r="A389" s="6"/>
      <c r="B389" s="6"/>
      <c r="C389" s="6" t="str">
        <f>VLOOKUP(B389,Sheet3!$B$2:$E$312,2,FALSE)</f>
        <v>#N/A</v>
      </c>
      <c r="D389" s="6" t="str">
        <f>VLOOKUP(B389,Sheet3!$B$2:$E$312,3,)</f>
        <v>#N/A</v>
      </c>
      <c r="E389" s="6" t="str">
        <f>VLOOKUP(B389,Sheet3!$B$2:$E$312,4,)</f>
        <v>#N/A</v>
      </c>
      <c r="F389" s="6"/>
      <c r="G389" s="6"/>
      <c r="H389" s="6"/>
    </row>
    <row r="390" ht="15.75" customHeight="1">
      <c r="A390" s="6"/>
      <c r="B390" s="6"/>
      <c r="C390" s="6" t="str">
        <f>VLOOKUP(B390,Sheet3!$B$2:$E$312,2,FALSE)</f>
        <v>#N/A</v>
      </c>
      <c r="D390" s="6" t="str">
        <f>VLOOKUP(B390,Sheet3!$B$2:$E$312,3,)</f>
        <v>#N/A</v>
      </c>
      <c r="E390" s="6" t="str">
        <f>VLOOKUP(B390,Sheet3!$B$2:$E$312,4,)</f>
        <v>#N/A</v>
      </c>
      <c r="F390" s="6"/>
      <c r="G390" s="6"/>
      <c r="H390" s="6"/>
    </row>
    <row r="391" ht="15.75" customHeight="1">
      <c r="A391" s="6"/>
      <c r="B391" s="6"/>
      <c r="C391" s="6" t="str">
        <f>VLOOKUP(B391,Sheet3!$B$2:$E$312,2,FALSE)</f>
        <v>#N/A</v>
      </c>
      <c r="D391" s="6" t="str">
        <f>VLOOKUP(B391,Sheet3!$B$2:$E$312,3,)</f>
        <v>#N/A</v>
      </c>
      <c r="E391" s="6" t="str">
        <f>VLOOKUP(B391,Sheet3!$B$2:$E$312,4,)</f>
        <v>#N/A</v>
      </c>
      <c r="F391" s="6"/>
      <c r="G391" s="6"/>
      <c r="H391" s="6"/>
    </row>
    <row r="392" ht="15.75" customHeight="1">
      <c r="A392" s="6"/>
      <c r="B392" s="6"/>
      <c r="C392" s="6" t="str">
        <f>VLOOKUP(B392,Sheet3!$B$2:$E$312,2,FALSE)</f>
        <v>#N/A</v>
      </c>
      <c r="D392" s="6" t="str">
        <f>VLOOKUP(B392,Sheet3!$B$2:$E$312,3,)</f>
        <v>#N/A</v>
      </c>
      <c r="E392" s="6" t="str">
        <f>VLOOKUP(B392,Sheet3!$B$2:$E$312,4,)</f>
        <v>#N/A</v>
      </c>
      <c r="F392" s="6"/>
      <c r="G392" s="6"/>
      <c r="H392" s="6"/>
    </row>
    <row r="393" ht="15.75" customHeight="1">
      <c r="A393" s="6"/>
      <c r="B393" s="6"/>
      <c r="C393" s="6" t="str">
        <f>VLOOKUP(B393,Sheet3!$B$2:$E$312,2,FALSE)</f>
        <v>#N/A</v>
      </c>
      <c r="D393" s="6" t="str">
        <f>VLOOKUP(B393,Sheet3!$B$2:$E$312,3,)</f>
        <v>#N/A</v>
      </c>
      <c r="E393" s="6" t="str">
        <f>VLOOKUP(B393,Sheet3!$B$2:$E$312,4,)</f>
        <v>#N/A</v>
      </c>
      <c r="F393" s="6"/>
      <c r="G393" s="6"/>
      <c r="H393" s="6"/>
    </row>
    <row r="394" ht="15.75" customHeight="1">
      <c r="A394" s="6"/>
      <c r="B394" s="6"/>
      <c r="C394" s="6" t="str">
        <f>VLOOKUP(B394,Sheet3!$B$2:$E$312,2,FALSE)</f>
        <v>#N/A</v>
      </c>
      <c r="D394" s="6" t="str">
        <f>VLOOKUP(B394,Sheet3!$B$2:$E$312,3,)</f>
        <v>#N/A</v>
      </c>
      <c r="E394" s="6" t="str">
        <f>VLOOKUP(B394,Sheet3!$B$2:$E$312,4,)</f>
        <v>#N/A</v>
      </c>
      <c r="F394" s="6"/>
      <c r="G394" s="6"/>
      <c r="H394" s="6"/>
    </row>
    <row r="395" ht="15.75" customHeight="1">
      <c r="A395" s="6"/>
      <c r="B395" s="6"/>
      <c r="C395" s="6" t="str">
        <f>VLOOKUP(B395,Sheet3!$B$2:$E$312,2,FALSE)</f>
        <v>#N/A</v>
      </c>
      <c r="D395" s="6" t="str">
        <f>VLOOKUP(B395,Sheet3!$B$2:$E$312,3,)</f>
        <v>#N/A</v>
      </c>
      <c r="E395" s="6" t="str">
        <f>VLOOKUP(B395,Sheet3!$B$2:$E$312,4,)</f>
        <v>#N/A</v>
      </c>
      <c r="F395" s="6"/>
      <c r="G395" s="6"/>
      <c r="H395" s="6"/>
    </row>
    <row r="396" ht="15.75" customHeight="1">
      <c r="A396" s="6"/>
      <c r="B396" s="6"/>
      <c r="C396" s="6" t="str">
        <f>VLOOKUP(B396,Sheet3!$B$2:$E$312,2,FALSE)</f>
        <v>#N/A</v>
      </c>
      <c r="D396" s="6" t="str">
        <f>VLOOKUP(B396,Sheet3!$B$2:$E$312,3,)</f>
        <v>#N/A</v>
      </c>
      <c r="E396" s="6" t="str">
        <f>VLOOKUP(B396,Sheet3!$B$2:$E$312,4,)</f>
        <v>#N/A</v>
      </c>
      <c r="F396" s="6"/>
      <c r="G396" s="6"/>
      <c r="H396" s="6"/>
    </row>
    <row r="397" ht="15.75" customHeight="1">
      <c r="A397" s="6"/>
      <c r="B397" s="6"/>
      <c r="C397" s="6" t="str">
        <f>VLOOKUP(B397,Sheet3!$B$2:$E$312,2,FALSE)</f>
        <v>#N/A</v>
      </c>
      <c r="D397" s="6" t="str">
        <f>VLOOKUP(B397,Sheet3!$B$2:$E$312,3,)</f>
        <v>#N/A</v>
      </c>
      <c r="E397" s="6" t="str">
        <f>VLOOKUP(B397,Sheet3!$B$2:$E$312,4,)</f>
        <v>#N/A</v>
      </c>
      <c r="F397" s="6"/>
      <c r="G397" s="6"/>
      <c r="H397" s="6"/>
    </row>
    <row r="398" ht="15.75" customHeight="1">
      <c r="A398" s="6"/>
      <c r="B398" s="6"/>
      <c r="C398" s="6" t="str">
        <f>VLOOKUP(B398,Sheet3!$B$2:$E$312,2,FALSE)</f>
        <v>#N/A</v>
      </c>
      <c r="D398" s="6" t="str">
        <f>VLOOKUP(B398,Sheet3!$B$2:$E$312,3,)</f>
        <v>#N/A</v>
      </c>
      <c r="E398" s="6" t="str">
        <f>VLOOKUP(B398,Sheet3!$B$2:$E$312,4,)</f>
        <v>#N/A</v>
      </c>
      <c r="F398" s="6"/>
      <c r="G398" s="6"/>
      <c r="H398" s="6"/>
    </row>
    <row r="399" ht="15.75" customHeight="1">
      <c r="A399" s="6"/>
      <c r="B399" s="6"/>
      <c r="C399" s="6" t="str">
        <f>VLOOKUP(B399,Sheet3!$B$2:$E$312,2,FALSE)</f>
        <v>#N/A</v>
      </c>
      <c r="D399" s="6" t="str">
        <f>VLOOKUP(B399,Sheet3!$B$2:$E$312,3,)</f>
        <v>#N/A</v>
      </c>
      <c r="E399" s="6" t="str">
        <f>VLOOKUP(B399,Sheet3!$B$2:$E$312,4,)</f>
        <v>#N/A</v>
      </c>
      <c r="F399" s="6"/>
      <c r="G399" s="6"/>
      <c r="H399" s="6"/>
    </row>
    <row r="400" ht="15.75" customHeight="1">
      <c r="A400" s="6"/>
      <c r="B400" s="6"/>
      <c r="C400" s="6" t="str">
        <f>VLOOKUP(B400,Sheet3!$B$2:$E$312,2,FALSE)</f>
        <v>#N/A</v>
      </c>
      <c r="D400" s="6" t="str">
        <f>VLOOKUP(B400,Sheet3!$B$2:$E$312,3,)</f>
        <v>#N/A</v>
      </c>
      <c r="E400" s="6" t="str">
        <f>VLOOKUP(B400,Sheet3!$B$2:$E$312,4,)</f>
        <v>#N/A</v>
      </c>
      <c r="F400" s="6"/>
      <c r="G400" s="6"/>
      <c r="H400" s="6"/>
    </row>
    <row r="401" ht="15.75" customHeight="1">
      <c r="A401" s="6"/>
      <c r="B401" s="6"/>
      <c r="C401" s="6" t="str">
        <f>VLOOKUP(B401,Sheet3!$B$2:$E$312,2,FALSE)</f>
        <v>#N/A</v>
      </c>
      <c r="D401" s="6" t="str">
        <f>VLOOKUP(B401,Sheet3!$B$2:$E$312,3,)</f>
        <v>#N/A</v>
      </c>
      <c r="E401" s="6" t="str">
        <f>VLOOKUP(B401,Sheet3!$B$2:$E$312,4,)</f>
        <v>#N/A</v>
      </c>
      <c r="F401" s="6"/>
      <c r="G401" s="6"/>
      <c r="H401" s="6"/>
    </row>
    <row r="402" ht="15.75" customHeight="1">
      <c r="A402" s="6"/>
      <c r="B402" s="6"/>
      <c r="C402" s="6" t="str">
        <f>VLOOKUP(B402,Sheet3!$B$2:$E$312,2,FALSE)</f>
        <v>#N/A</v>
      </c>
      <c r="D402" s="6" t="str">
        <f>VLOOKUP(B402,Sheet3!$B$2:$E$312,3,)</f>
        <v>#N/A</v>
      </c>
      <c r="E402" s="6" t="str">
        <f>VLOOKUP(B402,Sheet3!$B$2:$E$312,4,)</f>
        <v>#N/A</v>
      </c>
      <c r="F402" s="6"/>
      <c r="G402" s="6"/>
      <c r="H402" s="6"/>
    </row>
    <row r="403" ht="15.75" customHeight="1">
      <c r="A403" s="6"/>
      <c r="B403" s="6"/>
      <c r="C403" s="6" t="str">
        <f>VLOOKUP(B403,Sheet3!$B$2:$E$312,2,FALSE)</f>
        <v>#N/A</v>
      </c>
      <c r="D403" s="6" t="str">
        <f>VLOOKUP(B403,Sheet3!$B$2:$E$312,3,)</f>
        <v>#N/A</v>
      </c>
      <c r="E403" s="6" t="str">
        <f>VLOOKUP(B403,Sheet3!$B$2:$E$312,4,)</f>
        <v>#N/A</v>
      </c>
      <c r="F403" s="6"/>
      <c r="G403" s="6"/>
      <c r="H403" s="6"/>
    </row>
    <row r="404" ht="15.75" customHeight="1">
      <c r="A404" s="6"/>
      <c r="B404" s="6"/>
      <c r="C404" s="6" t="str">
        <f>VLOOKUP(B404,Sheet3!$B$2:$E$312,2,FALSE)</f>
        <v>#N/A</v>
      </c>
      <c r="D404" s="6" t="str">
        <f>VLOOKUP(B404,Sheet3!$B$2:$E$312,3,)</f>
        <v>#N/A</v>
      </c>
      <c r="E404" s="6" t="str">
        <f>VLOOKUP(B404,Sheet3!$B$2:$E$312,4,)</f>
        <v>#N/A</v>
      </c>
      <c r="F404" s="6"/>
      <c r="G404" s="6"/>
      <c r="H404" s="6"/>
    </row>
    <row r="405" ht="15.75" customHeight="1">
      <c r="A405" s="6"/>
      <c r="B405" s="6"/>
      <c r="C405" s="6" t="str">
        <f>VLOOKUP(B405,Sheet3!$B$2:$E$312,2,FALSE)</f>
        <v>#N/A</v>
      </c>
      <c r="D405" s="6" t="str">
        <f>VLOOKUP(B405,Sheet3!$B$2:$E$312,3,)</f>
        <v>#N/A</v>
      </c>
      <c r="E405" s="6" t="str">
        <f>VLOOKUP(B405,Sheet3!$B$2:$E$312,4,)</f>
        <v>#N/A</v>
      </c>
      <c r="F405" s="6"/>
      <c r="G405" s="6"/>
      <c r="H405" s="6"/>
    </row>
    <row r="406" ht="15.75" customHeight="1">
      <c r="A406" s="6"/>
      <c r="B406" s="6"/>
      <c r="C406" s="6" t="str">
        <f>VLOOKUP(B406,Sheet3!$B$2:$E$312,2,FALSE)</f>
        <v>#N/A</v>
      </c>
      <c r="D406" s="6" t="str">
        <f>VLOOKUP(B406,Sheet3!$B$2:$E$312,3,)</f>
        <v>#N/A</v>
      </c>
      <c r="E406" s="6" t="str">
        <f>VLOOKUP(B406,Sheet3!$B$2:$E$312,4,)</f>
        <v>#N/A</v>
      </c>
      <c r="F406" s="6"/>
      <c r="G406" s="6"/>
      <c r="H406" s="6"/>
    </row>
    <row r="407" ht="15.75" customHeight="1">
      <c r="A407" s="6"/>
      <c r="B407" s="6"/>
      <c r="C407" s="6" t="str">
        <f>VLOOKUP(B407,Sheet3!$B$2:$E$312,2,FALSE)</f>
        <v>#N/A</v>
      </c>
      <c r="D407" s="6" t="str">
        <f>VLOOKUP(B407,Sheet3!$B$2:$E$312,3,)</f>
        <v>#N/A</v>
      </c>
      <c r="E407" s="6" t="str">
        <f>VLOOKUP(B407,Sheet3!$B$2:$E$312,4,)</f>
        <v>#N/A</v>
      </c>
      <c r="F407" s="6"/>
      <c r="G407" s="6"/>
      <c r="H407" s="6"/>
    </row>
    <row r="408" ht="15.75" customHeight="1">
      <c r="A408" s="6"/>
      <c r="B408" s="6"/>
      <c r="C408" s="6" t="str">
        <f>VLOOKUP(B408,Sheet3!$B$2:$E$312,2,FALSE)</f>
        <v>#N/A</v>
      </c>
      <c r="D408" s="6" t="str">
        <f>VLOOKUP(B408,Sheet3!$B$2:$E$312,3,)</f>
        <v>#N/A</v>
      </c>
      <c r="E408" s="6" t="str">
        <f>VLOOKUP(B408,Sheet3!$B$2:$E$312,4,)</f>
        <v>#N/A</v>
      </c>
      <c r="F408" s="6"/>
      <c r="G408" s="6"/>
      <c r="H408" s="6"/>
    </row>
    <row r="409" ht="15.75" customHeight="1">
      <c r="A409" s="6"/>
      <c r="B409" s="6"/>
      <c r="C409" s="6" t="str">
        <f>VLOOKUP(B409,Sheet3!$B$2:$E$312,2,FALSE)</f>
        <v>#N/A</v>
      </c>
      <c r="D409" s="6" t="str">
        <f>VLOOKUP(B409,Sheet3!$B$2:$E$312,3,)</f>
        <v>#N/A</v>
      </c>
      <c r="E409" s="6" t="str">
        <f>VLOOKUP(B409,Sheet3!$B$2:$E$312,4,)</f>
        <v>#N/A</v>
      </c>
      <c r="F409" s="6"/>
      <c r="G409" s="6"/>
      <c r="H409" s="6"/>
    </row>
    <row r="410" ht="15.75" customHeight="1">
      <c r="A410" s="6"/>
      <c r="B410" s="6"/>
      <c r="C410" s="6" t="str">
        <f>VLOOKUP(B410,Sheet3!$B$2:$E$312,2,FALSE)</f>
        <v>#N/A</v>
      </c>
      <c r="D410" s="6" t="str">
        <f>VLOOKUP(B410,Sheet3!$B$2:$E$312,3,)</f>
        <v>#N/A</v>
      </c>
      <c r="E410" s="6" t="str">
        <f>VLOOKUP(B410,Sheet3!$B$2:$E$312,4,)</f>
        <v>#N/A</v>
      </c>
      <c r="F410" s="6"/>
      <c r="G410" s="6"/>
      <c r="H410" s="6"/>
    </row>
    <row r="411" ht="15.75" customHeight="1">
      <c r="A411" s="6"/>
      <c r="B411" s="6"/>
      <c r="C411" s="6" t="str">
        <f>VLOOKUP(B411,Sheet3!$B$2:$E$312,2,FALSE)</f>
        <v>#N/A</v>
      </c>
      <c r="D411" s="6" t="str">
        <f>VLOOKUP(B411,Sheet3!$B$2:$E$312,3,)</f>
        <v>#N/A</v>
      </c>
      <c r="E411" s="6" t="str">
        <f>VLOOKUP(B411,Sheet3!$B$2:$E$312,4,)</f>
        <v>#N/A</v>
      </c>
      <c r="F411" s="6"/>
      <c r="G411" s="6"/>
      <c r="H411" s="6"/>
    </row>
    <row r="412" ht="15.75" customHeight="1">
      <c r="A412" s="6"/>
      <c r="B412" s="6"/>
      <c r="C412" s="6" t="str">
        <f>VLOOKUP(B412,Sheet3!$B$2:$E$312,2,FALSE)</f>
        <v>#N/A</v>
      </c>
      <c r="D412" s="6" t="str">
        <f>VLOOKUP(B412,Sheet3!$B$2:$E$312,3,)</f>
        <v>#N/A</v>
      </c>
      <c r="E412" s="6" t="str">
        <f>VLOOKUP(B412,Sheet3!$B$2:$E$312,4,)</f>
        <v>#N/A</v>
      </c>
      <c r="F412" s="6"/>
      <c r="G412" s="6"/>
      <c r="H412" s="6"/>
    </row>
    <row r="413" ht="15.75" customHeight="1">
      <c r="A413" s="6"/>
      <c r="B413" s="6"/>
      <c r="C413" s="6" t="str">
        <f>VLOOKUP(B413,Sheet3!$B$2:$E$312,2,FALSE)</f>
        <v>#N/A</v>
      </c>
      <c r="D413" s="6" t="str">
        <f>VLOOKUP(B413,Sheet3!$B$2:$E$312,3,)</f>
        <v>#N/A</v>
      </c>
      <c r="E413" s="6" t="str">
        <f>VLOOKUP(B413,Sheet3!$B$2:$E$312,4,)</f>
        <v>#N/A</v>
      </c>
      <c r="F413" s="6"/>
      <c r="G413" s="6"/>
      <c r="H413" s="6"/>
    </row>
    <row r="414" ht="15.75" customHeight="1">
      <c r="A414" s="6"/>
      <c r="B414" s="6"/>
      <c r="C414" s="6" t="str">
        <f>VLOOKUP(B414,Sheet3!$B$2:$E$312,2,FALSE)</f>
        <v>#N/A</v>
      </c>
      <c r="D414" s="6" t="str">
        <f>VLOOKUP(B414,Sheet3!$B$2:$E$312,3,)</f>
        <v>#N/A</v>
      </c>
      <c r="E414" s="6" t="str">
        <f>VLOOKUP(B414,Sheet3!$B$2:$E$312,4,)</f>
        <v>#N/A</v>
      </c>
      <c r="F414" s="6"/>
      <c r="G414" s="6"/>
      <c r="H414" s="6"/>
    </row>
    <row r="415" ht="15.75" customHeight="1">
      <c r="A415" s="6"/>
      <c r="B415" s="6"/>
      <c r="C415" s="6" t="str">
        <f>VLOOKUP(B415,Sheet3!$B$2:$E$312,2,FALSE)</f>
        <v>#N/A</v>
      </c>
      <c r="D415" s="6" t="str">
        <f>VLOOKUP(B415,Sheet3!$B$2:$E$312,3,)</f>
        <v>#N/A</v>
      </c>
      <c r="E415" s="6" t="str">
        <f>VLOOKUP(B415,Sheet3!$B$2:$E$312,4,)</f>
        <v>#N/A</v>
      </c>
      <c r="F415" s="6"/>
      <c r="G415" s="6"/>
      <c r="H415" s="6"/>
    </row>
    <row r="416" ht="15.75" customHeight="1">
      <c r="A416" s="6"/>
      <c r="B416" s="6"/>
      <c r="C416" s="6" t="str">
        <f>VLOOKUP(B416,Sheet3!$B$2:$E$312,2,FALSE)</f>
        <v>#N/A</v>
      </c>
      <c r="D416" s="6" t="str">
        <f>VLOOKUP(B416,Sheet3!$B$2:$E$312,3,)</f>
        <v>#N/A</v>
      </c>
      <c r="E416" s="6" t="str">
        <f>VLOOKUP(B416,Sheet3!$B$2:$E$312,4,)</f>
        <v>#N/A</v>
      </c>
      <c r="F416" s="6"/>
      <c r="G416" s="6"/>
      <c r="H416" s="6"/>
    </row>
    <row r="417" ht="15.75" customHeight="1">
      <c r="A417" s="6"/>
      <c r="B417" s="6"/>
      <c r="C417" s="6" t="str">
        <f>VLOOKUP(B417,Sheet3!$B$2:$E$312,2,FALSE)</f>
        <v>#N/A</v>
      </c>
      <c r="D417" s="6" t="str">
        <f>VLOOKUP(B417,Sheet3!$B$2:$E$312,3,)</f>
        <v>#N/A</v>
      </c>
      <c r="E417" s="6" t="str">
        <f>VLOOKUP(B417,Sheet3!$B$2:$E$312,4,)</f>
        <v>#N/A</v>
      </c>
      <c r="F417" s="6"/>
      <c r="G417" s="6"/>
      <c r="H417" s="6"/>
    </row>
    <row r="418" ht="15.75" customHeight="1">
      <c r="A418" s="6"/>
      <c r="B418" s="6"/>
      <c r="C418" s="6" t="str">
        <f>VLOOKUP(B418,Sheet3!$B$2:$E$312,2,FALSE)</f>
        <v>#N/A</v>
      </c>
      <c r="D418" s="6" t="str">
        <f>VLOOKUP(B418,Sheet3!$B$2:$E$312,3,)</f>
        <v>#N/A</v>
      </c>
      <c r="E418" s="6" t="str">
        <f>VLOOKUP(B418,Sheet3!$B$2:$E$312,4,)</f>
        <v>#N/A</v>
      </c>
      <c r="F418" s="6"/>
      <c r="G418" s="6"/>
      <c r="H418" s="6"/>
    </row>
    <row r="419" ht="15.75" customHeight="1">
      <c r="A419" s="6"/>
      <c r="B419" s="6"/>
      <c r="C419" s="6" t="str">
        <f>VLOOKUP(B419,Sheet3!$B$2:$E$312,2,FALSE)</f>
        <v>#N/A</v>
      </c>
      <c r="D419" s="6" t="str">
        <f>VLOOKUP(B419,Sheet3!$B$2:$E$312,3,)</f>
        <v>#N/A</v>
      </c>
      <c r="E419" s="6" t="str">
        <f>VLOOKUP(B419,Sheet3!$B$2:$E$312,4,)</f>
        <v>#N/A</v>
      </c>
      <c r="F419" s="6"/>
      <c r="G419" s="6"/>
      <c r="H419" s="6"/>
    </row>
    <row r="420" ht="15.75" customHeight="1">
      <c r="A420" s="6"/>
      <c r="B420" s="6"/>
      <c r="C420" s="6" t="str">
        <f>VLOOKUP(B420,Sheet3!$B$2:$E$312,2,FALSE)</f>
        <v>#N/A</v>
      </c>
      <c r="D420" s="6" t="str">
        <f>VLOOKUP(B420,Sheet3!$B$2:$E$312,3,)</f>
        <v>#N/A</v>
      </c>
      <c r="E420" s="6" t="str">
        <f>VLOOKUP(B420,Sheet3!$B$2:$E$312,4,)</f>
        <v>#N/A</v>
      </c>
      <c r="F420" s="6"/>
      <c r="G420" s="6"/>
      <c r="H420" s="6"/>
    </row>
    <row r="421" ht="15.75" customHeight="1">
      <c r="A421" s="6"/>
      <c r="B421" s="6"/>
      <c r="C421" s="6" t="str">
        <f>VLOOKUP(B421,Sheet3!$B$2:$E$312,2,FALSE)</f>
        <v>#N/A</v>
      </c>
      <c r="D421" s="6" t="str">
        <f>VLOOKUP(B421,Sheet3!$B$2:$E$312,3,)</f>
        <v>#N/A</v>
      </c>
      <c r="E421" s="6" t="str">
        <f>VLOOKUP(B421,Sheet3!$B$2:$E$312,4,)</f>
        <v>#N/A</v>
      </c>
      <c r="F421" s="6"/>
      <c r="G421" s="6"/>
      <c r="H421" s="6"/>
    </row>
    <row r="422" ht="15.75" customHeight="1">
      <c r="A422" s="6"/>
      <c r="B422" s="6"/>
      <c r="C422" s="6" t="str">
        <f>VLOOKUP(B422,Sheet3!$B$2:$E$312,2,FALSE)</f>
        <v>#N/A</v>
      </c>
      <c r="D422" s="6" t="str">
        <f>VLOOKUP(B422,Sheet3!$B$2:$E$312,3,)</f>
        <v>#N/A</v>
      </c>
      <c r="E422" s="6" t="str">
        <f>VLOOKUP(B422,Sheet3!$B$2:$E$312,4,)</f>
        <v>#N/A</v>
      </c>
      <c r="F422" s="6"/>
      <c r="G422" s="6"/>
      <c r="H422" s="6"/>
    </row>
    <row r="423" ht="15.75" customHeight="1">
      <c r="A423" s="6"/>
      <c r="B423" s="6"/>
      <c r="C423" s="6" t="str">
        <f>VLOOKUP(B423,Sheet3!$B$2:$E$312,2,FALSE)</f>
        <v>#N/A</v>
      </c>
      <c r="D423" s="6" t="str">
        <f>VLOOKUP(B423,Sheet3!$B$2:$E$312,3,)</f>
        <v>#N/A</v>
      </c>
      <c r="E423" s="6" t="str">
        <f>VLOOKUP(B423,Sheet3!$B$2:$E$312,4,)</f>
        <v>#N/A</v>
      </c>
      <c r="F423" s="6"/>
      <c r="G423" s="6"/>
      <c r="H423" s="6"/>
    </row>
    <row r="424" ht="15.75" customHeight="1">
      <c r="A424" s="6"/>
      <c r="B424" s="6"/>
      <c r="C424" s="6" t="str">
        <f>VLOOKUP(B424,Sheet3!$B$2:$E$312,2,FALSE)</f>
        <v>#N/A</v>
      </c>
      <c r="D424" s="6" t="str">
        <f>VLOOKUP(B424,Sheet3!$B$2:$E$312,3,)</f>
        <v>#N/A</v>
      </c>
      <c r="E424" s="6" t="str">
        <f>VLOOKUP(B424,Sheet3!$B$2:$E$312,4,)</f>
        <v>#N/A</v>
      </c>
      <c r="F424" s="6"/>
      <c r="G424" s="6"/>
      <c r="H424" s="6"/>
    </row>
    <row r="425" ht="15.75" customHeight="1">
      <c r="A425" s="6"/>
      <c r="B425" s="6"/>
      <c r="C425" s="6" t="str">
        <f>VLOOKUP(B425,Sheet3!$B$2:$E$312,2,FALSE)</f>
        <v>#N/A</v>
      </c>
      <c r="D425" s="6" t="str">
        <f>VLOOKUP(B425,Sheet3!$B$2:$E$312,3,)</f>
        <v>#N/A</v>
      </c>
      <c r="E425" s="6" t="str">
        <f>VLOOKUP(B425,Sheet3!$B$2:$E$312,4,)</f>
        <v>#N/A</v>
      </c>
      <c r="F425" s="6"/>
      <c r="G425" s="6"/>
      <c r="H425" s="6"/>
    </row>
    <row r="426" ht="15.75" customHeight="1">
      <c r="A426" s="6"/>
      <c r="B426" s="6"/>
      <c r="C426" s="6" t="str">
        <f>VLOOKUP(B426,Sheet3!$B$2:$E$312,2,FALSE)</f>
        <v>#N/A</v>
      </c>
      <c r="D426" s="6" t="str">
        <f>VLOOKUP(B426,Sheet3!$B$2:$E$312,3,)</f>
        <v>#N/A</v>
      </c>
      <c r="E426" s="6" t="str">
        <f>VLOOKUP(B426,Sheet3!$B$2:$E$312,4,)</f>
        <v>#N/A</v>
      </c>
      <c r="F426" s="6"/>
      <c r="G426" s="6"/>
      <c r="H426" s="6"/>
    </row>
    <row r="427" ht="15.75" customHeight="1">
      <c r="A427" s="6"/>
      <c r="B427" s="6"/>
      <c r="C427" s="6" t="str">
        <f>VLOOKUP(B427,Sheet3!$B$2:$E$312,2,FALSE)</f>
        <v>#N/A</v>
      </c>
      <c r="D427" s="6" t="str">
        <f>VLOOKUP(B427,Sheet3!$B$2:$E$312,3,)</f>
        <v>#N/A</v>
      </c>
      <c r="E427" s="6" t="str">
        <f>VLOOKUP(B427,Sheet3!$B$2:$E$312,4,)</f>
        <v>#N/A</v>
      </c>
      <c r="F427" s="6"/>
      <c r="G427" s="6"/>
      <c r="H427" s="6"/>
    </row>
    <row r="428" ht="15.75" customHeight="1">
      <c r="A428" s="6"/>
      <c r="B428" s="6"/>
      <c r="C428" s="6" t="str">
        <f>VLOOKUP(B428,Sheet3!$B$2:$E$312,2,FALSE)</f>
        <v>#N/A</v>
      </c>
      <c r="D428" s="6" t="str">
        <f>VLOOKUP(B428,Sheet3!$B$2:$E$312,3,)</f>
        <v>#N/A</v>
      </c>
      <c r="E428" s="6" t="str">
        <f>VLOOKUP(B428,Sheet3!$B$2:$E$312,4,)</f>
        <v>#N/A</v>
      </c>
      <c r="F428" s="6"/>
      <c r="G428" s="6"/>
      <c r="H428" s="6"/>
    </row>
    <row r="429" ht="15.75" customHeight="1">
      <c r="A429" s="6"/>
      <c r="B429" s="6"/>
      <c r="C429" s="6" t="str">
        <f>VLOOKUP(B429,Sheet3!$B$2:$E$312,2,FALSE)</f>
        <v>#N/A</v>
      </c>
      <c r="D429" s="6" t="str">
        <f>VLOOKUP(B429,Sheet3!$B$2:$E$312,3,)</f>
        <v>#N/A</v>
      </c>
      <c r="E429" s="6" t="str">
        <f>VLOOKUP(B429,Sheet3!$B$2:$E$312,4,)</f>
        <v>#N/A</v>
      </c>
      <c r="F429" s="6"/>
      <c r="G429" s="6"/>
      <c r="H429" s="6"/>
    </row>
    <row r="430" ht="15.75" customHeight="1">
      <c r="A430" s="6"/>
      <c r="B430" s="6"/>
      <c r="C430" s="6" t="str">
        <f>VLOOKUP(B430,Sheet3!$B$2:$E$312,2,FALSE)</f>
        <v>#N/A</v>
      </c>
      <c r="D430" s="6" t="str">
        <f>VLOOKUP(B430,Sheet3!$B$2:$E$312,3,)</f>
        <v>#N/A</v>
      </c>
      <c r="E430" s="6" t="str">
        <f>VLOOKUP(B430,Sheet3!$B$2:$E$312,4,)</f>
        <v>#N/A</v>
      </c>
      <c r="F430" s="6"/>
      <c r="G430" s="6"/>
      <c r="H430" s="6"/>
    </row>
    <row r="431" ht="15.75" customHeight="1">
      <c r="A431" s="6"/>
      <c r="B431" s="6"/>
      <c r="C431" s="6" t="str">
        <f>VLOOKUP(B431,Sheet3!$B$2:$E$312,2,FALSE)</f>
        <v>#N/A</v>
      </c>
      <c r="D431" s="6" t="str">
        <f>VLOOKUP(B431,Sheet3!$B$2:$E$312,3,)</f>
        <v>#N/A</v>
      </c>
      <c r="E431" s="6" t="str">
        <f>VLOOKUP(B431,Sheet3!$B$2:$E$312,4,)</f>
        <v>#N/A</v>
      </c>
      <c r="F431" s="6"/>
      <c r="G431" s="6"/>
      <c r="H431" s="6"/>
    </row>
    <row r="432" ht="15.75" customHeight="1">
      <c r="A432" s="6"/>
      <c r="B432" s="6"/>
      <c r="C432" s="6" t="str">
        <f>VLOOKUP(B432,Sheet3!$B$2:$E$312,2,FALSE)</f>
        <v>#N/A</v>
      </c>
      <c r="D432" s="6" t="str">
        <f>VLOOKUP(B432,Sheet3!$B$2:$E$312,3,)</f>
        <v>#N/A</v>
      </c>
      <c r="E432" s="6" t="str">
        <f>VLOOKUP(B432,Sheet3!$B$2:$E$312,4,)</f>
        <v>#N/A</v>
      </c>
      <c r="F432" s="6"/>
      <c r="G432" s="6"/>
      <c r="H432" s="6"/>
    </row>
    <row r="433" ht="15.75" customHeight="1">
      <c r="A433" s="6"/>
      <c r="B433" s="6"/>
      <c r="C433" s="6" t="str">
        <f>VLOOKUP(B433,Sheet3!$B$2:$E$312,2,FALSE)</f>
        <v>#N/A</v>
      </c>
      <c r="D433" s="6" t="str">
        <f>VLOOKUP(B433,Sheet3!$B$2:$E$312,3,)</f>
        <v>#N/A</v>
      </c>
      <c r="E433" s="6" t="str">
        <f>VLOOKUP(B433,Sheet3!$B$2:$E$312,4,)</f>
        <v>#N/A</v>
      </c>
      <c r="F433" s="6"/>
      <c r="G433" s="6"/>
      <c r="H433" s="6"/>
    </row>
    <row r="434" ht="15.75" customHeight="1">
      <c r="A434" s="6"/>
      <c r="B434" s="6"/>
      <c r="C434" s="6" t="str">
        <f>VLOOKUP(B434,Sheet3!$B$2:$E$312,2,FALSE)</f>
        <v>#N/A</v>
      </c>
      <c r="D434" s="6" t="str">
        <f>VLOOKUP(B434,Sheet3!$B$2:$E$312,3,)</f>
        <v>#N/A</v>
      </c>
      <c r="E434" s="6" t="str">
        <f>VLOOKUP(B434,Sheet3!$B$2:$E$312,4,)</f>
        <v>#N/A</v>
      </c>
      <c r="F434" s="6"/>
      <c r="G434" s="6"/>
      <c r="H434" s="6"/>
    </row>
    <row r="435" ht="15.75" customHeight="1">
      <c r="A435" s="6"/>
      <c r="B435" s="6"/>
      <c r="C435" s="6" t="str">
        <f>VLOOKUP(B435,Sheet3!$B$2:$E$312,2,FALSE)</f>
        <v>#N/A</v>
      </c>
      <c r="D435" s="6" t="str">
        <f>VLOOKUP(B435,Sheet3!$B$2:$E$312,3,)</f>
        <v>#N/A</v>
      </c>
      <c r="E435" s="6" t="str">
        <f>VLOOKUP(B435,Sheet3!$B$2:$E$312,4,)</f>
        <v>#N/A</v>
      </c>
      <c r="F435" s="6"/>
      <c r="G435" s="6"/>
      <c r="H435" s="6"/>
    </row>
    <row r="436" ht="15.75" customHeight="1">
      <c r="A436" s="6"/>
      <c r="B436" s="6"/>
      <c r="C436" s="6" t="str">
        <f>VLOOKUP(B436,Sheet3!$B$2:$E$312,2,FALSE)</f>
        <v>#N/A</v>
      </c>
      <c r="D436" s="6" t="str">
        <f>VLOOKUP(B436,Sheet3!$B$2:$E$312,3,)</f>
        <v>#N/A</v>
      </c>
      <c r="E436" s="6" t="str">
        <f>VLOOKUP(B436,Sheet3!$B$2:$E$312,4,)</f>
        <v>#N/A</v>
      </c>
      <c r="F436" s="6"/>
      <c r="G436" s="6"/>
      <c r="H436" s="6"/>
    </row>
    <row r="437" ht="15.75" customHeight="1">
      <c r="A437" s="6"/>
      <c r="B437" s="6"/>
      <c r="C437" s="6" t="str">
        <f>VLOOKUP(B437,Sheet3!$B$2:$E$312,2,FALSE)</f>
        <v>#N/A</v>
      </c>
      <c r="D437" s="6" t="str">
        <f>VLOOKUP(B437,Sheet3!$B$2:$E$312,3,)</f>
        <v>#N/A</v>
      </c>
      <c r="E437" s="6" t="str">
        <f>VLOOKUP(B437,Sheet3!$B$2:$E$312,4,)</f>
        <v>#N/A</v>
      </c>
      <c r="F437" s="6"/>
      <c r="G437" s="6"/>
      <c r="H437" s="6"/>
    </row>
    <row r="438" ht="15.75" customHeight="1">
      <c r="A438" s="6"/>
      <c r="B438" s="6"/>
      <c r="C438" s="6" t="str">
        <f>VLOOKUP(B438,Sheet3!$B$2:$E$312,2,FALSE)</f>
        <v>#N/A</v>
      </c>
      <c r="D438" s="6" t="str">
        <f>VLOOKUP(B438,Sheet3!$B$2:$E$312,3,)</f>
        <v>#N/A</v>
      </c>
      <c r="E438" s="6" t="str">
        <f>VLOOKUP(B438,Sheet3!$B$2:$E$312,4,)</f>
        <v>#N/A</v>
      </c>
      <c r="F438" s="6"/>
      <c r="G438" s="6"/>
      <c r="H438" s="6"/>
    </row>
    <row r="439" ht="15.75" customHeight="1">
      <c r="A439" s="6"/>
      <c r="B439" s="6"/>
      <c r="C439" s="6" t="str">
        <f>VLOOKUP(B439,Sheet3!$B$2:$E$312,2,FALSE)</f>
        <v>#N/A</v>
      </c>
      <c r="D439" s="6" t="str">
        <f>VLOOKUP(B439,Sheet3!$B$2:$E$312,3,)</f>
        <v>#N/A</v>
      </c>
      <c r="E439" s="6" t="str">
        <f>VLOOKUP(B439,Sheet3!$B$2:$E$312,4,)</f>
        <v>#N/A</v>
      </c>
      <c r="F439" s="6"/>
      <c r="G439" s="6"/>
      <c r="H439" s="6"/>
    </row>
    <row r="440" ht="15.75" customHeight="1">
      <c r="A440" s="6"/>
      <c r="B440" s="6"/>
      <c r="C440" s="6" t="str">
        <f>VLOOKUP(B440,Sheet3!$B$2:$E$312,2,FALSE)</f>
        <v>#N/A</v>
      </c>
      <c r="D440" s="6" t="str">
        <f>VLOOKUP(B440,Sheet3!$B$2:$E$312,3,)</f>
        <v>#N/A</v>
      </c>
      <c r="E440" s="6" t="str">
        <f>VLOOKUP(B440,Sheet3!$B$2:$E$312,4,)</f>
        <v>#N/A</v>
      </c>
      <c r="F440" s="6"/>
      <c r="G440" s="6"/>
      <c r="H440" s="6"/>
    </row>
    <row r="441" ht="15.75" customHeight="1">
      <c r="A441" s="6"/>
      <c r="B441" s="6"/>
      <c r="C441" s="6" t="str">
        <f>VLOOKUP(B441,Sheet3!$B$2:$E$312,2,FALSE)</f>
        <v>#N/A</v>
      </c>
      <c r="D441" s="6" t="str">
        <f>VLOOKUP(B441,Sheet3!$B$2:$E$312,3,)</f>
        <v>#N/A</v>
      </c>
      <c r="E441" s="6" t="str">
        <f>VLOOKUP(B441,Sheet3!$B$2:$E$312,4,)</f>
        <v>#N/A</v>
      </c>
      <c r="F441" s="6"/>
      <c r="G441" s="6"/>
      <c r="H441" s="6"/>
    </row>
    <row r="442" ht="15.75" customHeight="1">
      <c r="A442" s="6"/>
      <c r="B442" s="6"/>
      <c r="C442" s="6" t="str">
        <f>VLOOKUP(B442,Sheet3!$B$2:$E$312,2,FALSE)</f>
        <v>#N/A</v>
      </c>
      <c r="D442" s="6" t="str">
        <f>VLOOKUP(B442,Sheet3!$B$2:$E$312,3,)</f>
        <v>#N/A</v>
      </c>
      <c r="E442" s="6" t="str">
        <f>VLOOKUP(B442,Sheet3!$B$2:$E$312,4,)</f>
        <v>#N/A</v>
      </c>
      <c r="F442" s="6"/>
      <c r="G442" s="6"/>
      <c r="H442" s="6"/>
    </row>
    <row r="443" ht="15.75" customHeight="1">
      <c r="A443" s="6"/>
      <c r="B443" s="6"/>
      <c r="C443" s="6" t="str">
        <f>VLOOKUP(B443,Sheet3!$B$2:$E$312,2,FALSE)</f>
        <v>#N/A</v>
      </c>
      <c r="D443" s="6" t="str">
        <f>VLOOKUP(B443,Sheet3!$B$2:$E$312,3,)</f>
        <v>#N/A</v>
      </c>
      <c r="E443" s="6" t="str">
        <f>VLOOKUP(B443,Sheet3!$B$2:$E$312,4,)</f>
        <v>#N/A</v>
      </c>
      <c r="F443" s="6"/>
      <c r="G443" s="6"/>
      <c r="H443" s="6"/>
    </row>
    <row r="444" ht="15.75" customHeight="1">
      <c r="A444" s="6"/>
      <c r="B444" s="6"/>
      <c r="C444" s="6" t="str">
        <f>VLOOKUP(B444,Sheet3!$B$2:$E$312,2,FALSE)</f>
        <v>#N/A</v>
      </c>
      <c r="D444" s="6" t="str">
        <f>VLOOKUP(B444,Sheet3!$B$2:$E$312,3,)</f>
        <v>#N/A</v>
      </c>
      <c r="E444" s="6" t="str">
        <f>VLOOKUP(B444,Sheet3!$B$2:$E$312,4,)</f>
        <v>#N/A</v>
      </c>
      <c r="F444" s="6"/>
      <c r="G444" s="6"/>
      <c r="H444" s="6"/>
    </row>
    <row r="445" ht="15.75" customHeight="1">
      <c r="A445" s="6"/>
      <c r="B445" s="6"/>
      <c r="C445" s="6" t="str">
        <f>VLOOKUP(B445,Sheet3!$B$2:$E$312,2,FALSE)</f>
        <v>#N/A</v>
      </c>
      <c r="D445" s="6" t="str">
        <f>VLOOKUP(B445,Sheet3!$B$2:$E$312,3,)</f>
        <v>#N/A</v>
      </c>
      <c r="E445" s="6" t="str">
        <f>VLOOKUP(B445,Sheet3!$B$2:$E$312,4,)</f>
        <v>#N/A</v>
      </c>
      <c r="F445" s="6"/>
      <c r="G445" s="6"/>
      <c r="H445" s="6"/>
    </row>
    <row r="446" ht="15.75" customHeight="1">
      <c r="A446" s="6"/>
      <c r="B446" s="6"/>
      <c r="C446" s="6" t="str">
        <f>VLOOKUP(B446,Sheet3!$B$2:$E$312,2,FALSE)</f>
        <v>#N/A</v>
      </c>
      <c r="D446" s="6" t="str">
        <f>VLOOKUP(B446,Sheet3!$B$2:$E$312,3,)</f>
        <v>#N/A</v>
      </c>
      <c r="E446" s="6" t="str">
        <f>VLOOKUP(B446,Sheet3!$B$2:$E$312,4,)</f>
        <v>#N/A</v>
      </c>
      <c r="F446" s="6"/>
      <c r="G446" s="6"/>
      <c r="H446" s="6"/>
    </row>
    <row r="447" ht="15.75" customHeight="1">
      <c r="A447" s="6"/>
      <c r="B447" s="6"/>
      <c r="C447" s="6" t="str">
        <f>VLOOKUP(B447,Sheet3!$B$2:$E$312,2,FALSE)</f>
        <v>#N/A</v>
      </c>
      <c r="D447" s="6" t="str">
        <f>VLOOKUP(B447,Sheet3!$B$2:$E$312,3,)</f>
        <v>#N/A</v>
      </c>
      <c r="E447" s="6" t="str">
        <f>VLOOKUP(B447,Sheet3!$B$2:$E$312,4,)</f>
        <v>#N/A</v>
      </c>
      <c r="F447" s="6"/>
      <c r="G447" s="6"/>
      <c r="H447" s="6"/>
    </row>
    <row r="448" ht="15.75" customHeight="1">
      <c r="A448" s="6"/>
      <c r="B448" s="6"/>
      <c r="C448" s="6" t="str">
        <f>VLOOKUP(B448,Sheet3!$B$2:$E$312,2,FALSE)</f>
        <v>#N/A</v>
      </c>
      <c r="D448" s="6" t="str">
        <f>VLOOKUP(B448,Sheet3!$B$2:$E$312,3,)</f>
        <v>#N/A</v>
      </c>
      <c r="E448" s="6" t="str">
        <f>VLOOKUP(B448,Sheet3!$B$2:$E$312,4,)</f>
        <v>#N/A</v>
      </c>
      <c r="F448" s="6"/>
      <c r="G448" s="6"/>
      <c r="H448" s="6"/>
    </row>
    <row r="449" ht="15.75" customHeight="1">
      <c r="A449" s="6"/>
      <c r="B449" s="6"/>
      <c r="C449" s="6" t="str">
        <f>VLOOKUP(B449,Sheet3!$B$2:$E$312,2,FALSE)</f>
        <v>#N/A</v>
      </c>
      <c r="D449" s="6" t="str">
        <f>VLOOKUP(B449,Sheet3!$B$2:$E$312,3,)</f>
        <v>#N/A</v>
      </c>
      <c r="E449" s="6" t="str">
        <f>VLOOKUP(B449,Sheet3!$B$2:$E$312,4,)</f>
        <v>#N/A</v>
      </c>
      <c r="F449" s="6"/>
      <c r="G449" s="6"/>
      <c r="H449" s="6"/>
    </row>
    <row r="450" ht="15.75" customHeight="1">
      <c r="A450" s="6"/>
      <c r="B450" s="6"/>
      <c r="C450" s="6" t="str">
        <f>VLOOKUP(B450,Sheet3!$B$2:$E$312,2,FALSE)</f>
        <v>#N/A</v>
      </c>
      <c r="D450" s="6" t="str">
        <f>VLOOKUP(B450,Sheet3!$B$2:$E$312,3,)</f>
        <v>#N/A</v>
      </c>
      <c r="E450" s="6" t="str">
        <f>VLOOKUP(B450,Sheet3!$B$2:$E$312,4,)</f>
        <v>#N/A</v>
      </c>
      <c r="F450" s="6"/>
      <c r="G450" s="6"/>
      <c r="H450" s="6"/>
    </row>
    <row r="451" ht="15.75" customHeight="1">
      <c r="A451" s="6"/>
      <c r="B451" s="6"/>
      <c r="C451" s="6" t="str">
        <f>VLOOKUP(B451,Sheet3!$B$2:$E$312,2,FALSE)</f>
        <v>#N/A</v>
      </c>
      <c r="D451" s="6" t="str">
        <f>VLOOKUP(B451,Sheet3!$B$2:$E$312,3,)</f>
        <v>#N/A</v>
      </c>
      <c r="E451" s="6" t="str">
        <f>VLOOKUP(B451,Sheet3!$B$2:$E$312,4,)</f>
        <v>#N/A</v>
      </c>
      <c r="F451" s="6"/>
      <c r="G451" s="6"/>
      <c r="H451" s="6"/>
    </row>
    <row r="452" ht="15.75" customHeight="1">
      <c r="A452" s="6"/>
      <c r="B452" s="6"/>
      <c r="C452" s="6" t="str">
        <f>VLOOKUP(B452,Sheet3!$B$2:$E$312,2,FALSE)</f>
        <v>#N/A</v>
      </c>
      <c r="D452" s="6" t="str">
        <f>VLOOKUP(B452,Sheet3!$B$2:$E$312,3,)</f>
        <v>#N/A</v>
      </c>
      <c r="E452" s="6" t="str">
        <f>VLOOKUP(B452,Sheet3!$B$2:$E$312,4,)</f>
        <v>#N/A</v>
      </c>
      <c r="F452" s="6"/>
      <c r="G452" s="6"/>
      <c r="H452" s="6"/>
    </row>
    <row r="453" ht="15.75" customHeight="1">
      <c r="A453" s="6"/>
      <c r="B453" s="6"/>
      <c r="C453" s="6" t="str">
        <f>VLOOKUP(B453,Sheet3!$B$2:$E$312,2,FALSE)</f>
        <v>#N/A</v>
      </c>
      <c r="D453" s="6" t="str">
        <f>VLOOKUP(B453,Sheet3!$B$2:$E$312,3,)</f>
        <v>#N/A</v>
      </c>
      <c r="E453" s="6" t="str">
        <f>VLOOKUP(B453,Sheet3!$B$2:$E$312,4,)</f>
        <v>#N/A</v>
      </c>
      <c r="F453" s="6"/>
      <c r="G453" s="6"/>
      <c r="H453" s="6"/>
    </row>
    <row r="454" ht="15.75" customHeight="1">
      <c r="A454" s="6"/>
      <c r="B454" s="6"/>
      <c r="C454" s="6" t="str">
        <f>VLOOKUP(B454,Sheet3!$B$2:$E$312,2,FALSE)</f>
        <v>#N/A</v>
      </c>
      <c r="D454" s="6" t="str">
        <f>VLOOKUP(B454,Sheet3!$B$2:$E$312,3,)</f>
        <v>#N/A</v>
      </c>
      <c r="E454" s="6" t="str">
        <f>VLOOKUP(B454,Sheet3!$B$2:$E$312,4,)</f>
        <v>#N/A</v>
      </c>
      <c r="F454" s="6"/>
      <c r="G454" s="6"/>
      <c r="H454" s="6"/>
    </row>
    <row r="455" ht="15.75" customHeight="1">
      <c r="A455" s="6"/>
      <c r="B455" s="6"/>
      <c r="C455" s="6" t="str">
        <f>VLOOKUP(B455,Sheet3!$B$2:$E$312,2,FALSE)</f>
        <v>#N/A</v>
      </c>
      <c r="D455" s="6" t="str">
        <f>VLOOKUP(B455,Sheet3!$B$2:$E$312,3,)</f>
        <v>#N/A</v>
      </c>
      <c r="E455" s="6" t="str">
        <f>VLOOKUP(B455,Sheet3!$B$2:$E$312,4,)</f>
        <v>#N/A</v>
      </c>
      <c r="F455" s="6"/>
      <c r="G455" s="6"/>
      <c r="H455" s="6"/>
    </row>
    <row r="456" ht="15.75" customHeight="1">
      <c r="A456" s="6"/>
      <c r="B456" s="6"/>
      <c r="C456" s="6" t="str">
        <f>VLOOKUP(B456,Sheet3!$B$2:$E$312,2,FALSE)</f>
        <v>#N/A</v>
      </c>
      <c r="D456" s="6" t="str">
        <f>VLOOKUP(B456,Sheet3!$B$2:$E$312,3,)</f>
        <v>#N/A</v>
      </c>
      <c r="E456" s="6" t="str">
        <f>VLOOKUP(B456,Sheet3!$B$2:$E$312,4,)</f>
        <v>#N/A</v>
      </c>
      <c r="F456" s="6"/>
      <c r="G456" s="6"/>
      <c r="H456" s="6"/>
    </row>
    <row r="457" ht="15.75" customHeight="1">
      <c r="A457" s="6"/>
      <c r="B457" s="6"/>
      <c r="C457" s="6" t="str">
        <f>VLOOKUP(B457,Sheet3!$B$2:$E$312,2,FALSE)</f>
        <v>#N/A</v>
      </c>
      <c r="D457" s="6" t="str">
        <f>VLOOKUP(B457,Sheet3!$B$2:$E$312,3,)</f>
        <v>#N/A</v>
      </c>
      <c r="E457" s="6" t="str">
        <f>VLOOKUP(B457,Sheet3!$B$2:$E$312,4,)</f>
        <v>#N/A</v>
      </c>
      <c r="F457" s="6"/>
      <c r="G457" s="6"/>
      <c r="H457" s="6"/>
    </row>
    <row r="458" ht="15.75" customHeight="1">
      <c r="A458" s="6"/>
      <c r="B458" s="6"/>
      <c r="C458" s="6" t="str">
        <f>VLOOKUP(B458,Sheet3!$B$2:$E$312,2,FALSE)</f>
        <v>#N/A</v>
      </c>
      <c r="D458" s="6" t="str">
        <f>VLOOKUP(B458,Sheet3!$B$2:$E$312,3,)</f>
        <v>#N/A</v>
      </c>
      <c r="E458" s="6" t="str">
        <f>VLOOKUP(B458,Sheet3!$B$2:$E$312,4,)</f>
        <v>#N/A</v>
      </c>
      <c r="F458" s="6"/>
      <c r="G458" s="6"/>
      <c r="H458" s="6"/>
    </row>
    <row r="459" ht="15.75" customHeight="1">
      <c r="A459" s="6"/>
      <c r="B459" s="6"/>
      <c r="C459" s="6" t="str">
        <f>VLOOKUP(B459,Sheet3!$B$2:$E$312,2,FALSE)</f>
        <v>#N/A</v>
      </c>
      <c r="D459" s="6" t="str">
        <f>VLOOKUP(B459,Sheet3!$B$2:$E$312,3,)</f>
        <v>#N/A</v>
      </c>
      <c r="E459" s="6" t="str">
        <f>VLOOKUP(B459,Sheet3!$B$2:$E$312,4,)</f>
        <v>#N/A</v>
      </c>
      <c r="F459" s="6"/>
      <c r="G459" s="6"/>
      <c r="H459" s="6"/>
    </row>
    <row r="460" ht="15.75" customHeight="1">
      <c r="A460" s="6"/>
      <c r="B460" s="6"/>
      <c r="C460" s="6" t="str">
        <f>VLOOKUP(B460,Sheet3!$B$2:$E$312,2,FALSE)</f>
        <v>#N/A</v>
      </c>
      <c r="D460" s="6" t="str">
        <f>VLOOKUP(B460,Sheet3!$B$2:$E$312,3,)</f>
        <v>#N/A</v>
      </c>
      <c r="E460" s="6" t="str">
        <f>VLOOKUP(B460,Sheet3!$B$2:$E$312,4,)</f>
        <v>#N/A</v>
      </c>
      <c r="F460" s="6"/>
      <c r="G460" s="6"/>
      <c r="H460" s="6"/>
    </row>
    <row r="461" ht="15.75" customHeight="1">
      <c r="A461" s="6"/>
      <c r="B461" s="6"/>
      <c r="C461" s="6" t="str">
        <f>VLOOKUP(B461,Sheet3!$B$2:$E$312,2,FALSE)</f>
        <v>#N/A</v>
      </c>
      <c r="D461" s="6" t="str">
        <f>VLOOKUP(B461,Sheet3!$B$2:$E$312,3,)</f>
        <v>#N/A</v>
      </c>
      <c r="E461" s="6" t="str">
        <f>VLOOKUP(B461,Sheet3!$B$2:$E$312,4,)</f>
        <v>#N/A</v>
      </c>
      <c r="F461" s="6"/>
      <c r="G461" s="6"/>
      <c r="H461" s="6"/>
    </row>
    <row r="462" ht="15.75" customHeight="1">
      <c r="A462" s="6"/>
      <c r="B462" s="6"/>
      <c r="C462" s="6" t="str">
        <f>VLOOKUP(B462,Sheet3!$B$2:$E$312,2,FALSE)</f>
        <v>#N/A</v>
      </c>
      <c r="D462" s="6" t="str">
        <f>VLOOKUP(B462,Sheet3!$B$2:$E$312,3,)</f>
        <v>#N/A</v>
      </c>
      <c r="E462" s="6" t="str">
        <f>VLOOKUP(B462,Sheet3!$B$2:$E$312,4,)</f>
        <v>#N/A</v>
      </c>
      <c r="F462" s="6"/>
      <c r="G462" s="6"/>
      <c r="H462" s="6"/>
    </row>
    <row r="463" ht="15.75" customHeight="1">
      <c r="A463" s="6"/>
      <c r="B463" s="6"/>
      <c r="C463" s="6" t="str">
        <f>VLOOKUP(B463,Sheet3!$B$2:$E$312,2,FALSE)</f>
        <v>#N/A</v>
      </c>
      <c r="D463" s="6" t="str">
        <f>VLOOKUP(B463,Sheet3!$B$2:$E$312,3,)</f>
        <v>#N/A</v>
      </c>
      <c r="E463" s="6" t="str">
        <f>VLOOKUP(B463,Sheet3!$B$2:$E$312,4,)</f>
        <v>#N/A</v>
      </c>
      <c r="F463" s="6"/>
      <c r="G463" s="6"/>
      <c r="H463" s="6"/>
    </row>
    <row r="464" ht="15.75" customHeight="1">
      <c r="A464" s="6"/>
      <c r="B464" s="6"/>
      <c r="C464" s="6" t="str">
        <f>VLOOKUP(B464,Sheet3!$B$2:$E$312,2,FALSE)</f>
        <v>#N/A</v>
      </c>
      <c r="D464" s="6" t="str">
        <f>VLOOKUP(B464,Sheet3!$B$2:$E$312,3,)</f>
        <v>#N/A</v>
      </c>
      <c r="E464" s="6" t="str">
        <f>VLOOKUP(B464,Sheet3!$B$2:$E$312,4,)</f>
        <v>#N/A</v>
      </c>
      <c r="F464" s="6"/>
      <c r="G464" s="6"/>
      <c r="H464" s="6"/>
    </row>
    <row r="465" ht="15.75" customHeight="1">
      <c r="A465" s="6"/>
      <c r="B465" s="6"/>
      <c r="C465" s="6" t="str">
        <f>VLOOKUP(B465,Sheet3!$B$2:$E$312,2,FALSE)</f>
        <v>#N/A</v>
      </c>
      <c r="D465" s="6" t="str">
        <f>VLOOKUP(B465,Sheet3!$B$2:$E$312,3,)</f>
        <v>#N/A</v>
      </c>
      <c r="E465" s="6" t="str">
        <f>VLOOKUP(B465,Sheet3!$B$2:$E$312,4,)</f>
        <v>#N/A</v>
      </c>
      <c r="F465" s="6"/>
      <c r="G465" s="6"/>
      <c r="H465" s="6"/>
    </row>
    <row r="466" ht="15.75" customHeight="1">
      <c r="A466" s="6"/>
      <c r="B466" s="6"/>
      <c r="C466" s="6" t="str">
        <f>VLOOKUP(B466,Sheet3!$B$2:$E$312,2,FALSE)</f>
        <v>#N/A</v>
      </c>
      <c r="D466" s="6" t="str">
        <f>VLOOKUP(B466,Sheet3!$B$2:$E$312,3,)</f>
        <v>#N/A</v>
      </c>
      <c r="E466" s="6" t="str">
        <f>VLOOKUP(B466,Sheet3!$B$2:$E$312,4,)</f>
        <v>#N/A</v>
      </c>
      <c r="F466" s="6"/>
      <c r="G466" s="6"/>
      <c r="H466" s="6"/>
    </row>
    <row r="467" ht="15.75" customHeight="1">
      <c r="A467" s="6"/>
      <c r="B467" s="6"/>
      <c r="C467" s="6" t="str">
        <f>VLOOKUP(B467,Sheet3!$B$2:$E$312,2,FALSE)</f>
        <v>#N/A</v>
      </c>
      <c r="D467" s="6" t="str">
        <f>VLOOKUP(B467,Sheet3!$B$2:$E$312,3,)</f>
        <v>#N/A</v>
      </c>
      <c r="E467" s="6" t="str">
        <f>VLOOKUP(B467,Sheet3!$B$2:$E$312,4,)</f>
        <v>#N/A</v>
      </c>
      <c r="F467" s="6"/>
      <c r="G467" s="6"/>
      <c r="H467" s="6"/>
    </row>
    <row r="468" ht="15.75" customHeight="1">
      <c r="A468" s="6"/>
      <c r="B468" s="6"/>
      <c r="C468" s="6" t="str">
        <f>VLOOKUP(B468,Sheet3!$B$2:$E$312,2,FALSE)</f>
        <v>#N/A</v>
      </c>
      <c r="D468" s="6" t="str">
        <f>VLOOKUP(B468,Sheet3!$B$2:$E$312,3,)</f>
        <v>#N/A</v>
      </c>
      <c r="E468" s="6" t="str">
        <f>VLOOKUP(B468,Sheet3!$B$2:$E$312,4,)</f>
        <v>#N/A</v>
      </c>
      <c r="F468" s="6"/>
      <c r="G468" s="6"/>
      <c r="H468" s="6"/>
    </row>
    <row r="469" ht="15.75" customHeight="1">
      <c r="A469" s="6"/>
      <c r="B469" s="6"/>
      <c r="C469" s="6" t="str">
        <f>VLOOKUP(B469,Sheet3!$B$2:$E$312,2,FALSE)</f>
        <v>#N/A</v>
      </c>
      <c r="D469" s="6" t="str">
        <f>VLOOKUP(B469,Sheet3!$B$2:$E$312,3,)</f>
        <v>#N/A</v>
      </c>
      <c r="E469" s="6" t="str">
        <f>VLOOKUP(B469,Sheet3!$B$2:$E$312,4,)</f>
        <v>#N/A</v>
      </c>
      <c r="F469" s="6"/>
      <c r="G469" s="6"/>
      <c r="H469" s="6"/>
    </row>
    <row r="470" ht="15.75" customHeight="1">
      <c r="A470" s="6"/>
      <c r="B470" s="6"/>
      <c r="C470" s="6" t="str">
        <f>VLOOKUP(B470,Sheet3!$B$2:$E$312,2,FALSE)</f>
        <v>#N/A</v>
      </c>
      <c r="D470" s="6" t="str">
        <f>VLOOKUP(B470,Sheet3!$B$2:$E$312,3,)</f>
        <v>#N/A</v>
      </c>
      <c r="E470" s="6" t="str">
        <f>VLOOKUP(B470,Sheet3!$B$2:$E$312,4,)</f>
        <v>#N/A</v>
      </c>
      <c r="F470" s="6"/>
      <c r="G470" s="6"/>
      <c r="H470" s="6"/>
    </row>
    <row r="471" ht="15.75" customHeight="1">
      <c r="A471" s="6"/>
      <c r="B471" s="6"/>
      <c r="C471" s="6" t="str">
        <f>VLOOKUP(B471,Sheet3!$B$2:$E$312,2,FALSE)</f>
        <v>#N/A</v>
      </c>
      <c r="D471" s="6" t="str">
        <f>VLOOKUP(B471,Sheet3!$B$2:$E$312,3,)</f>
        <v>#N/A</v>
      </c>
      <c r="E471" s="6" t="str">
        <f>VLOOKUP(B471,Sheet3!$B$2:$E$312,4,)</f>
        <v>#N/A</v>
      </c>
      <c r="F471" s="6"/>
      <c r="G471" s="6"/>
      <c r="H471" s="6"/>
    </row>
    <row r="472" ht="15.75" customHeight="1">
      <c r="A472" s="6"/>
      <c r="B472" s="6"/>
      <c r="C472" s="6" t="str">
        <f>VLOOKUP(B472,Sheet3!$B$2:$E$312,2,FALSE)</f>
        <v>#N/A</v>
      </c>
      <c r="D472" s="6" t="str">
        <f>VLOOKUP(B472,Sheet3!$B$2:$E$312,3,)</f>
        <v>#N/A</v>
      </c>
      <c r="E472" s="6" t="str">
        <f>VLOOKUP(B472,Sheet3!$B$2:$E$312,4,)</f>
        <v>#N/A</v>
      </c>
      <c r="F472" s="6"/>
      <c r="G472" s="6"/>
      <c r="H472" s="6"/>
    </row>
    <row r="473" ht="15.75" customHeight="1">
      <c r="A473" s="6"/>
      <c r="B473" s="6"/>
      <c r="C473" s="6" t="str">
        <f>VLOOKUP(B473,Sheet3!$B$2:$E$312,2,FALSE)</f>
        <v>#N/A</v>
      </c>
      <c r="D473" s="6" t="str">
        <f>VLOOKUP(B473,Sheet3!$B$2:$E$312,3,)</f>
        <v>#N/A</v>
      </c>
      <c r="E473" s="6" t="str">
        <f>VLOOKUP(B473,Sheet3!$B$2:$E$312,4,)</f>
        <v>#N/A</v>
      </c>
      <c r="F473" s="6"/>
      <c r="G473" s="6"/>
      <c r="H473" s="6"/>
    </row>
    <row r="474" ht="15.75" customHeight="1">
      <c r="A474" s="6"/>
      <c r="B474" s="6"/>
      <c r="C474" s="6" t="str">
        <f>VLOOKUP(B474,Sheet3!$B$2:$E$312,2,FALSE)</f>
        <v>#N/A</v>
      </c>
      <c r="D474" s="6" t="str">
        <f>VLOOKUP(B474,Sheet3!$B$2:$E$312,3,)</f>
        <v>#N/A</v>
      </c>
      <c r="E474" s="6" t="str">
        <f>VLOOKUP(B474,Sheet3!$B$2:$E$312,4,)</f>
        <v>#N/A</v>
      </c>
      <c r="F474" s="6"/>
      <c r="G474" s="6"/>
      <c r="H474" s="6"/>
    </row>
    <row r="475" ht="15.75" customHeight="1">
      <c r="A475" s="6"/>
      <c r="B475" s="6"/>
      <c r="C475" s="6" t="str">
        <f>VLOOKUP(B475,Sheet3!$B$2:$E$312,2,FALSE)</f>
        <v>#N/A</v>
      </c>
      <c r="D475" s="6" t="str">
        <f>VLOOKUP(B475,Sheet3!$B$2:$E$312,3,)</f>
        <v>#N/A</v>
      </c>
      <c r="E475" s="6" t="str">
        <f>VLOOKUP(B475,Sheet3!$B$2:$E$312,4,)</f>
        <v>#N/A</v>
      </c>
      <c r="F475" s="6"/>
      <c r="G475" s="6"/>
      <c r="H475" s="6"/>
    </row>
    <row r="476" ht="15.75" customHeight="1">
      <c r="A476" s="6"/>
      <c r="B476" s="6"/>
      <c r="C476" s="6" t="str">
        <f>VLOOKUP(B476,Sheet3!$B$2:$E$312,2,FALSE)</f>
        <v>#N/A</v>
      </c>
      <c r="D476" s="6" t="str">
        <f>VLOOKUP(B476,Sheet3!$B$2:$E$312,3,)</f>
        <v>#N/A</v>
      </c>
      <c r="E476" s="6" t="str">
        <f>VLOOKUP(B476,Sheet3!$B$2:$E$312,4,)</f>
        <v>#N/A</v>
      </c>
      <c r="F476" s="6"/>
      <c r="G476" s="6"/>
      <c r="H476" s="6"/>
    </row>
    <row r="477" ht="15.75" customHeight="1">
      <c r="A477" s="6"/>
      <c r="B477" s="6"/>
      <c r="C477" s="6" t="str">
        <f>VLOOKUP(B477,Sheet3!$B$2:$E$312,2,FALSE)</f>
        <v>#N/A</v>
      </c>
      <c r="D477" s="6" t="str">
        <f>VLOOKUP(B477,Sheet3!$B$2:$E$312,3,)</f>
        <v>#N/A</v>
      </c>
      <c r="E477" s="6" t="str">
        <f>VLOOKUP(B477,Sheet3!$B$2:$E$312,4,)</f>
        <v>#N/A</v>
      </c>
      <c r="F477" s="6"/>
      <c r="G477" s="6"/>
      <c r="H477" s="6"/>
    </row>
    <row r="478" ht="15.75" customHeight="1">
      <c r="A478" s="6"/>
      <c r="B478" s="6"/>
      <c r="C478" s="6" t="str">
        <f>VLOOKUP(B478,Sheet3!$B$2:$E$312,2,FALSE)</f>
        <v>#N/A</v>
      </c>
      <c r="D478" s="6" t="str">
        <f>VLOOKUP(B478,Sheet3!$B$2:$E$312,3,)</f>
        <v>#N/A</v>
      </c>
      <c r="E478" s="6" t="str">
        <f>VLOOKUP(B478,Sheet3!$B$2:$E$312,4,)</f>
        <v>#N/A</v>
      </c>
      <c r="F478" s="6"/>
      <c r="G478" s="6"/>
      <c r="H478" s="6"/>
    </row>
    <row r="479" ht="15.75" customHeight="1">
      <c r="A479" s="6"/>
      <c r="B479" s="6"/>
      <c r="C479" s="6" t="str">
        <f>VLOOKUP(B479,Sheet3!$B$2:$E$312,2,FALSE)</f>
        <v>#N/A</v>
      </c>
      <c r="D479" s="6" t="str">
        <f>VLOOKUP(B479,Sheet3!$B$2:$E$312,3,)</f>
        <v>#N/A</v>
      </c>
      <c r="E479" s="6" t="str">
        <f>VLOOKUP(B479,Sheet3!$B$2:$E$312,4,)</f>
        <v>#N/A</v>
      </c>
      <c r="F479" s="6"/>
      <c r="G479" s="6"/>
      <c r="H479" s="6"/>
    </row>
    <row r="480" ht="15.75" customHeight="1">
      <c r="A480" s="6"/>
      <c r="B480" s="6"/>
      <c r="C480" s="6" t="str">
        <f>VLOOKUP(B480,Sheet3!$B$2:$E$312,2,FALSE)</f>
        <v>#N/A</v>
      </c>
      <c r="D480" s="6" t="str">
        <f>VLOOKUP(B480,Sheet3!$B$2:$E$312,3,)</f>
        <v>#N/A</v>
      </c>
      <c r="E480" s="6" t="str">
        <f>VLOOKUP(B480,Sheet3!$B$2:$E$312,4,)</f>
        <v>#N/A</v>
      </c>
      <c r="F480" s="6"/>
      <c r="G480" s="6"/>
      <c r="H480" s="6"/>
    </row>
    <row r="481" ht="15.75" customHeight="1">
      <c r="A481" s="6"/>
      <c r="B481" s="6"/>
      <c r="C481" s="6" t="str">
        <f>VLOOKUP(B481,Sheet3!$B$2:$E$312,2,FALSE)</f>
        <v>#N/A</v>
      </c>
      <c r="D481" s="6" t="str">
        <f>VLOOKUP(B481,Sheet3!$B$2:$E$312,3,)</f>
        <v>#N/A</v>
      </c>
      <c r="E481" s="6" t="str">
        <f>VLOOKUP(B481,Sheet3!$B$2:$E$312,4,)</f>
        <v>#N/A</v>
      </c>
      <c r="F481" s="6"/>
      <c r="G481" s="6"/>
      <c r="H481" s="6"/>
    </row>
    <row r="482" ht="15.75" customHeight="1">
      <c r="A482" s="6"/>
      <c r="B482" s="6"/>
      <c r="C482" s="6" t="str">
        <f>VLOOKUP(B482,Sheet3!$B$2:$E$312,2,FALSE)</f>
        <v>#N/A</v>
      </c>
      <c r="D482" s="6" t="str">
        <f>VLOOKUP(B482,Sheet3!$B$2:$E$312,3,)</f>
        <v>#N/A</v>
      </c>
      <c r="E482" s="6" t="str">
        <f>VLOOKUP(B482,Sheet3!$B$2:$E$312,4,)</f>
        <v>#N/A</v>
      </c>
      <c r="F482" s="6"/>
      <c r="G482" s="6"/>
      <c r="H482" s="6"/>
    </row>
    <row r="483" ht="15.75" customHeight="1">
      <c r="A483" s="6"/>
      <c r="B483" s="6"/>
      <c r="C483" s="6" t="str">
        <f>VLOOKUP(B483,Sheet3!$B$2:$E$312,2,FALSE)</f>
        <v>#N/A</v>
      </c>
      <c r="D483" s="6" t="str">
        <f>VLOOKUP(B483,Sheet3!$B$2:$E$312,3,)</f>
        <v>#N/A</v>
      </c>
      <c r="E483" s="6" t="str">
        <f>VLOOKUP(B483,Sheet3!$B$2:$E$312,4,)</f>
        <v>#N/A</v>
      </c>
      <c r="F483" s="6"/>
      <c r="G483" s="6"/>
      <c r="H483" s="6"/>
    </row>
    <row r="484" ht="15.75" customHeight="1">
      <c r="A484" s="6"/>
      <c r="B484" s="6"/>
      <c r="C484" s="6" t="str">
        <f>VLOOKUP(B484,Sheet3!$B$2:$E$312,2,FALSE)</f>
        <v>#N/A</v>
      </c>
      <c r="D484" s="6" t="str">
        <f>VLOOKUP(B484,Sheet3!$B$2:$E$312,3,)</f>
        <v>#N/A</v>
      </c>
      <c r="E484" s="6" t="str">
        <f>VLOOKUP(B484,Sheet3!$B$2:$E$312,4,)</f>
        <v>#N/A</v>
      </c>
      <c r="F484" s="6"/>
      <c r="G484" s="6"/>
      <c r="H484" s="6"/>
    </row>
    <row r="485" ht="15.75" customHeight="1">
      <c r="A485" s="6"/>
      <c r="B485" s="6"/>
      <c r="C485" s="6" t="str">
        <f>VLOOKUP(B485,Sheet3!$B$2:$E$312,2,FALSE)</f>
        <v>#N/A</v>
      </c>
      <c r="D485" s="6" t="str">
        <f>VLOOKUP(B485,Sheet3!$B$2:$E$312,3,)</f>
        <v>#N/A</v>
      </c>
      <c r="E485" s="6" t="str">
        <f>VLOOKUP(B485,Sheet3!$B$2:$E$312,4,)</f>
        <v>#N/A</v>
      </c>
      <c r="F485" s="6"/>
      <c r="G485" s="6"/>
      <c r="H485" s="6"/>
    </row>
    <row r="486" ht="15.75" customHeight="1">
      <c r="A486" s="6"/>
      <c r="B486" s="6"/>
      <c r="C486" s="6" t="str">
        <f>VLOOKUP(B486,Sheet3!$B$2:$E$312,2,FALSE)</f>
        <v>#N/A</v>
      </c>
      <c r="D486" s="6" t="str">
        <f>VLOOKUP(B486,Sheet3!$B$2:$E$312,3,)</f>
        <v>#N/A</v>
      </c>
      <c r="E486" s="6" t="str">
        <f>VLOOKUP(B486,Sheet3!$B$2:$E$312,4,)</f>
        <v>#N/A</v>
      </c>
      <c r="F486" s="6"/>
      <c r="G486" s="6"/>
      <c r="H486" s="6"/>
    </row>
    <row r="487" ht="15.75" customHeight="1">
      <c r="A487" s="6"/>
      <c r="B487" s="6"/>
      <c r="C487" s="6" t="str">
        <f>VLOOKUP(B487,Sheet3!$B$2:$E$312,2,FALSE)</f>
        <v>#N/A</v>
      </c>
      <c r="D487" s="6" t="str">
        <f>VLOOKUP(B487,Sheet3!$B$2:$E$312,3,)</f>
        <v>#N/A</v>
      </c>
      <c r="E487" s="6" t="str">
        <f>VLOOKUP(B487,Sheet3!$B$2:$E$312,4,)</f>
        <v>#N/A</v>
      </c>
      <c r="F487" s="6"/>
      <c r="G487" s="6"/>
      <c r="H487" s="6"/>
    </row>
    <row r="488" ht="15.75" customHeight="1">
      <c r="A488" s="6"/>
      <c r="B488" s="6"/>
      <c r="C488" s="6" t="str">
        <f>VLOOKUP(B488,Sheet3!$B$2:$E$312,2,FALSE)</f>
        <v>#N/A</v>
      </c>
      <c r="D488" s="6" t="str">
        <f>VLOOKUP(B488,Sheet3!$B$2:$E$312,3,)</f>
        <v>#N/A</v>
      </c>
      <c r="E488" s="6" t="str">
        <f>VLOOKUP(B488,Sheet3!$B$2:$E$312,4,)</f>
        <v>#N/A</v>
      </c>
      <c r="F488" s="6"/>
      <c r="G488" s="6"/>
      <c r="H488" s="6"/>
    </row>
    <row r="489" ht="15.75" customHeight="1">
      <c r="A489" s="6"/>
      <c r="B489" s="6"/>
      <c r="C489" s="6" t="str">
        <f>VLOOKUP(B489,Sheet3!$B$2:$E$312,2,FALSE)</f>
        <v>#N/A</v>
      </c>
      <c r="D489" s="6" t="str">
        <f>VLOOKUP(B489,Sheet3!$B$2:$E$312,3,)</f>
        <v>#N/A</v>
      </c>
      <c r="E489" s="6" t="str">
        <f>VLOOKUP(B489,Sheet3!$B$2:$E$312,4,)</f>
        <v>#N/A</v>
      </c>
      <c r="F489" s="6"/>
      <c r="G489" s="6"/>
      <c r="H489" s="6"/>
    </row>
    <row r="490" ht="15.75" customHeight="1">
      <c r="A490" s="6"/>
      <c r="B490" s="6"/>
      <c r="C490" s="6" t="str">
        <f>VLOOKUP(B490,Sheet3!$B$2:$E$312,2,FALSE)</f>
        <v>#N/A</v>
      </c>
      <c r="D490" s="6" t="str">
        <f>VLOOKUP(B490,Sheet3!$B$2:$E$312,3,)</f>
        <v>#N/A</v>
      </c>
      <c r="E490" s="6" t="str">
        <f>VLOOKUP(B490,Sheet3!$B$2:$E$312,4,)</f>
        <v>#N/A</v>
      </c>
      <c r="F490" s="6"/>
      <c r="G490" s="6"/>
      <c r="H490" s="6"/>
    </row>
    <row r="491" ht="15.75" customHeight="1">
      <c r="A491" s="6"/>
      <c r="B491" s="6"/>
      <c r="C491" s="6" t="str">
        <f>VLOOKUP(B491,Sheet3!$B$2:$E$312,2,FALSE)</f>
        <v>#N/A</v>
      </c>
      <c r="D491" s="6" t="str">
        <f>VLOOKUP(B491,Sheet3!$B$2:$E$312,3,)</f>
        <v>#N/A</v>
      </c>
      <c r="E491" s="6" t="str">
        <f>VLOOKUP(B491,Sheet3!$B$2:$E$312,4,)</f>
        <v>#N/A</v>
      </c>
      <c r="F491" s="6"/>
      <c r="G491" s="6"/>
      <c r="H491" s="6"/>
    </row>
    <row r="492" ht="15.75" customHeight="1">
      <c r="A492" s="6"/>
      <c r="B492" s="6"/>
      <c r="C492" s="6" t="str">
        <f>VLOOKUP(B492,Sheet3!$B$2:$E$312,2,FALSE)</f>
        <v>#N/A</v>
      </c>
      <c r="D492" s="6" t="str">
        <f>VLOOKUP(B492,Sheet3!$B$2:$E$312,3,)</f>
        <v>#N/A</v>
      </c>
      <c r="E492" s="6" t="str">
        <f>VLOOKUP(B492,Sheet3!$B$2:$E$312,4,)</f>
        <v>#N/A</v>
      </c>
      <c r="F492" s="6"/>
      <c r="G492" s="6"/>
      <c r="H492" s="6"/>
    </row>
    <row r="493" ht="15.75" customHeight="1">
      <c r="A493" s="6"/>
      <c r="B493" s="6"/>
      <c r="C493" s="6" t="str">
        <f>VLOOKUP(B493,Sheet3!$B$2:$E$312,2,FALSE)</f>
        <v>#N/A</v>
      </c>
      <c r="D493" s="6" t="str">
        <f>VLOOKUP(B493,Sheet3!$B$2:$E$312,3,)</f>
        <v>#N/A</v>
      </c>
      <c r="E493" s="6" t="str">
        <f>VLOOKUP(B493,Sheet3!$B$2:$E$312,4,)</f>
        <v>#N/A</v>
      </c>
      <c r="F493" s="6"/>
      <c r="G493" s="6"/>
      <c r="H493" s="6"/>
    </row>
    <row r="494" ht="15.75" customHeight="1">
      <c r="A494" s="6"/>
      <c r="B494" s="6"/>
      <c r="C494" s="6" t="str">
        <f>VLOOKUP(B494,Sheet3!$B$2:$E$312,2,FALSE)</f>
        <v>#N/A</v>
      </c>
      <c r="D494" s="6" t="str">
        <f>VLOOKUP(B494,Sheet3!$B$2:$E$312,3,)</f>
        <v>#N/A</v>
      </c>
      <c r="E494" s="6" t="str">
        <f>VLOOKUP(B494,Sheet3!$B$2:$E$312,4,)</f>
        <v>#N/A</v>
      </c>
      <c r="F494" s="6"/>
      <c r="G494" s="6"/>
      <c r="H494" s="6"/>
    </row>
    <row r="495" ht="15.75" customHeight="1">
      <c r="A495" s="6"/>
      <c r="B495" s="6"/>
      <c r="C495" s="6" t="str">
        <f>VLOOKUP(B495,Sheet3!$B$2:$E$312,2,FALSE)</f>
        <v>#N/A</v>
      </c>
      <c r="D495" s="6" t="str">
        <f>VLOOKUP(B495,Sheet3!$B$2:$E$312,3,)</f>
        <v>#N/A</v>
      </c>
      <c r="E495" s="6" t="str">
        <f>VLOOKUP(B495,Sheet3!$B$2:$E$312,4,)</f>
        <v>#N/A</v>
      </c>
      <c r="F495" s="6"/>
      <c r="G495" s="6"/>
      <c r="H495" s="6"/>
    </row>
    <row r="496" ht="15.75" customHeight="1">
      <c r="A496" s="6"/>
      <c r="B496" s="6"/>
      <c r="C496" s="6" t="str">
        <f>VLOOKUP(B496,Sheet3!$B$2:$E$312,2,FALSE)</f>
        <v>#N/A</v>
      </c>
      <c r="D496" s="6" t="str">
        <f>VLOOKUP(B496,Sheet3!$B$2:$E$312,3,)</f>
        <v>#N/A</v>
      </c>
      <c r="E496" s="6" t="str">
        <f>VLOOKUP(B496,Sheet3!$B$2:$E$312,4,)</f>
        <v>#N/A</v>
      </c>
      <c r="F496" s="6"/>
      <c r="G496" s="6"/>
      <c r="H496" s="6"/>
    </row>
    <row r="497" ht="15.75" customHeight="1">
      <c r="A497" s="6"/>
      <c r="B497" s="6"/>
      <c r="C497" s="6" t="str">
        <f>VLOOKUP(B497,Sheet3!$B$2:$E$312,2,FALSE)</f>
        <v>#N/A</v>
      </c>
      <c r="D497" s="6" t="str">
        <f>VLOOKUP(B497,Sheet3!$B$2:$E$312,3,)</f>
        <v>#N/A</v>
      </c>
      <c r="E497" s="6" t="str">
        <f>VLOOKUP(B497,Sheet3!$B$2:$E$312,4,)</f>
        <v>#N/A</v>
      </c>
      <c r="F497" s="6"/>
      <c r="G497" s="6"/>
      <c r="H497" s="6"/>
    </row>
    <row r="498" ht="15.75" customHeight="1">
      <c r="A498" s="6"/>
      <c r="B498" s="6"/>
      <c r="C498" s="6" t="str">
        <f>VLOOKUP(B498,Sheet3!$B$2:$E$312,2,FALSE)</f>
        <v>#N/A</v>
      </c>
      <c r="D498" s="6" t="str">
        <f>VLOOKUP(B498,Sheet3!$B$2:$E$312,3,)</f>
        <v>#N/A</v>
      </c>
      <c r="E498" s="6" t="str">
        <f>VLOOKUP(B498,Sheet3!$B$2:$E$312,4,)</f>
        <v>#N/A</v>
      </c>
      <c r="F498" s="6"/>
      <c r="G498" s="6"/>
      <c r="H498" s="6"/>
    </row>
    <row r="499" ht="15.75" customHeight="1">
      <c r="A499" s="6"/>
      <c r="B499" s="6"/>
      <c r="C499" s="6" t="str">
        <f>VLOOKUP(B499,Sheet3!$B$2:$E$312,2,FALSE)</f>
        <v>#N/A</v>
      </c>
      <c r="D499" s="6" t="str">
        <f>VLOOKUP(B499,Sheet3!$B$2:$E$312,3,)</f>
        <v>#N/A</v>
      </c>
      <c r="E499" s="6" t="str">
        <f>VLOOKUP(B499,Sheet3!$B$2:$E$312,4,)</f>
        <v>#N/A</v>
      </c>
      <c r="F499" s="6"/>
      <c r="G499" s="6"/>
      <c r="H499" s="6"/>
    </row>
    <row r="500" ht="15.75" customHeight="1">
      <c r="A500" s="6"/>
      <c r="B500" s="6"/>
      <c r="C500" s="6" t="str">
        <f>VLOOKUP(B500,Sheet3!$B$2:$E$312,2,FALSE)</f>
        <v>#N/A</v>
      </c>
      <c r="D500" s="6" t="str">
        <f>VLOOKUP(B500,Sheet3!$B$2:$E$312,3,)</f>
        <v>#N/A</v>
      </c>
      <c r="E500" s="6" t="str">
        <f>VLOOKUP(B500,Sheet3!$B$2:$E$312,4,)</f>
        <v>#N/A</v>
      </c>
      <c r="F500" s="6"/>
      <c r="G500" s="6"/>
      <c r="H500" s="6"/>
    </row>
    <row r="501" ht="15.75" customHeight="1">
      <c r="A501" s="6"/>
      <c r="B501" s="6"/>
      <c r="C501" s="6" t="str">
        <f>VLOOKUP(B501,Sheet3!$B$2:$E$312,2,FALSE)</f>
        <v>#N/A</v>
      </c>
      <c r="D501" s="6" t="str">
        <f>VLOOKUP(B501,Sheet3!$B$2:$E$312,3,)</f>
        <v>#N/A</v>
      </c>
      <c r="E501" s="6" t="str">
        <f>VLOOKUP(B501,Sheet3!$B$2:$E$312,4,)</f>
        <v>#N/A</v>
      </c>
      <c r="F501" s="6"/>
      <c r="G501" s="6"/>
      <c r="H501" s="6"/>
    </row>
    <row r="502" ht="15.75" customHeight="1">
      <c r="A502" s="6"/>
      <c r="B502" s="6"/>
      <c r="C502" s="6" t="str">
        <f>VLOOKUP(B502,Sheet3!$B$2:$E$312,2,FALSE)</f>
        <v>#N/A</v>
      </c>
      <c r="D502" s="6" t="str">
        <f>VLOOKUP(B502,Sheet3!$B$2:$E$312,3,)</f>
        <v>#N/A</v>
      </c>
      <c r="E502" s="6" t="str">
        <f>VLOOKUP(B502,Sheet3!$B$2:$E$312,4,)</f>
        <v>#N/A</v>
      </c>
      <c r="F502" s="6"/>
      <c r="G502" s="6"/>
      <c r="H502" s="6"/>
    </row>
    <row r="503" ht="15.75" customHeight="1">
      <c r="A503" s="6"/>
      <c r="B503" s="6"/>
      <c r="C503" s="6" t="str">
        <f>VLOOKUP(B503,Sheet3!$B$2:$E$312,2,FALSE)</f>
        <v>#N/A</v>
      </c>
      <c r="D503" s="6" t="str">
        <f>VLOOKUP(B503,Sheet3!$B$2:$E$312,3,)</f>
        <v>#N/A</v>
      </c>
      <c r="E503" s="6" t="str">
        <f>VLOOKUP(B503,Sheet3!$B$2:$E$312,4,)</f>
        <v>#N/A</v>
      </c>
      <c r="F503" s="6"/>
      <c r="G503" s="6"/>
      <c r="H503" s="6"/>
    </row>
    <row r="504" ht="15.75" customHeight="1">
      <c r="A504" s="6"/>
      <c r="B504" s="6"/>
      <c r="C504" s="6" t="str">
        <f>VLOOKUP(B504,Sheet3!$B$2:$E$312,2,FALSE)</f>
        <v>#N/A</v>
      </c>
      <c r="D504" s="6" t="str">
        <f>VLOOKUP(B504,Sheet3!$B$2:$E$312,3,)</f>
        <v>#N/A</v>
      </c>
      <c r="E504" s="6" t="str">
        <f>VLOOKUP(B504,Sheet3!$B$2:$E$312,4,)</f>
        <v>#N/A</v>
      </c>
      <c r="F504" s="6"/>
      <c r="G504" s="6"/>
      <c r="H504" s="6"/>
    </row>
    <row r="505" ht="15.75" customHeight="1">
      <c r="A505" s="6"/>
      <c r="B505" s="6"/>
      <c r="C505" s="6" t="str">
        <f>VLOOKUP(B505,Sheet3!$B$2:$E$312,2,FALSE)</f>
        <v>#N/A</v>
      </c>
      <c r="D505" s="6" t="str">
        <f>VLOOKUP(B505,Sheet3!$B$2:$E$312,3,)</f>
        <v>#N/A</v>
      </c>
      <c r="E505" s="6" t="str">
        <f>VLOOKUP(B505,Sheet3!$B$2:$E$312,4,)</f>
        <v>#N/A</v>
      </c>
      <c r="F505" s="6"/>
      <c r="G505" s="6"/>
      <c r="H505" s="6"/>
    </row>
    <row r="506" ht="15.75" customHeight="1">
      <c r="A506" s="6"/>
      <c r="B506" s="6"/>
      <c r="C506" s="6" t="str">
        <f>VLOOKUP(B506,Sheet3!$B$2:$E$312,2,FALSE)</f>
        <v>#N/A</v>
      </c>
      <c r="D506" s="6" t="str">
        <f>VLOOKUP(B506,Sheet3!$B$2:$E$312,3,)</f>
        <v>#N/A</v>
      </c>
      <c r="E506" s="6" t="str">
        <f>VLOOKUP(B506,Sheet3!$B$2:$E$312,4,)</f>
        <v>#N/A</v>
      </c>
      <c r="F506" s="6"/>
      <c r="G506" s="6"/>
      <c r="H506" s="6"/>
    </row>
    <row r="507" ht="15.75" customHeight="1">
      <c r="A507" s="6"/>
      <c r="B507" s="6"/>
      <c r="C507" s="6" t="str">
        <f>VLOOKUP(B507,Sheet3!$B$2:$E$312,2,FALSE)</f>
        <v>#N/A</v>
      </c>
      <c r="D507" s="6" t="str">
        <f>VLOOKUP(B507,Sheet3!$B$2:$E$312,3,)</f>
        <v>#N/A</v>
      </c>
      <c r="E507" s="6" t="str">
        <f>VLOOKUP(B507,Sheet3!$B$2:$E$312,4,)</f>
        <v>#N/A</v>
      </c>
      <c r="F507" s="6"/>
      <c r="G507" s="6"/>
      <c r="H507" s="6"/>
    </row>
    <row r="508" ht="15.75" customHeight="1">
      <c r="A508" s="6"/>
      <c r="B508" s="6"/>
      <c r="C508" s="6" t="str">
        <f>VLOOKUP(B508,Sheet3!$B$2:$E$312,2,FALSE)</f>
        <v>#N/A</v>
      </c>
      <c r="D508" s="6" t="str">
        <f>VLOOKUP(B508,Sheet3!$B$2:$E$312,3,)</f>
        <v>#N/A</v>
      </c>
      <c r="E508" s="6" t="str">
        <f>VLOOKUP(B508,Sheet3!$B$2:$E$312,4,)</f>
        <v>#N/A</v>
      </c>
      <c r="F508" s="6"/>
      <c r="G508" s="6"/>
      <c r="H508" s="6"/>
    </row>
    <row r="509" ht="15.75" customHeight="1">
      <c r="A509" s="6"/>
      <c r="B509" s="6"/>
      <c r="C509" s="6" t="str">
        <f>VLOOKUP(B509,Sheet3!$B$2:$E$312,2,FALSE)</f>
        <v>#N/A</v>
      </c>
      <c r="D509" s="6" t="str">
        <f>VLOOKUP(B509,Sheet3!$B$2:$E$312,3,)</f>
        <v>#N/A</v>
      </c>
      <c r="E509" s="6" t="str">
        <f>VLOOKUP(B509,Sheet3!$B$2:$E$312,4,)</f>
        <v>#N/A</v>
      </c>
      <c r="F509" s="6"/>
      <c r="G509" s="6"/>
      <c r="H509" s="6"/>
    </row>
    <row r="510" ht="15.75" customHeight="1">
      <c r="A510" s="6"/>
      <c r="B510" s="6"/>
      <c r="C510" s="6" t="str">
        <f>VLOOKUP(B510,Sheet3!$B$2:$E$312,2,FALSE)</f>
        <v>#N/A</v>
      </c>
      <c r="D510" s="6" t="str">
        <f>VLOOKUP(B510,Sheet3!$B$2:$E$312,3,)</f>
        <v>#N/A</v>
      </c>
      <c r="E510" s="6" t="str">
        <f>VLOOKUP(B510,Sheet3!$B$2:$E$312,4,)</f>
        <v>#N/A</v>
      </c>
      <c r="F510" s="6"/>
      <c r="G510" s="6"/>
      <c r="H510" s="6"/>
    </row>
    <row r="511" ht="15.75" customHeight="1">
      <c r="A511" s="6"/>
      <c r="B511" s="6"/>
      <c r="C511" s="6" t="str">
        <f>VLOOKUP(B511,Sheet3!$B$2:$E$312,2,FALSE)</f>
        <v>#N/A</v>
      </c>
      <c r="D511" s="6" t="str">
        <f>VLOOKUP(B511,Sheet3!$B$2:$E$312,3,)</f>
        <v>#N/A</v>
      </c>
      <c r="E511" s="6" t="str">
        <f>VLOOKUP(B511,Sheet3!$B$2:$E$312,4,)</f>
        <v>#N/A</v>
      </c>
      <c r="F511" s="6"/>
      <c r="G511" s="6"/>
      <c r="H511" s="6"/>
    </row>
    <row r="512" ht="15.75" customHeight="1">
      <c r="A512" s="6"/>
      <c r="B512" s="6"/>
      <c r="C512" s="6" t="str">
        <f>VLOOKUP(B512,Sheet3!$B$2:$E$312,2,FALSE)</f>
        <v>#N/A</v>
      </c>
      <c r="D512" s="6" t="str">
        <f>VLOOKUP(B512,Sheet3!$B$2:$E$312,3,)</f>
        <v>#N/A</v>
      </c>
      <c r="E512" s="6" t="str">
        <f>VLOOKUP(B512,Sheet3!$B$2:$E$312,4,)</f>
        <v>#N/A</v>
      </c>
      <c r="F512" s="6"/>
      <c r="G512" s="6"/>
      <c r="H512" s="6"/>
    </row>
    <row r="513" ht="15.75" customHeight="1">
      <c r="A513" s="6"/>
      <c r="B513" s="6"/>
      <c r="C513" s="6" t="str">
        <f>VLOOKUP(B513,Sheet3!$B$2:$E$312,2,FALSE)</f>
        <v>#N/A</v>
      </c>
      <c r="D513" s="6" t="str">
        <f>VLOOKUP(B513,Sheet3!$B$2:$E$312,3,)</f>
        <v>#N/A</v>
      </c>
      <c r="E513" s="6" t="str">
        <f>VLOOKUP(B513,Sheet3!$B$2:$E$312,4,)</f>
        <v>#N/A</v>
      </c>
      <c r="F513" s="6"/>
      <c r="G513" s="6"/>
      <c r="H513" s="6"/>
    </row>
    <row r="514" ht="15.75" customHeight="1">
      <c r="A514" s="6"/>
      <c r="B514" s="6"/>
      <c r="C514" s="6" t="str">
        <f>VLOOKUP(B514,Sheet3!$B$2:$E$312,2,FALSE)</f>
        <v>#N/A</v>
      </c>
      <c r="D514" s="6" t="str">
        <f>VLOOKUP(B514,Sheet3!$B$2:$E$312,3,)</f>
        <v>#N/A</v>
      </c>
      <c r="E514" s="6" t="str">
        <f>VLOOKUP(B514,Sheet3!$B$2:$E$312,4,)</f>
        <v>#N/A</v>
      </c>
      <c r="F514" s="6"/>
      <c r="G514" s="6"/>
      <c r="H514" s="6"/>
    </row>
    <row r="515" ht="15.75" customHeight="1">
      <c r="A515" s="6"/>
      <c r="B515" s="6"/>
      <c r="C515" s="6" t="str">
        <f>VLOOKUP(B515,Sheet3!$B$2:$E$312,2,FALSE)</f>
        <v>#N/A</v>
      </c>
      <c r="D515" s="6" t="str">
        <f>VLOOKUP(B515,Sheet3!$B$2:$E$312,3,)</f>
        <v>#N/A</v>
      </c>
      <c r="E515" s="6" t="str">
        <f>VLOOKUP(B515,Sheet3!$B$2:$E$312,4,)</f>
        <v>#N/A</v>
      </c>
      <c r="F515" s="6"/>
      <c r="G515" s="6"/>
      <c r="H515" s="6"/>
    </row>
    <row r="516" ht="15.75" customHeight="1">
      <c r="A516" s="6"/>
      <c r="B516" s="6"/>
      <c r="C516" s="6" t="str">
        <f>VLOOKUP(B516,Sheet3!$B$2:$E$312,2,FALSE)</f>
        <v>#N/A</v>
      </c>
      <c r="D516" s="6" t="str">
        <f>VLOOKUP(B516,Sheet3!$B$2:$E$312,3,)</f>
        <v>#N/A</v>
      </c>
      <c r="E516" s="6" t="str">
        <f>VLOOKUP(B516,Sheet3!$B$2:$E$312,4,)</f>
        <v>#N/A</v>
      </c>
      <c r="F516" s="6"/>
      <c r="G516" s="6"/>
      <c r="H516" s="6"/>
    </row>
    <row r="517" ht="15.75" customHeight="1">
      <c r="A517" s="6"/>
      <c r="B517" s="6"/>
      <c r="C517" s="6" t="str">
        <f>VLOOKUP(B517,Sheet3!$B$2:$E$312,2,FALSE)</f>
        <v>#N/A</v>
      </c>
      <c r="D517" s="6" t="str">
        <f>VLOOKUP(B517,Sheet3!$B$2:$E$312,3,)</f>
        <v>#N/A</v>
      </c>
      <c r="E517" s="6" t="str">
        <f>VLOOKUP(B517,Sheet3!$B$2:$E$312,4,)</f>
        <v>#N/A</v>
      </c>
      <c r="F517" s="6"/>
      <c r="G517" s="6"/>
      <c r="H517" s="6"/>
    </row>
    <row r="518" ht="15.75" customHeight="1">
      <c r="A518" s="6"/>
      <c r="B518" s="6"/>
      <c r="C518" s="6" t="str">
        <f>VLOOKUP(B518,Sheet3!$B$2:$E$312,2,FALSE)</f>
        <v>#N/A</v>
      </c>
      <c r="D518" s="6" t="str">
        <f>VLOOKUP(B518,Sheet3!$B$2:$E$312,3,)</f>
        <v>#N/A</v>
      </c>
      <c r="E518" s="6" t="str">
        <f>VLOOKUP(B518,Sheet3!$B$2:$E$312,4,)</f>
        <v>#N/A</v>
      </c>
      <c r="F518" s="6"/>
      <c r="G518" s="6"/>
      <c r="H518" s="6"/>
    </row>
    <row r="519" ht="15.75" customHeight="1">
      <c r="A519" s="6"/>
      <c r="B519" s="6"/>
      <c r="C519" s="6" t="str">
        <f>VLOOKUP(B519,Sheet3!$B$2:$E$312,2,FALSE)</f>
        <v>#N/A</v>
      </c>
      <c r="D519" s="6" t="str">
        <f>VLOOKUP(B519,Sheet3!$B$2:$E$312,3,)</f>
        <v>#N/A</v>
      </c>
      <c r="E519" s="6" t="str">
        <f>VLOOKUP(B519,Sheet3!$B$2:$E$312,4,)</f>
        <v>#N/A</v>
      </c>
      <c r="F519" s="6"/>
      <c r="G519" s="6"/>
      <c r="H519" s="6"/>
    </row>
    <row r="520" ht="15.75" customHeight="1">
      <c r="A520" s="6"/>
      <c r="B520" s="6"/>
      <c r="C520" s="6" t="str">
        <f>VLOOKUP(B520,Sheet3!$B$2:$E$312,2,FALSE)</f>
        <v>#N/A</v>
      </c>
      <c r="D520" s="6" t="str">
        <f>VLOOKUP(B520,Sheet3!$B$2:$E$312,3,)</f>
        <v>#N/A</v>
      </c>
      <c r="E520" s="6" t="str">
        <f>VLOOKUP(B520,Sheet3!$B$2:$E$312,4,)</f>
        <v>#N/A</v>
      </c>
      <c r="F520" s="6"/>
      <c r="G520" s="6"/>
      <c r="H520" s="6"/>
    </row>
    <row r="521" ht="15.75" customHeight="1">
      <c r="A521" s="6"/>
      <c r="B521" s="6"/>
      <c r="C521" s="6" t="str">
        <f>VLOOKUP(B521,Sheet3!$B$2:$E$312,2,FALSE)</f>
        <v>#N/A</v>
      </c>
      <c r="D521" s="6" t="str">
        <f>VLOOKUP(B521,Sheet3!$B$2:$E$312,3,)</f>
        <v>#N/A</v>
      </c>
      <c r="E521" s="6" t="str">
        <f>VLOOKUP(B521,Sheet3!$B$2:$E$312,4,)</f>
        <v>#N/A</v>
      </c>
      <c r="F521" s="6"/>
      <c r="G521" s="6"/>
      <c r="H521" s="6"/>
    </row>
    <row r="522" ht="15.75" customHeight="1">
      <c r="A522" s="6"/>
      <c r="B522" s="6"/>
      <c r="C522" s="6" t="str">
        <f>VLOOKUP(B522,Sheet3!$B$2:$E$312,2,FALSE)</f>
        <v>#N/A</v>
      </c>
      <c r="D522" s="6" t="str">
        <f>VLOOKUP(B522,Sheet3!$B$2:$E$312,3,)</f>
        <v>#N/A</v>
      </c>
      <c r="E522" s="6" t="str">
        <f>VLOOKUP(B522,Sheet3!$B$2:$E$312,4,)</f>
        <v>#N/A</v>
      </c>
      <c r="F522" s="6"/>
      <c r="G522" s="6"/>
      <c r="H522" s="6"/>
    </row>
    <row r="523" ht="15.75" customHeight="1">
      <c r="A523" s="6"/>
      <c r="B523" s="6"/>
      <c r="C523" s="6" t="str">
        <f>VLOOKUP(B523,Sheet3!$B$2:$E$312,2,FALSE)</f>
        <v>#N/A</v>
      </c>
      <c r="D523" s="6" t="str">
        <f>VLOOKUP(B523,Sheet3!$B$2:$E$312,3,)</f>
        <v>#N/A</v>
      </c>
      <c r="E523" s="6" t="str">
        <f>VLOOKUP(B523,Sheet3!$B$2:$E$312,4,)</f>
        <v>#N/A</v>
      </c>
      <c r="F523" s="6"/>
      <c r="G523" s="6"/>
      <c r="H523" s="6"/>
    </row>
    <row r="524" ht="15.75" customHeight="1">
      <c r="A524" s="6"/>
      <c r="B524" s="6"/>
      <c r="C524" s="6" t="str">
        <f>VLOOKUP(B524,Sheet3!$B$2:$E$312,2,FALSE)</f>
        <v>#N/A</v>
      </c>
      <c r="D524" s="6" t="str">
        <f>VLOOKUP(B524,Sheet3!$B$2:$E$312,3,)</f>
        <v>#N/A</v>
      </c>
      <c r="E524" s="6" t="str">
        <f>VLOOKUP(B524,Sheet3!$B$2:$E$312,4,)</f>
        <v>#N/A</v>
      </c>
      <c r="F524" s="6"/>
      <c r="G524" s="6"/>
      <c r="H524" s="6"/>
    </row>
    <row r="525" ht="15.75" customHeight="1">
      <c r="A525" s="6"/>
      <c r="B525" s="6"/>
      <c r="C525" s="6" t="str">
        <f>VLOOKUP(B525,Sheet3!$B$2:$E$312,2,FALSE)</f>
        <v>#N/A</v>
      </c>
      <c r="D525" s="6" t="str">
        <f>VLOOKUP(B525,Sheet3!$B$2:$E$312,3,)</f>
        <v>#N/A</v>
      </c>
      <c r="E525" s="6" t="str">
        <f>VLOOKUP(B525,Sheet3!$B$2:$E$312,4,)</f>
        <v>#N/A</v>
      </c>
      <c r="F525" s="6"/>
      <c r="G525" s="6"/>
      <c r="H525" s="6"/>
    </row>
    <row r="526" ht="15.75" customHeight="1">
      <c r="A526" s="6"/>
      <c r="B526" s="6"/>
      <c r="C526" s="6" t="str">
        <f>VLOOKUP(B526,Sheet3!$B$2:$E$312,2,FALSE)</f>
        <v>#N/A</v>
      </c>
      <c r="D526" s="6" t="str">
        <f>VLOOKUP(B526,Sheet3!$B$2:$E$312,3,)</f>
        <v>#N/A</v>
      </c>
      <c r="E526" s="6" t="str">
        <f>VLOOKUP(B526,Sheet3!$B$2:$E$312,4,)</f>
        <v>#N/A</v>
      </c>
      <c r="F526" s="6"/>
      <c r="G526" s="6"/>
      <c r="H526" s="6"/>
    </row>
    <row r="527" ht="15.75" customHeight="1">
      <c r="A527" s="6"/>
      <c r="B527" s="6"/>
      <c r="C527" s="6" t="str">
        <f>VLOOKUP(B527,Sheet3!$B$2:$E$312,2,FALSE)</f>
        <v>#N/A</v>
      </c>
      <c r="D527" s="6" t="str">
        <f>VLOOKUP(B527,Sheet3!$B$2:$E$312,3,)</f>
        <v>#N/A</v>
      </c>
      <c r="E527" s="6" t="str">
        <f>VLOOKUP(B527,Sheet3!$B$2:$E$312,4,)</f>
        <v>#N/A</v>
      </c>
      <c r="F527" s="6"/>
      <c r="G527" s="6"/>
      <c r="H527" s="6"/>
    </row>
    <row r="528" ht="15.75" customHeight="1">
      <c r="A528" s="6"/>
      <c r="B528" s="6"/>
      <c r="C528" s="6" t="str">
        <f>VLOOKUP(B528,Sheet3!$B$2:$E$312,2,FALSE)</f>
        <v>#N/A</v>
      </c>
      <c r="D528" s="6" t="str">
        <f>VLOOKUP(B528,Sheet3!$B$2:$E$312,3,)</f>
        <v>#N/A</v>
      </c>
      <c r="E528" s="6" t="str">
        <f>VLOOKUP(B528,Sheet3!$B$2:$E$312,4,)</f>
        <v>#N/A</v>
      </c>
      <c r="F528" s="6"/>
      <c r="G528" s="6"/>
      <c r="H528" s="6"/>
    </row>
    <row r="529" ht="15.75" customHeight="1">
      <c r="A529" s="6"/>
      <c r="B529" s="6"/>
      <c r="C529" s="6" t="str">
        <f>VLOOKUP(B529,Sheet3!$B$2:$E$312,2,FALSE)</f>
        <v>#N/A</v>
      </c>
      <c r="D529" s="6" t="str">
        <f>VLOOKUP(B529,Sheet3!$B$2:$E$312,3,)</f>
        <v>#N/A</v>
      </c>
      <c r="E529" s="6" t="str">
        <f>VLOOKUP(B529,Sheet3!$B$2:$E$312,4,)</f>
        <v>#N/A</v>
      </c>
      <c r="F529" s="6"/>
      <c r="G529" s="6"/>
      <c r="H529" s="6"/>
    </row>
    <row r="530" ht="15.75" customHeight="1">
      <c r="A530" s="6"/>
      <c r="B530" s="6"/>
      <c r="C530" s="6" t="str">
        <f>VLOOKUP(B530,Sheet3!$B$2:$E$312,2,FALSE)</f>
        <v>#N/A</v>
      </c>
      <c r="D530" s="6" t="str">
        <f>VLOOKUP(B530,Sheet3!$B$2:$E$312,3,)</f>
        <v>#N/A</v>
      </c>
      <c r="E530" s="6" t="str">
        <f>VLOOKUP(B530,Sheet3!$B$2:$E$312,4,)</f>
        <v>#N/A</v>
      </c>
      <c r="F530" s="6"/>
      <c r="G530" s="6"/>
      <c r="H530" s="6"/>
    </row>
    <row r="531" ht="15.75" customHeight="1">
      <c r="A531" s="6"/>
      <c r="B531" s="6"/>
      <c r="C531" s="6" t="str">
        <f>VLOOKUP(B531,Sheet3!$B$2:$E$312,2,FALSE)</f>
        <v>#N/A</v>
      </c>
      <c r="D531" s="6" t="str">
        <f>VLOOKUP(B531,Sheet3!$B$2:$E$312,3,)</f>
        <v>#N/A</v>
      </c>
      <c r="E531" s="6" t="str">
        <f>VLOOKUP(B531,Sheet3!$B$2:$E$312,4,)</f>
        <v>#N/A</v>
      </c>
      <c r="F531" s="6"/>
      <c r="G531" s="6"/>
      <c r="H531" s="6"/>
    </row>
    <row r="532" ht="15.75" customHeight="1">
      <c r="A532" s="6"/>
      <c r="B532" s="6"/>
      <c r="C532" s="6" t="str">
        <f>VLOOKUP(B532,Sheet3!$B$2:$E$312,2,FALSE)</f>
        <v>#N/A</v>
      </c>
      <c r="D532" s="6" t="str">
        <f>VLOOKUP(B532,Sheet3!$B$2:$E$312,3,)</f>
        <v>#N/A</v>
      </c>
      <c r="E532" s="6" t="str">
        <f>VLOOKUP(B532,Sheet3!$B$2:$E$312,4,)</f>
        <v>#N/A</v>
      </c>
      <c r="F532" s="6"/>
      <c r="G532" s="6"/>
      <c r="H532" s="6"/>
    </row>
    <row r="533" ht="15.75" customHeight="1">
      <c r="A533" s="6"/>
      <c r="B533" s="6"/>
      <c r="C533" s="6" t="str">
        <f>VLOOKUP(B533,Sheet3!$B$2:$E$312,2,FALSE)</f>
        <v>#N/A</v>
      </c>
      <c r="D533" s="6" t="str">
        <f>VLOOKUP(B533,Sheet3!$B$2:$E$312,3,)</f>
        <v>#N/A</v>
      </c>
      <c r="E533" s="6" t="str">
        <f>VLOOKUP(B533,Sheet3!$B$2:$E$312,4,)</f>
        <v>#N/A</v>
      </c>
      <c r="F533" s="6"/>
      <c r="G533" s="6"/>
      <c r="H533" s="6"/>
    </row>
    <row r="534" ht="15.75" customHeight="1">
      <c r="A534" s="6"/>
      <c r="B534" s="6"/>
      <c r="C534" s="6" t="str">
        <f>VLOOKUP(B534,Sheet3!$B$2:$E$312,2,FALSE)</f>
        <v>#N/A</v>
      </c>
      <c r="D534" s="6" t="str">
        <f>VLOOKUP(B534,Sheet3!$B$2:$E$312,3,)</f>
        <v>#N/A</v>
      </c>
      <c r="E534" s="6" t="str">
        <f>VLOOKUP(B534,Sheet3!$B$2:$E$312,4,)</f>
        <v>#N/A</v>
      </c>
      <c r="F534" s="6"/>
      <c r="G534" s="6"/>
      <c r="H534" s="6"/>
    </row>
    <row r="535" ht="15.75" customHeight="1">
      <c r="A535" s="6"/>
      <c r="B535" s="6"/>
      <c r="C535" s="6" t="str">
        <f>VLOOKUP(B535,Sheet3!$B$2:$E$312,2,FALSE)</f>
        <v>#N/A</v>
      </c>
      <c r="D535" s="6" t="str">
        <f>VLOOKUP(B535,Sheet3!$B$2:$E$312,3,)</f>
        <v>#N/A</v>
      </c>
      <c r="E535" s="6" t="str">
        <f>VLOOKUP(B535,Sheet3!$B$2:$E$312,4,)</f>
        <v>#N/A</v>
      </c>
      <c r="F535" s="6"/>
      <c r="G535" s="6"/>
      <c r="H535" s="6"/>
    </row>
    <row r="536" ht="15.75" customHeight="1">
      <c r="A536" s="6"/>
      <c r="B536" s="6"/>
      <c r="C536" s="6" t="str">
        <f>VLOOKUP(B536,Sheet3!$B$2:$E$312,2,FALSE)</f>
        <v>#N/A</v>
      </c>
      <c r="D536" s="6" t="str">
        <f>VLOOKUP(B536,Sheet3!$B$2:$E$312,3,)</f>
        <v>#N/A</v>
      </c>
      <c r="E536" s="6" t="str">
        <f>VLOOKUP(B536,Sheet3!$B$2:$E$312,4,)</f>
        <v>#N/A</v>
      </c>
      <c r="F536" s="6"/>
      <c r="G536" s="6"/>
      <c r="H536" s="6"/>
    </row>
    <row r="537" ht="15.75" customHeight="1">
      <c r="A537" s="6"/>
      <c r="B537" s="6"/>
      <c r="C537" s="6" t="str">
        <f>VLOOKUP(B537,Sheet3!$B$2:$E$312,2,FALSE)</f>
        <v>#N/A</v>
      </c>
      <c r="D537" s="6" t="str">
        <f>VLOOKUP(B537,Sheet3!$B$2:$E$312,3,)</f>
        <v>#N/A</v>
      </c>
      <c r="E537" s="6" t="str">
        <f>VLOOKUP(B537,Sheet3!$B$2:$E$312,4,)</f>
        <v>#N/A</v>
      </c>
      <c r="F537" s="6"/>
      <c r="G537" s="6"/>
      <c r="H537" s="6"/>
    </row>
    <row r="538" ht="15.75" customHeight="1">
      <c r="A538" s="6"/>
      <c r="B538" s="6"/>
      <c r="C538" s="6" t="str">
        <f>VLOOKUP(B538,Sheet3!$B$2:$E$312,2,FALSE)</f>
        <v>#N/A</v>
      </c>
      <c r="D538" s="6" t="str">
        <f>VLOOKUP(B538,Sheet3!$B$2:$E$312,3,)</f>
        <v>#N/A</v>
      </c>
      <c r="E538" s="6" t="str">
        <f>VLOOKUP(B538,Sheet3!$B$2:$E$312,4,)</f>
        <v>#N/A</v>
      </c>
      <c r="F538" s="6"/>
      <c r="G538" s="6"/>
      <c r="H538" s="6"/>
    </row>
    <row r="539" ht="15.75" customHeight="1">
      <c r="A539" s="6"/>
      <c r="B539" s="6"/>
      <c r="C539" s="6" t="str">
        <f>VLOOKUP(B539,Sheet3!$B$2:$E$312,2,FALSE)</f>
        <v>#N/A</v>
      </c>
      <c r="D539" s="6" t="str">
        <f>VLOOKUP(B539,Sheet3!$B$2:$E$312,3,)</f>
        <v>#N/A</v>
      </c>
      <c r="E539" s="6" t="str">
        <f>VLOOKUP(B539,Sheet3!$B$2:$E$312,4,)</f>
        <v>#N/A</v>
      </c>
      <c r="F539" s="6"/>
      <c r="G539" s="6"/>
      <c r="H539" s="6"/>
    </row>
    <row r="540" ht="15.75" customHeight="1">
      <c r="A540" s="6"/>
      <c r="B540" s="6"/>
      <c r="C540" s="6" t="str">
        <f>VLOOKUP(B540,Sheet3!$B$2:$E$312,2,FALSE)</f>
        <v>#N/A</v>
      </c>
      <c r="D540" s="6" t="str">
        <f>VLOOKUP(B540,Sheet3!$B$2:$E$312,3,)</f>
        <v>#N/A</v>
      </c>
      <c r="E540" s="6" t="str">
        <f>VLOOKUP(B540,Sheet3!$B$2:$E$312,4,)</f>
        <v>#N/A</v>
      </c>
      <c r="F540" s="6"/>
      <c r="G540" s="6"/>
      <c r="H540" s="6"/>
    </row>
    <row r="541" ht="15.75" customHeight="1">
      <c r="A541" s="6"/>
      <c r="B541" s="6"/>
      <c r="C541" s="6" t="str">
        <f>VLOOKUP(B541,Sheet3!$B$2:$E$312,2,FALSE)</f>
        <v>#N/A</v>
      </c>
      <c r="D541" s="6" t="str">
        <f>VLOOKUP(B541,Sheet3!$B$2:$E$312,3,)</f>
        <v>#N/A</v>
      </c>
      <c r="E541" s="6" t="str">
        <f>VLOOKUP(B541,Sheet3!$B$2:$E$312,4,)</f>
        <v>#N/A</v>
      </c>
      <c r="F541" s="6"/>
      <c r="G541" s="6"/>
      <c r="H541" s="6"/>
    </row>
    <row r="542" ht="15.75" customHeight="1">
      <c r="A542" s="6"/>
      <c r="B542" s="6"/>
      <c r="C542" s="6" t="str">
        <f>VLOOKUP(B542,Sheet3!$B$2:$E$312,2,FALSE)</f>
        <v>#N/A</v>
      </c>
      <c r="D542" s="6" t="str">
        <f>VLOOKUP(B542,Sheet3!$B$2:$E$312,3,)</f>
        <v>#N/A</v>
      </c>
      <c r="E542" s="6" t="str">
        <f>VLOOKUP(B542,Sheet3!$B$2:$E$312,4,)</f>
        <v>#N/A</v>
      </c>
      <c r="F542" s="6"/>
      <c r="G542" s="6"/>
      <c r="H542" s="6"/>
    </row>
    <row r="543" ht="15.75" customHeight="1">
      <c r="A543" s="6"/>
      <c r="B543" s="6"/>
      <c r="C543" s="6" t="str">
        <f>VLOOKUP(B543,Sheet3!$B$2:$E$312,2,FALSE)</f>
        <v>#N/A</v>
      </c>
      <c r="D543" s="6" t="str">
        <f>VLOOKUP(B543,Sheet3!$B$2:$E$312,3,)</f>
        <v>#N/A</v>
      </c>
      <c r="E543" s="6" t="str">
        <f>VLOOKUP(B543,Sheet3!$B$2:$E$312,4,)</f>
        <v>#N/A</v>
      </c>
      <c r="F543" s="6"/>
      <c r="G543" s="6"/>
      <c r="H543" s="6"/>
    </row>
    <row r="544" ht="15.75" customHeight="1">
      <c r="A544" s="6"/>
      <c r="B544" s="6"/>
      <c r="C544" s="6" t="str">
        <f>VLOOKUP(B544,Sheet3!$B$2:$E$312,2,FALSE)</f>
        <v>#N/A</v>
      </c>
      <c r="D544" s="6" t="str">
        <f>VLOOKUP(B544,Sheet3!$B$2:$E$312,3,)</f>
        <v>#N/A</v>
      </c>
      <c r="E544" s="6" t="str">
        <f>VLOOKUP(B544,Sheet3!$B$2:$E$312,4,)</f>
        <v>#N/A</v>
      </c>
      <c r="F544" s="6"/>
      <c r="G544" s="6"/>
      <c r="H544" s="6"/>
    </row>
    <row r="545" ht="15.75" customHeight="1">
      <c r="A545" s="6"/>
      <c r="B545" s="6"/>
      <c r="C545" s="6" t="str">
        <f>VLOOKUP(B545,Sheet3!$B$2:$E$312,2,FALSE)</f>
        <v>#N/A</v>
      </c>
      <c r="D545" s="6" t="str">
        <f>VLOOKUP(B545,Sheet3!$B$2:$E$312,3,)</f>
        <v>#N/A</v>
      </c>
      <c r="E545" s="6" t="str">
        <f>VLOOKUP(B545,Sheet3!$B$2:$E$312,4,)</f>
        <v>#N/A</v>
      </c>
      <c r="F545" s="6"/>
      <c r="G545" s="6"/>
      <c r="H545" s="6"/>
    </row>
    <row r="546" ht="15.75" customHeight="1">
      <c r="A546" s="6"/>
      <c r="B546" s="6"/>
      <c r="C546" s="6" t="str">
        <f>VLOOKUP(B546,Sheet3!$B$2:$E$312,2,FALSE)</f>
        <v>#N/A</v>
      </c>
      <c r="D546" s="6" t="str">
        <f>VLOOKUP(B546,Sheet3!$B$2:$E$312,3,)</f>
        <v>#N/A</v>
      </c>
      <c r="E546" s="6" t="str">
        <f>VLOOKUP(B546,Sheet3!$B$2:$E$312,4,)</f>
        <v>#N/A</v>
      </c>
      <c r="F546" s="6"/>
      <c r="G546" s="6"/>
      <c r="H546" s="6"/>
    </row>
    <row r="547" ht="15.75" customHeight="1">
      <c r="A547" s="6"/>
      <c r="B547" s="6"/>
      <c r="C547" s="6" t="str">
        <f>VLOOKUP(B547,Sheet3!$B$2:$E$312,2,FALSE)</f>
        <v>#N/A</v>
      </c>
      <c r="D547" s="6" t="str">
        <f>VLOOKUP(B547,Sheet3!$B$2:$E$312,3,)</f>
        <v>#N/A</v>
      </c>
      <c r="E547" s="6" t="str">
        <f>VLOOKUP(B547,Sheet3!$B$2:$E$312,4,)</f>
        <v>#N/A</v>
      </c>
      <c r="F547" s="6"/>
      <c r="G547" s="6"/>
      <c r="H547" s="6"/>
    </row>
    <row r="548" ht="15.75" customHeight="1">
      <c r="A548" s="6"/>
      <c r="B548" s="6"/>
      <c r="C548" s="6" t="str">
        <f>VLOOKUP(B548,Sheet3!$B$2:$E$312,2,FALSE)</f>
        <v>#N/A</v>
      </c>
      <c r="D548" s="6" t="str">
        <f>VLOOKUP(B548,Sheet3!$B$2:$E$312,3,)</f>
        <v>#N/A</v>
      </c>
      <c r="E548" s="6" t="str">
        <f>VLOOKUP(B548,Sheet3!$B$2:$E$312,4,)</f>
        <v>#N/A</v>
      </c>
      <c r="F548" s="6"/>
      <c r="G548" s="6"/>
      <c r="H548" s="6"/>
    </row>
    <row r="549" ht="15.75" customHeight="1">
      <c r="A549" s="6"/>
      <c r="B549" s="6"/>
      <c r="C549" s="6" t="str">
        <f>VLOOKUP(B549,Sheet3!$B$2:$E$312,2,FALSE)</f>
        <v>#N/A</v>
      </c>
      <c r="D549" s="6" t="str">
        <f>VLOOKUP(B549,Sheet3!$B$2:$E$312,3,)</f>
        <v>#N/A</v>
      </c>
      <c r="E549" s="6" t="str">
        <f>VLOOKUP(B549,Sheet3!$B$2:$E$312,4,)</f>
        <v>#N/A</v>
      </c>
      <c r="F549" s="6"/>
      <c r="G549" s="6"/>
      <c r="H549" s="6"/>
    </row>
    <row r="550" ht="15.75" customHeight="1">
      <c r="A550" s="6"/>
      <c r="B550" s="6"/>
      <c r="C550" s="6" t="str">
        <f>VLOOKUP(B550,Sheet3!$B$2:$E$312,2,FALSE)</f>
        <v>#N/A</v>
      </c>
      <c r="D550" s="6" t="str">
        <f>VLOOKUP(B550,Sheet3!$B$2:$E$312,3,)</f>
        <v>#N/A</v>
      </c>
      <c r="E550" s="6" t="str">
        <f>VLOOKUP(B550,Sheet3!$B$2:$E$312,4,)</f>
        <v>#N/A</v>
      </c>
      <c r="F550" s="6"/>
      <c r="G550" s="6"/>
      <c r="H550" s="6"/>
    </row>
    <row r="551" ht="15.75" customHeight="1">
      <c r="A551" s="6"/>
      <c r="B551" s="6"/>
      <c r="C551" s="6" t="str">
        <f>VLOOKUP(B551,Sheet3!$B$2:$E$312,2,FALSE)</f>
        <v>#N/A</v>
      </c>
      <c r="D551" s="6" t="str">
        <f>VLOOKUP(B551,Sheet3!$B$2:$E$312,3,)</f>
        <v>#N/A</v>
      </c>
      <c r="E551" s="6" t="str">
        <f>VLOOKUP(B551,Sheet3!$B$2:$E$312,4,)</f>
        <v>#N/A</v>
      </c>
      <c r="F551" s="6"/>
      <c r="G551" s="6"/>
      <c r="H551" s="6"/>
    </row>
    <row r="552" ht="15.75" customHeight="1">
      <c r="A552" s="6"/>
      <c r="B552" s="6"/>
      <c r="C552" s="6" t="str">
        <f>VLOOKUP(B552,Sheet3!$B$2:$E$312,2,FALSE)</f>
        <v>#N/A</v>
      </c>
      <c r="D552" s="6" t="str">
        <f>VLOOKUP(B552,Sheet3!$B$2:$E$312,3,)</f>
        <v>#N/A</v>
      </c>
      <c r="E552" s="6" t="str">
        <f>VLOOKUP(B552,Sheet3!$B$2:$E$312,4,)</f>
        <v>#N/A</v>
      </c>
      <c r="F552" s="6"/>
      <c r="G552" s="6"/>
      <c r="H552" s="6"/>
    </row>
    <row r="553" ht="15.75" customHeight="1">
      <c r="A553" s="6"/>
      <c r="B553" s="6"/>
      <c r="C553" s="6" t="str">
        <f>VLOOKUP(B553,Sheet3!$B$2:$E$312,2,FALSE)</f>
        <v>#N/A</v>
      </c>
      <c r="D553" s="6" t="str">
        <f>VLOOKUP(B553,Sheet3!$B$2:$E$312,3,)</f>
        <v>#N/A</v>
      </c>
      <c r="E553" s="6" t="str">
        <f>VLOOKUP(B553,Sheet3!$B$2:$E$312,4,)</f>
        <v>#N/A</v>
      </c>
      <c r="F553" s="6"/>
      <c r="G553" s="6"/>
      <c r="H553" s="6"/>
    </row>
    <row r="554" ht="15.75" customHeight="1">
      <c r="A554" s="6"/>
      <c r="B554" s="6"/>
      <c r="C554" s="6" t="str">
        <f>VLOOKUP(B554,Sheet3!$B$2:$E$312,2,FALSE)</f>
        <v>#N/A</v>
      </c>
      <c r="D554" s="6" t="str">
        <f>VLOOKUP(B554,Sheet3!$B$2:$E$312,3,)</f>
        <v>#N/A</v>
      </c>
      <c r="E554" s="6" t="str">
        <f>VLOOKUP(B554,Sheet3!$B$2:$E$312,4,)</f>
        <v>#N/A</v>
      </c>
      <c r="F554" s="6"/>
      <c r="G554" s="6"/>
      <c r="H554" s="6"/>
    </row>
    <row r="555" ht="15.75" customHeight="1">
      <c r="A555" s="6"/>
      <c r="B555" s="6"/>
      <c r="C555" s="6" t="str">
        <f>VLOOKUP(B555,Sheet3!$B$2:$E$312,2,FALSE)</f>
        <v>#N/A</v>
      </c>
      <c r="D555" s="6" t="str">
        <f>VLOOKUP(B555,Sheet3!$B$2:$E$312,3,)</f>
        <v>#N/A</v>
      </c>
      <c r="E555" s="6" t="str">
        <f>VLOOKUP(B555,Sheet3!$B$2:$E$312,4,)</f>
        <v>#N/A</v>
      </c>
      <c r="F555" s="6"/>
      <c r="G555" s="6"/>
      <c r="H555" s="6"/>
    </row>
    <row r="556" ht="15.75" customHeight="1">
      <c r="A556" s="6"/>
      <c r="B556" s="6"/>
      <c r="C556" s="6" t="str">
        <f>VLOOKUP(B556,Sheet3!$B$2:$E$312,2,FALSE)</f>
        <v>#N/A</v>
      </c>
      <c r="D556" s="6" t="str">
        <f>VLOOKUP(B556,Sheet3!$B$2:$E$312,3,)</f>
        <v>#N/A</v>
      </c>
      <c r="E556" s="6" t="str">
        <f>VLOOKUP(B556,Sheet3!$B$2:$E$312,4,)</f>
        <v>#N/A</v>
      </c>
      <c r="F556" s="6"/>
      <c r="G556" s="6"/>
      <c r="H556" s="6"/>
    </row>
    <row r="557" ht="15.75" customHeight="1">
      <c r="B557" s="16"/>
      <c r="C557" s="16" t="str">
        <f>VLOOKUP(B557,Sheet3!$B$2:$E$312,2,FALSE)</f>
        <v>#N/A</v>
      </c>
      <c r="D557" s="16" t="str">
        <f>VLOOKUP(B557,Sheet3!$B$2:$E$312,3,)</f>
        <v>#N/A</v>
      </c>
      <c r="E557" s="16" t="str">
        <f>VLOOKUP(B557,Sheet3!$B$2:$E$312,4,)</f>
        <v>#N/A</v>
      </c>
    </row>
    <row r="558" ht="15.75" customHeight="1">
      <c r="B558" s="16"/>
      <c r="C558" s="16" t="str">
        <f>VLOOKUP(B558,Sheet3!$B$2:$E$312,2,FALSE)</f>
        <v>#N/A</v>
      </c>
      <c r="D558" s="16" t="str">
        <f>VLOOKUP(B558,Sheet3!$B$2:$E$312,3,)</f>
        <v>#N/A</v>
      </c>
      <c r="E558" s="16" t="str">
        <f>VLOOKUP(B558,Sheet3!$B$2:$E$312,4,)</f>
        <v>#N/A</v>
      </c>
    </row>
    <row r="559" ht="15.75" customHeight="1">
      <c r="B559" s="16"/>
      <c r="C559" s="16" t="str">
        <f>VLOOKUP(B559,Sheet3!$B$2:$E$312,2,FALSE)</f>
        <v>#N/A</v>
      </c>
      <c r="D559" s="16" t="str">
        <f>VLOOKUP(B559,Sheet3!$B$2:$E$312,3,)</f>
        <v>#N/A</v>
      </c>
      <c r="E559" s="16" t="str">
        <f>VLOOKUP(B559,Sheet3!$B$2:$E$312,4,)</f>
        <v>#N/A</v>
      </c>
    </row>
    <row r="560" ht="15.75" customHeight="1">
      <c r="B560" s="16"/>
      <c r="C560" s="16" t="str">
        <f>VLOOKUP(B560,Sheet3!$B$2:$E$312,2,FALSE)</f>
        <v>#N/A</v>
      </c>
      <c r="D560" s="16" t="str">
        <f>VLOOKUP(B560,Sheet3!$B$2:$E$312,3,)</f>
        <v>#N/A</v>
      </c>
      <c r="E560" s="16" t="str">
        <f>VLOOKUP(B560,Sheet3!$B$2:$E$312,4,)</f>
        <v>#N/A</v>
      </c>
    </row>
    <row r="561" ht="15.75" customHeight="1">
      <c r="B561" s="16"/>
      <c r="C561" s="16" t="str">
        <f>VLOOKUP(B561,Sheet3!$B$2:$E$312,2,FALSE)</f>
        <v>#N/A</v>
      </c>
      <c r="D561" s="16" t="str">
        <f>VLOOKUP(B561,Sheet3!$B$2:$E$312,3,)</f>
        <v>#N/A</v>
      </c>
      <c r="E561" s="16" t="str">
        <f>VLOOKUP(B561,Sheet3!$B$2:$E$312,4,)</f>
        <v>#N/A</v>
      </c>
    </row>
    <row r="562" ht="15.75" customHeight="1">
      <c r="B562" s="16"/>
      <c r="C562" s="16" t="str">
        <f>VLOOKUP(B562,Sheet3!$B$2:$E$312,2,FALSE)</f>
        <v>#N/A</v>
      </c>
      <c r="D562" s="16" t="str">
        <f>VLOOKUP(B562,Sheet3!$B$2:$E$312,3,)</f>
        <v>#N/A</v>
      </c>
      <c r="E562" s="16" t="str">
        <f>VLOOKUP(B562,Sheet3!$B$2:$E$312,4,)</f>
        <v>#N/A</v>
      </c>
    </row>
    <row r="563" ht="15.75" customHeight="1">
      <c r="B563" s="16"/>
      <c r="C563" s="16" t="str">
        <f>VLOOKUP(B563,Sheet3!$B$2:$E$312,2,FALSE)</f>
        <v>#N/A</v>
      </c>
      <c r="D563" s="16" t="str">
        <f>VLOOKUP(B563,Sheet3!$B$2:$E$312,3,)</f>
        <v>#N/A</v>
      </c>
      <c r="E563" s="16" t="str">
        <f>VLOOKUP(B563,Sheet3!$B$2:$E$312,4,)</f>
        <v>#N/A</v>
      </c>
    </row>
    <row r="564" ht="15.75" customHeight="1">
      <c r="B564" s="16"/>
      <c r="C564" s="16" t="str">
        <f>VLOOKUP(B564,Sheet3!$B$2:$E$312,2,FALSE)</f>
        <v>#N/A</v>
      </c>
      <c r="D564" s="16" t="str">
        <f>VLOOKUP(B564,Sheet3!$B$2:$E$312,3,)</f>
        <v>#N/A</v>
      </c>
      <c r="E564" s="16" t="str">
        <f>VLOOKUP(B564,Sheet3!$B$2:$E$312,4,)</f>
        <v>#N/A</v>
      </c>
    </row>
    <row r="565" ht="15.75" customHeight="1">
      <c r="B565" s="16"/>
      <c r="C565" s="16" t="str">
        <f>VLOOKUP(B565,Sheet3!$B$2:$E$312,2,FALSE)</f>
        <v>#N/A</v>
      </c>
      <c r="D565" s="16" t="str">
        <f>VLOOKUP(B565,Sheet3!$B$2:$E$312,3,)</f>
        <v>#N/A</v>
      </c>
      <c r="E565" s="16" t="str">
        <f>VLOOKUP(B565,Sheet3!$B$2:$E$312,4,)</f>
        <v>#N/A</v>
      </c>
    </row>
    <row r="566" ht="15.75" customHeight="1">
      <c r="B566" s="16"/>
      <c r="C566" s="16" t="str">
        <f>VLOOKUP(B566,Sheet3!$B$2:$E$312,2,FALSE)</f>
        <v>#N/A</v>
      </c>
      <c r="D566" s="16" t="str">
        <f>VLOOKUP(B566,Sheet3!$B$2:$E$312,3,)</f>
        <v>#N/A</v>
      </c>
      <c r="E566" s="16" t="str">
        <f>VLOOKUP(B566,Sheet3!$B$2:$E$312,4,)</f>
        <v>#N/A</v>
      </c>
    </row>
    <row r="567" ht="15.75" customHeight="1">
      <c r="B567" s="16"/>
      <c r="C567" s="16" t="str">
        <f>VLOOKUP(B567,Sheet3!$B$2:$E$312,2,FALSE)</f>
        <v>#N/A</v>
      </c>
      <c r="D567" s="16" t="str">
        <f>VLOOKUP(B567,Sheet3!$B$2:$E$312,3,)</f>
        <v>#N/A</v>
      </c>
      <c r="E567" s="16" t="str">
        <f>VLOOKUP(B567,Sheet3!$B$2:$E$312,4,)</f>
        <v>#N/A</v>
      </c>
    </row>
    <row r="568" ht="15.75" customHeight="1">
      <c r="B568" s="16"/>
      <c r="C568" s="16" t="str">
        <f>VLOOKUP(B568,Sheet3!$B$2:$E$312,2,FALSE)</f>
        <v>#N/A</v>
      </c>
      <c r="D568" s="16" t="str">
        <f>VLOOKUP(B568,Sheet3!$B$2:$E$312,3,)</f>
        <v>#N/A</v>
      </c>
      <c r="E568" s="16" t="str">
        <f>VLOOKUP(B568,Sheet3!$B$2:$E$312,4,)</f>
        <v>#N/A</v>
      </c>
    </row>
    <row r="569" ht="15.75" customHeight="1">
      <c r="B569" s="16"/>
      <c r="C569" s="16" t="str">
        <f>VLOOKUP(B569,Sheet3!$B$2:$E$312,2,FALSE)</f>
        <v>#N/A</v>
      </c>
      <c r="D569" s="16" t="str">
        <f>VLOOKUP(B569,Sheet3!$B$2:$E$312,3,)</f>
        <v>#N/A</v>
      </c>
      <c r="E569" s="16" t="str">
        <f>VLOOKUP(B569,Sheet3!$B$2:$E$312,4,)</f>
        <v>#N/A</v>
      </c>
    </row>
    <row r="570" ht="15.75" customHeight="1">
      <c r="B570" s="16"/>
      <c r="C570" s="16" t="str">
        <f>VLOOKUP(B570,Sheet3!$B$2:$E$312,2,FALSE)</f>
        <v>#N/A</v>
      </c>
      <c r="D570" s="16" t="str">
        <f>VLOOKUP(B570,Sheet3!$B$2:$E$312,3,)</f>
        <v>#N/A</v>
      </c>
      <c r="E570" s="16" t="str">
        <f>VLOOKUP(B570,Sheet3!$B$2:$E$312,4,)</f>
        <v>#N/A</v>
      </c>
    </row>
    <row r="571" ht="15.75" customHeight="1">
      <c r="B571" s="16"/>
      <c r="C571" s="16" t="str">
        <f>VLOOKUP(B571,Sheet3!$B$2:$E$312,2,FALSE)</f>
        <v>#N/A</v>
      </c>
      <c r="D571" s="16" t="str">
        <f>VLOOKUP(B571,Sheet3!$B$2:$E$312,3,)</f>
        <v>#N/A</v>
      </c>
      <c r="E571" s="16" t="str">
        <f>VLOOKUP(B571,Sheet3!$B$2:$E$312,4,)</f>
        <v>#N/A</v>
      </c>
    </row>
    <row r="572" ht="15.75" customHeight="1">
      <c r="B572" s="16"/>
      <c r="C572" s="16" t="str">
        <f>VLOOKUP(B572,Sheet3!$B$2:$E$312,2,FALSE)</f>
        <v>#N/A</v>
      </c>
      <c r="D572" s="16" t="str">
        <f>VLOOKUP(B572,Sheet3!$B$2:$E$312,3,)</f>
        <v>#N/A</v>
      </c>
      <c r="E572" s="16" t="str">
        <f>VLOOKUP(B572,Sheet3!$B$2:$E$312,4,)</f>
        <v>#N/A</v>
      </c>
    </row>
    <row r="573" ht="15.75" customHeight="1">
      <c r="B573" s="16"/>
      <c r="C573" s="16" t="str">
        <f>VLOOKUP(B573,Sheet3!$B$2:$E$312,2,FALSE)</f>
        <v>#N/A</v>
      </c>
      <c r="D573" s="16" t="str">
        <f>VLOOKUP(B573,Sheet3!$B$2:$E$312,3,)</f>
        <v>#N/A</v>
      </c>
      <c r="E573" s="16" t="str">
        <f>VLOOKUP(B573,Sheet3!$B$2:$E$312,4,)</f>
        <v>#N/A</v>
      </c>
    </row>
    <row r="574" ht="15.75" customHeight="1">
      <c r="B574" s="16"/>
      <c r="C574" s="16" t="str">
        <f>VLOOKUP(B574,Sheet3!$B$2:$E$312,2,FALSE)</f>
        <v>#N/A</v>
      </c>
      <c r="D574" s="16" t="str">
        <f>VLOOKUP(B574,Sheet3!$B$2:$E$312,3,)</f>
        <v>#N/A</v>
      </c>
      <c r="E574" s="16" t="str">
        <f>VLOOKUP(B574,Sheet3!$B$2:$E$312,4,)</f>
        <v>#N/A</v>
      </c>
    </row>
    <row r="575" ht="15.75" customHeight="1">
      <c r="B575" s="16"/>
      <c r="C575" s="16" t="str">
        <f>VLOOKUP(B575,Sheet3!$B$2:$E$312,2,FALSE)</f>
        <v>#N/A</v>
      </c>
      <c r="D575" s="16" t="str">
        <f>VLOOKUP(B575,Sheet3!$B$2:$E$312,3,)</f>
        <v>#N/A</v>
      </c>
      <c r="E575" s="16" t="str">
        <f>VLOOKUP(B575,Sheet3!$B$2:$E$312,4,)</f>
        <v>#N/A</v>
      </c>
    </row>
    <row r="576" ht="15.75" customHeight="1">
      <c r="B576" s="16"/>
      <c r="C576" s="16" t="str">
        <f>VLOOKUP(B576,Sheet3!$B$2:$E$312,2,FALSE)</f>
        <v>#N/A</v>
      </c>
      <c r="D576" s="16" t="str">
        <f>VLOOKUP(B576,Sheet3!$B$2:$E$312,3,)</f>
        <v>#N/A</v>
      </c>
      <c r="E576" s="16" t="str">
        <f>VLOOKUP(B576,Sheet3!$B$2:$E$312,4,)</f>
        <v>#N/A</v>
      </c>
    </row>
    <row r="577" ht="15.75" customHeight="1">
      <c r="B577" s="16"/>
      <c r="C577" s="16" t="str">
        <f>VLOOKUP(B577,Sheet3!$B$2:$E$312,2,FALSE)</f>
        <v>#N/A</v>
      </c>
      <c r="D577" s="16" t="str">
        <f>VLOOKUP(B577,Sheet3!$B$2:$E$312,3,)</f>
        <v>#N/A</v>
      </c>
      <c r="E577" s="16" t="str">
        <f>VLOOKUP(B577,Sheet3!$B$2:$E$312,4,)</f>
        <v>#N/A</v>
      </c>
    </row>
    <row r="578" ht="15.75" customHeight="1">
      <c r="B578" s="16"/>
      <c r="C578" s="16" t="str">
        <f>VLOOKUP(B578,Sheet3!$B$2:$E$312,2,FALSE)</f>
        <v>#N/A</v>
      </c>
      <c r="D578" s="16" t="str">
        <f>VLOOKUP(B578,Sheet3!$B$2:$E$312,3,)</f>
        <v>#N/A</v>
      </c>
      <c r="E578" s="16" t="str">
        <f>VLOOKUP(B578,Sheet3!$B$2:$E$312,4,)</f>
        <v>#N/A</v>
      </c>
    </row>
    <row r="579" ht="15.75" customHeight="1">
      <c r="B579" s="16"/>
      <c r="C579" s="16" t="str">
        <f>VLOOKUP(B579,Sheet3!$B$2:$E$312,2,FALSE)</f>
        <v>#N/A</v>
      </c>
      <c r="D579" s="16" t="str">
        <f>VLOOKUP(B579,Sheet3!$B$2:$E$312,3,)</f>
        <v>#N/A</v>
      </c>
      <c r="E579" s="16" t="str">
        <f>VLOOKUP(B579,Sheet3!$B$2:$E$312,4,)</f>
        <v>#N/A</v>
      </c>
    </row>
    <row r="580" ht="15.75" customHeight="1">
      <c r="B580" s="16"/>
      <c r="C580" s="16" t="str">
        <f>VLOOKUP(B580,Sheet3!$B$2:$E$312,2,FALSE)</f>
        <v>#N/A</v>
      </c>
      <c r="D580" s="16" t="str">
        <f>VLOOKUP(B580,Sheet3!$B$2:$E$312,3,)</f>
        <v>#N/A</v>
      </c>
      <c r="E580" s="16" t="str">
        <f>VLOOKUP(B580,Sheet3!$B$2:$E$312,4,)</f>
        <v>#N/A</v>
      </c>
    </row>
    <row r="581" ht="15.75" customHeight="1">
      <c r="B581" s="16"/>
      <c r="C581" s="16" t="str">
        <f>VLOOKUP(B581,Sheet3!$B$2:$E$312,2,FALSE)</f>
        <v>#N/A</v>
      </c>
      <c r="D581" s="16" t="str">
        <f>VLOOKUP(B581,Sheet3!$B$2:$E$312,3,)</f>
        <v>#N/A</v>
      </c>
      <c r="E581" s="16" t="str">
        <f>VLOOKUP(B581,Sheet3!$B$2:$E$312,4,)</f>
        <v>#N/A</v>
      </c>
    </row>
    <row r="582" ht="15.75" customHeight="1">
      <c r="B582" s="16"/>
      <c r="C582" s="16" t="str">
        <f>VLOOKUP(B582,Sheet3!$B$2:$E$312,2,FALSE)</f>
        <v>#N/A</v>
      </c>
      <c r="D582" s="16" t="str">
        <f>VLOOKUP(B582,Sheet3!$B$2:$E$312,3,)</f>
        <v>#N/A</v>
      </c>
      <c r="E582" s="16" t="str">
        <f>VLOOKUP(B582,Sheet3!$B$2:$E$312,4,)</f>
        <v>#N/A</v>
      </c>
    </row>
    <row r="583" ht="15.75" customHeight="1">
      <c r="B583" s="16"/>
      <c r="C583" s="16" t="str">
        <f>VLOOKUP(B583,Sheet3!$B$2:$E$312,2,FALSE)</f>
        <v>#N/A</v>
      </c>
      <c r="D583" s="16" t="str">
        <f>VLOOKUP(B583,Sheet3!$B$2:$E$312,3,)</f>
        <v>#N/A</v>
      </c>
      <c r="E583" s="16" t="str">
        <f>VLOOKUP(B583,Sheet3!$B$2:$E$312,4,)</f>
        <v>#N/A</v>
      </c>
    </row>
    <row r="584" ht="15.75" customHeight="1">
      <c r="B584" s="16"/>
      <c r="C584" s="16" t="str">
        <f>VLOOKUP(B584,Sheet3!$B$2:$E$312,2,FALSE)</f>
        <v>#N/A</v>
      </c>
      <c r="D584" s="16" t="str">
        <f>VLOOKUP(B584,Sheet3!$B$2:$E$312,3,)</f>
        <v>#N/A</v>
      </c>
      <c r="E584" s="16" t="str">
        <f>VLOOKUP(B584,Sheet3!$B$2:$E$312,4,)</f>
        <v>#N/A</v>
      </c>
    </row>
    <row r="585" ht="15.75" customHeight="1">
      <c r="B585" s="16"/>
      <c r="C585" s="16" t="str">
        <f>VLOOKUP(B585,Sheet3!$B$2:$E$312,2,FALSE)</f>
        <v>#N/A</v>
      </c>
      <c r="D585" s="16" t="str">
        <f>VLOOKUP(B585,Sheet3!$B$2:$E$312,3,)</f>
        <v>#N/A</v>
      </c>
      <c r="E585" s="16" t="str">
        <f>VLOOKUP(B585,Sheet3!$B$2:$E$312,4,)</f>
        <v>#N/A</v>
      </c>
    </row>
    <row r="586" ht="15.75" customHeight="1">
      <c r="B586" s="16"/>
      <c r="C586" s="16" t="str">
        <f>VLOOKUP(B586,Sheet3!$B$2:$E$312,2,FALSE)</f>
        <v>#N/A</v>
      </c>
      <c r="D586" s="16" t="str">
        <f>VLOOKUP(B586,Sheet3!$B$2:$E$312,3,)</f>
        <v>#N/A</v>
      </c>
      <c r="E586" s="16" t="str">
        <f>VLOOKUP(B586,Sheet3!$B$2:$E$312,4,)</f>
        <v>#N/A</v>
      </c>
    </row>
    <row r="587" ht="15.75" customHeight="1">
      <c r="B587" s="16"/>
      <c r="C587" s="16" t="str">
        <f>VLOOKUP(B587,Sheet3!$B$2:$E$312,2,FALSE)</f>
        <v>#N/A</v>
      </c>
      <c r="D587" s="16" t="str">
        <f>VLOOKUP(B587,Sheet3!$B$2:$E$312,3,)</f>
        <v>#N/A</v>
      </c>
      <c r="E587" s="16" t="str">
        <f>VLOOKUP(B587,Sheet3!$B$2:$E$312,4,)</f>
        <v>#N/A</v>
      </c>
    </row>
    <row r="588" ht="15.75" customHeight="1">
      <c r="B588" s="16"/>
      <c r="C588" s="16" t="str">
        <f>VLOOKUP(B588,Sheet3!$B$2:$E$312,2,FALSE)</f>
        <v>#N/A</v>
      </c>
      <c r="D588" s="16" t="str">
        <f>VLOOKUP(B588,Sheet3!$B$2:$E$312,3,)</f>
        <v>#N/A</v>
      </c>
      <c r="E588" s="16" t="str">
        <f>VLOOKUP(B588,Sheet3!$B$2:$E$312,4,)</f>
        <v>#N/A</v>
      </c>
    </row>
    <row r="589" ht="15.75" customHeight="1">
      <c r="B589" s="16"/>
      <c r="C589" s="16" t="str">
        <f>VLOOKUP(B589,Sheet3!$B$2:$E$312,2,FALSE)</f>
        <v>#N/A</v>
      </c>
      <c r="D589" s="16" t="str">
        <f>VLOOKUP(B589,Sheet3!$B$2:$E$312,3,)</f>
        <v>#N/A</v>
      </c>
      <c r="E589" s="16" t="str">
        <f>VLOOKUP(B589,Sheet3!$B$2:$E$312,4,)</f>
        <v>#N/A</v>
      </c>
    </row>
    <row r="590" ht="15.75" customHeight="1">
      <c r="B590" s="16"/>
      <c r="C590" s="16" t="str">
        <f>VLOOKUP(B590,Sheet3!$B$2:$E$312,2,FALSE)</f>
        <v>#N/A</v>
      </c>
      <c r="D590" s="16" t="str">
        <f>VLOOKUP(B590,Sheet3!$B$2:$E$312,3,)</f>
        <v>#N/A</v>
      </c>
      <c r="E590" s="16" t="str">
        <f>VLOOKUP(B590,Sheet3!$B$2:$E$312,4,)</f>
        <v>#N/A</v>
      </c>
    </row>
    <row r="591" ht="15.75" customHeight="1">
      <c r="B591" s="16"/>
      <c r="C591" s="16" t="str">
        <f>VLOOKUP(B591,Sheet3!$B$2:$E$312,2,FALSE)</f>
        <v>#N/A</v>
      </c>
      <c r="D591" s="16" t="str">
        <f>VLOOKUP(B591,Sheet3!$B$2:$E$312,3,)</f>
        <v>#N/A</v>
      </c>
      <c r="E591" s="16" t="str">
        <f>VLOOKUP(B591,Sheet3!$B$2:$E$312,4,)</f>
        <v>#N/A</v>
      </c>
    </row>
    <row r="592" ht="15.75" customHeight="1">
      <c r="B592" s="16"/>
      <c r="C592" s="16" t="str">
        <f>VLOOKUP(B592,Sheet3!$B$2:$E$312,2,FALSE)</f>
        <v>#N/A</v>
      </c>
      <c r="D592" s="16" t="str">
        <f>VLOOKUP(B592,Sheet3!$B$2:$E$312,3,)</f>
        <v>#N/A</v>
      </c>
      <c r="E592" s="16" t="str">
        <f>VLOOKUP(B592,Sheet3!$B$2:$E$312,4,)</f>
        <v>#N/A</v>
      </c>
    </row>
    <row r="593" ht="15.75" customHeight="1">
      <c r="B593" s="16"/>
      <c r="C593" s="16" t="str">
        <f>VLOOKUP(B593,Sheet3!$B$2:$E$312,2,FALSE)</f>
        <v>#N/A</v>
      </c>
      <c r="D593" s="16" t="str">
        <f>VLOOKUP(B593,Sheet3!$B$2:$E$312,3,)</f>
        <v>#N/A</v>
      </c>
      <c r="E593" s="16" t="str">
        <f>VLOOKUP(B593,Sheet3!$B$2:$E$312,4,)</f>
        <v>#N/A</v>
      </c>
    </row>
    <row r="594" ht="15.75" customHeight="1">
      <c r="B594" s="16"/>
      <c r="C594" s="16" t="str">
        <f>VLOOKUP(B594,Sheet3!$B$2:$E$312,2,FALSE)</f>
        <v>#N/A</v>
      </c>
      <c r="D594" s="16" t="str">
        <f>VLOOKUP(B594,Sheet3!$B$2:$E$312,3,)</f>
        <v>#N/A</v>
      </c>
      <c r="E594" s="16" t="str">
        <f>VLOOKUP(B594,Sheet3!$B$2:$E$312,4,)</f>
        <v>#N/A</v>
      </c>
    </row>
    <row r="595" ht="15.75" customHeight="1">
      <c r="B595" s="16"/>
      <c r="C595" s="16" t="str">
        <f>VLOOKUP(B595,Sheet3!$B$2:$E$312,2,FALSE)</f>
        <v>#N/A</v>
      </c>
      <c r="D595" s="16" t="str">
        <f>VLOOKUP(B595,Sheet3!$B$2:$E$312,3,)</f>
        <v>#N/A</v>
      </c>
      <c r="E595" s="16" t="str">
        <f>VLOOKUP(B595,Sheet3!$B$2:$E$312,4,)</f>
        <v>#N/A</v>
      </c>
    </row>
    <row r="596" ht="15.75" customHeight="1">
      <c r="B596" s="16"/>
      <c r="C596" s="16" t="str">
        <f>VLOOKUP(B596,Sheet3!$B$2:$E$312,2,FALSE)</f>
        <v>#N/A</v>
      </c>
      <c r="D596" s="16" t="str">
        <f>VLOOKUP(B596,Sheet3!$B$2:$E$312,3,)</f>
        <v>#N/A</v>
      </c>
      <c r="E596" s="16" t="str">
        <f>VLOOKUP(B596,Sheet3!$B$2:$E$312,4,)</f>
        <v>#N/A</v>
      </c>
    </row>
    <row r="597" ht="15.75" customHeight="1">
      <c r="B597" s="16"/>
      <c r="C597" s="16" t="str">
        <f>VLOOKUP(B597,Sheet3!$B$2:$E$312,2,FALSE)</f>
        <v>#N/A</v>
      </c>
      <c r="D597" s="16" t="str">
        <f>VLOOKUP(B597,Sheet3!$B$2:$E$312,3,)</f>
        <v>#N/A</v>
      </c>
      <c r="E597" s="16" t="str">
        <f>VLOOKUP(B597,Sheet3!$B$2:$E$312,4,)</f>
        <v>#N/A</v>
      </c>
    </row>
    <row r="598" ht="15.75" customHeight="1">
      <c r="B598" s="16"/>
      <c r="C598" s="16" t="str">
        <f>VLOOKUP(B598,Sheet3!$B$2:$E$312,2,FALSE)</f>
        <v>#N/A</v>
      </c>
      <c r="D598" s="16" t="str">
        <f>VLOOKUP(B598,Sheet3!$B$2:$E$312,3,)</f>
        <v>#N/A</v>
      </c>
      <c r="E598" s="16" t="str">
        <f>VLOOKUP(B598,Sheet3!$B$2:$E$312,4,)</f>
        <v>#N/A</v>
      </c>
    </row>
    <row r="599" ht="15.75" customHeight="1">
      <c r="B599" s="16"/>
      <c r="C599" s="16" t="str">
        <f>VLOOKUP(B599,Sheet3!$B$2:$E$312,2,FALSE)</f>
        <v>#N/A</v>
      </c>
      <c r="D599" s="16" t="str">
        <f>VLOOKUP(B599,Sheet3!$B$2:$E$312,3,)</f>
        <v>#N/A</v>
      </c>
      <c r="E599" s="16" t="str">
        <f>VLOOKUP(B599,Sheet3!$B$2:$E$312,4,)</f>
        <v>#N/A</v>
      </c>
    </row>
    <row r="600" ht="15.75" customHeight="1">
      <c r="B600" s="16"/>
      <c r="C600" s="16" t="str">
        <f>VLOOKUP(B600,Sheet3!$B$2:$E$312,2,FALSE)</f>
        <v>#N/A</v>
      </c>
      <c r="D600" s="16" t="str">
        <f>VLOOKUP(B600,Sheet3!$B$2:$E$312,3,)</f>
        <v>#N/A</v>
      </c>
      <c r="E600" s="16" t="str">
        <f>VLOOKUP(B600,Sheet3!$B$2:$E$312,4,)</f>
        <v>#N/A</v>
      </c>
    </row>
    <row r="601" ht="15.75" customHeight="1">
      <c r="B601" s="16"/>
      <c r="C601" s="16" t="str">
        <f>VLOOKUP(B601,Sheet3!$B$2:$E$312,2,FALSE)</f>
        <v>#N/A</v>
      </c>
      <c r="D601" s="16" t="str">
        <f>VLOOKUP(B601,Sheet3!$B$2:$E$312,3,)</f>
        <v>#N/A</v>
      </c>
      <c r="E601" s="16" t="str">
        <f>VLOOKUP(B601,Sheet3!$B$2:$E$312,4,)</f>
        <v>#N/A</v>
      </c>
    </row>
    <row r="602" ht="15.75" customHeight="1">
      <c r="B602" s="16"/>
      <c r="C602" s="16" t="str">
        <f>VLOOKUP(B602,Sheet3!$B$2:$E$312,2,FALSE)</f>
        <v>#N/A</v>
      </c>
      <c r="D602" s="16" t="str">
        <f>VLOOKUP(B602,Sheet3!$B$2:$E$312,3,)</f>
        <v>#N/A</v>
      </c>
      <c r="E602" s="16" t="str">
        <f>VLOOKUP(B602,Sheet3!$B$2:$E$312,4,)</f>
        <v>#N/A</v>
      </c>
    </row>
    <row r="603" ht="15.75" customHeight="1">
      <c r="B603" s="16"/>
      <c r="C603" s="16" t="str">
        <f>VLOOKUP(B603,Sheet3!$B$2:$E$312,2,FALSE)</f>
        <v>#N/A</v>
      </c>
      <c r="D603" s="16" t="str">
        <f>VLOOKUP(B603,Sheet3!$B$2:$E$312,3,)</f>
        <v>#N/A</v>
      </c>
      <c r="E603" s="16" t="str">
        <f>VLOOKUP(B603,Sheet3!$B$2:$E$312,4,)</f>
        <v>#N/A</v>
      </c>
    </row>
    <row r="604" ht="15.75" customHeight="1">
      <c r="B604" s="16"/>
      <c r="C604" s="16" t="str">
        <f>VLOOKUP(B604,Sheet3!$B$2:$E$312,2,FALSE)</f>
        <v>#N/A</v>
      </c>
      <c r="D604" s="16" t="str">
        <f>VLOOKUP(B604,Sheet3!$B$2:$E$312,3,)</f>
        <v>#N/A</v>
      </c>
      <c r="E604" s="16" t="str">
        <f>VLOOKUP(B604,Sheet3!$B$2:$E$312,4,)</f>
        <v>#N/A</v>
      </c>
    </row>
    <row r="605" ht="15.75" customHeight="1">
      <c r="B605" s="16"/>
      <c r="C605" s="16" t="str">
        <f>VLOOKUP(B605,Sheet3!$B$2:$E$312,2,FALSE)</f>
        <v>#N/A</v>
      </c>
      <c r="D605" s="16" t="str">
        <f>VLOOKUP(B605,Sheet3!$B$2:$E$312,3,)</f>
        <v>#N/A</v>
      </c>
      <c r="E605" s="16" t="str">
        <f>VLOOKUP(B605,Sheet3!$B$2:$E$312,4,)</f>
        <v>#N/A</v>
      </c>
    </row>
    <row r="606" ht="15.75" customHeight="1">
      <c r="B606" s="16"/>
      <c r="C606" s="16" t="str">
        <f>VLOOKUP(B606,Sheet3!$B$2:$E$312,2,FALSE)</f>
        <v>#N/A</v>
      </c>
      <c r="D606" s="16" t="str">
        <f>VLOOKUP(B606,Sheet3!$B$2:$E$312,3,)</f>
        <v>#N/A</v>
      </c>
      <c r="E606" s="16" t="str">
        <f>VLOOKUP(B606,Sheet3!$B$2:$E$312,4,)</f>
        <v>#N/A</v>
      </c>
    </row>
    <row r="607" ht="15.75" customHeight="1">
      <c r="B607" s="16"/>
      <c r="C607" s="16" t="str">
        <f>VLOOKUP(B607,Sheet3!$B$2:$E$312,2,FALSE)</f>
        <v>#N/A</v>
      </c>
      <c r="D607" s="16" t="str">
        <f>VLOOKUP(B607,Sheet3!$B$2:$E$312,3,)</f>
        <v>#N/A</v>
      </c>
      <c r="E607" s="16" t="str">
        <f>VLOOKUP(B607,Sheet3!$B$2:$E$312,4,)</f>
        <v>#N/A</v>
      </c>
    </row>
    <row r="608" ht="15.75" customHeight="1">
      <c r="B608" s="16"/>
      <c r="C608" s="16" t="str">
        <f>VLOOKUP(B608,Sheet3!$B$2:$E$312,2,FALSE)</f>
        <v>#N/A</v>
      </c>
      <c r="D608" s="16" t="str">
        <f>VLOOKUP(B608,Sheet3!$B$2:$E$312,3,)</f>
        <v>#N/A</v>
      </c>
      <c r="E608" s="16" t="str">
        <f>VLOOKUP(B608,Sheet3!$B$2:$E$312,4,)</f>
        <v>#N/A</v>
      </c>
    </row>
    <row r="609" ht="15.75" customHeight="1">
      <c r="B609" s="16"/>
      <c r="C609" s="16" t="str">
        <f>VLOOKUP(B609,Sheet3!$B$2:$E$312,2,FALSE)</f>
        <v>#N/A</v>
      </c>
      <c r="D609" s="16" t="str">
        <f>VLOOKUP(B609,Sheet3!$B$2:$E$312,3,)</f>
        <v>#N/A</v>
      </c>
      <c r="E609" s="16" t="str">
        <f>VLOOKUP(B609,Sheet3!$B$2:$E$312,4,)</f>
        <v>#N/A</v>
      </c>
    </row>
    <row r="610" ht="15.75" customHeight="1">
      <c r="B610" s="16"/>
      <c r="C610" s="16" t="str">
        <f>VLOOKUP(B610,Sheet3!$B$2:$E$312,2,FALSE)</f>
        <v>#N/A</v>
      </c>
      <c r="D610" s="16" t="str">
        <f>VLOOKUP(B610,Sheet3!$B$2:$E$312,3,)</f>
        <v>#N/A</v>
      </c>
      <c r="E610" s="16" t="str">
        <f>VLOOKUP(B610,Sheet3!$B$2:$E$312,4,)</f>
        <v>#N/A</v>
      </c>
    </row>
    <row r="611" ht="15.75" customHeight="1">
      <c r="B611" s="16"/>
      <c r="C611" s="16" t="str">
        <f>VLOOKUP(B611,Sheet3!$B$2:$E$312,2,FALSE)</f>
        <v>#N/A</v>
      </c>
      <c r="D611" s="16" t="str">
        <f>VLOOKUP(B611,Sheet3!$B$2:$E$312,3,)</f>
        <v>#N/A</v>
      </c>
      <c r="E611" s="16" t="str">
        <f>VLOOKUP(B611,Sheet3!$B$2:$E$312,4,)</f>
        <v>#N/A</v>
      </c>
    </row>
    <row r="612" ht="15.75" customHeight="1">
      <c r="B612" s="16"/>
      <c r="C612" s="16" t="str">
        <f>VLOOKUP(B612,Sheet3!$B$2:$E$312,2,FALSE)</f>
        <v>#N/A</v>
      </c>
      <c r="D612" s="16" t="str">
        <f>VLOOKUP(B612,Sheet3!$B$2:$E$312,3,)</f>
        <v>#N/A</v>
      </c>
      <c r="E612" s="16" t="str">
        <f>VLOOKUP(B612,Sheet3!$B$2:$E$312,4,)</f>
        <v>#N/A</v>
      </c>
    </row>
    <row r="613" ht="15.75" customHeight="1">
      <c r="B613" s="16"/>
      <c r="C613" s="16" t="str">
        <f>VLOOKUP(B613,Sheet3!$B$2:$E$312,2,FALSE)</f>
        <v>#N/A</v>
      </c>
      <c r="D613" s="16" t="str">
        <f>VLOOKUP(B613,Sheet3!$B$2:$E$312,3,)</f>
        <v>#N/A</v>
      </c>
      <c r="E613" s="16" t="str">
        <f>VLOOKUP(B613,Sheet3!$B$2:$E$312,4,)</f>
        <v>#N/A</v>
      </c>
    </row>
    <row r="614" ht="15.75" customHeight="1">
      <c r="B614" s="16"/>
      <c r="C614" s="16" t="str">
        <f>VLOOKUP(B614,Sheet3!$B$2:$E$312,2,FALSE)</f>
        <v>#N/A</v>
      </c>
      <c r="D614" s="16" t="str">
        <f>VLOOKUP(B614,Sheet3!$B$2:$E$312,3,)</f>
        <v>#N/A</v>
      </c>
      <c r="E614" s="16" t="str">
        <f>VLOOKUP(B614,Sheet3!$B$2:$E$312,4,)</f>
        <v>#N/A</v>
      </c>
    </row>
    <row r="615" ht="15.75" customHeight="1">
      <c r="B615" s="16"/>
      <c r="C615" s="16" t="str">
        <f>VLOOKUP(B615,Sheet3!$B$2:$E$312,2,FALSE)</f>
        <v>#N/A</v>
      </c>
      <c r="D615" s="16" t="str">
        <f>VLOOKUP(B615,Sheet3!$B$2:$E$312,3,)</f>
        <v>#N/A</v>
      </c>
      <c r="E615" s="16" t="str">
        <f>VLOOKUP(B615,Sheet3!$B$2:$E$312,4,)</f>
        <v>#N/A</v>
      </c>
    </row>
    <row r="616" ht="15.75" customHeight="1">
      <c r="B616" s="16"/>
      <c r="C616" s="16" t="str">
        <f>VLOOKUP(B616,Sheet3!$B$2:$E$312,2,FALSE)</f>
        <v>#N/A</v>
      </c>
      <c r="D616" s="16" t="str">
        <f>VLOOKUP(B616,Sheet3!$B$2:$E$312,3,)</f>
        <v>#N/A</v>
      </c>
      <c r="E616" s="16" t="str">
        <f>VLOOKUP(B616,Sheet3!$B$2:$E$312,4,)</f>
        <v>#N/A</v>
      </c>
    </row>
    <row r="617" ht="15.75" customHeight="1">
      <c r="B617" s="16"/>
      <c r="C617" s="16" t="str">
        <f>VLOOKUP(B617,Sheet3!$B$2:$E$312,2,FALSE)</f>
        <v>#N/A</v>
      </c>
      <c r="D617" s="16" t="str">
        <f>VLOOKUP(B617,Sheet3!$B$2:$E$312,3,)</f>
        <v>#N/A</v>
      </c>
      <c r="E617" s="16" t="str">
        <f>VLOOKUP(B617,Sheet3!$B$2:$E$312,4,)</f>
        <v>#N/A</v>
      </c>
    </row>
    <row r="618" ht="15.75" customHeight="1">
      <c r="B618" s="16"/>
      <c r="C618" s="16" t="str">
        <f>VLOOKUP(B618,Sheet3!$B$2:$E$312,2,FALSE)</f>
        <v>#N/A</v>
      </c>
      <c r="D618" s="16" t="str">
        <f>VLOOKUP(B618,Sheet3!$B$2:$E$312,3,)</f>
        <v>#N/A</v>
      </c>
      <c r="E618" s="16" t="str">
        <f>VLOOKUP(B618,Sheet3!$B$2:$E$312,4,)</f>
        <v>#N/A</v>
      </c>
    </row>
    <row r="619" ht="15.75" customHeight="1">
      <c r="B619" s="16"/>
      <c r="C619" s="16" t="str">
        <f>VLOOKUP(B619,Sheet3!$B$2:$E$312,2,FALSE)</f>
        <v>#N/A</v>
      </c>
      <c r="D619" s="16" t="str">
        <f>VLOOKUP(B619,Sheet3!$B$2:$E$312,3,)</f>
        <v>#N/A</v>
      </c>
      <c r="E619" s="16" t="str">
        <f>VLOOKUP(B619,Sheet3!$B$2:$E$312,4,)</f>
        <v>#N/A</v>
      </c>
    </row>
    <row r="620" ht="15.75" customHeight="1">
      <c r="B620" s="16"/>
      <c r="C620" s="16" t="str">
        <f>VLOOKUP(B620,Sheet3!$B$2:$E$312,2,FALSE)</f>
        <v>#N/A</v>
      </c>
      <c r="D620" s="16" t="str">
        <f>VLOOKUP(B620,Sheet3!$B$2:$E$312,3,)</f>
        <v>#N/A</v>
      </c>
      <c r="E620" s="16" t="str">
        <f>VLOOKUP(B620,Sheet3!$B$2:$E$312,4,)</f>
        <v>#N/A</v>
      </c>
    </row>
    <row r="621" ht="15.75" customHeight="1">
      <c r="B621" s="16"/>
      <c r="C621" s="16" t="str">
        <f>VLOOKUP(B621,Sheet3!$B$2:$E$312,2,FALSE)</f>
        <v>#N/A</v>
      </c>
      <c r="D621" s="16" t="str">
        <f>VLOOKUP(B621,Sheet3!$B$2:$E$312,3,)</f>
        <v>#N/A</v>
      </c>
      <c r="E621" s="16" t="str">
        <f>VLOOKUP(B621,Sheet3!$B$2:$E$312,4,)</f>
        <v>#N/A</v>
      </c>
    </row>
    <row r="622" ht="15.75" customHeight="1">
      <c r="B622" s="16"/>
      <c r="C622" s="16" t="str">
        <f>VLOOKUP(B622,Sheet3!$B$2:$E$312,2,FALSE)</f>
        <v>#N/A</v>
      </c>
      <c r="D622" s="16" t="str">
        <f>VLOOKUP(B622,Sheet3!$B$2:$E$312,3,)</f>
        <v>#N/A</v>
      </c>
      <c r="E622" s="16" t="str">
        <f>VLOOKUP(B622,Sheet3!$B$2:$E$312,4,)</f>
        <v>#N/A</v>
      </c>
    </row>
    <row r="623" ht="15.75" customHeight="1">
      <c r="B623" s="16"/>
      <c r="C623" s="16" t="str">
        <f>VLOOKUP(B623,Sheet3!$B$2:$E$312,2,FALSE)</f>
        <v>#N/A</v>
      </c>
      <c r="D623" s="16" t="str">
        <f>VLOOKUP(B623,Sheet3!$B$2:$E$312,3,)</f>
        <v>#N/A</v>
      </c>
      <c r="E623" s="16" t="str">
        <f>VLOOKUP(B623,Sheet3!$B$2:$E$312,4,)</f>
        <v>#N/A</v>
      </c>
    </row>
    <row r="624" ht="15.75" customHeight="1">
      <c r="B624" s="16"/>
      <c r="C624" s="16" t="str">
        <f>VLOOKUP(B624,Sheet3!$B$2:$E$312,2,FALSE)</f>
        <v>#N/A</v>
      </c>
      <c r="D624" s="16" t="str">
        <f>VLOOKUP(B624,Sheet3!$B$2:$E$312,3,)</f>
        <v>#N/A</v>
      </c>
      <c r="E624" s="16" t="str">
        <f>VLOOKUP(B624,Sheet3!$B$2:$E$312,4,)</f>
        <v>#N/A</v>
      </c>
    </row>
    <row r="625" ht="15.75" customHeight="1">
      <c r="B625" s="16"/>
      <c r="C625" s="16" t="str">
        <f>VLOOKUP(B625,Sheet3!$B$2:$E$312,2,FALSE)</f>
        <v>#N/A</v>
      </c>
      <c r="D625" s="16" t="str">
        <f>VLOOKUP(B625,Sheet3!$B$2:$E$312,3,)</f>
        <v>#N/A</v>
      </c>
      <c r="E625" s="16" t="str">
        <f>VLOOKUP(B625,Sheet3!$B$2:$E$312,4,)</f>
        <v>#N/A</v>
      </c>
    </row>
    <row r="626" ht="15.75" customHeight="1">
      <c r="B626" s="16"/>
      <c r="C626" s="16" t="str">
        <f>VLOOKUP(B626,Sheet3!$B$2:$E$312,2,FALSE)</f>
        <v>#N/A</v>
      </c>
      <c r="D626" s="16" t="str">
        <f>VLOOKUP(B626,Sheet3!$B$2:$E$312,3,)</f>
        <v>#N/A</v>
      </c>
      <c r="E626" s="16" t="str">
        <f>VLOOKUP(B626,Sheet3!$B$2:$E$312,4,)</f>
        <v>#N/A</v>
      </c>
    </row>
    <row r="627" ht="15.75" customHeight="1">
      <c r="B627" s="16"/>
      <c r="C627" s="16" t="str">
        <f>VLOOKUP(B627,Sheet3!$B$2:$E$312,2,FALSE)</f>
        <v>#N/A</v>
      </c>
      <c r="D627" s="16" t="str">
        <f>VLOOKUP(B627,Sheet3!$B$2:$E$312,3,)</f>
        <v>#N/A</v>
      </c>
      <c r="E627" s="16" t="str">
        <f>VLOOKUP(B627,Sheet3!$B$2:$E$312,4,)</f>
        <v>#N/A</v>
      </c>
    </row>
    <row r="628" ht="15.75" customHeight="1">
      <c r="B628" s="16"/>
      <c r="C628" s="16" t="str">
        <f>VLOOKUP(B628,Sheet3!$B$2:$E$312,2,FALSE)</f>
        <v>#N/A</v>
      </c>
      <c r="D628" s="16" t="str">
        <f>VLOOKUP(B628,Sheet3!$B$2:$E$312,3,)</f>
        <v>#N/A</v>
      </c>
      <c r="E628" s="16" t="str">
        <f>VLOOKUP(B628,Sheet3!$B$2:$E$312,4,)</f>
        <v>#N/A</v>
      </c>
    </row>
    <row r="629" ht="15.75" customHeight="1">
      <c r="B629" s="16"/>
      <c r="C629" s="16" t="str">
        <f>VLOOKUP(B629,Sheet3!$B$2:$E$312,2,FALSE)</f>
        <v>#N/A</v>
      </c>
      <c r="D629" s="16" t="str">
        <f>VLOOKUP(B629,Sheet3!$B$2:$E$312,3,)</f>
        <v>#N/A</v>
      </c>
      <c r="E629" s="16" t="str">
        <f>VLOOKUP(B629,Sheet3!$B$2:$E$312,4,)</f>
        <v>#N/A</v>
      </c>
    </row>
    <row r="630" ht="15.75" customHeight="1">
      <c r="B630" s="16"/>
      <c r="C630" s="16" t="str">
        <f>VLOOKUP(B630,Sheet3!$B$2:$E$312,2,FALSE)</f>
        <v>#N/A</v>
      </c>
      <c r="D630" s="16" t="str">
        <f>VLOOKUP(B630,Sheet3!$B$2:$E$312,3,)</f>
        <v>#N/A</v>
      </c>
      <c r="E630" s="16" t="str">
        <f>VLOOKUP(B630,Sheet3!$B$2:$E$312,4,)</f>
        <v>#N/A</v>
      </c>
    </row>
    <row r="631" ht="15.75" customHeight="1">
      <c r="B631" s="16"/>
      <c r="C631" s="16" t="str">
        <f>VLOOKUP(B631,Sheet3!$B$2:$E$312,2,FALSE)</f>
        <v>#N/A</v>
      </c>
      <c r="D631" s="16" t="str">
        <f>VLOOKUP(B631,Sheet3!$B$2:$E$312,3,)</f>
        <v>#N/A</v>
      </c>
      <c r="E631" s="16" t="str">
        <f>VLOOKUP(B631,Sheet3!$B$2:$E$312,4,)</f>
        <v>#N/A</v>
      </c>
    </row>
    <row r="632" ht="15.75" customHeight="1">
      <c r="B632" s="16"/>
      <c r="C632" s="16" t="str">
        <f>VLOOKUP(B632,Sheet3!$B$2:$E$312,2,FALSE)</f>
        <v>#N/A</v>
      </c>
      <c r="D632" s="16" t="str">
        <f>VLOOKUP(B632,Sheet3!$B$2:$E$312,3,)</f>
        <v>#N/A</v>
      </c>
      <c r="E632" s="16" t="str">
        <f>VLOOKUP(B632,Sheet3!$B$2:$E$312,4,)</f>
        <v>#N/A</v>
      </c>
    </row>
    <row r="633" ht="15.75" customHeight="1">
      <c r="B633" s="16"/>
      <c r="C633" s="16" t="str">
        <f>VLOOKUP(B633,Sheet3!$B$2:$E$312,2,FALSE)</f>
        <v>#N/A</v>
      </c>
      <c r="D633" s="16" t="str">
        <f>VLOOKUP(B633,Sheet3!$B$2:$E$312,3,)</f>
        <v>#N/A</v>
      </c>
      <c r="E633" s="16" t="str">
        <f>VLOOKUP(B633,Sheet3!$B$2:$E$312,4,)</f>
        <v>#N/A</v>
      </c>
    </row>
    <row r="634" ht="15.75" customHeight="1">
      <c r="B634" s="16"/>
      <c r="C634" s="16" t="str">
        <f>VLOOKUP(B634,Sheet3!$B$2:$E$312,2,FALSE)</f>
        <v>#N/A</v>
      </c>
      <c r="D634" s="16" t="str">
        <f>VLOOKUP(B634,Sheet3!$B$2:$E$312,3,)</f>
        <v>#N/A</v>
      </c>
      <c r="E634" s="16" t="str">
        <f>VLOOKUP(B634,Sheet3!$B$2:$E$312,4,)</f>
        <v>#N/A</v>
      </c>
    </row>
    <row r="635" ht="15.75" customHeight="1">
      <c r="B635" s="16"/>
      <c r="C635" s="16" t="str">
        <f>VLOOKUP(B635,Sheet3!$B$2:$E$312,2,FALSE)</f>
        <v>#N/A</v>
      </c>
      <c r="D635" s="16" t="str">
        <f>VLOOKUP(B635,Sheet3!$B$2:$E$312,3,)</f>
        <v>#N/A</v>
      </c>
      <c r="E635" s="16" t="str">
        <f>VLOOKUP(B635,Sheet3!$B$2:$E$312,4,)</f>
        <v>#N/A</v>
      </c>
    </row>
    <row r="636" ht="15.75" customHeight="1">
      <c r="B636" s="16"/>
      <c r="C636" s="16" t="str">
        <f>VLOOKUP(B636,Sheet3!$B$2:$E$312,2,FALSE)</f>
        <v>#N/A</v>
      </c>
      <c r="D636" s="16" t="str">
        <f>VLOOKUP(B636,Sheet3!$B$2:$E$312,3,)</f>
        <v>#N/A</v>
      </c>
      <c r="E636" s="16" t="str">
        <f>VLOOKUP(B636,Sheet3!$B$2:$E$312,4,)</f>
        <v>#N/A</v>
      </c>
    </row>
    <row r="637" ht="15.75" customHeight="1">
      <c r="B637" s="16"/>
      <c r="C637" s="16" t="str">
        <f>VLOOKUP(B637,Sheet3!$B$2:$E$312,2,FALSE)</f>
        <v>#N/A</v>
      </c>
      <c r="D637" s="16" t="str">
        <f>VLOOKUP(B637,Sheet3!$B$2:$E$312,3,)</f>
        <v>#N/A</v>
      </c>
      <c r="E637" s="16" t="str">
        <f>VLOOKUP(B637,Sheet3!$B$2:$E$312,4,)</f>
        <v>#N/A</v>
      </c>
    </row>
    <row r="638" ht="15.75" customHeight="1">
      <c r="B638" s="16"/>
      <c r="C638" s="16" t="str">
        <f>VLOOKUP(B638,Sheet3!$B$2:$E$312,2,FALSE)</f>
        <v>#N/A</v>
      </c>
      <c r="D638" s="16" t="str">
        <f>VLOOKUP(B638,Sheet3!$B$2:$E$312,3,)</f>
        <v>#N/A</v>
      </c>
      <c r="E638" s="16" t="str">
        <f>VLOOKUP(B638,Sheet3!$B$2:$E$312,4,)</f>
        <v>#N/A</v>
      </c>
    </row>
    <row r="639" ht="15.75" customHeight="1">
      <c r="B639" s="16"/>
      <c r="C639" s="16" t="str">
        <f>VLOOKUP(B639,Sheet3!$B$2:$E$312,2,FALSE)</f>
        <v>#N/A</v>
      </c>
      <c r="D639" s="16" t="str">
        <f>VLOOKUP(B639,Sheet3!$B$2:$E$312,3,)</f>
        <v>#N/A</v>
      </c>
      <c r="E639" s="16" t="str">
        <f>VLOOKUP(B639,Sheet3!$B$2:$E$312,4,)</f>
        <v>#N/A</v>
      </c>
    </row>
    <row r="640" ht="15.75" customHeight="1">
      <c r="B640" s="16"/>
      <c r="C640" s="16" t="str">
        <f>VLOOKUP(B640,Sheet3!$B$2:$E$312,2,FALSE)</f>
        <v>#N/A</v>
      </c>
      <c r="D640" s="16" t="str">
        <f>VLOOKUP(B640,Sheet3!$B$2:$E$312,3,)</f>
        <v>#N/A</v>
      </c>
      <c r="E640" s="16" t="str">
        <f>VLOOKUP(B640,Sheet3!$B$2:$E$312,4,)</f>
        <v>#N/A</v>
      </c>
    </row>
    <row r="641" ht="15.75" customHeight="1">
      <c r="B641" s="16"/>
      <c r="C641" s="16" t="str">
        <f>VLOOKUP(B641,Sheet3!$B$2:$E$312,2,FALSE)</f>
        <v>#N/A</v>
      </c>
      <c r="D641" s="16" t="str">
        <f>VLOOKUP(B641,Sheet3!$B$2:$E$312,3,)</f>
        <v>#N/A</v>
      </c>
      <c r="E641" s="16" t="str">
        <f>VLOOKUP(B641,Sheet3!$B$2:$E$312,4,)</f>
        <v>#N/A</v>
      </c>
    </row>
    <row r="642" ht="15.75" customHeight="1">
      <c r="B642" s="16"/>
      <c r="C642" s="16" t="str">
        <f>VLOOKUP(B642,Sheet3!$B$2:$E$312,2,FALSE)</f>
        <v>#N/A</v>
      </c>
      <c r="D642" s="16" t="str">
        <f>VLOOKUP(B642,Sheet3!$B$2:$E$312,3,)</f>
        <v>#N/A</v>
      </c>
      <c r="E642" s="16" t="str">
        <f>VLOOKUP(B642,Sheet3!$B$2:$E$312,4,)</f>
        <v>#N/A</v>
      </c>
    </row>
    <row r="643" ht="15.75" customHeight="1">
      <c r="B643" s="16"/>
      <c r="C643" s="16" t="str">
        <f>VLOOKUP(B643,Sheet3!$B$2:$E$312,2,FALSE)</f>
        <v>#N/A</v>
      </c>
      <c r="D643" s="16" t="str">
        <f>VLOOKUP(B643,Sheet3!$B$2:$E$312,3,)</f>
        <v>#N/A</v>
      </c>
      <c r="E643" s="16" t="str">
        <f>VLOOKUP(B643,Sheet3!$B$2:$E$312,4,)</f>
        <v>#N/A</v>
      </c>
    </row>
    <row r="644" ht="15.75" customHeight="1">
      <c r="B644" s="16"/>
      <c r="C644" s="16" t="str">
        <f>VLOOKUP(B644,Sheet3!$B$2:$E$312,2,FALSE)</f>
        <v>#N/A</v>
      </c>
      <c r="D644" s="16" t="str">
        <f>VLOOKUP(B644,Sheet3!$B$2:$E$312,3,)</f>
        <v>#N/A</v>
      </c>
      <c r="E644" s="16" t="str">
        <f>VLOOKUP(B644,Sheet3!$B$2:$E$312,4,)</f>
        <v>#N/A</v>
      </c>
    </row>
    <row r="645" ht="15.75" customHeight="1">
      <c r="B645" s="16"/>
      <c r="C645" s="16" t="str">
        <f>VLOOKUP(B645,Sheet3!$B$2:$E$312,2,FALSE)</f>
        <v>#N/A</v>
      </c>
      <c r="D645" s="16" t="str">
        <f>VLOOKUP(B645,Sheet3!$B$2:$E$312,3,)</f>
        <v>#N/A</v>
      </c>
      <c r="E645" s="16" t="str">
        <f>VLOOKUP(B645,Sheet3!$B$2:$E$312,4,)</f>
        <v>#N/A</v>
      </c>
    </row>
    <row r="646" ht="15.75" customHeight="1">
      <c r="B646" s="16"/>
      <c r="C646" s="16" t="str">
        <f>VLOOKUP(B646,Sheet3!$B$2:$E$312,2,FALSE)</f>
        <v>#N/A</v>
      </c>
      <c r="D646" s="16" t="str">
        <f>VLOOKUP(B646,Sheet3!$B$2:$E$312,3,)</f>
        <v>#N/A</v>
      </c>
      <c r="E646" s="16" t="str">
        <f>VLOOKUP(B646,Sheet3!$B$2:$E$312,4,)</f>
        <v>#N/A</v>
      </c>
    </row>
    <row r="647" ht="15.75" customHeight="1">
      <c r="B647" s="16"/>
      <c r="C647" s="16" t="str">
        <f>VLOOKUP(B647,Sheet3!$B$2:$E$312,2,FALSE)</f>
        <v>#N/A</v>
      </c>
      <c r="D647" s="16" t="str">
        <f>VLOOKUP(B647,Sheet3!$B$2:$E$312,3,)</f>
        <v>#N/A</v>
      </c>
      <c r="E647" s="16" t="str">
        <f>VLOOKUP(B647,Sheet3!$B$2:$E$312,4,)</f>
        <v>#N/A</v>
      </c>
    </row>
    <row r="648" ht="15.75" customHeight="1">
      <c r="B648" s="16"/>
      <c r="C648" s="16" t="str">
        <f>VLOOKUP(B648,Sheet3!$B$2:$E$312,2,FALSE)</f>
        <v>#N/A</v>
      </c>
      <c r="D648" s="16" t="str">
        <f>VLOOKUP(B648,Sheet3!$B$2:$E$312,3,)</f>
        <v>#N/A</v>
      </c>
      <c r="E648" s="16" t="str">
        <f>VLOOKUP(B648,Sheet3!$B$2:$E$312,4,)</f>
        <v>#N/A</v>
      </c>
    </row>
    <row r="649" ht="15.75" customHeight="1">
      <c r="B649" s="16"/>
      <c r="C649" s="16" t="str">
        <f>VLOOKUP(B649,Sheet3!$B$2:$E$312,2,FALSE)</f>
        <v>#N/A</v>
      </c>
      <c r="D649" s="16" t="str">
        <f>VLOOKUP(B649,Sheet3!$B$2:$E$312,3,)</f>
        <v>#N/A</v>
      </c>
      <c r="E649" s="16" t="str">
        <f>VLOOKUP(B649,Sheet3!$B$2:$E$312,4,)</f>
        <v>#N/A</v>
      </c>
    </row>
    <row r="650" ht="15.75" customHeight="1">
      <c r="B650" s="16"/>
      <c r="C650" s="16" t="str">
        <f>VLOOKUP(B650,Sheet3!$B$2:$E$312,2,FALSE)</f>
        <v>#N/A</v>
      </c>
      <c r="D650" s="16" t="str">
        <f>VLOOKUP(B650,Sheet3!$B$2:$E$312,3,)</f>
        <v>#N/A</v>
      </c>
      <c r="E650" s="16" t="str">
        <f>VLOOKUP(B650,Sheet3!$B$2:$E$312,4,)</f>
        <v>#N/A</v>
      </c>
    </row>
    <row r="651" ht="15.75" customHeight="1">
      <c r="B651" s="16"/>
      <c r="C651" s="16" t="str">
        <f>VLOOKUP(B651,Sheet3!$B$2:$E$312,2,FALSE)</f>
        <v>#N/A</v>
      </c>
      <c r="D651" s="16" t="str">
        <f>VLOOKUP(B651,Sheet3!$B$2:$E$312,3,)</f>
        <v>#N/A</v>
      </c>
      <c r="E651" s="16" t="str">
        <f>VLOOKUP(B651,Sheet3!$B$2:$E$312,4,)</f>
        <v>#N/A</v>
      </c>
    </row>
    <row r="652" ht="15.75" customHeight="1">
      <c r="B652" s="16"/>
      <c r="C652" s="16" t="str">
        <f>VLOOKUP(B652,Sheet3!$B$2:$E$312,2,FALSE)</f>
        <v>#N/A</v>
      </c>
      <c r="D652" s="16" t="str">
        <f>VLOOKUP(B652,Sheet3!$B$2:$E$312,3,)</f>
        <v>#N/A</v>
      </c>
      <c r="E652" s="16" t="str">
        <f>VLOOKUP(B652,Sheet3!$B$2:$E$312,4,)</f>
        <v>#N/A</v>
      </c>
    </row>
    <row r="653" ht="15.75" customHeight="1">
      <c r="B653" s="16"/>
      <c r="C653" s="16" t="str">
        <f>VLOOKUP(B653,Sheet3!$B$2:$E$312,2,FALSE)</f>
        <v>#N/A</v>
      </c>
      <c r="D653" s="16" t="str">
        <f>VLOOKUP(B653,Sheet3!$B$2:$E$312,3,)</f>
        <v>#N/A</v>
      </c>
      <c r="E653" s="16" t="str">
        <f>VLOOKUP(B653,Sheet3!$B$2:$E$312,4,)</f>
        <v>#N/A</v>
      </c>
    </row>
    <row r="654" ht="15.75" customHeight="1">
      <c r="B654" s="16"/>
      <c r="C654" s="16" t="str">
        <f>VLOOKUP(B654,Sheet3!$B$2:$E$312,2,FALSE)</f>
        <v>#N/A</v>
      </c>
      <c r="D654" s="16" t="str">
        <f>VLOOKUP(B654,Sheet3!$B$2:$E$312,3,)</f>
        <v>#N/A</v>
      </c>
      <c r="E654" s="16" t="str">
        <f>VLOOKUP(B654,Sheet3!$B$2:$E$312,4,)</f>
        <v>#N/A</v>
      </c>
    </row>
    <row r="655" ht="15.75" customHeight="1">
      <c r="B655" s="16"/>
      <c r="C655" s="16" t="str">
        <f>VLOOKUP(B655,Sheet3!$B$2:$E$312,2,FALSE)</f>
        <v>#N/A</v>
      </c>
      <c r="D655" s="16" t="str">
        <f>VLOOKUP(B655,Sheet3!$B$2:$E$312,3,)</f>
        <v>#N/A</v>
      </c>
      <c r="E655" s="16" t="str">
        <f>VLOOKUP(B655,Sheet3!$B$2:$E$312,4,)</f>
        <v>#N/A</v>
      </c>
    </row>
    <row r="656" ht="15.75" customHeight="1">
      <c r="B656" s="16"/>
      <c r="C656" s="16" t="str">
        <f>VLOOKUP(B656,Sheet3!$B$2:$E$312,2,FALSE)</f>
        <v>#N/A</v>
      </c>
      <c r="D656" s="16" t="str">
        <f>VLOOKUP(B656,Sheet3!$B$2:$E$312,3,)</f>
        <v>#N/A</v>
      </c>
      <c r="E656" s="16" t="str">
        <f>VLOOKUP(B656,Sheet3!$B$2:$E$312,4,)</f>
        <v>#N/A</v>
      </c>
    </row>
    <row r="657" ht="15.75" customHeight="1">
      <c r="B657" s="16"/>
      <c r="C657" s="16" t="str">
        <f>VLOOKUP(B657,Sheet3!$B$2:$E$312,2,FALSE)</f>
        <v>#N/A</v>
      </c>
      <c r="D657" s="16" t="str">
        <f>VLOOKUP(B657,Sheet3!$B$2:$E$312,3,)</f>
        <v>#N/A</v>
      </c>
      <c r="E657" s="16" t="str">
        <f>VLOOKUP(B657,Sheet3!$B$2:$E$312,4,)</f>
        <v>#N/A</v>
      </c>
    </row>
    <row r="658" ht="15.75" customHeight="1">
      <c r="B658" s="16"/>
      <c r="C658" s="16" t="str">
        <f>VLOOKUP(B658,Sheet3!$B$2:$E$312,2,FALSE)</f>
        <v>#N/A</v>
      </c>
      <c r="D658" s="16" t="str">
        <f>VLOOKUP(B658,Sheet3!$B$2:$E$312,3,)</f>
        <v>#N/A</v>
      </c>
      <c r="E658" s="16" t="str">
        <f>VLOOKUP(B658,Sheet3!$B$2:$E$312,4,)</f>
        <v>#N/A</v>
      </c>
    </row>
    <row r="659" ht="15.75" customHeight="1">
      <c r="B659" s="16"/>
      <c r="C659" s="16" t="str">
        <f>VLOOKUP(B659,Sheet3!$B$2:$E$312,2,FALSE)</f>
        <v>#N/A</v>
      </c>
      <c r="D659" s="16" t="str">
        <f>VLOOKUP(B659,Sheet3!$B$2:$E$312,3,)</f>
        <v>#N/A</v>
      </c>
      <c r="E659" s="16" t="str">
        <f>VLOOKUP(B659,Sheet3!$B$2:$E$312,4,)</f>
        <v>#N/A</v>
      </c>
    </row>
    <row r="660" ht="15.75" customHeight="1">
      <c r="B660" s="16"/>
      <c r="C660" s="16" t="str">
        <f>VLOOKUP(B660,Sheet3!$B$2:$E$312,2,FALSE)</f>
        <v>#N/A</v>
      </c>
      <c r="D660" s="16" t="str">
        <f>VLOOKUP(B660,Sheet3!$B$2:$E$312,3,)</f>
        <v>#N/A</v>
      </c>
      <c r="E660" s="16" t="str">
        <f>VLOOKUP(B660,Sheet3!$B$2:$E$312,4,)</f>
        <v>#N/A</v>
      </c>
    </row>
    <row r="661" ht="15.75" customHeight="1">
      <c r="B661" s="16"/>
      <c r="C661" s="16" t="str">
        <f>VLOOKUP(B661,Sheet3!$B$2:$E$312,2,FALSE)</f>
        <v>#N/A</v>
      </c>
      <c r="D661" s="16" t="str">
        <f>VLOOKUP(B661,Sheet3!$B$2:$E$312,3,)</f>
        <v>#N/A</v>
      </c>
      <c r="E661" s="16" t="str">
        <f>VLOOKUP(B661,Sheet3!$B$2:$E$312,4,)</f>
        <v>#N/A</v>
      </c>
    </row>
    <row r="662" ht="15.75" customHeight="1">
      <c r="B662" s="16"/>
      <c r="C662" s="16" t="str">
        <f>VLOOKUP(B662,Sheet3!$B$2:$E$312,2,FALSE)</f>
        <v>#N/A</v>
      </c>
      <c r="D662" s="16" t="str">
        <f>VLOOKUP(B662,Sheet3!$B$2:$E$312,3,)</f>
        <v>#N/A</v>
      </c>
      <c r="E662" s="16" t="str">
        <f>VLOOKUP(B662,Sheet3!$B$2:$E$312,4,)</f>
        <v>#N/A</v>
      </c>
    </row>
    <row r="663" ht="15.75" customHeight="1">
      <c r="B663" s="16"/>
      <c r="C663" s="16" t="str">
        <f>VLOOKUP(B663,Sheet3!$B$2:$E$312,2,FALSE)</f>
        <v>#N/A</v>
      </c>
      <c r="D663" s="16" t="str">
        <f>VLOOKUP(B663,Sheet3!$B$2:$E$312,3,)</f>
        <v>#N/A</v>
      </c>
      <c r="E663" s="16" t="str">
        <f>VLOOKUP(B663,Sheet3!$B$2:$E$312,4,)</f>
        <v>#N/A</v>
      </c>
    </row>
    <row r="664" ht="15.75" customHeight="1">
      <c r="B664" s="16"/>
      <c r="C664" s="16" t="str">
        <f>VLOOKUP(B664,Sheet3!$B$2:$E$312,2,FALSE)</f>
        <v>#N/A</v>
      </c>
      <c r="D664" s="16" t="str">
        <f>VLOOKUP(B664,Sheet3!$B$2:$E$312,3,)</f>
        <v>#N/A</v>
      </c>
      <c r="E664" s="16" t="str">
        <f>VLOOKUP(B664,Sheet3!$B$2:$E$312,4,)</f>
        <v>#N/A</v>
      </c>
    </row>
    <row r="665" ht="15.75" customHeight="1">
      <c r="B665" s="16"/>
      <c r="C665" s="16" t="str">
        <f>VLOOKUP(B665,Sheet3!$B$2:$E$312,2,FALSE)</f>
        <v>#N/A</v>
      </c>
      <c r="D665" s="16" t="str">
        <f>VLOOKUP(B665,Sheet3!$B$2:$E$312,3,)</f>
        <v>#N/A</v>
      </c>
      <c r="E665" s="16" t="str">
        <f>VLOOKUP(B665,Sheet3!$B$2:$E$312,4,)</f>
        <v>#N/A</v>
      </c>
    </row>
    <row r="666" ht="15.75" customHeight="1">
      <c r="B666" s="16"/>
      <c r="C666" s="16" t="str">
        <f>VLOOKUP(B666,Sheet3!$B$2:$E$312,2,FALSE)</f>
        <v>#N/A</v>
      </c>
      <c r="D666" s="16" t="str">
        <f>VLOOKUP(B666,Sheet3!$B$2:$E$312,3,)</f>
        <v>#N/A</v>
      </c>
      <c r="E666" s="16" t="str">
        <f>VLOOKUP(B666,Sheet3!$B$2:$E$312,4,)</f>
        <v>#N/A</v>
      </c>
    </row>
    <row r="667" ht="15.75" customHeight="1">
      <c r="B667" s="16"/>
      <c r="C667" s="16" t="str">
        <f>VLOOKUP(B667,Sheet3!$B$2:$E$312,2,FALSE)</f>
        <v>#N/A</v>
      </c>
      <c r="D667" s="16" t="str">
        <f>VLOOKUP(B667,Sheet3!$B$2:$E$312,3,)</f>
        <v>#N/A</v>
      </c>
      <c r="E667" s="16" t="str">
        <f>VLOOKUP(B667,Sheet3!$B$2:$E$312,4,)</f>
        <v>#N/A</v>
      </c>
    </row>
    <row r="668" ht="15.75" customHeight="1">
      <c r="B668" s="16"/>
      <c r="C668" s="16" t="str">
        <f>VLOOKUP(B668,Sheet3!$B$2:$E$312,2,FALSE)</f>
        <v>#N/A</v>
      </c>
      <c r="D668" s="16" t="str">
        <f>VLOOKUP(B668,Sheet3!$B$2:$E$312,3,)</f>
        <v>#N/A</v>
      </c>
      <c r="E668" s="16" t="str">
        <f>VLOOKUP(B668,Sheet3!$B$2:$E$312,4,)</f>
        <v>#N/A</v>
      </c>
    </row>
    <row r="669" ht="15.75" customHeight="1">
      <c r="B669" s="16"/>
      <c r="C669" s="16" t="str">
        <f>VLOOKUP(B669,Sheet3!$B$2:$E$312,2,FALSE)</f>
        <v>#N/A</v>
      </c>
      <c r="D669" s="16" t="str">
        <f>VLOOKUP(B669,Sheet3!$B$2:$E$312,3,)</f>
        <v>#N/A</v>
      </c>
      <c r="E669" s="16" t="str">
        <f>VLOOKUP(B669,Sheet3!$B$2:$E$312,4,)</f>
        <v>#N/A</v>
      </c>
    </row>
    <row r="670" ht="15.75" customHeight="1">
      <c r="B670" s="16"/>
      <c r="C670" s="16" t="str">
        <f>VLOOKUP(B670,Sheet3!$B$2:$E$312,2,FALSE)</f>
        <v>#N/A</v>
      </c>
      <c r="D670" s="16" t="str">
        <f>VLOOKUP(B670,Sheet3!$B$2:$E$312,3,)</f>
        <v>#N/A</v>
      </c>
      <c r="E670" s="16" t="str">
        <f>VLOOKUP(B670,Sheet3!$B$2:$E$312,4,)</f>
        <v>#N/A</v>
      </c>
    </row>
    <row r="671" ht="15.75" customHeight="1">
      <c r="B671" s="16"/>
      <c r="C671" s="16" t="str">
        <f>VLOOKUP(B671,Sheet3!$B$2:$E$312,2,FALSE)</f>
        <v>#N/A</v>
      </c>
      <c r="D671" s="16" t="str">
        <f>VLOOKUP(B671,Sheet3!$B$2:$E$312,3,)</f>
        <v>#N/A</v>
      </c>
      <c r="E671" s="16" t="str">
        <f>VLOOKUP(B671,Sheet3!$B$2:$E$312,4,)</f>
        <v>#N/A</v>
      </c>
    </row>
    <row r="672" ht="15.75" customHeight="1">
      <c r="B672" s="16"/>
      <c r="C672" s="16" t="str">
        <f>VLOOKUP(B672,Sheet3!$B$2:$E$312,2,FALSE)</f>
        <v>#N/A</v>
      </c>
      <c r="D672" s="16" t="str">
        <f>VLOOKUP(B672,Sheet3!$B$2:$E$312,3,)</f>
        <v>#N/A</v>
      </c>
      <c r="E672" s="16" t="str">
        <f>VLOOKUP(B672,Sheet3!$B$2:$E$312,4,)</f>
        <v>#N/A</v>
      </c>
    </row>
    <row r="673" ht="15.75" customHeight="1">
      <c r="B673" s="16"/>
      <c r="C673" s="16" t="str">
        <f>VLOOKUP(B673,Sheet3!$B$2:$E$312,2,FALSE)</f>
        <v>#N/A</v>
      </c>
      <c r="D673" s="16" t="str">
        <f>VLOOKUP(B673,Sheet3!$B$2:$E$312,3,)</f>
        <v>#N/A</v>
      </c>
      <c r="E673" s="16" t="str">
        <f>VLOOKUP(B673,Sheet3!$B$2:$E$312,4,)</f>
        <v>#N/A</v>
      </c>
    </row>
    <row r="674" ht="15.75" customHeight="1">
      <c r="B674" s="16"/>
      <c r="C674" s="16" t="str">
        <f>VLOOKUP(B674,Sheet3!$B$2:$E$312,2,FALSE)</f>
        <v>#N/A</v>
      </c>
      <c r="D674" s="16" t="str">
        <f>VLOOKUP(B674,Sheet3!$B$2:$E$312,3,)</f>
        <v>#N/A</v>
      </c>
      <c r="E674" s="16" t="str">
        <f>VLOOKUP(B674,Sheet3!$B$2:$E$312,4,)</f>
        <v>#N/A</v>
      </c>
    </row>
    <row r="675" ht="15.75" customHeight="1">
      <c r="B675" s="16"/>
      <c r="C675" s="16" t="str">
        <f>VLOOKUP(B675,Sheet3!$B$2:$E$312,2,FALSE)</f>
        <v>#N/A</v>
      </c>
      <c r="D675" s="16" t="str">
        <f>VLOOKUP(B675,Sheet3!$B$2:$E$312,3,)</f>
        <v>#N/A</v>
      </c>
      <c r="E675" s="16" t="str">
        <f>VLOOKUP(B675,Sheet3!$B$2:$E$312,4,)</f>
        <v>#N/A</v>
      </c>
    </row>
    <row r="676" ht="15.75" customHeight="1">
      <c r="B676" s="16"/>
      <c r="C676" s="16" t="str">
        <f>VLOOKUP(B676,Sheet3!$B$2:$E$312,2,FALSE)</f>
        <v>#N/A</v>
      </c>
      <c r="D676" s="16" t="str">
        <f>VLOOKUP(B676,Sheet3!$B$2:$E$312,3,)</f>
        <v>#N/A</v>
      </c>
      <c r="E676" s="16" t="str">
        <f>VLOOKUP(B676,Sheet3!$B$2:$E$312,4,)</f>
        <v>#N/A</v>
      </c>
    </row>
    <row r="677" ht="15.75" customHeight="1">
      <c r="B677" s="16"/>
      <c r="C677" s="16" t="str">
        <f>VLOOKUP(B677,Sheet3!$B$2:$E$312,2,FALSE)</f>
        <v>#N/A</v>
      </c>
      <c r="D677" s="16" t="str">
        <f>VLOOKUP(B677,Sheet3!$B$2:$E$312,3,)</f>
        <v>#N/A</v>
      </c>
      <c r="E677" s="16" t="str">
        <f>VLOOKUP(B677,Sheet3!$B$2:$E$312,4,)</f>
        <v>#N/A</v>
      </c>
    </row>
    <row r="678" ht="15.75" customHeight="1">
      <c r="B678" s="16"/>
      <c r="C678" s="16" t="str">
        <f>VLOOKUP(B678,Sheet3!$B$2:$E$312,2,FALSE)</f>
        <v>#N/A</v>
      </c>
      <c r="D678" s="16" t="str">
        <f>VLOOKUP(B678,Sheet3!$B$2:$E$312,3,)</f>
        <v>#N/A</v>
      </c>
      <c r="E678" s="16" t="str">
        <f>VLOOKUP(B678,Sheet3!$B$2:$E$312,4,)</f>
        <v>#N/A</v>
      </c>
    </row>
    <row r="679" ht="15.75" customHeight="1">
      <c r="B679" s="16"/>
      <c r="C679" s="16" t="str">
        <f>VLOOKUP(B679,Sheet3!$B$2:$E$312,2,FALSE)</f>
        <v>#N/A</v>
      </c>
      <c r="D679" s="16" t="str">
        <f>VLOOKUP(B679,Sheet3!$B$2:$E$312,3,)</f>
        <v>#N/A</v>
      </c>
      <c r="E679" s="16" t="str">
        <f>VLOOKUP(B679,Sheet3!$B$2:$E$312,4,)</f>
        <v>#N/A</v>
      </c>
    </row>
    <row r="680" ht="15.75" customHeight="1">
      <c r="B680" s="16"/>
      <c r="C680" s="16" t="str">
        <f>VLOOKUP(B680,Sheet3!$B$2:$E$312,2,FALSE)</f>
        <v>#N/A</v>
      </c>
      <c r="D680" s="16" t="str">
        <f>VLOOKUP(B680,Sheet3!$B$2:$E$312,3,)</f>
        <v>#N/A</v>
      </c>
      <c r="E680" s="16" t="str">
        <f>VLOOKUP(B680,Sheet3!$B$2:$E$312,4,)</f>
        <v>#N/A</v>
      </c>
    </row>
    <row r="681" ht="15.75" customHeight="1">
      <c r="B681" s="16"/>
      <c r="C681" s="16" t="str">
        <f>VLOOKUP(B681,Sheet3!$B$2:$E$312,2,FALSE)</f>
        <v>#N/A</v>
      </c>
      <c r="D681" s="16" t="str">
        <f>VLOOKUP(B681,Sheet3!$B$2:$E$312,3,)</f>
        <v>#N/A</v>
      </c>
      <c r="E681" s="16" t="str">
        <f>VLOOKUP(B681,Sheet3!$B$2:$E$312,4,)</f>
        <v>#N/A</v>
      </c>
    </row>
    <row r="682" ht="15.75" customHeight="1">
      <c r="B682" s="16"/>
      <c r="C682" s="16" t="str">
        <f>VLOOKUP(B682,Sheet3!$B$2:$E$312,2,FALSE)</f>
        <v>#N/A</v>
      </c>
      <c r="D682" s="16" t="str">
        <f>VLOOKUP(B682,Sheet3!$B$2:$E$312,3,)</f>
        <v>#N/A</v>
      </c>
      <c r="E682" s="16" t="str">
        <f>VLOOKUP(B682,Sheet3!$B$2:$E$312,4,)</f>
        <v>#N/A</v>
      </c>
    </row>
    <row r="683" ht="15.75" customHeight="1">
      <c r="B683" s="16"/>
      <c r="C683" s="16" t="str">
        <f>VLOOKUP(B683,Sheet3!$B$2:$E$312,2,FALSE)</f>
        <v>#N/A</v>
      </c>
      <c r="D683" s="16" t="str">
        <f>VLOOKUP(B683,Sheet3!$B$2:$E$312,3,)</f>
        <v>#N/A</v>
      </c>
      <c r="E683" s="16" t="str">
        <f>VLOOKUP(B683,Sheet3!$B$2:$E$312,4,)</f>
        <v>#N/A</v>
      </c>
    </row>
    <row r="684" ht="15.75" customHeight="1">
      <c r="B684" s="16"/>
      <c r="C684" s="16" t="str">
        <f>VLOOKUP(B684,Sheet3!$B$2:$E$312,2,FALSE)</f>
        <v>#N/A</v>
      </c>
      <c r="D684" s="16" t="str">
        <f>VLOOKUP(B684,Sheet3!$B$2:$E$312,3,)</f>
        <v>#N/A</v>
      </c>
      <c r="E684" s="16" t="str">
        <f>VLOOKUP(B684,Sheet3!$B$2:$E$312,4,)</f>
        <v>#N/A</v>
      </c>
    </row>
    <row r="685" ht="15.75" customHeight="1">
      <c r="B685" s="16"/>
      <c r="C685" s="16" t="str">
        <f>VLOOKUP(B685,Sheet3!$B$2:$E$312,2,FALSE)</f>
        <v>#N/A</v>
      </c>
      <c r="D685" s="16" t="str">
        <f>VLOOKUP(B685,Sheet3!$B$2:$E$312,3,)</f>
        <v>#N/A</v>
      </c>
      <c r="E685" s="16" t="str">
        <f>VLOOKUP(B685,Sheet3!$B$2:$E$312,4,)</f>
        <v>#N/A</v>
      </c>
    </row>
    <row r="686" ht="15.75" customHeight="1">
      <c r="B686" s="16"/>
      <c r="C686" s="16" t="str">
        <f>VLOOKUP(B686,Sheet3!$B$2:$E$312,2,FALSE)</f>
        <v>#N/A</v>
      </c>
      <c r="D686" s="16" t="str">
        <f>VLOOKUP(B686,Sheet3!$B$2:$E$312,3,)</f>
        <v>#N/A</v>
      </c>
      <c r="E686" s="16" t="str">
        <f>VLOOKUP(B686,Sheet3!$B$2:$E$312,4,)</f>
        <v>#N/A</v>
      </c>
    </row>
    <row r="687" ht="15.75" customHeight="1">
      <c r="B687" s="16"/>
      <c r="C687" s="16" t="str">
        <f>VLOOKUP(B687,Sheet3!$B$2:$E$312,2,FALSE)</f>
        <v>#N/A</v>
      </c>
      <c r="D687" s="16" t="str">
        <f>VLOOKUP(B687,Sheet3!$B$2:$E$312,3,)</f>
        <v>#N/A</v>
      </c>
      <c r="E687" s="16" t="str">
        <f>VLOOKUP(B687,Sheet3!$B$2:$E$312,4,)</f>
        <v>#N/A</v>
      </c>
    </row>
    <row r="688" ht="15.75" customHeight="1">
      <c r="B688" s="16"/>
      <c r="C688" s="16" t="str">
        <f>VLOOKUP(B688,Sheet3!$B$2:$E$312,2,FALSE)</f>
        <v>#N/A</v>
      </c>
      <c r="D688" s="16" t="str">
        <f>VLOOKUP(B688,Sheet3!$B$2:$E$312,3,)</f>
        <v>#N/A</v>
      </c>
      <c r="E688" s="16" t="str">
        <f>VLOOKUP(B688,Sheet3!$B$2:$E$312,4,)</f>
        <v>#N/A</v>
      </c>
    </row>
    <row r="689" ht="15.75" customHeight="1">
      <c r="B689" s="16"/>
      <c r="C689" s="16" t="str">
        <f>VLOOKUP(B689,Sheet3!$B$2:$E$312,2,FALSE)</f>
        <v>#N/A</v>
      </c>
      <c r="D689" s="16" t="str">
        <f>VLOOKUP(B689,Sheet3!$B$2:$E$312,3,)</f>
        <v>#N/A</v>
      </c>
      <c r="E689" s="16" t="str">
        <f>VLOOKUP(B689,Sheet3!$B$2:$E$312,4,)</f>
        <v>#N/A</v>
      </c>
    </row>
    <row r="690" ht="15.75" customHeight="1">
      <c r="B690" s="16"/>
      <c r="C690" s="16" t="str">
        <f>VLOOKUP(B690,Sheet3!$B$2:$E$312,2,FALSE)</f>
        <v>#N/A</v>
      </c>
      <c r="D690" s="16" t="str">
        <f>VLOOKUP(B690,Sheet3!$B$2:$E$312,3,)</f>
        <v>#N/A</v>
      </c>
      <c r="E690" s="16" t="str">
        <f>VLOOKUP(B690,Sheet3!$B$2:$E$312,4,)</f>
        <v>#N/A</v>
      </c>
    </row>
    <row r="691" ht="15.75" customHeight="1">
      <c r="B691" s="16"/>
      <c r="C691" s="16" t="str">
        <f>VLOOKUP(B691,Sheet3!$B$2:$E$312,2,FALSE)</f>
        <v>#N/A</v>
      </c>
      <c r="D691" s="16" t="str">
        <f>VLOOKUP(B691,Sheet3!$B$2:$E$312,3,)</f>
        <v>#N/A</v>
      </c>
      <c r="E691" s="16" t="str">
        <f>VLOOKUP(B691,Sheet3!$B$2:$E$312,4,)</f>
        <v>#N/A</v>
      </c>
    </row>
    <row r="692" ht="15.75" customHeight="1">
      <c r="B692" s="16"/>
      <c r="C692" s="16" t="str">
        <f>VLOOKUP(B692,Sheet3!$B$2:$E$312,2,FALSE)</f>
        <v>#N/A</v>
      </c>
      <c r="D692" s="16" t="str">
        <f>VLOOKUP(B692,Sheet3!$B$2:$E$312,3,)</f>
        <v>#N/A</v>
      </c>
      <c r="E692" s="16" t="str">
        <f>VLOOKUP(B692,Sheet3!$B$2:$E$312,4,)</f>
        <v>#N/A</v>
      </c>
    </row>
    <row r="693" ht="15.75" customHeight="1">
      <c r="B693" s="16"/>
      <c r="C693" s="16" t="str">
        <f>VLOOKUP(B693,Sheet3!$B$2:$E$312,2,FALSE)</f>
        <v>#N/A</v>
      </c>
      <c r="D693" s="16" t="str">
        <f>VLOOKUP(B693,Sheet3!$B$2:$E$312,3,)</f>
        <v>#N/A</v>
      </c>
      <c r="E693" s="16" t="str">
        <f>VLOOKUP(B693,Sheet3!$B$2:$E$312,4,)</f>
        <v>#N/A</v>
      </c>
    </row>
    <row r="694" ht="15.75" customHeight="1">
      <c r="B694" s="16"/>
      <c r="C694" s="16" t="str">
        <f>VLOOKUP(B694,Sheet3!$B$2:$E$312,2,FALSE)</f>
        <v>#N/A</v>
      </c>
      <c r="D694" s="16" t="str">
        <f>VLOOKUP(B694,Sheet3!$B$2:$E$312,3,)</f>
        <v>#N/A</v>
      </c>
      <c r="E694" s="16" t="str">
        <f>VLOOKUP(B694,Sheet3!$B$2:$E$312,4,)</f>
        <v>#N/A</v>
      </c>
    </row>
    <row r="695" ht="15.75" customHeight="1">
      <c r="B695" s="16"/>
      <c r="C695" s="16" t="str">
        <f>VLOOKUP(B695,Sheet3!$B$2:$E$312,2,FALSE)</f>
        <v>#N/A</v>
      </c>
      <c r="D695" s="16" t="str">
        <f>VLOOKUP(B695,Sheet3!$B$2:$E$312,3,)</f>
        <v>#N/A</v>
      </c>
      <c r="E695" s="16" t="str">
        <f>VLOOKUP(B695,Sheet3!$B$2:$E$312,4,)</f>
        <v>#N/A</v>
      </c>
    </row>
    <row r="696" ht="15.75" customHeight="1">
      <c r="B696" s="16"/>
      <c r="C696" s="16" t="str">
        <f>VLOOKUP(B696,Sheet3!$B$2:$E$312,2,FALSE)</f>
        <v>#N/A</v>
      </c>
      <c r="D696" s="16" t="str">
        <f>VLOOKUP(B696,Sheet3!$B$2:$E$312,3,)</f>
        <v>#N/A</v>
      </c>
      <c r="E696" s="16" t="str">
        <f>VLOOKUP(B696,Sheet3!$B$2:$E$312,4,)</f>
        <v>#N/A</v>
      </c>
    </row>
    <row r="697" ht="15.75" customHeight="1">
      <c r="B697" s="16"/>
      <c r="C697" s="16" t="str">
        <f>VLOOKUP(B697,Sheet3!$B$2:$E$312,2,FALSE)</f>
        <v>#N/A</v>
      </c>
      <c r="D697" s="16" t="str">
        <f>VLOOKUP(B697,Sheet3!$B$2:$E$312,3,)</f>
        <v>#N/A</v>
      </c>
      <c r="E697" s="16" t="str">
        <f>VLOOKUP(B697,Sheet3!$B$2:$E$312,4,)</f>
        <v>#N/A</v>
      </c>
    </row>
    <row r="698" ht="15.75" customHeight="1">
      <c r="B698" s="16"/>
      <c r="C698" s="16" t="str">
        <f>VLOOKUP(B698,Sheet3!$B$2:$E$312,2,FALSE)</f>
        <v>#N/A</v>
      </c>
      <c r="D698" s="16" t="str">
        <f>VLOOKUP(B698,Sheet3!$B$2:$E$312,3,)</f>
        <v>#N/A</v>
      </c>
      <c r="E698" s="16" t="str">
        <f>VLOOKUP(B698,Sheet3!$B$2:$E$312,4,)</f>
        <v>#N/A</v>
      </c>
    </row>
    <row r="699" ht="15.75" customHeight="1">
      <c r="B699" s="16"/>
      <c r="C699" s="16" t="str">
        <f>VLOOKUP(B699,Sheet3!$B$2:$E$312,2,FALSE)</f>
        <v>#N/A</v>
      </c>
      <c r="D699" s="16" t="str">
        <f>VLOOKUP(B699,Sheet3!$B$2:$E$312,3,)</f>
        <v>#N/A</v>
      </c>
      <c r="E699" s="16" t="str">
        <f>VLOOKUP(B699,Sheet3!$B$2:$E$312,4,)</f>
        <v>#N/A</v>
      </c>
    </row>
    <row r="700" ht="15.75" customHeight="1">
      <c r="B700" s="16"/>
      <c r="C700" s="16" t="str">
        <f>VLOOKUP(B700,Sheet3!$B$2:$E$312,2,FALSE)</f>
        <v>#N/A</v>
      </c>
      <c r="D700" s="16" t="str">
        <f>VLOOKUP(B700,Sheet3!$B$2:$E$312,3,)</f>
        <v>#N/A</v>
      </c>
      <c r="E700" s="16" t="str">
        <f>VLOOKUP(B700,Sheet3!$B$2:$E$312,4,)</f>
        <v>#N/A</v>
      </c>
    </row>
    <row r="701" ht="15.75" customHeight="1">
      <c r="B701" s="16"/>
      <c r="C701" s="16" t="str">
        <f>VLOOKUP(B701,Sheet3!$B$2:$E$312,2,FALSE)</f>
        <v>#N/A</v>
      </c>
      <c r="D701" s="16" t="str">
        <f>VLOOKUP(B701,Sheet3!$B$2:$E$312,3,)</f>
        <v>#N/A</v>
      </c>
      <c r="E701" s="16" t="str">
        <f>VLOOKUP(B701,Sheet3!$B$2:$E$312,4,)</f>
        <v>#N/A</v>
      </c>
    </row>
    <row r="702" ht="15.75" customHeight="1">
      <c r="B702" s="16"/>
      <c r="C702" s="16" t="str">
        <f>VLOOKUP(B702,Sheet3!$B$2:$E$312,2,FALSE)</f>
        <v>#N/A</v>
      </c>
      <c r="D702" s="16" t="str">
        <f>VLOOKUP(B702,Sheet3!$B$2:$E$312,3,)</f>
        <v>#N/A</v>
      </c>
      <c r="E702" s="16" t="str">
        <f>VLOOKUP(B702,Sheet3!$B$2:$E$312,4,)</f>
        <v>#N/A</v>
      </c>
    </row>
    <row r="703" ht="15.75" customHeight="1">
      <c r="B703" s="16"/>
      <c r="C703" s="16" t="str">
        <f>VLOOKUP(B703,Sheet3!$B$2:$E$312,2,FALSE)</f>
        <v>#N/A</v>
      </c>
      <c r="D703" s="16" t="str">
        <f>VLOOKUP(B703,Sheet3!$B$2:$E$312,3,)</f>
        <v>#N/A</v>
      </c>
      <c r="E703" s="16" t="str">
        <f>VLOOKUP(B703,Sheet3!$B$2:$E$312,4,)</f>
        <v>#N/A</v>
      </c>
    </row>
    <row r="704" ht="15.75" customHeight="1">
      <c r="B704" s="16"/>
      <c r="C704" s="16" t="str">
        <f>VLOOKUP(B704,Sheet3!$B$2:$E$312,2,FALSE)</f>
        <v>#N/A</v>
      </c>
      <c r="D704" s="16" t="str">
        <f>VLOOKUP(B704,Sheet3!$B$2:$E$312,3,)</f>
        <v>#N/A</v>
      </c>
      <c r="E704" s="16" t="str">
        <f>VLOOKUP(B704,Sheet3!$B$2:$E$312,4,)</f>
        <v>#N/A</v>
      </c>
    </row>
    <row r="705" ht="15.75" customHeight="1">
      <c r="B705" s="16"/>
      <c r="C705" s="16" t="str">
        <f>VLOOKUP(B705,Sheet3!$B$2:$E$312,2,FALSE)</f>
        <v>#N/A</v>
      </c>
      <c r="D705" s="16" t="str">
        <f>VLOOKUP(B705,Sheet3!$B$2:$E$312,3,)</f>
        <v>#N/A</v>
      </c>
      <c r="E705" s="16" t="str">
        <f>VLOOKUP(B705,Sheet3!$B$2:$E$312,4,)</f>
        <v>#N/A</v>
      </c>
    </row>
    <row r="706" ht="15.75" customHeight="1">
      <c r="B706" s="16"/>
      <c r="C706" s="16" t="str">
        <f>VLOOKUP(B706,Sheet3!$B$2:$E$312,2,FALSE)</f>
        <v>#N/A</v>
      </c>
      <c r="D706" s="16" t="str">
        <f>VLOOKUP(B706,Sheet3!$B$2:$E$312,3,)</f>
        <v>#N/A</v>
      </c>
      <c r="E706" s="16" t="str">
        <f>VLOOKUP(B706,Sheet3!$B$2:$E$312,4,)</f>
        <v>#N/A</v>
      </c>
    </row>
    <row r="707" ht="15.75" customHeight="1">
      <c r="B707" s="16"/>
      <c r="C707" s="16" t="str">
        <f>VLOOKUP(B707,Sheet3!$B$2:$E$312,2,FALSE)</f>
        <v>#N/A</v>
      </c>
      <c r="D707" s="16" t="str">
        <f>VLOOKUP(B707,Sheet3!$B$2:$E$312,3,)</f>
        <v>#N/A</v>
      </c>
      <c r="E707" s="16" t="str">
        <f>VLOOKUP(B707,Sheet3!$B$2:$E$312,4,)</f>
        <v>#N/A</v>
      </c>
    </row>
    <row r="708" ht="15.75" customHeight="1">
      <c r="B708" s="16"/>
      <c r="C708" s="16" t="str">
        <f>VLOOKUP(B708,Sheet3!$B$2:$E$312,2,FALSE)</f>
        <v>#N/A</v>
      </c>
      <c r="D708" s="16" t="str">
        <f>VLOOKUP(B708,Sheet3!$B$2:$E$312,3,)</f>
        <v>#N/A</v>
      </c>
      <c r="E708" s="16" t="str">
        <f>VLOOKUP(B708,Sheet3!$B$2:$E$312,4,)</f>
        <v>#N/A</v>
      </c>
    </row>
    <row r="709" ht="15.75" customHeight="1">
      <c r="B709" s="16"/>
      <c r="C709" s="16" t="str">
        <f>VLOOKUP(B709,Sheet3!$B$2:$E$312,2,FALSE)</f>
        <v>#N/A</v>
      </c>
      <c r="D709" s="16" t="str">
        <f>VLOOKUP(B709,Sheet3!$B$2:$E$312,3,)</f>
        <v>#N/A</v>
      </c>
      <c r="E709" s="16" t="str">
        <f>VLOOKUP(B709,Sheet3!$B$2:$E$312,4,)</f>
        <v>#N/A</v>
      </c>
    </row>
    <row r="710" ht="15.75" customHeight="1">
      <c r="B710" s="16"/>
      <c r="C710" s="16" t="str">
        <f>VLOOKUP(B710,Sheet3!$B$2:$E$312,2,FALSE)</f>
        <v>#N/A</v>
      </c>
      <c r="D710" s="16" t="str">
        <f>VLOOKUP(B710,Sheet3!$B$2:$E$312,3,)</f>
        <v>#N/A</v>
      </c>
      <c r="E710" s="16" t="str">
        <f>VLOOKUP(B710,Sheet3!$B$2:$E$312,4,)</f>
        <v>#N/A</v>
      </c>
    </row>
    <row r="711" ht="15.75" customHeight="1">
      <c r="B711" s="16"/>
      <c r="C711" s="16" t="str">
        <f>VLOOKUP(B711,Sheet3!$B$2:$E$312,2,FALSE)</f>
        <v>#N/A</v>
      </c>
      <c r="D711" s="16" t="str">
        <f>VLOOKUP(B711,Sheet3!$B$2:$E$312,3,)</f>
        <v>#N/A</v>
      </c>
      <c r="E711" s="16" t="str">
        <f>VLOOKUP(B711,Sheet3!$B$2:$E$312,4,)</f>
        <v>#N/A</v>
      </c>
    </row>
    <row r="712" ht="15.75" customHeight="1">
      <c r="B712" s="16"/>
      <c r="C712" s="16" t="str">
        <f>VLOOKUP(B712,Sheet3!$B$2:$E$312,2,FALSE)</f>
        <v>#N/A</v>
      </c>
      <c r="D712" s="16" t="str">
        <f>VLOOKUP(B712,Sheet3!$B$2:$E$312,3,)</f>
        <v>#N/A</v>
      </c>
      <c r="E712" s="16" t="str">
        <f>VLOOKUP(B712,Sheet3!$B$2:$E$312,4,)</f>
        <v>#N/A</v>
      </c>
    </row>
    <row r="713" ht="15.75" customHeight="1">
      <c r="B713" s="16"/>
      <c r="C713" s="16" t="str">
        <f>VLOOKUP(B713,Sheet3!$B$2:$E$312,2,FALSE)</f>
        <v>#N/A</v>
      </c>
      <c r="D713" s="16" t="str">
        <f>VLOOKUP(B713,Sheet3!$B$2:$E$312,3,)</f>
        <v>#N/A</v>
      </c>
      <c r="E713" s="16" t="str">
        <f>VLOOKUP(B713,Sheet3!$B$2:$E$312,4,)</f>
        <v>#N/A</v>
      </c>
    </row>
    <row r="714" ht="15.75" customHeight="1">
      <c r="B714" s="16"/>
      <c r="C714" s="16" t="str">
        <f>VLOOKUP(B714,Sheet3!$B$2:$E$312,2,FALSE)</f>
        <v>#N/A</v>
      </c>
      <c r="D714" s="16" t="str">
        <f>VLOOKUP(B714,Sheet3!$B$2:$E$312,3,)</f>
        <v>#N/A</v>
      </c>
      <c r="E714" s="16" t="str">
        <f>VLOOKUP(B714,Sheet3!$B$2:$E$312,4,)</f>
        <v>#N/A</v>
      </c>
    </row>
    <row r="715" ht="15.75" customHeight="1">
      <c r="B715" s="16"/>
      <c r="C715" s="16" t="str">
        <f>VLOOKUP(B715,Sheet3!$B$2:$E$312,2,FALSE)</f>
        <v>#N/A</v>
      </c>
      <c r="D715" s="16" t="str">
        <f>VLOOKUP(B715,Sheet3!$B$2:$E$312,3,)</f>
        <v>#N/A</v>
      </c>
      <c r="E715" s="16" t="str">
        <f>VLOOKUP(B715,Sheet3!$B$2:$E$312,4,)</f>
        <v>#N/A</v>
      </c>
    </row>
    <row r="716" ht="15.75" customHeight="1">
      <c r="B716" s="16"/>
      <c r="C716" s="16" t="str">
        <f>VLOOKUP(B716,Sheet3!$B$2:$E$312,2,FALSE)</f>
        <v>#N/A</v>
      </c>
      <c r="D716" s="16" t="str">
        <f>VLOOKUP(B716,Sheet3!$B$2:$E$312,3,)</f>
        <v>#N/A</v>
      </c>
      <c r="E716" s="16" t="str">
        <f>VLOOKUP(B716,Sheet3!$B$2:$E$312,4,)</f>
        <v>#N/A</v>
      </c>
    </row>
    <row r="717" ht="15.75" customHeight="1">
      <c r="B717" s="16"/>
      <c r="C717" s="16" t="str">
        <f>VLOOKUP(B717,Sheet3!$B$2:$E$312,2,FALSE)</f>
        <v>#N/A</v>
      </c>
      <c r="D717" s="16" t="str">
        <f>VLOOKUP(B717,Sheet3!$B$2:$E$312,3,)</f>
        <v>#N/A</v>
      </c>
      <c r="E717" s="16" t="str">
        <f>VLOOKUP(B717,Sheet3!$B$2:$E$312,4,)</f>
        <v>#N/A</v>
      </c>
    </row>
    <row r="718" ht="15.75" customHeight="1">
      <c r="B718" s="16"/>
      <c r="C718" s="16" t="str">
        <f>VLOOKUP(B718,Sheet3!$B$2:$E$312,2,FALSE)</f>
        <v>#N/A</v>
      </c>
      <c r="D718" s="16" t="str">
        <f>VLOOKUP(B718,Sheet3!$B$2:$E$312,3,)</f>
        <v>#N/A</v>
      </c>
      <c r="E718" s="16" t="str">
        <f>VLOOKUP(B718,Sheet3!$B$2:$E$312,4,)</f>
        <v>#N/A</v>
      </c>
    </row>
    <row r="719" ht="15.75" customHeight="1">
      <c r="B719" s="16"/>
      <c r="C719" s="16" t="str">
        <f>VLOOKUP(B719,Sheet3!$B$2:$E$312,2,FALSE)</f>
        <v>#N/A</v>
      </c>
      <c r="D719" s="16" t="str">
        <f>VLOOKUP(B719,Sheet3!$B$2:$E$312,3,)</f>
        <v>#N/A</v>
      </c>
      <c r="E719" s="16" t="str">
        <f>VLOOKUP(B719,Sheet3!$B$2:$E$312,4,)</f>
        <v>#N/A</v>
      </c>
    </row>
    <row r="720" ht="15.75" customHeight="1">
      <c r="B720" s="16"/>
      <c r="C720" s="16" t="str">
        <f>VLOOKUP(B720,Sheet3!$B$2:$E$312,2,FALSE)</f>
        <v>#N/A</v>
      </c>
      <c r="D720" s="16" t="str">
        <f>VLOOKUP(B720,Sheet3!$B$2:$E$312,3,)</f>
        <v>#N/A</v>
      </c>
      <c r="E720" s="16" t="str">
        <f>VLOOKUP(B720,Sheet3!$B$2:$E$312,4,)</f>
        <v>#N/A</v>
      </c>
    </row>
    <row r="721" ht="15.75" customHeight="1">
      <c r="B721" s="16"/>
      <c r="C721" s="16" t="str">
        <f>VLOOKUP(B721,Sheet3!$B$2:$E$312,2,FALSE)</f>
        <v>#N/A</v>
      </c>
      <c r="D721" s="16" t="str">
        <f>VLOOKUP(B721,Sheet3!$B$2:$E$312,3,)</f>
        <v>#N/A</v>
      </c>
      <c r="E721" s="16" t="str">
        <f>VLOOKUP(B721,Sheet3!$B$2:$E$312,4,)</f>
        <v>#N/A</v>
      </c>
    </row>
    <row r="722" ht="15.75" customHeight="1">
      <c r="B722" s="16"/>
      <c r="C722" s="16" t="str">
        <f>VLOOKUP(B722,Sheet3!$B$2:$E$312,2,FALSE)</f>
        <v>#N/A</v>
      </c>
      <c r="D722" s="16" t="str">
        <f>VLOOKUP(B722,Sheet3!$B$2:$E$312,3,)</f>
        <v>#N/A</v>
      </c>
      <c r="E722" s="16" t="str">
        <f>VLOOKUP(B722,Sheet3!$B$2:$E$312,4,)</f>
        <v>#N/A</v>
      </c>
    </row>
    <row r="723" ht="15.75" customHeight="1">
      <c r="B723" s="16"/>
      <c r="C723" s="16" t="str">
        <f>VLOOKUP(B723,Sheet3!$B$2:$E$312,2,FALSE)</f>
        <v>#N/A</v>
      </c>
      <c r="D723" s="16" t="str">
        <f>VLOOKUP(B723,Sheet3!$B$2:$E$312,3,)</f>
        <v>#N/A</v>
      </c>
      <c r="E723" s="16" t="str">
        <f>VLOOKUP(B723,Sheet3!$B$2:$E$312,4,)</f>
        <v>#N/A</v>
      </c>
    </row>
    <row r="724" ht="15.75" customHeight="1">
      <c r="B724" s="16"/>
      <c r="C724" s="16" t="str">
        <f>VLOOKUP(B724,Sheet3!$B$2:$E$312,2,FALSE)</f>
        <v>#N/A</v>
      </c>
      <c r="D724" s="16" t="str">
        <f>VLOOKUP(B724,Sheet3!$B$2:$E$312,3,)</f>
        <v>#N/A</v>
      </c>
      <c r="E724" s="16" t="str">
        <f>VLOOKUP(B724,Sheet3!$B$2:$E$312,4,)</f>
        <v>#N/A</v>
      </c>
    </row>
    <row r="725" ht="15.75" customHeight="1">
      <c r="B725" s="16"/>
      <c r="C725" s="16" t="str">
        <f>VLOOKUP(B725,Sheet3!$B$2:$E$312,2,FALSE)</f>
        <v>#N/A</v>
      </c>
      <c r="D725" s="16" t="str">
        <f>VLOOKUP(B725,Sheet3!$B$2:$E$312,3,)</f>
        <v>#N/A</v>
      </c>
      <c r="E725" s="16" t="str">
        <f>VLOOKUP(B725,Sheet3!$B$2:$E$312,4,)</f>
        <v>#N/A</v>
      </c>
    </row>
    <row r="726" ht="15.75" customHeight="1">
      <c r="B726" s="16"/>
      <c r="C726" s="16" t="str">
        <f>VLOOKUP(B726,Sheet3!$B$2:$E$312,2,FALSE)</f>
        <v>#N/A</v>
      </c>
      <c r="D726" s="16" t="str">
        <f>VLOOKUP(B726,Sheet3!$B$2:$E$312,3,)</f>
        <v>#N/A</v>
      </c>
      <c r="E726" s="16" t="str">
        <f>VLOOKUP(B726,Sheet3!$B$2:$E$312,4,)</f>
        <v>#N/A</v>
      </c>
    </row>
    <row r="727" ht="15.75" customHeight="1">
      <c r="B727" s="16"/>
      <c r="C727" s="16" t="str">
        <f>VLOOKUP(B727,Sheet3!$B$2:$E$312,2,FALSE)</f>
        <v>#N/A</v>
      </c>
      <c r="D727" s="16" t="str">
        <f>VLOOKUP(B727,Sheet3!$B$2:$E$312,3,)</f>
        <v>#N/A</v>
      </c>
      <c r="E727" s="16" t="str">
        <f>VLOOKUP(B727,Sheet3!$B$2:$E$312,4,)</f>
        <v>#N/A</v>
      </c>
    </row>
    <row r="728" ht="15.75" customHeight="1">
      <c r="B728" s="16"/>
      <c r="C728" s="16" t="str">
        <f>VLOOKUP(B728,Sheet3!$B$2:$E$312,2,FALSE)</f>
        <v>#N/A</v>
      </c>
      <c r="D728" s="16" t="str">
        <f>VLOOKUP(B728,Sheet3!$B$2:$E$312,3,)</f>
        <v>#N/A</v>
      </c>
      <c r="E728" s="16" t="str">
        <f>VLOOKUP(B728,Sheet3!$B$2:$E$312,4,)</f>
        <v>#N/A</v>
      </c>
    </row>
    <row r="729" ht="15.75" customHeight="1">
      <c r="B729" s="16"/>
      <c r="C729" s="16" t="str">
        <f>VLOOKUP(B729,Sheet3!$B$2:$E$312,2,FALSE)</f>
        <v>#N/A</v>
      </c>
      <c r="D729" s="16" t="str">
        <f>VLOOKUP(B729,Sheet3!$B$2:$E$312,3,)</f>
        <v>#N/A</v>
      </c>
      <c r="E729" s="16" t="str">
        <f>VLOOKUP(B729,Sheet3!$B$2:$E$312,4,)</f>
        <v>#N/A</v>
      </c>
    </row>
    <row r="730" ht="15.75" customHeight="1">
      <c r="B730" s="16"/>
      <c r="C730" s="16" t="str">
        <f>VLOOKUP(B730,Sheet3!$B$2:$E$312,2,FALSE)</f>
        <v>#N/A</v>
      </c>
      <c r="D730" s="16" t="str">
        <f>VLOOKUP(B730,Sheet3!$B$2:$E$312,3,)</f>
        <v>#N/A</v>
      </c>
      <c r="E730" s="16" t="str">
        <f>VLOOKUP(B730,Sheet3!$B$2:$E$312,4,)</f>
        <v>#N/A</v>
      </c>
    </row>
    <row r="731" ht="15.75" customHeight="1">
      <c r="B731" s="16"/>
      <c r="C731" s="16" t="str">
        <f>VLOOKUP(B731,Sheet3!$B$2:$E$312,2,FALSE)</f>
        <v>#N/A</v>
      </c>
      <c r="D731" s="16" t="str">
        <f>VLOOKUP(B731,Sheet3!$B$2:$E$312,3,)</f>
        <v>#N/A</v>
      </c>
      <c r="E731" s="16" t="str">
        <f>VLOOKUP(B731,Sheet3!$B$2:$E$312,4,)</f>
        <v>#N/A</v>
      </c>
    </row>
    <row r="732" ht="15.75" customHeight="1">
      <c r="B732" s="16"/>
      <c r="C732" s="16" t="str">
        <f>VLOOKUP(B732,Sheet3!$B$2:$E$312,2,FALSE)</f>
        <v>#N/A</v>
      </c>
      <c r="D732" s="16" t="str">
        <f>VLOOKUP(B732,Sheet3!$B$2:$E$312,3,)</f>
        <v>#N/A</v>
      </c>
      <c r="E732" s="16" t="str">
        <f>VLOOKUP(B732,Sheet3!$B$2:$E$312,4,)</f>
        <v>#N/A</v>
      </c>
    </row>
    <row r="733" ht="15.75" customHeight="1">
      <c r="B733" s="16"/>
      <c r="C733" s="16" t="str">
        <f>VLOOKUP(B733,Sheet3!$B$2:$E$312,2,FALSE)</f>
        <v>#N/A</v>
      </c>
      <c r="D733" s="16" t="str">
        <f>VLOOKUP(B733,Sheet3!$B$2:$E$312,3,)</f>
        <v>#N/A</v>
      </c>
      <c r="E733" s="16" t="str">
        <f>VLOOKUP(B733,Sheet3!$B$2:$E$312,4,)</f>
        <v>#N/A</v>
      </c>
    </row>
    <row r="734" ht="15.75" customHeight="1">
      <c r="B734" s="16"/>
      <c r="C734" s="16" t="str">
        <f>VLOOKUP(B734,Sheet3!$B$2:$E$312,2,FALSE)</f>
        <v>#N/A</v>
      </c>
      <c r="D734" s="16" t="str">
        <f>VLOOKUP(B734,Sheet3!$B$2:$E$312,3,)</f>
        <v>#N/A</v>
      </c>
      <c r="E734" s="16" t="str">
        <f>VLOOKUP(B734,Sheet3!$B$2:$E$312,4,)</f>
        <v>#N/A</v>
      </c>
    </row>
    <row r="735" ht="15.75" customHeight="1">
      <c r="B735" s="16"/>
      <c r="C735" s="16" t="str">
        <f>VLOOKUP(B735,Sheet3!$B$2:$E$312,2,FALSE)</f>
        <v>#N/A</v>
      </c>
      <c r="D735" s="16" t="str">
        <f>VLOOKUP(B735,Sheet3!$B$2:$E$312,3,)</f>
        <v>#N/A</v>
      </c>
      <c r="E735" s="16" t="str">
        <f>VLOOKUP(B735,Sheet3!$B$2:$E$312,4,)</f>
        <v>#N/A</v>
      </c>
    </row>
    <row r="736" ht="15.75" customHeight="1">
      <c r="B736" s="16"/>
      <c r="C736" s="16" t="str">
        <f>VLOOKUP(B736,Sheet3!$B$2:$E$312,2,FALSE)</f>
        <v>#N/A</v>
      </c>
      <c r="D736" s="16" t="str">
        <f>VLOOKUP(B736,Sheet3!$B$2:$E$312,3,)</f>
        <v>#N/A</v>
      </c>
      <c r="E736" s="16" t="str">
        <f>VLOOKUP(B736,Sheet3!$B$2:$E$312,4,)</f>
        <v>#N/A</v>
      </c>
    </row>
    <row r="737" ht="15.75" customHeight="1">
      <c r="B737" s="16"/>
      <c r="C737" s="16" t="str">
        <f>VLOOKUP(B737,Sheet3!$B$2:$E$312,2,FALSE)</f>
        <v>#N/A</v>
      </c>
      <c r="D737" s="16" t="str">
        <f>VLOOKUP(B737,Sheet3!$B$2:$E$312,3,)</f>
        <v>#N/A</v>
      </c>
      <c r="E737" s="16" t="str">
        <f>VLOOKUP(B737,Sheet3!$B$2:$E$312,4,)</f>
        <v>#N/A</v>
      </c>
    </row>
    <row r="738" ht="15.75" customHeight="1">
      <c r="B738" s="16"/>
      <c r="C738" s="16" t="str">
        <f>VLOOKUP(B738,Sheet3!$B$2:$E$312,2,FALSE)</f>
        <v>#N/A</v>
      </c>
      <c r="D738" s="16" t="str">
        <f>VLOOKUP(B738,Sheet3!$B$2:$E$312,3,)</f>
        <v>#N/A</v>
      </c>
    </row>
    <row r="739" ht="15.75" customHeight="1">
      <c r="B739" s="16"/>
      <c r="C739" s="16" t="str">
        <f>VLOOKUP(B739,Sheet3!$B$2:$E$312,2,FALSE)</f>
        <v>#N/A</v>
      </c>
      <c r="D739" s="16" t="str">
        <f>VLOOKUP(B739,Sheet3!$B$2:$E$312,3,)</f>
        <v>#N/A</v>
      </c>
    </row>
    <row r="740" ht="15.75" customHeight="1">
      <c r="B740" s="16"/>
      <c r="C740" s="16" t="str">
        <f>VLOOKUP(B740,Sheet3!$B$2:$E$312,2,FALSE)</f>
        <v>#N/A</v>
      </c>
      <c r="D740" s="16" t="str">
        <f>VLOOKUP(B740,Sheet3!$B$2:$E$312,3,)</f>
        <v>#N/A</v>
      </c>
    </row>
    <row r="741" ht="15.75" customHeight="1">
      <c r="B741" s="16"/>
      <c r="C741" s="16" t="str">
        <f>VLOOKUP(B741,Sheet3!$B$2:$E$312,2,FALSE)</f>
        <v>#N/A</v>
      </c>
      <c r="D741" s="16" t="str">
        <f>VLOOKUP(B741,Sheet3!$B$2:$E$312,3,)</f>
        <v>#N/A</v>
      </c>
    </row>
    <row r="742" ht="15.75" customHeight="1">
      <c r="B742" s="16"/>
      <c r="C742" s="16" t="str">
        <f>VLOOKUP(B742,Sheet3!$B$2:$E$312,2,FALSE)</f>
        <v>#N/A</v>
      </c>
      <c r="D742" s="16" t="str">
        <f>VLOOKUP(B742,Sheet3!$B$2:$E$312,3,)</f>
        <v>#N/A</v>
      </c>
    </row>
    <row r="743" ht="15.75" customHeight="1">
      <c r="B743" s="16"/>
      <c r="C743" s="16" t="str">
        <f>VLOOKUP(B743,Sheet3!$B$2:$E$312,2,FALSE)</f>
        <v>#N/A</v>
      </c>
      <c r="D743" s="16" t="str">
        <f>VLOOKUP(B743,Sheet3!$B$2:$E$312,3,)</f>
        <v>#N/A</v>
      </c>
    </row>
    <row r="744" ht="15.75" customHeight="1">
      <c r="B744" s="16"/>
      <c r="C744" s="16" t="str">
        <f>VLOOKUP(B744,Sheet3!$B$2:$E$312,2,FALSE)</f>
        <v>#N/A</v>
      </c>
      <c r="D744" s="16" t="str">
        <f>VLOOKUP(B744,Sheet3!$B$2:$E$312,3,)</f>
        <v>#N/A</v>
      </c>
    </row>
    <row r="745" ht="15.75" customHeight="1">
      <c r="B745" s="16"/>
      <c r="C745" s="16" t="str">
        <f>VLOOKUP(B745,Sheet3!$B$2:$E$312,2,FALSE)</f>
        <v>#N/A</v>
      </c>
      <c r="D745" s="16" t="str">
        <f>VLOOKUP(B745,Sheet3!$B$2:$E$312,3,)</f>
        <v>#N/A</v>
      </c>
    </row>
    <row r="746" ht="15.75" customHeight="1">
      <c r="B746" s="16"/>
      <c r="C746" s="16" t="str">
        <f>VLOOKUP(B746,Sheet3!$B$2:$E$312,2,FALSE)</f>
        <v>#N/A</v>
      </c>
    </row>
    <row r="747" ht="15.75" customHeight="1">
      <c r="B747" s="16"/>
      <c r="C747" s="16" t="str">
        <f>VLOOKUP(B747,Sheet3!$B$2:$E$312,2,FALSE)</f>
        <v>#N/A</v>
      </c>
    </row>
    <row r="748" ht="15.75" customHeight="1">
      <c r="B748" s="16"/>
    </row>
    <row r="749" ht="15.75" customHeight="1">
      <c r="B749" s="16"/>
    </row>
    <row r="750" ht="15.75" customHeight="1">
      <c r="B750" s="16"/>
    </row>
    <row r="751" ht="15.75" customHeight="1">
      <c r="B751" s="16"/>
    </row>
    <row r="752" ht="15.75" customHeight="1">
      <c r="B752" s="16"/>
    </row>
    <row r="753" ht="15.75" customHeight="1">
      <c r="B753" s="16"/>
    </row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133 B135:B138 B140:B214 B216:B233 B235:B753">
      <formula1>'DATA PER 111225'!$B$2:$B$311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2.86"/>
    <col customWidth="1" min="3" max="3" width="9.29"/>
    <col customWidth="1" min="4" max="4" width="27.29"/>
    <col customWidth="1" min="5" max="5" width="12.0"/>
    <col customWidth="1" min="6" max="6" width="11.86"/>
    <col customWidth="1" min="7" max="7" width="21.0"/>
    <col customWidth="1" min="8" max="8" width="16.71"/>
    <col customWidth="1" min="9" max="26" width="8.71"/>
  </cols>
  <sheetData>
    <row r="1">
      <c r="A1" s="1" t="s">
        <v>10</v>
      </c>
      <c r="B1" s="1" t="s">
        <v>2</v>
      </c>
      <c r="C1" s="1" t="s">
        <v>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1153</v>
      </c>
    </row>
    <row r="2">
      <c r="A2" s="20">
        <v>46025.0</v>
      </c>
      <c r="B2" s="21" t="s">
        <v>65</v>
      </c>
      <c r="C2" s="6" t="str">
        <f>VLOOKUP(B2,Sheet3!$B$2:$E$312,2,FALSE)</f>
        <v>B001-023</v>
      </c>
      <c r="D2" s="8" t="str">
        <f>VLOOKUP(B2,Sheet3!$B$2:$E$312,3,)</f>
        <v>bahan baku</v>
      </c>
      <c r="E2" s="8" t="str">
        <f>VLOOKUP(B2,Sheet3!$B$2:$E$312,4,)</f>
        <v>GR</v>
      </c>
      <c r="F2" s="22">
        <v>389.0</v>
      </c>
      <c r="G2" s="22" t="s">
        <v>1164</v>
      </c>
      <c r="H2" s="22" t="s">
        <v>876</v>
      </c>
      <c r="I2" s="7" t="s">
        <v>1165</v>
      </c>
    </row>
    <row r="3">
      <c r="A3" s="20"/>
      <c r="B3" s="21" t="s">
        <v>211</v>
      </c>
      <c r="C3" s="6" t="str">
        <f>VLOOKUP(B3,Sheet3!$B$2:$E$312,2,FALSE)</f>
        <v>B001-088</v>
      </c>
      <c r="D3" s="8" t="str">
        <f>VLOOKUP(B3,Sheet3!$B$2:$E$312,3,)</f>
        <v>bahan baku</v>
      </c>
      <c r="E3" s="8" t="str">
        <f>VLOOKUP(B3,Sheet3!$B$2:$E$312,4,)</f>
        <v>GR</v>
      </c>
      <c r="F3" s="22">
        <v>8145.0</v>
      </c>
      <c r="G3" s="22" t="s">
        <v>1173</v>
      </c>
      <c r="H3" s="22" t="s">
        <v>1056</v>
      </c>
      <c r="I3" s="7" t="s">
        <v>1165</v>
      </c>
    </row>
    <row r="4">
      <c r="A4" s="20"/>
      <c r="B4" s="21" t="s">
        <v>664</v>
      </c>
      <c r="C4" s="6" t="str">
        <f>VLOOKUP(B4,Sheet3!$B$2:$E$312,2,FALSE)</f>
        <v>P004-025</v>
      </c>
      <c r="D4" s="6" t="str">
        <f>VLOOKUP(B4,Sheet3!$B$2:$E$312,3,)</f>
        <v>barang jadi &amp; bahan baku</v>
      </c>
      <c r="E4" s="8" t="str">
        <f>VLOOKUP(B4,Sheet3!$B$2:$E$312,4,)</f>
        <v>ML</v>
      </c>
      <c r="F4" s="22">
        <v>700.0</v>
      </c>
      <c r="G4" s="22" t="s">
        <v>1164</v>
      </c>
      <c r="H4" s="22" t="s">
        <v>969</v>
      </c>
      <c r="I4" s="7" t="s">
        <v>1165</v>
      </c>
    </row>
    <row r="5">
      <c r="A5" s="20"/>
      <c r="B5" s="21" t="s">
        <v>805</v>
      </c>
      <c r="C5" s="6" t="str">
        <f>VLOOKUP(B5,Sheet3!$B$2:$E$312,2,FALSE)</f>
        <v>#N/A</v>
      </c>
      <c r="D5" s="6" t="str">
        <f>VLOOKUP(B5,Sheet3!$B$2:$E$312,3,)</f>
        <v>#N/A</v>
      </c>
      <c r="E5" s="8" t="str">
        <f>VLOOKUP(B5,Sheet3!$B$2:$E$312,4,)</f>
        <v>#N/A</v>
      </c>
      <c r="F5" s="22">
        <v>1000.0</v>
      </c>
      <c r="G5" s="22" t="s">
        <v>1164</v>
      </c>
      <c r="H5" s="22" t="s">
        <v>1186</v>
      </c>
      <c r="I5" s="7" t="s">
        <v>1165</v>
      </c>
    </row>
    <row r="6">
      <c r="A6" s="20"/>
      <c r="B6" s="21" t="s">
        <v>632</v>
      </c>
      <c r="C6" s="6" t="str">
        <f>VLOOKUP(B6,Sheet3!$B$2:$E$312,2,FALSE)</f>
        <v>P004-013</v>
      </c>
      <c r="D6" s="6" t="str">
        <f>VLOOKUP(B6,Sheet3!$B$2:$E$312,3,)</f>
        <v>barang jadi &amp; bahan baku</v>
      </c>
      <c r="E6" s="8" t="str">
        <f>VLOOKUP(B6,Sheet3!$B$2:$E$312,4,)</f>
        <v>PCS</v>
      </c>
      <c r="F6" s="22">
        <v>10.0</v>
      </c>
      <c r="G6" s="22" t="s">
        <v>1195</v>
      </c>
      <c r="H6" s="22" t="s">
        <v>1186</v>
      </c>
      <c r="I6" s="23" t="s">
        <v>1196</v>
      </c>
      <c r="J6" s="7" t="s">
        <v>1200</v>
      </c>
    </row>
    <row r="7">
      <c r="A7" s="20"/>
      <c r="B7" s="21" t="s">
        <v>502</v>
      </c>
      <c r="C7" s="6" t="str">
        <f>VLOOKUP(B7,Sheet3!$B$2:$E$312,2,FALSE)</f>
        <v>S001-002</v>
      </c>
      <c r="D7" s="6" t="str">
        <f>VLOOKUP(B7,Sheet3!$B$2:$E$312,3,)</f>
        <v>barang jadi</v>
      </c>
      <c r="E7" s="8" t="str">
        <f>VLOOKUP(B7,Sheet3!$B$2:$E$312,4,)</f>
        <v>PORSI</v>
      </c>
      <c r="F7" s="22">
        <v>8.0</v>
      </c>
      <c r="G7" s="22" t="s">
        <v>1206</v>
      </c>
      <c r="H7" s="22" t="s">
        <v>1186</v>
      </c>
      <c r="I7" s="23" t="s">
        <v>1196</v>
      </c>
      <c r="J7" s="7" t="s">
        <v>1210</v>
      </c>
    </row>
    <row r="8">
      <c r="A8" s="20"/>
      <c r="B8" s="21" t="s">
        <v>695</v>
      </c>
      <c r="C8" s="6" t="str">
        <f>VLOOKUP(B8,Sheet3!$B$2:$E$312,2,FALSE)</f>
        <v>S002-002</v>
      </c>
      <c r="D8" s="6" t="str">
        <f>VLOOKUP(B8,Sheet3!$B$2:$E$312,3,)</f>
        <v>barang jadi &amp; bahan baku</v>
      </c>
      <c r="E8" s="8" t="str">
        <f>VLOOKUP(B8,Sheet3!$B$2:$E$312,4,)</f>
        <v>PORSI</v>
      </c>
      <c r="F8" s="22">
        <v>4.0</v>
      </c>
      <c r="G8" s="22" t="s">
        <v>1216</v>
      </c>
      <c r="H8" s="22" t="s">
        <v>1186</v>
      </c>
      <c r="I8" s="23" t="s">
        <v>1196</v>
      </c>
      <c r="J8" s="7" t="s">
        <v>1217</v>
      </c>
    </row>
    <row r="9">
      <c r="A9" s="20"/>
      <c r="B9" s="21" t="s">
        <v>412</v>
      </c>
      <c r="C9" s="6" t="str">
        <f>VLOOKUP(B9,Sheet3!$B$2:$E$312,2,FALSE)</f>
        <v>J001-002</v>
      </c>
      <c r="D9" s="6" t="str">
        <f>VLOOKUP(B9,Sheet3!$B$2:$E$312,3,)</f>
        <v>barang jadi</v>
      </c>
      <c r="E9" s="8" t="str">
        <f>VLOOKUP(B9,Sheet3!$B$2:$E$312,4,)</f>
        <v>PORSI</v>
      </c>
      <c r="F9" s="22">
        <v>1.0</v>
      </c>
      <c r="G9" s="22" t="s">
        <v>1216</v>
      </c>
      <c r="H9" s="22" t="s">
        <v>1186</v>
      </c>
      <c r="I9" s="7" t="s">
        <v>1165</v>
      </c>
    </row>
    <row r="10">
      <c r="A10" s="20"/>
      <c r="B10" s="21" t="s">
        <v>148</v>
      </c>
      <c r="C10" s="6" t="str">
        <f>VLOOKUP(B10,Sheet3!$B$2:$E$312,2,FALSE)</f>
        <v>B001-064</v>
      </c>
      <c r="D10" s="6" t="str">
        <f>VLOOKUP(B10,Sheet3!$B$2:$E$312,3,)</f>
        <v>bahan baku</v>
      </c>
      <c r="E10" s="8" t="str">
        <f>VLOOKUP(B10,Sheet3!$B$2:$E$312,4,)</f>
        <v>GR</v>
      </c>
      <c r="F10" s="22">
        <v>265.0</v>
      </c>
      <c r="G10" s="22" t="s">
        <v>1224</v>
      </c>
      <c r="H10" s="22" t="s">
        <v>1225</v>
      </c>
      <c r="I10" s="7" t="s">
        <v>1165</v>
      </c>
    </row>
    <row r="11">
      <c r="A11" s="20">
        <v>46056.0</v>
      </c>
      <c r="B11" s="21" t="s">
        <v>111</v>
      </c>
      <c r="C11" s="6" t="str">
        <f>VLOOKUP(B11,Sheet3!$B$2:$E$312,2,FALSE)</f>
        <v>B001-047</v>
      </c>
      <c r="D11" s="6" t="str">
        <f>VLOOKUP(B11,Sheet3!$B$2:$E$312,3,)</f>
        <v>bahan baku</v>
      </c>
      <c r="E11" s="8" t="str">
        <f>VLOOKUP(B11,Sheet3!$B$2:$E$312,4,)</f>
        <v>GR</v>
      </c>
      <c r="F11" s="22">
        <v>390.0</v>
      </c>
      <c r="G11" s="22" t="s">
        <v>1224</v>
      </c>
      <c r="H11" s="22" t="s">
        <v>1228</v>
      </c>
      <c r="I11" s="7" t="s">
        <v>1165</v>
      </c>
    </row>
    <row r="12">
      <c r="A12" s="20"/>
      <c r="B12" s="21" t="s">
        <v>640</v>
      </c>
      <c r="C12" s="6" t="str">
        <f>VLOOKUP(B12,Sheet3!$B$2:$E$312,2,FALSE)</f>
        <v>P004-016</v>
      </c>
      <c r="D12" s="6" t="str">
        <f>VLOOKUP(B12,Sheet3!$B$2:$E$312,3,)</f>
        <v>barang jadi &amp; bahan baku</v>
      </c>
      <c r="E12" s="8" t="str">
        <f>VLOOKUP(B12,Sheet3!$B$2:$E$312,4,)</f>
        <v>GR</v>
      </c>
      <c r="F12" s="22">
        <v>38.0</v>
      </c>
      <c r="G12" s="22" t="s">
        <v>1164</v>
      </c>
      <c r="H12" s="22" t="s">
        <v>1225</v>
      </c>
      <c r="I12" s="7" t="s">
        <v>1165</v>
      </c>
    </row>
    <row r="13">
      <c r="A13" s="20"/>
      <c r="B13" s="21" t="s">
        <v>52</v>
      </c>
      <c r="C13" s="6" t="str">
        <f>VLOOKUP(B13,Sheet3!$B$2:$E$312,2,FALSE)</f>
        <v>B001-018</v>
      </c>
      <c r="D13" s="6" t="str">
        <f>VLOOKUP(B13,Sheet3!$B$2:$E$312,3,)</f>
        <v>bahan baku</v>
      </c>
      <c r="E13" s="8" t="str">
        <f>VLOOKUP(B13,Sheet3!$B$2:$E$312,4,)</f>
        <v>GR</v>
      </c>
      <c r="F13" s="22">
        <v>300.0</v>
      </c>
      <c r="G13" s="22" t="s">
        <v>1232</v>
      </c>
      <c r="H13" s="22" t="s">
        <v>1225</v>
      </c>
      <c r="I13" s="7" t="s">
        <v>1165</v>
      </c>
    </row>
    <row r="14">
      <c r="A14" s="20"/>
      <c r="B14" s="21" t="s">
        <v>211</v>
      </c>
      <c r="C14" s="6" t="str">
        <f>VLOOKUP(B14,Sheet3!$B$2:$E$312,2,FALSE)</f>
        <v>B001-088</v>
      </c>
      <c r="D14" s="6" t="str">
        <f>VLOOKUP(B14,Sheet3!$B$2:$E$312,3,)</f>
        <v>bahan baku</v>
      </c>
      <c r="E14" s="8" t="str">
        <f>VLOOKUP(B14,Sheet3!$B$2:$E$312,4,)</f>
        <v>GR</v>
      </c>
      <c r="F14" s="22">
        <v>4380.0</v>
      </c>
      <c r="G14" s="22" t="s">
        <v>1232</v>
      </c>
      <c r="H14" s="22" t="s">
        <v>1056</v>
      </c>
      <c r="I14" s="7" t="s">
        <v>1165</v>
      </c>
    </row>
    <row r="15">
      <c r="A15" s="20"/>
      <c r="B15" s="21" t="s">
        <v>632</v>
      </c>
      <c r="C15" s="6" t="str">
        <f>VLOOKUP(B15,Sheet3!$B$2:$E$312,2,FALSE)</f>
        <v>P004-013</v>
      </c>
      <c r="D15" s="6" t="str">
        <f>VLOOKUP(B15,Sheet3!$B$2:$E$312,3,)</f>
        <v>barang jadi &amp; bahan baku</v>
      </c>
      <c r="E15" s="8" t="str">
        <f>VLOOKUP(B15,Sheet3!$B$2:$E$312,4,)</f>
        <v>PCS</v>
      </c>
      <c r="F15" s="22">
        <v>22.0</v>
      </c>
      <c r="G15" s="22" t="s">
        <v>1216</v>
      </c>
      <c r="H15" s="22" t="s">
        <v>832</v>
      </c>
      <c r="I15" s="23" t="s">
        <v>1196</v>
      </c>
      <c r="J15" s="7" t="s">
        <v>1236</v>
      </c>
    </row>
    <row r="16">
      <c r="A16" s="20">
        <v>46084.0</v>
      </c>
      <c r="B16" s="21" t="s">
        <v>664</v>
      </c>
      <c r="C16" s="6" t="str">
        <f>VLOOKUP(B16,Sheet3!$B$2:$E$312,2,FALSE)</f>
        <v>P004-025</v>
      </c>
      <c r="D16" s="6" t="str">
        <f>VLOOKUP(B16,Sheet3!$B$2:$E$312,3,)</f>
        <v>barang jadi &amp; bahan baku</v>
      </c>
      <c r="E16" s="8" t="str">
        <f>VLOOKUP(B16,Sheet3!$B$2:$E$312,4,)</f>
        <v>ML</v>
      </c>
      <c r="F16" s="25">
        <v>500.0</v>
      </c>
      <c r="G16" s="25" t="s">
        <v>1216</v>
      </c>
      <c r="H16" s="26"/>
      <c r="I16" s="7" t="s">
        <v>1165</v>
      </c>
    </row>
    <row r="17">
      <c r="A17" s="20"/>
      <c r="B17" s="21" t="s">
        <v>657</v>
      </c>
      <c r="C17" s="6" t="str">
        <f>VLOOKUP(B17,Sheet3!$B$2:$E$312,2,FALSE)</f>
        <v>P004-023</v>
      </c>
      <c r="D17" s="6" t="str">
        <f>VLOOKUP(B17,Sheet3!$B$2:$E$312,3,)</f>
        <v>barang jadi &amp; bahan baku</v>
      </c>
      <c r="E17" s="8" t="str">
        <f>VLOOKUP(B17,Sheet3!$B$2:$E$312,4,)</f>
        <v>CC</v>
      </c>
      <c r="F17" s="25">
        <v>1300.0</v>
      </c>
      <c r="G17" s="25" t="s">
        <v>1216</v>
      </c>
      <c r="H17" s="26"/>
      <c r="I17" s="7" t="s">
        <v>1165</v>
      </c>
    </row>
    <row r="18">
      <c r="A18" s="20"/>
      <c r="B18" s="21" t="s">
        <v>805</v>
      </c>
      <c r="C18" s="6" t="str">
        <f>VLOOKUP(B18,Sheet3!$B$2:$E$312,2,FALSE)</f>
        <v>#N/A</v>
      </c>
      <c r="D18" s="6" t="str">
        <f>VLOOKUP(B18,Sheet3!$B$2:$E$312,3,)</f>
        <v>#N/A</v>
      </c>
      <c r="E18" s="8" t="str">
        <f>VLOOKUP(B18,Sheet3!$B$2:$E$312,4,)</f>
        <v>#N/A</v>
      </c>
      <c r="F18" s="22">
        <v>1000.0</v>
      </c>
      <c r="G18" s="22" t="s">
        <v>1216</v>
      </c>
      <c r="H18" s="22"/>
      <c r="I18" s="7" t="s">
        <v>1165</v>
      </c>
    </row>
    <row r="19">
      <c r="A19" s="20"/>
      <c r="B19" s="21" t="s">
        <v>28</v>
      </c>
      <c r="C19" s="6" t="str">
        <f>VLOOKUP(B19,Sheet3!$B$2:$E$312,2,FALSE)</f>
        <v>B001-006</v>
      </c>
      <c r="D19" s="6" t="str">
        <f>VLOOKUP(B19,Sheet3!$B$2:$E$312,3,)</f>
        <v>bahan baku</v>
      </c>
      <c r="E19" s="8" t="str">
        <f>VLOOKUP(B19,Sheet3!$B$2:$E$312,4,)</f>
        <v>GR</v>
      </c>
      <c r="F19" s="22">
        <v>100.0</v>
      </c>
      <c r="G19" s="22" t="s">
        <v>1232</v>
      </c>
      <c r="H19" s="22" t="s">
        <v>1225</v>
      </c>
      <c r="I19" s="7" t="s">
        <v>1165</v>
      </c>
    </row>
    <row r="20">
      <c r="A20" s="20"/>
      <c r="B20" s="21" t="s">
        <v>667</v>
      </c>
      <c r="C20" s="6" t="str">
        <f>VLOOKUP(B20,Sheet3!$B$2:$E$312,2,FALSE)</f>
        <v>P004-026</v>
      </c>
      <c r="D20" s="6" t="str">
        <f>VLOOKUP(B20,Sheet3!$B$2:$E$312,3,)</f>
        <v>barang jadi &amp; bahan baku</v>
      </c>
      <c r="E20" s="8" t="str">
        <f>VLOOKUP(B20,Sheet3!$B$2:$E$312,4,)</f>
        <v>GR</v>
      </c>
      <c r="F20" s="22">
        <v>76.0</v>
      </c>
      <c r="G20" s="22" t="s">
        <v>1245</v>
      </c>
      <c r="H20" s="22" t="s">
        <v>1225</v>
      </c>
      <c r="I20" s="7" t="s">
        <v>1165</v>
      </c>
    </row>
    <row r="21" ht="15.75" customHeight="1">
      <c r="A21" s="20"/>
      <c r="B21" s="21" t="s">
        <v>741</v>
      </c>
      <c r="C21" s="6" t="str">
        <f>VLOOKUP(B21,Sheet3!$B$2:$E$312,2,FALSE)</f>
        <v>B001-028</v>
      </c>
      <c r="D21" s="6" t="str">
        <f>VLOOKUP(B21,Sheet3!$B$2:$E$312,3,)</f>
        <v>others</v>
      </c>
      <c r="E21" s="8" t="str">
        <f>VLOOKUP(B21,Sheet3!$B$2:$E$312,4,)</f>
        <v>GR</v>
      </c>
      <c r="F21" s="22">
        <v>175.0</v>
      </c>
      <c r="G21" s="22" t="s">
        <v>946</v>
      </c>
      <c r="H21" s="22" t="s">
        <v>1248</v>
      </c>
      <c r="I21" s="7" t="s">
        <v>1165</v>
      </c>
    </row>
    <row r="22" ht="15.75" customHeight="1">
      <c r="A22" s="20"/>
      <c r="B22" s="21" t="s">
        <v>211</v>
      </c>
      <c r="C22" s="6" t="str">
        <f>VLOOKUP(B22,Sheet3!$B$2:$E$312,2,FALSE)</f>
        <v>B001-088</v>
      </c>
      <c r="D22" s="6" t="str">
        <f>VLOOKUP(B22,Sheet3!$B$2:$E$312,3,)</f>
        <v>bahan baku</v>
      </c>
      <c r="E22" s="8" t="str">
        <f>VLOOKUP(B22,Sheet3!$B$2:$E$312,4,)</f>
        <v>GR</v>
      </c>
      <c r="F22" s="22">
        <v>3855.0</v>
      </c>
      <c r="G22" s="22" t="s">
        <v>1232</v>
      </c>
      <c r="H22" s="22" t="s">
        <v>1056</v>
      </c>
      <c r="I22" s="7" t="s">
        <v>1165</v>
      </c>
    </row>
    <row r="23" ht="15.75" customHeight="1">
      <c r="A23" s="20"/>
      <c r="B23" s="21" t="s">
        <v>502</v>
      </c>
      <c r="C23" s="6" t="str">
        <f>VLOOKUP(B23,Sheet3!$B$2:$E$312,2,FALSE)</f>
        <v>S001-002</v>
      </c>
      <c r="D23" s="6" t="str">
        <f>VLOOKUP(B23,Sheet3!$B$2:$E$312,3,)</f>
        <v>barang jadi</v>
      </c>
      <c r="E23" s="8" t="str">
        <f>VLOOKUP(B23,Sheet3!$B$2:$E$312,4,)</f>
        <v>PORSI</v>
      </c>
      <c r="F23" s="22">
        <v>9.0</v>
      </c>
      <c r="G23" s="22" t="s">
        <v>1216</v>
      </c>
      <c r="H23" s="22" t="s">
        <v>832</v>
      </c>
      <c r="I23" s="23" t="s">
        <v>1196</v>
      </c>
      <c r="J23" s="7" t="s">
        <v>1210</v>
      </c>
    </row>
    <row r="24" ht="15.75" customHeight="1">
      <c r="A24" s="20"/>
      <c r="B24" s="21" t="s">
        <v>632</v>
      </c>
      <c r="C24" s="6" t="str">
        <f>VLOOKUP(B24,Sheet3!$B$2:$E$312,2,FALSE)</f>
        <v>P004-013</v>
      </c>
      <c r="D24" s="6" t="str">
        <f>VLOOKUP(B24,Sheet3!$B$2:$E$312,3,)</f>
        <v>barang jadi &amp; bahan baku</v>
      </c>
      <c r="E24" s="8" t="str">
        <f>VLOOKUP(B24,Sheet3!$B$2:$E$312,4,)</f>
        <v>PCS</v>
      </c>
      <c r="F24" s="22">
        <v>17.0</v>
      </c>
      <c r="G24" s="22" t="s">
        <v>1216</v>
      </c>
      <c r="H24" s="22" t="s">
        <v>832</v>
      </c>
      <c r="I24" s="23" t="s">
        <v>1196</v>
      </c>
      <c r="J24" s="7" t="s">
        <v>1267</v>
      </c>
    </row>
    <row r="25" ht="15.75" customHeight="1">
      <c r="A25" s="20"/>
      <c r="B25" s="21" t="s">
        <v>629</v>
      </c>
      <c r="C25" s="6" t="str">
        <f>VLOOKUP(B25,Sheet3!$B$2:$E$312,2,FALSE)</f>
        <v>P004-012</v>
      </c>
      <c r="D25" s="6" t="str">
        <f>VLOOKUP(B25,Sheet3!$B$2:$E$312,3,)</f>
        <v>barang jadi &amp; bahan baku</v>
      </c>
      <c r="E25" s="8" t="str">
        <f>VLOOKUP(B25,Sheet3!$B$2:$E$312,4,)</f>
        <v>GR</v>
      </c>
      <c r="F25" s="22">
        <v>31.0</v>
      </c>
      <c r="G25" s="22" t="s">
        <v>946</v>
      </c>
      <c r="H25" s="22" t="s">
        <v>1290</v>
      </c>
      <c r="I25" s="7" t="s">
        <v>1165</v>
      </c>
    </row>
    <row r="26" ht="15.75" customHeight="1">
      <c r="A26" s="20"/>
      <c r="B26" s="21" t="s">
        <v>664</v>
      </c>
      <c r="C26" s="6" t="str">
        <f>VLOOKUP(B26,Sheet3!$B$2:$E$312,2,FALSE)</f>
        <v>P004-025</v>
      </c>
      <c r="D26" s="6" t="str">
        <f>VLOOKUP(B26,Sheet3!$B$2:$E$312,3,)</f>
        <v>barang jadi &amp; bahan baku</v>
      </c>
      <c r="E26" s="8" t="str">
        <f>VLOOKUP(B26,Sheet3!$B$2:$E$312,4,)</f>
        <v>ML</v>
      </c>
      <c r="F26" s="22">
        <v>1250.0</v>
      </c>
      <c r="G26" s="22" t="s">
        <v>1164</v>
      </c>
      <c r="H26" s="22" t="s">
        <v>1228</v>
      </c>
      <c r="I26" s="7" t="s">
        <v>1165</v>
      </c>
    </row>
    <row r="27" ht="15.75" customHeight="1">
      <c r="A27" s="20"/>
      <c r="B27" s="21" t="s">
        <v>805</v>
      </c>
      <c r="C27" s="6" t="str">
        <f>VLOOKUP(B27,Sheet3!$B$2:$E$312,2,FALSE)</f>
        <v>#N/A</v>
      </c>
      <c r="D27" s="6" t="str">
        <f>VLOOKUP(B27,Sheet3!$B$2:$E$312,3,)</f>
        <v>#N/A</v>
      </c>
      <c r="E27" s="8" t="str">
        <f>VLOOKUP(B27,Sheet3!$B$2:$E$312,4,)</f>
        <v>#N/A</v>
      </c>
      <c r="F27" s="22">
        <v>300.0</v>
      </c>
      <c r="G27" s="22" t="s">
        <v>1164</v>
      </c>
      <c r="H27" s="22" t="s">
        <v>1228</v>
      </c>
      <c r="I27" s="7" t="s">
        <v>1165</v>
      </c>
    </row>
    <row r="28" ht="15.75" customHeight="1">
      <c r="A28" s="20"/>
      <c r="B28" s="21" t="s">
        <v>657</v>
      </c>
      <c r="C28" s="6" t="str">
        <f>VLOOKUP(B28,Sheet3!$B$2:$E$312,2,FALSE)</f>
        <v>P004-023</v>
      </c>
      <c r="D28" s="6" t="str">
        <f>VLOOKUP(B28,Sheet3!$B$2:$E$312,3,)</f>
        <v>barang jadi &amp; bahan baku</v>
      </c>
      <c r="E28" s="8" t="str">
        <f>VLOOKUP(B28,Sheet3!$B$2:$E$312,4,)</f>
        <v>CC</v>
      </c>
      <c r="F28" s="22">
        <v>250.0</v>
      </c>
      <c r="G28" s="22" t="s">
        <v>1164</v>
      </c>
      <c r="H28" s="22" t="s">
        <v>1228</v>
      </c>
      <c r="I28" s="7" t="s">
        <v>1165</v>
      </c>
    </row>
    <row r="29" ht="15.75" customHeight="1">
      <c r="A29" s="20"/>
      <c r="B29" s="21" t="s">
        <v>653</v>
      </c>
      <c r="C29" s="6" t="str">
        <f>VLOOKUP(B29,Sheet3!$B$2:$E$312,2,FALSE)</f>
        <v>P004-022</v>
      </c>
      <c r="D29" s="6" t="str">
        <f>VLOOKUP(B29,Sheet3!$B$2:$E$312,3,)</f>
        <v>barang jadi &amp; bahan baku</v>
      </c>
      <c r="E29" s="8" t="str">
        <f>VLOOKUP(B29,Sheet3!$B$2:$E$312,4,)</f>
        <v>CC</v>
      </c>
      <c r="F29" s="22">
        <v>575.0</v>
      </c>
      <c r="G29" s="22" t="s">
        <v>1164</v>
      </c>
      <c r="H29" s="22" t="s">
        <v>1228</v>
      </c>
      <c r="I29" s="7" t="s">
        <v>1165</v>
      </c>
    </row>
    <row r="30" ht="15.75" customHeight="1">
      <c r="A30" s="20">
        <v>46115.0</v>
      </c>
      <c r="B30" s="21" t="s">
        <v>86</v>
      </c>
      <c r="C30" s="6" t="str">
        <f>VLOOKUP(B30,Sheet3!$B$2:$E$312,2,FALSE)</f>
        <v>B001-036</v>
      </c>
      <c r="D30" s="6" t="str">
        <f>VLOOKUP(B30,Sheet3!$B$2:$E$312,3,)</f>
        <v>bahan baku</v>
      </c>
      <c r="E30" s="8" t="str">
        <f>VLOOKUP(B30,Sheet3!$B$2:$E$312,4,)</f>
        <v>GR</v>
      </c>
      <c r="F30" s="22">
        <v>4.0</v>
      </c>
      <c r="G30" s="22" t="s">
        <v>1224</v>
      </c>
      <c r="H30" s="22" t="s">
        <v>1228</v>
      </c>
      <c r="I30" s="7" t="s">
        <v>1165</v>
      </c>
    </row>
    <row r="31" ht="15.75" customHeight="1">
      <c r="A31" s="20"/>
      <c r="B31" s="21" t="s">
        <v>657</v>
      </c>
      <c r="C31" s="6" t="str">
        <f>VLOOKUP(B31,Sheet3!$B$2:$E$312,2,FALSE)</f>
        <v>P004-023</v>
      </c>
      <c r="D31" s="6" t="str">
        <f>VLOOKUP(B31,Sheet3!$B$2:$E$312,3,)</f>
        <v>barang jadi &amp; bahan baku</v>
      </c>
      <c r="E31" s="8" t="str">
        <f>VLOOKUP(B31,Sheet3!$B$2:$E$312,4,)</f>
        <v>CC</v>
      </c>
      <c r="F31" s="22">
        <v>350.0</v>
      </c>
      <c r="G31" s="22" t="s">
        <v>1164</v>
      </c>
      <c r="H31" s="22" t="s">
        <v>1228</v>
      </c>
      <c r="I31" s="7" t="s">
        <v>1165</v>
      </c>
    </row>
    <row r="32" ht="15.75" customHeight="1">
      <c r="A32" s="20"/>
      <c r="B32" s="21" t="s">
        <v>664</v>
      </c>
      <c r="C32" s="6"/>
      <c r="D32" s="6" t="str">
        <f>VLOOKUP(B32,Sheet3!$B$2:$E$312,3,)</f>
        <v>barang jadi &amp; bahan baku</v>
      </c>
      <c r="E32" s="8" t="str">
        <f>VLOOKUP(B32,Sheet3!$B$2:$E$312,4,)</f>
        <v>ML</v>
      </c>
      <c r="F32" s="22">
        <v>1700.0</v>
      </c>
      <c r="G32" s="22" t="s">
        <v>1164</v>
      </c>
      <c r="H32" s="22" t="s">
        <v>1228</v>
      </c>
      <c r="I32" s="7" t="s">
        <v>1165</v>
      </c>
    </row>
    <row r="33" ht="15.75" customHeight="1">
      <c r="A33" s="20"/>
      <c r="B33" s="21" t="s">
        <v>211</v>
      </c>
      <c r="C33" s="6" t="str">
        <f>VLOOKUP(B33,Sheet3!$B$2:$E$312,2,FALSE)</f>
        <v>B001-088</v>
      </c>
      <c r="D33" s="6" t="str">
        <f>VLOOKUP(B33,Sheet3!$B$2:$E$312,3,)</f>
        <v>bahan baku</v>
      </c>
      <c r="E33" s="8" t="str">
        <f>VLOOKUP(B33,Sheet3!$B$2:$E$312,4,)</f>
        <v>GR</v>
      </c>
      <c r="F33" s="22">
        <v>3450.0</v>
      </c>
      <c r="G33" s="22" t="s">
        <v>1232</v>
      </c>
      <c r="H33" s="22" t="s">
        <v>1305</v>
      </c>
      <c r="I33" s="7" t="s">
        <v>1165</v>
      </c>
    </row>
    <row r="34" ht="15.75" customHeight="1">
      <c r="A34" s="20"/>
      <c r="B34" s="21" t="s">
        <v>310</v>
      </c>
      <c r="C34" s="6" t="str">
        <f>VLOOKUP(B34,Sheet3!$B$2:$E$312,2,FALSE)</f>
        <v>B001-129</v>
      </c>
      <c r="D34" s="6" t="str">
        <f>VLOOKUP(B34,Sheet3!$B$2:$E$312,3,)</f>
        <v>bahan baku</v>
      </c>
      <c r="E34" s="8" t="str">
        <f>VLOOKUP(B34,Sheet3!$B$2:$E$312,4,)</f>
        <v>GR</v>
      </c>
      <c r="F34" s="22">
        <v>75.0</v>
      </c>
      <c r="G34" s="22" t="s">
        <v>1164</v>
      </c>
      <c r="H34" s="22" t="s">
        <v>1305</v>
      </c>
      <c r="I34" s="7" t="s">
        <v>1165</v>
      </c>
    </row>
    <row r="35" ht="15.75" customHeight="1">
      <c r="A35" s="20"/>
      <c r="B35" s="21" t="s">
        <v>502</v>
      </c>
      <c r="C35" s="6" t="str">
        <f>VLOOKUP(B35,Sheet3!$B$2:$E$312,2,FALSE)</f>
        <v>S001-002</v>
      </c>
      <c r="D35" s="6" t="str">
        <f>VLOOKUP(B35,Sheet3!$B$2:$E$312,3,)</f>
        <v>barang jadi</v>
      </c>
      <c r="E35" s="8" t="str">
        <f>VLOOKUP(B35,Sheet3!$B$2:$E$312,4,)</f>
        <v>PORSI</v>
      </c>
      <c r="F35" s="22">
        <v>5.0</v>
      </c>
      <c r="G35" s="22" t="s">
        <v>1216</v>
      </c>
      <c r="H35" s="22" t="s">
        <v>1305</v>
      </c>
      <c r="I35" s="23" t="s">
        <v>1196</v>
      </c>
      <c r="J35" s="7" t="s">
        <v>1308</v>
      </c>
    </row>
    <row r="36" ht="15.75" customHeight="1">
      <c r="A36" s="20"/>
      <c r="B36" s="21" t="s">
        <v>139</v>
      </c>
      <c r="C36" s="6" t="str">
        <f>VLOOKUP(B36,Sheet3!$B$2:$E$312,2,FALSE)</f>
        <v>B001-061</v>
      </c>
      <c r="D36" s="6" t="str">
        <f>VLOOKUP(B36,Sheet3!$B$2:$E$312,3,)</f>
        <v>bahan baku</v>
      </c>
      <c r="E36" s="8" t="str">
        <f>VLOOKUP(B36,Sheet3!$B$2:$E$312,4,)</f>
        <v>GR</v>
      </c>
      <c r="F36" s="22">
        <v>35.0</v>
      </c>
      <c r="G36" s="22" t="s">
        <v>1164</v>
      </c>
      <c r="H36" s="22" t="s">
        <v>1309</v>
      </c>
      <c r="I36" s="7" t="s">
        <v>1165</v>
      </c>
    </row>
    <row r="37" ht="15.75" customHeight="1">
      <c r="A37" s="20"/>
      <c r="B37" s="21" t="s">
        <v>640</v>
      </c>
      <c r="C37" s="6" t="str">
        <f>VLOOKUP(B37,Sheet3!$B$2:$E$312,2,FALSE)</f>
        <v>P004-016</v>
      </c>
      <c r="D37" s="6" t="str">
        <f>VLOOKUP(B37,Sheet3!$B$2:$E$312,3,)</f>
        <v>barang jadi &amp; bahan baku</v>
      </c>
      <c r="E37" s="8" t="str">
        <f>VLOOKUP(B37,Sheet3!$B$2:$E$312,4,)</f>
        <v>GR</v>
      </c>
      <c r="F37" s="22">
        <v>172.0</v>
      </c>
      <c r="G37" s="22" t="s">
        <v>1164</v>
      </c>
      <c r="H37" s="22" t="s">
        <v>876</v>
      </c>
      <c r="I37" s="7" t="s">
        <v>1165</v>
      </c>
    </row>
    <row r="38" ht="15.75" customHeight="1">
      <c r="A38" s="20"/>
      <c r="B38" s="21" t="s">
        <v>823</v>
      </c>
      <c r="C38" s="6" t="str">
        <f>VLOOKUP(B38,Sheet3!$B$2:$E$312,2,FALSE)</f>
        <v>#N/A</v>
      </c>
      <c r="D38" s="6" t="str">
        <f>VLOOKUP(B38,Sheet3!$B$2:$E$312,3,)</f>
        <v>#N/A</v>
      </c>
      <c r="E38" s="8" t="str">
        <f>VLOOKUP(B38,Sheet3!$B$2:$E$312,4,)</f>
        <v>#N/A</v>
      </c>
      <c r="F38" s="22">
        <v>74.0</v>
      </c>
      <c r="G38" s="22" t="s">
        <v>1164</v>
      </c>
      <c r="H38" s="22" t="s">
        <v>876</v>
      </c>
      <c r="I38" s="7" t="s">
        <v>1165</v>
      </c>
    </row>
    <row r="39" ht="15.75" customHeight="1">
      <c r="A39" s="20">
        <v>46145.0</v>
      </c>
      <c r="B39" s="21" t="s">
        <v>471</v>
      </c>
      <c r="C39" s="6" t="str">
        <f>VLOOKUP(B39,Sheet3!$B$2:$E$312,2,FALSE)</f>
        <v>P001-001</v>
      </c>
      <c r="D39" s="6" t="str">
        <f>VLOOKUP(B39,Sheet3!$B$2:$E$312,3,)</f>
        <v>barang jadi</v>
      </c>
      <c r="E39" s="8" t="str">
        <f>VLOOKUP(B39,Sheet3!$B$2:$E$312,4,)</f>
        <v>PORSI</v>
      </c>
      <c r="F39" s="22">
        <v>1.0</v>
      </c>
      <c r="G39" s="22" t="s">
        <v>1164</v>
      </c>
      <c r="H39" s="22"/>
      <c r="I39" s="7" t="s">
        <v>1165</v>
      </c>
    </row>
    <row r="40" ht="15.75" customHeight="1">
      <c r="A40" s="20"/>
      <c r="B40" s="21" t="s">
        <v>148</v>
      </c>
      <c r="C40" s="6" t="str">
        <f>VLOOKUP(B40,Sheet3!$B$2:$E$312,2,FALSE)</f>
        <v>B001-064</v>
      </c>
      <c r="D40" s="6" t="str">
        <f>VLOOKUP(B40,Sheet3!$B$2:$E$312,3,)</f>
        <v>bahan baku</v>
      </c>
      <c r="E40" s="8" t="str">
        <f>VLOOKUP(B40,Sheet3!$B$2:$E$312,4,)</f>
        <v>GR</v>
      </c>
      <c r="F40" s="22">
        <v>643.0</v>
      </c>
      <c r="G40" s="22" t="s">
        <v>1224</v>
      </c>
      <c r="H40" s="22" t="s">
        <v>1146</v>
      </c>
      <c r="I40" s="7" t="s">
        <v>1165</v>
      </c>
    </row>
    <row r="41" ht="15.75" customHeight="1">
      <c r="A41" s="20"/>
      <c r="B41" s="21" t="s">
        <v>211</v>
      </c>
      <c r="C41" s="6" t="str">
        <f>VLOOKUP(B41,Sheet3!$B$2:$E$312,2,FALSE)</f>
        <v>B001-088</v>
      </c>
      <c r="D41" s="6" t="str">
        <f>VLOOKUP(B41,Sheet3!$B$2:$E$312,3,)</f>
        <v>bahan baku</v>
      </c>
      <c r="E41" s="8" t="str">
        <f>VLOOKUP(B41,Sheet3!$B$2:$E$312,4,)</f>
        <v>GR</v>
      </c>
      <c r="F41" s="22">
        <v>5300.0</v>
      </c>
      <c r="G41" s="22" t="s">
        <v>1333</v>
      </c>
      <c r="H41" s="22"/>
      <c r="I41" s="7" t="s">
        <v>1165</v>
      </c>
    </row>
    <row r="42" ht="15.75" customHeight="1">
      <c r="A42" s="20"/>
      <c r="B42" s="21" t="s">
        <v>502</v>
      </c>
      <c r="C42" s="6" t="str">
        <f>VLOOKUP(B42,Sheet3!$B$2:$E$312,2,FALSE)</f>
        <v>S001-002</v>
      </c>
      <c r="D42" s="6" t="str">
        <f>VLOOKUP(B42,Sheet3!$B$2:$E$312,3,)</f>
        <v>barang jadi</v>
      </c>
      <c r="E42" s="8" t="str">
        <f>VLOOKUP(B42,Sheet3!$B$2:$E$312,4,)</f>
        <v>PORSI</v>
      </c>
      <c r="F42" s="22">
        <v>7.0</v>
      </c>
      <c r="G42" s="22" t="s">
        <v>1216</v>
      </c>
      <c r="H42" s="22" t="s">
        <v>1305</v>
      </c>
      <c r="I42" s="23" t="s">
        <v>1196</v>
      </c>
      <c r="J42" s="7" t="s">
        <v>1340</v>
      </c>
    </row>
    <row r="43" ht="15.75" customHeight="1">
      <c r="A43" s="20"/>
      <c r="B43" s="21" t="s">
        <v>632</v>
      </c>
      <c r="C43" s="6" t="str">
        <f>VLOOKUP(B43,Sheet3!$B$2:$E$312,2,FALSE)</f>
        <v>P004-013</v>
      </c>
      <c r="D43" s="6" t="str">
        <f>VLOOKUP(B43,Sheet3!$B$2:$E$312,3,)</f>
        <v>barang jadi &amp; bahan baku</v>
      </c>
      <c r="E43" s="8" t="str">
        <f>VLOOKUP(B43,Sheet3!$B$2:$E$312,4,)</f>
        <v>PCS</v>
      </c>
      <c r="F43" s="22">
        <v>5.0</v>
      </c>
      <c r="G43" s="22" t="s">
        <v>1216</v>
      </c>
      <c r="H43" s="22" t="s">
        <v>1305</v>
      </c>
      <c r="I43" s="23" t="s">
        <v>1196</v>
      </c>
      <c r="J43" s="7" t="s">
        <v>1340</v>
      </c>
    </row>
    <row r="44" ht="15.75" customHeight="1">
      <c r="A44" s="20"/>
      <c r="B44" s="21" t="s">
        <v>805</v>
      </c>
      <c r="C44" s="6" t="str">
        <f>VLOOKUP(B44,Sheet3!$B$2:$E$312,2,FALSE)</f>
        <v>#N/A</v>
      </c>
      <c r="D44" s="6" t="str">
        <f>VLOOKUP(B44,Sheet3!$B$2:$E$312,3,)</f>
        <v>#N/A</v>
      </c>
      <c r="E44" s="8" t="str">
        <f>VLOOKUP(B44,Sheet3!$B$2:$E$312,4,)</f>
        <v>#N/A</v>
      </c>
      <c r="F44" s="22">
        <v>1000.0</v>
      </c>
      <c r="G44" s="22" t="s">
        <v>1164</v>
      </c>
      <c r="H44" s="22" t="s">
        <v>969</v>
      </c>
      <c r="I44" s="7" t="s">
        <v>1165</v>
      </c>
    </row>
    <row r="45" ht="15.75" customHeight="1">
      <c r="A45" s="20"/>
      <c r="B45" s="21" t="s">
        <v>664</v>
      </c>
      <c r="C45" s="6" t="str">
        <f>VLOOKUP(B45,Sheet3!$B$2:$E$312,2,FALSE)</f>
        <v>P004-025</v>
      </c>
      <c r="D45" s="6" t="str">
        <f>VLOOKUP(B45,Sheet3!$B$2:$E$312,3,)</f>
        <v>barang jadi &amp; bahan baku</v>
      </c>
      <c r="E45" s="8" t="str">
        <f>VLOOKUP(B45,Sheet3!$B$2:$E$312,4,)</f>
        <v>ML</v>
      </c>
      <c r="F45" s="22">
        <v>1500.0</v>
      </c>
      <c r="G45" s="22" t="s">
        <v>1164</v>
      </c>
      <c r="H45" s="22" t="s">
        <v>969</v>
      </c>
      <c r="I45" s="7" t="s">
        <v>1165</v>
      </c>
    </row>
    <row r="46" ht="15.75" customHeight="1">
      <c r="A46" s="20">
        <v>46176.0</v>
      </c>
      <c r="B46" s="21" t="s">
        <v>132</v>
      </c>
      <c r="C46" s="6" t="str">
        <f>VLOOKUP(B46,Sheet3!$B$2:$E$312,2,FALSE)</f>
        <v>B001-057</v>
      </c>
      <c r="D46" s="6" t="str">
        <f>VLOOKUP(B46,Sheet3!$B$2:$E$312,3,)</f>
        <v>bahan baku</v>
      </c>
      <c r="E46" s="8" t="str">
        <f>VLOOKUP(B46,Sheet3!$B$2:$E$312,4,)</f>
        <v>GR</v>
      </c>
      <c r="F46" s="22">
        <v>110.0</v>
      </c>
      <c r="G46" s="22" t="s">
        <v>1164</v>
      </c>
      <c r="H46" s="22"/>
      <c r="I46" s="7" t="s">
        <v>1165</v>
      </c>
    </row>
    <row r="47" ht="15.75" customHeight="1">
      <c r="A47" s="20"/>
      <c r="B47" s="21" t="s">
        <v>648</v>
      </c>
      <c r="C47" s="6" t="str">
        <f>VLOOKUP(B47,Sheet3!$B$2:$E$312,2,FALSE)</f>
        <v>P004-020</v>
      </c>
      <c r="D47" s="6" t="str">
        <f>VLOOKUP(B47,Sheet3!$B$2:$E$312,3,)</f>
        <v>barang jadi &amp; bahan baku</v>
      </c>
      <c r="E47" s="8" t="str">
        <f>VLOOKUP(B47,Sheet3!$B$2:$E$312,4,)</f>
        <v>GR</v>
      </c>
      <c r="F47" s="22">
        <v>381.0</v>
      </c>
      <c r="G47" s="22" t="s">
        <v>1164</v>
      </c>
      <c r="H47" s="22" t="s">
        <v>1186</v>
      </c>
      <c r="I47" s="7" t="s">
        <v>1165</v>
      </c>
    </row>
    <row r="48" ht="15.75" customHeight="1">
      <c r="A48" s="20"/>
      <c r="B48" s="21" t="s">
        <v>698</v>
      </c>
      <c r="C48" s="6" t="str">
        <f>VLOOKUP(B48,Sheet3!$B$2:$E$312,2,FALSE)</f>
        <v>P004-038</v>
      </c>
      <c r="D48" s="6" t="str">
        <f>VLOOKUP(B48,Sheet3!$B$2:$E$312,3,)</f>
        <v>barang jadi &amp; bahan baku</v>
      </c>
      <c r="E48" s="8" t="str">
        <f>VLOOKUP(B48,Sheet3!$B$2:$E$312,4,)</f>
        <v>PCS</v>
      </c>
      <c r="F48" s="22">
        <v>1.0</v>
      </c>
      <c r="G48" s="22" t="s">
        <v>1368</v>
      </c>
      <c r="H48" s="22"/>
      <c r="I48" s="7" t="s">
        <v>1165</v>
      </c>
    </row>
    <row r="49" ht="15.75" customHeight="1">
      <c r="A49" s="20"/>
      <c r="B49" s="21" t="s">
        <v>720</v>
      </c>
      <c r="C49" s="6" t="str">
        <f>VLOOKUP(B49,Sheet3!$B$2:$E$312,2,FALSE)</f>
        <v>B002-005</v>
      </c>
      <c r="D49" s="6" t="str">
        <f>VLOOKUP(B49,Sheet3!$B$2:$E$312,3,)</f>
        <v>others</v>
      </c>
      <c r="E49" s="8" t="str">
        <f>VLOOKUP(B49,Sheet3!$B$2:$E$312,4,)</f>
        <v>PCS</v>
      </c>
      <c r="F49" s="22">
        <v>38.0</v>
      </c>
      <c r="G49" s="22" t="s">
        <v>1369</v>
      </c>
      <c r="H49" s="22" t="s">
        <v>969</v>
      </c>
      <c r="I49" s="7" t="s">
        <v>1165</v>
      </c>
    </row>
    <row r="50" ht="15.75" customHeight="1">
      <c r="A50" s="20"/>
      <c r="B50" s="21" t="s">
        <v>71</v>
      </c>
      <c r="C50" s="6" t="str">
        <f>VLOOKUP(B50,Sheet3!$B$2:$E$312,2,FALSE)</f>
        <v>B001-027</v>
      </c>
      <c r="D50" s="6" t="str">
        <f>VLOOKUP(B50,Sheet3!$B$2:$E$312,3,)</f>
        <v>bahan baku</v>
      </c>
      <c r="E50" s="8" t="str">
        <f>VLOOKUP(B50,Sheet3!$B$2:$E$312,4,)</f>
        <v>GR</v>
      </c>
      <c r="F50" s="22">
        <v>249.0</v>
      </c>
      <c r="G50" s="22" t="s">
        <v>1164</v>
      </c>
      <c r="H50" s="22" t="s">
        <v>1228</v>
      </c>
      <c r="I50" s="7" t="s">
        <v>1165</v>
      </c>
    </row>
    <row r="51" ht="15.75" customHeight="1">
      <c r="A51" s="20"/>
      <c r="B51" s="21" t="s">
        <v>625</v>
      </c>
      <c r="C51" s="6" t="str">
        <f>VLOOKUP(B51,Sheet3!$B$2:$E$312,2,FALSE)</f>
        <v>P004-011</v>
      </c>
      <c r="D51" s="6" t="str">
        <f>VLOOKUP(B51,Sheet3!$B$2:$E$312,3,)</f>
        <v>barang jadi &amp; bahan baku</v>
      </c>
      <c r="E51" s="8" t="str">
        <f>VLOOKUP(B51,Sheet3!$B$2:$E$312,4,)</f>
        <v>GR</v>
      </c>
      <c r="F51" s="22">
        <v>86.0</v>
      </c>
      <c r="G51" s="22" t="s">
        <v>1245</v>
      </c>
      <c r="H51" s="22" t="s">
        <v>876</v>
      </c>
      <c r="I51" s="7" t="s">
        <v>1165</v>
      </c>
    </row>
    <row r="52" ht="15.75" customHeight="1">
      <c r="A52" s="20"/>
      <c r="B52" s="21" t="s">
        <v>28</v>
      </c>
      <c r="C52" s="6" t="str">
        <f>VLOOKUP(B52,Sheet3!$B$2:$E$312,2,FALSE)</f>
        <v>B001-006</v>
      </c>
      <c r="D52" s="6" t="str">
        <f>VLOOKUP(B52,Sheet3!$B$2:$E$312,3,)</f>
        <v>bahan baku</v>
      </c>
      <c r="E52" s="8" t="str">
        <f>VLOOKUP(B52,Sheet3!$B$2:$E$312,4,)</f>
        <v>GR</v>
      </c>
      <c r="F52" s="22">
        <v>45.0</v>
      </c>
      <c r="G52" s="22" t="s">
        <v>1370</v>
      </c>
      <c r="H52" s="22" t="s">
        <v>876</v>
      </c>
      <c r="I52" s="7" t="s">
        <v>1165</v>
      </c>
    </row>
    <row r="53" ht="15.75" customHeight="1">
      <c r="A53" s="20"/>
      <c r="B53" s="21" t="s">
        <v>651</v>
      </c>
      <c r="C53" s="6" t="str">
        <f>VLOOKUP(B53,Sheet3!$B$2:$E$312,2,FALSE)</f>
        <v>P004-021</v>
      </c>
      <c r="D53" s="6" t="str">
        <f>VLOOKUP(B53,Sheet3!$B$2:$E$312,3,)</f>
        <v>barang jadi &amp; bahan baku</v>
      </c>
      <c r="E53" s="8" t="str">
        <f>VLOOKUP(B53,Sheet3!$B$2:$E$312,4,)</f>
        <v>GR</v>
      </c>
      <c r="F53" s="22">
        <v>169.0</v>
      </c>
      <c r="G53" s="22" t="s">
        <v>1245</v>
      </c>
      <c r="H53" s="22" t="s">
        <v>876</v>
      </c>
      <c r="I53" s="7" t="s">
        <v>1165</v>
      </c>
    </row>
    <row r="54" ht="15.75" customHeight="1">
      <c r="A54" s="20"/>
      <c r="B54" s="21" t="s">
        <v>52</v>
      </c>
      <c r="C54" s="6" t="str">
        <f>VLOOKUP(B54,Sheet3!$B$2:$E$312,2,FALSE)</f>
        <v>B001-018</v>
      </c>
      <c r="D54" s="6" t="str">
        <f>VLOOKUP(B54,Sheet3!$B$2:$E$312,3,)</f>
        <v>bahan baku</v>
      </c>
      <c r="E54" s="8" t="str">
        <f>VLOOKUP(B54,Sheet3!$B$2:$E$312,4,)</f>
        <v>GR</v>
      </c>
      <c r="F54" s="22">
        <v>68.0</v>
      </c>
      <c r="G54" s="22" t="s">
        <v>1371</v>
      </c>
      <c r="H54" s="22" t="s">
        <v>876</v>
      </c>
      <c r="I54" s="7" t="s">
        <v>1165</v>
      </c>
    </row>
    <row r="55" ht="15.75" customHeight="1">
      <c r="A55" s="20"/>
      <c r="B55" s="21" t="s">
        <v>146</v>
      </c>
      <c r="C55" s="6" t="str">
        <f>VLOOKUP(B55,Sheet3!$B$2:$E$312,2,FALSE)</f>
        <v>B001-063</v>
      </c>
      <c r="D55" s="6" t="str">
        <f>VLOOKUP(B55,Sheet3!$B$2:$E$312,3,)</f>
        <v>bahan baku</v>
      </c>
      <c r="E55" s="8" t="str">
        <f>VLOOKUP(B55,Sheet3!$B$2:$E$312,4,)</f>
        <v>GR</v>
      </c>
      <c r="F55" s="22">
        <v>111.0</v>
      </c>
      <c r="G55" s="22" t="s">
        <v>1245</v>
      </c>
      <c r="H55" s="22" t="s">
        <v>876</v>
      </c>
      <c r="I55" s="7" t="s">
        <v>1165</v>
      </c>
    </row>
    <row r="56" ht="15.75" customHeight="1">
      <c r="A56" s="20"/>
      <c r="B56" s="21" t="s">
        <v>651</v>
      </c>
      <c r="C56" s="6" t="str">
        <f>VLOOKUP(B56,Sheet3!$B$2:$E$312,2,FALSE)</f>
        <v>P004-021</v>
      </c>
      <c r="D56" s="6" t="str">
        <f>VLOOKUP(B56,Sheet3!$B$2:$E$312,3,)</f>
        <v>barang jadi &amp; bahan baku</v>
      </c>
      <c r="E56" s="8" t="str">
        <f>VLOOKUP(B56,Sheet3!$B$2:$E$312,4,)</f>
        <v>GR</v>
      </c>
      <c r="F56" s="22">
        <v>85.0</v>
      </c>
      <c r="G56" s="22" t="s">
        <v>1245</v>
      </c>
      <c r="H56" s="22" t="s">
        <v>876</v>
      </c>
      <c r="I56" s="7" t="s">
        <v>1165</v>
      </c>
    </row>
    <row r="57" ht="15.75" customHeight="1">
      <c r="A57" s="20"/>
      <c r="B57" s="21" t="s">
        <v>211</v>
      </c>
      <c r="C57" s="6" t="str">
        <f>VLOOKUP(B57,Sheet3!$B$2:$E$312,2,FALSE)</f>
        <v>B001-088</v>
      </c>
      <c r="D57" s="6" t="str">
        <f>VLOOKUP(B57,Sheet3!$B$2:$E$312,3,)</f>
        <v>bahan baku</v>
      </c>
      <c r="E57" s="8" t="str">
        <f>VLOOKUP(B57,Sheet3!$B$2:$E$312,4,)</f>
        <v>GR</v>
      </c>
      <c r="F57" s="22">
        <v>6210.0</v>
      </c>
      <c r="G57" s="22" t="s">
        <v>1232</v>
      </c>
      <c r="H57" s="22" t="s">
        <v>1375</v>
      </c>
      <c r="I57" s="7" t="s">
        <v>1165</v>
      </c>
    </row>
    <row r="58" ht="15.75" customHeight="1">
      <c r="A58" s="20"/>
      <c r="B58" s="21" t="s">
        <v>629</v>
      </c>
      <c r="C58" s="6" t="str">
        <f>VLOOKUP(B58,Sheet3!$B$2:$E$312,2,FALSE)</f>
        <v>P004-012</v>
      </c>
      <c r="D58" s="6" t="str">
        <f>VLOOKUP(B58,Sheet3!$B$2:$E$312,3,)</f>
        <v>barang jadi &amp; bahan baku</v>
      </c>
      <c r="E58" s="8" t="str">
        <f>VLOOKUP(B58,Sheet3!$B$2:$E$312,4,)</f>
        <v>GR</v>
      </c>
      <c r="F58" s="22">
        <v>23.0</v>
      </c>
      <c r="G58" s="22" t="s">
        <v>1245</v>
      </c>
      <c r="H58" s="22" t="s">
        <v>876</v>
      </c>
      <c r="I58" s="7" t="s">
        <v>1165</v>
      </c>
    </row>
    <row r="59" ht="15.75" customHeight="1">
      <c r="A59" s="20"/>
      <c r="B59" s="21" t="s">
        <v>502</v>
      </c>
      <c r="C59" s="6" t="str">
        <f>VLOOKUP(B59,Sheet3!$B$2:$E$312,2,FALSE)</f>
        <v>S001-002</v>
      </c>
      <c r="D59" s="6" t="str">
        <f>VLOOKUP(B59,Sheet3!$B$2:$E$312,3,)</f>
        <v>barang jadi</v>
      </c>
      <c r="E59" s="8" t="str">
        <f>VLOOKUP(B59,Sheet3!$B$2:$E$312,4,)</f>
        <v>PORSI</v>
      </c>
      <c r="F59" s="22">
        <v>8.0</v>
      </c>
      <c r="G59" s="22" t="s">
        <v>1216</v>
      </c>
      <c r="H59" s="22" t="s">
        <v>1305</v>
      </c>
      <c r="I59" s="23" t="s">
        <v>1196</v>
      </c>
      <c r="J59" s="7" t="s">
        <v>1340</v>
      </c>
    </row>
    <row r="60" ht="15.75" customHeight="1">
      <c r="A60" s="20"/>
      <c r="B60" s="21" t="s">
        <v>632</v>
      </c>
      <c r="C60" s="6" t="str">
        <f>VLOOKUP(B60,Sheet3!$B$2:$E$312,2,FALSE)</f>
        <v>P004-013</v>
      </c>
      <c r="D60" s="6" t="str">
        <f>VLOOKUP(B60,Sheet3!$B$2:$E$312,3,)</f>
        <v>barang jadi &amp; bahan baku</v>
      </c>
      <c r="E60" s="8" t="str">
        <f>VLOOKUP(B60,Sheet3!$B$2:$E$312,4,)</f>
        <v>PCS</v>
      </c>
      <c r="F60" s="22">
        <v>13.0</v>
      </c>
      <c r="G60" s="22" t="s">
        <v>1216</v>
      </c>
      <c r="H60" s="22" t="s">
        <v>1305</v>
      </c>
      <c r="I60" s="23" t="s">
        <v>1196</v>
      </c>
      <c r="J60" s="7" t="s">
        <v>1379</v>
      </c>
    </row>
    <row r="61" ht="15.75" customHeight="1">
      <c r="A61" s="20"/>
      <c r="B61" s="21" t="s">
        <v>416</v>
      </c>
      <c r="C61" s="6" t="str">
        <f>VLOOKUP(B61,Sheet3!$B$2:$E$312,2,FALSE)</f>
        <v>J001-004</v>
      </c>
      <c r="D61" s="6" t="str">
        <f>VLOOKUP(B61,Sheet3!$B$2:$E$312,3,)</f>
        <v>barang jadi</v>
      </c>
      <c r="E61" s="8" t="str">
        <f>VLOOKUP(B61,Sheet3!$B$2:$E$312,4,)</f>
        <v>PORSI</v>
      </c>
      <c r="F61" s="22">
        <v>2.0</v>
      </c>
      <c r="G61" s="22" t="s">
        <v>1381</v>
      </c>
      <c r="H61" s="22" t="s">
        <v>1305</v>
      </c>
      <c r="I61" s="7" t="s">
        <v>1165</v>
      </c>
    </row>
    <row r="62" ht="15.75" customHeight="1">
      <c r="A62" s="20"/>
      <c r="B62" s="21" t="s">
        <v>698</v>
      </c>
      <c r="C62" s="6" t="str">
        <f>VLOOKUP(B62,Sheet3!$B$2:$E$312,2,FALSE)</f>
        <v>P004-038</v>
      </c>
      <c r="D62" s="6" t="str">
        <f>VLOOKUP(B62,Sheet3!$B$2:$E$312,3,)</f>
        <v>barang jadi &amp; bahan baku</v>
      </c>
      <c r="E62" s="8" t="str">
        <f>VLOOKUP(B62,Sheet3!$B$2:$E$312,4,)</f>
        <v>PCS</v>
      </c>
      <c r="F62" s="22">
        <v>1.0</v>
      </c>
      <c r="G62" s="22" t="s">
        <v>1383</v>
      </c>
      <c r="H62" s="22" t="s">
        <v>876</v>
      </c>
      <c r="I62" s="7" t="s">
        <v>1165</v>
      </c>
    </row>
    <row r="63" ht="15.75" customHeight="1">
      <c r="A63" s="20"/>
      <c r="B63" s="21" t="s">
        <v>805</v>
      </c>
      <c r="C63" s="6" t="str">
        <f>VLOOKUP(B63,Sheet3!$B$2:$E$312,2,FALSE)</f>
        <v>#N/A</v>
      </c>
      <c r="D63" s="6" t="str">
        <f>VLOOKUP(B63,Sheet3!$B$2:$E$312,3,)</f>
        <v>#N/A</v>
      </c>
      <c r="E63" s="8" t="str">
        <f>VLOOKUP(B63,Sheet3!$B$2:$E$312,4,)</f>
        <v>#N/A</v>
      </c>
      <c r="F63" s="22">
        <v>1800.0</v>
      </c>
      <c r="G63" s="22" t="s">
        <v>1164</v>
      </c>
      <c r="H63" s="22" t="s">
        <v>1384</v>
      </c>
      <c r="I63" s="7" t="s">
        <v>1165</v>
      </c>
    </row>
    <row r="64" ht="15.75" customHeight="1">
      <c r="A64" s="20"/>
      <c r="B64" s="21" t="s">
        <v>664</v>
      </c>
      <c r="C64" s="6" t="str">
        <f>VLOOKUP(B64,Sheet3!$B$2:$E$312,2,FALSE)</f>
        <v>P004-025</v>
      </c>
      <c r="D64" s="21" t="s">
        <v>316</v>
      </c>
      <c r="E64" s="8" t="str">
        <f>VLOOKUP(B64,Sheet3!$B$2:$E$312,4,)</f>
        <v>ML</v>
      </c>
      <c r="F64" s="22">
        <v>1250.0</v>
      </c>
      <c r="G64" s="22" t="s">
        <v>1164</v>
      </c>
      <c r="H64" s="22" t="s">
        <v>1384</v>
      </c>
      <c r="I64" s="7" t="s">
        <v>1165</v>
      </c>
    </row>
    <row r="65" ht="15.75" customHeight="1">
      <c r="A65" s="20">
        <v>46206.0</v>
      </c>
      <c r="B65" s="21" t="s">
        <v>787</v>
      </c>
      <c r="C65" s="6" t="str">
        <f>VLOOKUP(B65,Sheet3!$B$2:$E$312,2,FALSE)</f>
        <v>#N/A</v>
      </c>
      <c r="D65" s="6" t="str">
        <f>VLOOKUP(B65,Sheet3!$B$2:$E$312,3,)</f>
        <v>#N/A</v>
      </c>
      <c r="E65" s="8" t="str">
        <f>VLOOKUP(B65,Sheet3!$B$2:$E$312,4,)</f>
        <v>#N/A</v>
      </c>
      <c r="F65" s="22">
        <v>9.0</v>
      </c>
      <c r="G65" s="22" t="s">
        <v>1387</v>
      </c>
      <c r="H65" s="22" t="s">
        <v>1388</v>
      </c>
      <c r="I65" s="7" t="s">
        <v>1165</v>
      </c>
    </row>
    <row r="66" ht="15.75" customHeight="1">
      <c r="A66" s="20"/>
      <c r="B66" s="21" t="s">
        <v>651</v>
      </c>
      <c r="C66" s="6" t="str">
        <f>VLOOKUP(B66,Sheet3!$B$2:$E$312,2,FALSE)</f>
        <v>P004-021</v>
      </c>
      <c r="D66" s="6" t="str">
        <f>VLOOKUP(B66,Sheet3!$B$2:$E$312,3,)</f>
        <v>barang jadi &amp; bahan baku</v>
      </c>
      <c r="E66" s="8" t="str">
        <f>VLOOKUP(B66,Sheet3!$B$2:$E$312,4,)</f>
        <v>GR</v>
      </c>
      <c r="F66" s="22">
        <v>81.0</v>
      </c>
      <c r="G66" s="22" t="s">
        <v>1245</v>
      </c>
      <c r="H66" s="22" t="s">
        <v>1322</v>
      </c>
      <c r="I66" s="7" t="s">
        <v>1165</v>
      </c>
    </row>
    <row r="67" ht="15.75" customHeight="1">
      <c r="A67" s="20"/>
      <c r="B67" s="21" t="s">
        <v>720</v>
      </c>
      <c r="C67" s="6" t="str">
        <f>VLOOKUP(B67,Sheet3!$B$2:$E$312,2,FALSE)</f>
        <v>B002-005</v>
      </c>
      <c r="D67" s="6" t="str">
        <f>VLOOKUP(B67,Sheet3!$B$2:$E$312,3,)</f>
        <v>others</v>
      </c>
      <c r="E67" s="8" t="str">
        <f>VLOOKUP(B67,Sheet3!$B$2:$E$312,4,)</f>
        <v>PCS</v>
      </c>
      <c r="F67" s="22">
        <v>25.0</v>
      </c>
      <c r="G67" s="22" t="s">
        <v>1369</v>
      </c>
      <c r="H67" s="22" t="s">
        <v>1146</v>
      </c>
      <c r="I67" s="7" t="s">
        <v>1165</v>
      </c>
    </row>
    <row r="68" ht="15.75" customHeight="1">
      <c r="A68" s="20"/>
      <c r="B68" s="21" t="s">
        <v>211</v>
      </c>
      <c r="C68" s="6" t="str">
        <f>VLOOKUP(B68,Sheet3!$B$2:$E$312,2,FALSE)</f>
        <v>B001-088</v>
      </c>
      <c r="D68" s="6" t="str">
        <f>VLOOKUP(B68,Sheet3!$B$2:$E$312,3,)</f>
        <v>bahan baku</v>
      </c>
      <c r="E68" s="8" t="str">
        <f>VLOOKUP(B68,Sheet3!$B$2:$E$312,4,)</f>
        <v>GR</v>
      </c>
      <c r="F68" s="22">
        <v>5820.0</v>
      </c>
      <c r="G68" s="22" t="s">
        <v>1232</v>
      </c>
      <c r="H68" s="22" t="s">
        <v>1375</v>
      </c>
      <c r="I68" s="7" t="s">
        <v>1165</v>
      </c>
    </row>
    <row r="69" ht="15.75" customHeight="1">
      <c r="A69" s="20"/>
      <c r="B69" s="21" t="s">
        <v>698</v>
      </c>
      <c r="C69" s="6" t="str">
        <f>VLOOKUP(B69,Sheet3!$B$2:$E$312,2,FALSE)</f>
        <v>P004-038</v>
      </c>
      <c r="D69" s="6" t="str">
        <f>VLOOKUP(B69,Sheet3!$B$2:$E$312,3,)</f>
        <v>barang jadi &amp; bahan baku</v>
      </c>
      <c r="E69" s="8" t="str">
        <f>VLOOKUP(B69,Sheet3!$B$2:$E$312,4,)</f>
        <v>PCS</v>
      </c>
      <c r="F69" s="22">
        <v>1.0</v>
      </c>
      <c r="G69" s="22" t="s">
        <v>1391</v>
      </c>
      <c r="H69" s="22" t="s">
        <v>1225</v>
      </c>
      <c r="I69" s="7" t="s">
        <v>1165</v>
      </c>
    </row>
    <row r="70" ht="15.75" customHeight="1">
      <c r="A70" s="20"/>
      <c r="B70" s="21" t="s">
        <v>52</v>
      </c>
      <c r="C70" s="6" t="str">
        <f>VLOOKUP(B70,Sheet3!$B$2:$E$312,2,FALSE)</f>
        <v>B001-018</v>
      </c>
      <c r="D70" s="6" t="str">
        <f>VLOOKUP(B70,Sheet3!$B$2:$E$312,3,)</f>
        <v>bahan baku</v>
      </c>
      <c r="E70" s="8" t="str">
        <f>VLOOKUP(B70,Sheet3!$B$2:$E$312,4,)</f>
        <v>GR</v>
      </c>
      <c r="F70" s="22">
        <v>169.0</v>
      </c>
      <c r="G70" s="22" t="s">
        <v>1232</v>
      </c>
      <c r="H70" s="22" t="s">
        <v>1225</v>
      </c>
      <c r="I70" s="7" t="s">
        <v>1165</v>
      </c>
    </row>
    <row r="71" ht="15.75" customHeight="1">
      <c r="A71" s="20"/>
      <c r="B71" s="21" t="s">
        <v>632</v>
      </c>
      <c r="C71" s="6" t="str">
        <f>VLOOKUP(B71,Sheet3!$B$2:$E$312,2,FALSE)</f>
        <v>P004-013</v>
      </c>
      <c r="D71" s="6" t="str">
        <f>VLOOKUP(B71,Sheet3!$B$2:$E$312,3,)</f>
        <v>barang jadi &amp; bahan baku</v>
      </c>
      <c r="E71" s="8" t="str">
        <f>VLOOKUP(B71,Sheet3!$B$2:$E$312,4,)</f>
        <v>PCS</v>
      </c>
      <c r="F71" s="22">
        <v>25.0</v>
      </c>
      <c r="G71" s="22" t="s">
        <v>1216</v>
      </c>
      <c r="H71" s="22" t="s">
        <v>1305</v>
      </c>
      <c r="I71" s="23" t="s">
        <v>1196</v>
      </c>
      <c r="J71" s="7" t="s">
        <v>1393</v>
      </c>
    </row>
    <row r="72" ht="15.75" customHeight="1">
      <c r="A72" s="20"/>
      <c r="B72" s="21" t="s">
        <v>805</v>
      </c>
      <c r="C72" s="6" t="str">
        <f>VLOOKUP(B72,Sheet3!$B$2:$E$312,2,FALSE)</f>
        <v>#N/A</v>
      </c>
      <c r="D72" s="6" t="str">
        <f>VLOOKUP(B72,Sheet3!$B$2:$E$312,3,)</f>
        <v>#N/A</v>
      </c>
      <c r="E72" s="8" t="str">
        <f>VLOOKUP(B72,Sheet3!$B$2:$E$312,4,)</f>
        <v>#N/A</v>
      </c>
      <c r="F72" s="22">
        <v>1200.0</v>
      </c>
      <c r="G72" s="22" t="s">
        <v>1164</v>
      </c>
      <c r="H72" s="22" t="s">
        <v>1146</v>
      </c>
      <c r="I72" s="7" t="s">
        <v>1165</v>
      </c>
    </row>
    <row r="73" ht="15.75" customHeight="1">
      <c r="A73" s="20"/>
      <c r="B73" s="21" t="s">
        <v>664</v>
      </c>
      <c r="C73" s="6" t="str">
        <f>VLOOKUP(B73,Sheet3!$B$2:$E$312,2,FALSE)</f>
        <v>P004-025</v>
      </c>
      <c r="D73" s="6" t="str">
        <f>VLOOKUP(B73,Sheet3!$B$2:$E$312,3,)</f>
        <v>barang jadi &amp; bahan baku</v>
      </c>
      <c r="E73" s="8" t="str">
        <f>VLOOKUP(B73,Sheet3!$B$2:$E$312,4,)</f>
        <v>ML</v>
      </c>
      <c r="F73" s="22">
        <v>2200.0</v>
      </c>
      <c r="G73" s="22" t="s">
        <v>1164</v>
      </c>
      <c r="H73" s="22" t="s">
        <v>1146</v>
      </c>
      <c r="I73" s="7" t="s">
        <v>1165</v>
      </c>
    </row>
    <row r="74" ht="15.75" customHeight="1">
      <c r="A74" s="20"/>
      <c r="B74" s="21" t="s">
        <v>412</v>
      </c>
      <c r="C74" s="6" t="str">
        <f>VLOOKUP(B74,Sheet3!$B$2:$E$312,2,FALSE)</f>
        <v>J001-002</v>
      </c>
      <c r="D74" s="6" t="str">
        <f>VLOOKUP(B74,Sheet3!$B$2:$E$312,3,)</f>
        <v>barang jadi</v>
      </c>
      <c r="E74" s="8" t="str">
        <f>VLOOKUP(B74,Sheet3!$B$2:$E$312,4,)</f>
        <v>PORSI</v>
      </c>
      <c r="F74" s="22">
        <v>1.0</v>
      </c>
      <c r="G74" s="22" t="s">
        <v>1394</v>
      </c>
      <c r="H74" s="22" t="s">
        <v>1290</v>
      </c>
      <c r="I74" s="7" t="s">
        <v>1165</v>
      </c>
    </row>
    <row r="75" ht="15.75" customHeight="1">
      <c r="A75" s="20">
        <v>46237.0</v>
      </c>
      <c r="B75" s="21" t="s">
        <v>321</v>
      </c>
      <c r="C75" s="6" t="str">
        <f>VLOOKUP(B75,Sheet3!$B$2:$E$312,2,FALSE)</f>
        <v>D001-003</v>
      </c>
      <c r="D75" s="6" t="str">
        <f>VLOOKUP(B75,Sheet3!$B$2:$E$312,3,)</f>
        <v>barang jadi</v>
      </c>
      <c r="E75" s="8" t="str">
        <f>VLOOKUP(B75,Sheet3!$B$2:$E$312,4,)</f>
        <v>PORSI</v>
      </c>
      <c r="F75" s="22">
        <v>1.0</v>
      </c>
      <c r="G75" s="22" t="s">
        <v>1395</v>
      </c>
      <c r="H75" s="22" t="s">
        <v>1225</v>
      </c>
      <c r="I75" s="7" t="s">
        <v>1165</v>
      </c>
    </row>
    <row r="76" ht="15.75" customHeight="1">
      <c r="A76" s="20"/>
      <c r="B76" s="21" t="s">
        <v>111</v>
      </c>
      <c r="C76" s="6" t="str">
        <f>VLOOKUP(B76,Sheet3!$B$2:$E$312,2,FALSE)</f>
        <v>B001-047</v>
      </c>
      <c r="D76" s="6" t="str">
        <f>VLOOKUP(B76,Sheet3!$B$2:$E$312,3,)</f>
        <v>bahan baku</v>
      </c>
      <c r="E76" s="8" t="str">
        <f>VLOOKUP(B76,Sheet3!$B$2:$E$312,4,)</f>
        <v>GR</v>
      </c>
      <c r="F76" s="22">
        <v>668.0</v>
      </c>
      <c r="G76" s="22" t="s">
        <v>1224</v>
      </c>
      <c r="H76" s="22"/>
      <c r="I76" s="7" t="s">
        <v>1165</v>
      </c>
    </row>
    <row r="77" ht="15.75" customHeight="1">
      <c r="A77" s="20"/>
      <c r="B77" s="21" t="s">
        <v>211</v>
      </c>
      <c r="C77" s="6" t="str">
        <f>VLOOKUP(B77,Sheet3!$B$2:$E$312,2,FALSE)</f>
        <v>B001-088</v>
      </c>
      <c r="D77" s="6" t="str">
        <f>VLOOKUP(B77,Sheet3!$B$2:$E$312,3,)</f>
        <v>bahan baku</v>
      </c>
      <c r="E77" s="8" t="str">
        <f>VLOOKUP(B77,Sheet3!$B$2:$E$312,4,)</f>
        <v>GR</v>
      </c>
      <c r="F77" s="22">
        <v>4060.0</v>
      </c>
      <c r="G77" s="22" t="s">
        <v>1232</v>
      </c>
      <c r="H77" s="22" t="s">
        <v>1375</v>
      </c>
      <c r="I77" s="7" t="s">
        <v>1165</v>
      </c>
    </row>
    <row r="78" ht="15.75" customHeight="1">
      <c r="A78" s="20"/>
      <c r="B78" s="21" t="s">
        <v>412</v>
      </c>
      <c r="C78" s="6" t="str">
        <f>VLOOKUP(B78,Sheet3!$B$2:$E$312,2,FALSE)</f>
        <v>J001-002</v>
      </c>
      <c r="D78" s="6" t="str">
        <f>VLOOKUP(B78,Sheet3!$B$2:$E$312,3,)</f>
        <v>barang jadi</v>
      </c>
      <c r="E78" s="8" t="str">
        <f>VLOOKUP(B78,Sheet3!$B$2:$E$312,4,)</f>
        <v>PORSI</v>
      </c>
      <c r="F78" s="22">
        <v>2.0</v>
      </c>
      <c r="G78" s="22" t="s">
        <v>1216</v>
      </c>
      <c r="H78" s="22" t="s">
        <v>1305</v>
      </c>
      <c r="I78" s="7" t="s">
        <v>1165</v>
      </c>
    </row>
    <row r="79" ht="15.75" customHeight="1">
      <c r="A79" s="20"/>
      <c r="B79" s="21" t="s">
        <v>653</v>
      </c>
      <c r="C79" s="6" t="str">
        <f>VLOOKUP(B79,Sheet3!$B$2:$E$312,2,FALSE)</f>
        <v>P004-022</v>
      </c>
      <c r="D79" s="6" t="str">
        <f>VLOOKUP(B79,Sheet3!$B$2:$E$312,3,)</f>
        <v>barang jadi &amp; bahan baku</v>
      </c>
      <c r="E79" s="8" t="str">
        <f>VLOOKUP(B79,Sheet3!$B$2:$E$312,4,)</f>
        <v>CC</v>
      </c>
      <c r="F79" s="22">
        <v>1500.0</v>
      </c>
      <c r="G79" s="22" t="s">
        <v>1164</v>
      </c>
      <c r="H79" s="22" t="s">
        <v>1228</v>
      </c>
      <c r="I79" s="7" t="s">
        <v>1165</v>
      </c>
    </row>
    <row r="80" ht="15.75" customHeight="1">
      <c r="A80" s="20"/>
      <c r="B80" s="21" t="s">
        <v>632</v>
      </c>
      <c r="C80" s="6" t="str">
        <f>VLOOKUP(B80,Sheet3!$B$2:$E$312,2,FALSE)</f>
        <v>P004-013</v>
      </c>
      <c r="D80" s="6" t="str">
        <f>VLOOKUP(B80,Sheet3!$B$2:$E$312,3,)</f>
        <v>barang jadi &amp; bahan baku</v>
      </c>
      <c r="E80" s="8" t="str">
        <f>VLOOKUP(B80,Sheet3!$B$2:$E$312,4,)</f>
        <v>PCS</v>
      </c>
      <c r="F80" s="22">
        <v>18.0</v>
      </c>
      <c r="G80" s="22" t="s">
        <v>1216</v>
      </c>
      <c r="H80" s="22" t="s">
        <v>1305</v>
      </c>
      <c r="I80" s="23" t="s">
        <v>1196</v>
      </c>
      <c r="J80" s="7" t="s">
        <v>1399</v>
      </c>
    </row>
    <row r="81" ht="15.75" customHeight="1">
      <c r="A81" s="20"/>
      <c r="B81" s="21" t="s">
        <v>805</v>
      </c>
      <c r="C81" s="6" t="str">
        <f>VLOOKUP(B81,Sheet3!$B$2:$E$312,2,FALSE)</f>
        <v>#N/A</v>
      </c>
      <c r="D81" s="6" t="str">
        <f>VLOOKUP(B81,Sheet3!$B$2:$E$312,3,)</f>
        <v>#N/A</v>
      </c>
      <c r="E81" s="8" t="str">
        <f>VLOOKUP(B81,Sheet3!$B$2:$E$312,4,)</f>
        <v>#N/A</v>
      </c>
      <c r="F81" s="22">
        <v>750.0</v>
      </c>
      <c r="G81" s="22" t="s">
        <v>1164</v>
      </c>
      <c r="H81" s="22" t="s">
        <v>1228</v>
      </c>
      <c r="I81" s="7" t="s">
        <v>1165</v>
      </c>
    </row>
    <row r="82" ht="15.75" customHeight="1">
      <c r="A82" s="20"/>
      <c r="B82" s="21" t="s">
        <v>502</v>
      </c>
      <c r="C82" s="6" t="str">
        <f>VLOOKUP(B82,Sheet3!$B$2:$E$312,2,FALSE)</f>
        <v>S001-002</v>
      </c>
      <c r="D82" s="6" t="str">
        <f>VLOOKUP(B82,Sheet3!$B$2:$E$312,3,)</f>
        <v>barang jadi</v>
      </c>
      <c r="E82" s="8" t="str">
        <f>VLOOKUP(B82,Sheet3!$B$2:$E$312,4,)</f>
        <v>PORSI</v>
      </c>
      <c r="F82" s="22">
        <v>8.0</v>
      </c>
      <c r="G82" s="22" t="s">
        <v>1216</v>
      </c>
      <c r="H82" s="22" t="s">
        <v>1305</v>
      </c>
      <c r="I82" s="23" t="s">
        <v>1196</v>
      </c>
      <c r="J82" s="7" t="s">
        <v>1401</v>
      </c>
    </row>
    <row r="83" ht="15.75" customHeight="1">
      <c r="A83" s="20"/>
      <c r="B83" s="21" t="s">
        <v>664</v>
      </c>
      <c r="C83" s="6" t="str">
        <f>VLOOKUP(B83,Sheet3!$B$2:$E$312,2,FALSE)</f>
        <v>P004-025</v>
      </c>
      <c r="D83" s="6" t="str">
        <f>VLOOKUP(B83,Sheet3!$B$2:$E$312,3,)</f>
        <v>barang jadi &amp; bahan baku</v>
      </c>
      <c r="E83" s="8" t="str">
        <f>VLOOKUP(B83,Sheet3!$B$2:$E$312,4,)</f>
        <v>ML</v>
      </c>
      <c r="F83" s="22">
        <v>1400.0</v>
      </c>
      <c r="G83" s="22" t="s">
        <v>1164</v>
      </c>
      <c r="H83" s="22" t="s">
        <v>1228</v>
      </c>
      <c r="I83" s="7" t="s">
        <v>1165</v>
      </c>
    </row>
    <row r="84" ht="15.75" customHeight="1">
      <c r="A84" s="17"/>
      <c r="B84" s="21" t="s">
        <v>657</v>
      </c>
      <c r="C84" s="6" t="str">
        <f>VLOOKUP(B84,Sheet3!$B$2:$E$312,2,FALSE)</f>
        <v>P004-023</v>
      </c>
      <c r="D84" s="6" t="str">
        <f>VLOOKUP(B84,Sheet3!$B$2:$E$312,3,)</f>
        <v>barang jadi &amp; bahan baku</v>
      </c>
      <c r="E84" s="8" t="str">
        <f>VLOOKUP(B84,Sheet3!$B$2:$E$312,4,)</f>
        <v>CC</v>
      </c>
      <c r="F84" s="22">
        <v>150.0</v>
      </c>
      <c r="G84" s="22" t="s">
        <v>1164</v>
      </c>
      <c r="H84" s="22" t="s">
        <v>1228</v>
      </c>
      <c r="I84" s="7" t="s">
        <v>1165</v>
      </c>
    </row>
    <row r="85" ht="15.75" customHeight="1">
      <c r="A85" s="20">
        <v>46268.0</v>
      </c>
      <c r="B85" s="21" t="s">
        <v>648</v>
      </c>
      <c r="C85" s="6" t="str">
        <f>VLOOKUP(B85,Sheet3!$B$2:$E$312,2,FALSE)</f>
        <v>P004-020</v>
      </c>
      <c r="D85" s="6" t="str">
        <f>VLOOKUP(B85,Sheet3!$B$2:$E$312,3,)</f>
        <v>barang jadi &amp; bahan baku</v>
      </c>
      <c r="E85" s="8" t="str">
        <f>VLOOKUP(B85,Sheet3!$B$2:$E$312,4,)</f>
        <v>GR</v>
      </c>
      <c r="F85" s="22">
        <v>213.0</v>
      </c>
      <c r="G85" s="22" t="s">
        <v>1245</v>
      </c>
      <c r="H85" s="22" t="s">
        <v>1186</v>
      </c>
      <c r="I85" s="7" t="s">
        <v>1165</v>
      </c>
    </row>
    <row r="86" ht="15.75" customHeight="1">
      <c r="A86" s="17"/>
      <c r="B86" s="21" t="s">
        <v>86</v>
      </c>
      <c r="C86" s="6" t="str">
        <f>VLOOKUP(B86,Sheet3!$B$2:$E$312,2,FALSE)</f>
        <v>B001-036</v>
      </c>
      <c r="D86" s="6" t="str">
        <f>VLOOKUP(B86,Sheet3!$B$2:$E$312,3,)</f>
        <v>bahan baku</v>
      </c>
      <c r="E86" s="8" t="str">
        <f>VLOOKUP(B86,Sheet3!$B$2:$E$312,4,)</f>
        <v>GR</v>
      </c>
      <c r="F86" s="22">
        <v>25.0</v>
      </c>
      <c r="G86" s="22" t="s">
        <v>1224</v>
      </c>
      <c r="H86" s="22" t="s">
        <v>1186</v>
      </c>
      <c r="I86" s="7" t="s">
        <v>1165</v>
      </c>
    </row>
    <row r="87" ht="15.75" customHeight="1">
      <c r="A87" s="17"/>
      <c r="B87" s="21" t="s">
        <v>135</v>
      </c>
      <c r="C87" s="6" t="str">
        <f>VLOOKUP(B87,Sheet3!$B$2:$E$312,2,FALSE)</f>
        <v>B001-058</v>
      </c>
      <c r="D87" s="6" t="str">
        <f>VLOOKUP(B87,Sheet3!$B$2:$E$312,3,)</f>
        <v>bahan baku</v>
      </c>
      <c r="E87" s="8" t="str">
        <f>VLOOKUP(B87,Sheet3!$B$2:$E$312,4,)</f>
        <v>GR</v>
      </c>
      <c r="F87" s="22">
        <v>95.0</v>
      </c>
      <c r="G87" s="22" t="s">
        <v>1245</v>
      </c>
      <c r="H87" s="22" t="s">
        <v>1225</v>
      </c>
      <c r="I87" s="7" t="s">
        <v>1165</v>
      </c>
    </row>
    <row r="88" ht="15.75" customHeight="1">
      <c r="A88" s="17"/>
      <c r="B88" s="21" t="s">
        <v>643</v>
      </c>
      <c r="C88" s="6" t="str">
        <f>VLOOKUP(B88,Sheet3!$B$2:$E$312,2,FALSE)</f>
        <v>P004-018</v>
      </c>
      <c r="D88" s="6" t="str">
        <f>VLOOKUP(B88,Sheet3!$B$2:$E$312,3,)</f>
        <v>barang jadi &amp; bahan baku</v>
      </c>
      <c r="E88" s="8" t="str">
        <f>VLOOKUP(B88,Sheet3!$B$2:$E$312,4,)</f>
        <v>GR</v>
      </c>
      <c r="F88" s="22">
        <v>64.0</v>
      </c>
      <c r="G88" s="22" t="s">
        <v>1164</v>
      </c>
      <c r="H88" s="22" t="s">
        <v>1186</v>
      </c>
      <c r="I88" s="7" t="s">
        <v>1165</v>
      </c>
    </row>
    <row r="89" ht="15.75" customHeight="1">
      <c r="A89" s="17"/>
      <c r="B89" s="21" t="s">
        <v>52</v>
      </c>
      <c r="C89" s="6" t="str">
        <f>VLOOKUP(B89,Sheet3!$B$2:$E$312,2,FALSE)</f>
        <v>B001-018</v>
      </c>
      <c r="D89" s="6" t="str">
        <f>VLOOKUP(B89,Sheet3!$B$2:$E$312,3,)</f>
        <v>bahan baku</v>
      </c>
      <c r="E89" s="8" t="str">
        <f>VLOOKUP(B89,Sheet3!$B$2:$E$312,4,)</f>
        <v>GR</v>
      </c>
      <c r="F89" s="22">
        <v>84.0</v>
      </c>
      <c r="G89" s="22" t="s">
        <v>1409</v>
      </c>
      <c r="H89" s="22" t="s">
        <v>1225</v>
      </c>
      <c r="I89" s="7" t="s">
        <v>1165</v>
      </c>
    </row>
    <row r="90" ht="15.75" customHeight="1">
      <c r="A90" s="17"/>
      <c r="B90" s="21" t="s">
        <v>79</v>
      </c>
      <c r="C90" s="6" t="str">
        <f>VLOOKUP(B90,Sheet3!$B$2:$E$312,2,FALSE)</f>
        <v>B001-033</v>
      </c>
      <c r="D90" s="6" t="str">
        <f>VLOOKUP(B90,Sheet3!$B$2:$E$312,3,)</f>
        <v>bahan baku</v>
      </c>
      <c r="E90" s="8" t="str">
        <f>VLOOKUP(B90,Sheet3!$B$2:$E$312,4,)</f>
        <v>PCS</v>
      </c>
      <c r="F90" s="22">
        <v>17.0</v>
      </c>
      <c r="G90" s="22" t="s">
        <v>1411</v>
      </c>
      <c r="H90" s="22" t="s">
        <v>1186</v>
      </c>
      <c r="I90" s="7" t="s">
        <v>1165</v>
      </c>
    </row>
    <row r="91" ht="15.75" customHeight="1">
      <c r="A91" s="17"/>
      <c r="B91" s="21" t="s">
        <v>720</v>
      </c>
      <c r="C91" s="6" t="str">
        <f>VLOOKUP(B91,Sheet3!$B$2:$E$312,2,FALSE)</f>
        <v>B002-005</v>
      </c>
      <c r="D91" s="6" t="str">
        <f>VLOOKUP(B91,Sheet3!$B$2:$E$312,3,)</f>
        <v>others</v>
      </c>
      <c r="E91" s="8" t="str">
        <f>VLOOKUP(B91,Sheet3!$B$2:$E$312,4,)</f>
        <v>PCS</v>
      </c>
      <c r="F91" s="22">
        <v>58.0</v>
      </c>
      <c r="G91" s="22" t="s">
        <v>1412</v>
      </c>
      <c r="H91" s="22" t="s">
        <v>1186</v>
      </c>
      <c r="I91" s="7" t="s">
        <v>1165</v>
      </c>
    </row>
    <row r="92" ht="15.75" customHeight="1">
      <c r="A92" s="17"/>
      <c r="B92" s="21" t="s">
        <v>653</v>
      </c>
      <c r="C92" s="6" t="str">
        <f>VLOOKUP(B92,Sheet3!$B$2:$E$312,2,FALSE)</f>
        <v>P004-022</v>
      </c>
      <c r="D92" s="6" t="str">
        <f>VLOOKUP(B92,Sheet3!$B$2:$E$312,3,)</f>
        <v>barang jadi &amp; bahan baku</v>
      </c>
      <c r="E92" s="8" t="str">
        <f>VLOOKUP(B92,Sheet3!$B$2:$E$312,4,)</f>
        <v>CC</v>
      </c>
      <c r="F92" s="22">
        <v>1200.0</v>
      </c>
      <c r="G92" s="22" t="s">
        <v>1216</v>
      </c>
      <c r="H92" s="22" t="s">
        <v>1414</v>
      </c>
      <c r="I92" s="7" t="s">
        <v>1165</v>
      </c>
    </row>
    <row r="93" ht="15.75" customHeight="1">
      <c r="A93" s="17"/>
      <c r="B93" s="21" t="s">
        <v>71</v>
      </c>
      <c r="C93" s="6" t="str">
        <f>VLOOKUP(B93,Sheet3!$B$2:$E$312,2,FALSE)</f>
        <v>B001-027</v>
      </c>
      <c r="D93" s="6" t="str">
        <f>VLOOKUP(B93,Sheet3!$B$2:$E$312,3,)</f>
        <v>bahan baku</v>
      </c>
      <c r="E93" s="8" t="str">
        <f>VLOOKUP(B93,Sheet3!$B$2:$E$312,4,)</f>
        <v>GR</v>
      </c>
      <c r="F93" s="22">
        <v>120.0</v>
      </c>
      <c r="G93" s="22" t="s">
        <v>1245</v>
      </c>
      <c r="H93" s="22" t="s">
        <v>1290</v>
      </c>
      <c r="I93" s="23" t="s">
        <v>1196</v>
      </c>
      <c r="J93" s="7" t="s">
        <v>1415</v>
      </c>
    </row>
    <row r="94" ht="15.75" customHeight="1">
      <c r="A94" s="17"/>
      <c r="B94" s="21" t="s">
        <v>657</v>
      </c>
      <c r="C94" s="6" t="str">
        <f>VLOOKUP(B94,Sheet3!$B$2:$E$312,2,FALSE)</f>
        <v>P004-023</v>
      </c>
      <c r="D94" s="6" t="str">
        <f>VLOOKUP(B94,Sheet3!$B$2:$E$312,3,)</f>
        <v>barang jadi &amp; bahan baku</v>
      </c>
      <c r="E94" s="8" t="str">
        <f>VLOOKUP(B94,Sheet3!$B$2:$E$312,4,)</f>
        <v>CC</v>
      </c>
      <c r="F94" s="22">
        <v>1500.0</v>
      </c>
      <c r="G94" s="22" t="s">
        <v>1216</v>
      </c>
      <c r="H94" s="22" t="s">
        <v>1414</v>
      </c>
      <c r="I94" s="7" t="s">
        <v>1165</v>
      </c>
    </row>
    <row r="95" ht="15.75" customHeight="1">
      <c r="A95" s="17"/>
      <c r="B95" s="21" t="s">
        <v>211</v>
      </c>
      <c r="C95" s="6" t="str">
        <f>VLOOKUP(B95,Sheet3!$B$2:$E$312,2,FALSE)</f>
        <v>B001-088</v>
      </c>
      <c r="D95" s="6" t="str">
        <f>VLOOKUP(B95,Sheet3!$B$2:$E$312,3,)</f>
        <v>bahan baku</v>
      </c>
      <c r="E95" s="8" t="str">
        <f>VLOOKUP(B95,Sheet3!$B$2:$E$312,4,)</f>
        <v>GR</v>
      </c>
      <c r="F95" s="22">
        <v>3880.0</v>
      </c>
      <c r="G95" s="22" t="s">
        <v>1333</v>
      </c>
      <c r="H95" s="22" t="s">
        <v>1417</v>
      </c>
      <c r="I95" s="7" t="s">
        <v>1165</v>
      </c>
    </row>
    <row r="96" ht="15.75" customHeight="1">
      <c r="A96" s="17"/>
      <c r="B96" s="21" t="s">
        <v>632</v>
      </c>
      <c r="C96" s="6" t="str">
        <f>VLOOKUP(B96,Sheet3!$B$2:$E$312,2,FALSE)</f>
        <v>P004-013</v>
      </c>
      <c r="D96" s="6" t="str">
        <f>VLOOKUP(B96,Sheet3!$B$2:$E$312,3,)</f>
        <v>barang jadi &amp; bahan baku</v>
      </c>
      <c r="E96" s="8" t="str">
        <f>VLOOKUP(B96,Sheet3!$B$2:$E$312,4,)</f>
        <v>PCS</v>
      </c>
      <c r="F96" s="22">
        <v>3.0</v>
      </c>
      <c r="G96" s="22" t="s">
        <v>1333</v>
      </c>
      <c r="H96" s="22" t="s">
        <v>1290</v>
      </c>
      <c r="I96" s="23" t="s">
        <v>1196</v>
      </c>
      <c r="J96" s="7" t="s">
        <v>1340</v>
      </c>
    </row>
    <row r="97" ht="15.75" customHeight="1">
      <c r="A97" s="20">
        <v>46298.0</v>
      </c>
      <c r="B97" s="21" t="s">
        <v>664</v>
      </c>
      <c r="C97" s="6" t="str">
        <f>VLOOKUP(B97,Sheet3!$B$2:$E$312,2,FALSE)</f>
        <v>P004-025</v>
      </c>
      <c r="D97" s="6" t="str">
        <f>VLOOKUP(B97,Sheet3!$B$2:$E$312,3,)</f>
        <v>barang jadi &amp; bahan baku</v>
      </c>
      <c r="E97" s="8" t="str">
        <f>VLOOKUP(B97,Sheet3!$B$2:$E$312,4,)</f>
        <v>ML</v>
      </c>
      <c r="F97" s="22">
        <v>2000.0</v>
      </c>
      <c r="G97" s="22" t="s">
        <v>1216</v>
      </c>
      <c r="H97" s="8"/>
      <c r="I97" s="7" t="s">
        <v>1165</v>
      </c>
    </row>
    <row r="98" ht="15.75" customHeight="1">
      <c r="A98" s="17"/>
      <c r="B98" s="21" t="s">
        <v>653</v>
      </c>
      <c r="C98" s="6" t="str">
        <f>VLOOKUP(B98,Sheet3!$B$2:$E$312,2,FALSE)</f>
        <v>P004-022</v>
      </c>
      <c r="D98" s="6" t="str">
        <f>VLOOKUP(B98,Sheet3!$B$2:$E$312,3,)</f>
        <v>barang jadi &amp; bahan baku</v>
      </c>
      <c r="E98" s="8" t="str">
        <f>VLOOKUP(B98,Sheet3!$B$2:$E$312,4,)</f>
        <v>CC</v>
      </c>
      <c r="F98" s="22">
        <v>500.0</v>
      </c>
      <c r="G98" s="22" t="s">
        <v>1216</v>
      </c>
      <c r="H98" s="8"/>
      <c r="I98" s="7" t="s">
        <v>1165</v>
      </c>
    </row>
    <row r="99" ht="15.75" customHeight="1">
      <c r="A99" s="17"/>
      <c r="B99" s="21" t="s">
        <v>657</v>
      </c>
      <c r="C99" s="6" t="str">
        <f>VLOOKUP(B99,Sheet3!$B$2:$E$312,2,FALSE)</f>
        <v>P004-023</v>
      </c>
      <c r="D99" s="6" t="str">
        <f>VLOOKUP(B99,Sheet3!$B$2:$E$312,3,)</f>
        <v>barang jadi &amp; bahan baku</v>
      </c>
      <c r="E99" s="8" t="str">
        <f>VLOOKUP(B99,Sheet3!$B$2:$E$312,4,)</f>
        <v>CC</v>
      </c>
      <c r="F99" s="22">
        <v>450.0</v>
      </c>
      <c r="G99" s="22" t="s">
        <v>1216</v>
      </c>
      <c r="H99" s="8"/>
      <c r="I99" s="7" t="s">
        <v>1165</v>
      </c>
    </row>
    <row r="100" ht="15.75" customHeight="1">
      <c r="A100" s="17"/>
      <c r="B100" s="21" t="s">
        <v>502</v>
      </c>
      <c r="C100" s="6" t="str">
        <f>VLOOKUP(B100,Sheet3!$B$2:$E$312,2,FALSE)</f>
        <v>S001-002</v>
      </c>
      <c r="D100" s="6" t="str">
        <f>VLOOKUP(B100,Sheet3!$B$2:$E$312,3,)</f>
        <v>barang jadi</v>
      </c>
      <c r="E100" s="8" t="str">
        <f>VLOOKUP(B100,Sheet3!$B$2:$E$312,4,)</f>
        <v>PORSI</v>
      </c>
      <c r="F100" s="22">
        <v>4.0</v>
      </c>
      <c r="G100" s="22" t="s">
        <v>1216</v>
      </c>
      <c r="H100" s="8"/>
      <c r="I100" s="7" t="s">
        <v>1165</v>
      </c>
    </row>
    <row r="101" ht="15.75" customHeight="1">
      <c r="A101" s="17"/>
      <c r="B101" s="21" t="s">
        <v>632</v>
      </c>
      <c r="C101" s="6" t="str">
        <f>VLOOKUP(B101,Sheet3!$B$2:$E$312,2,FALSE)</f>
        <v>P004-013</v>
      </c>
      <c r="D101" s="6" t="str">
        <f>VLOOKUP(B101,Sheet3!$B$2:$E$312,3,)</f>
        <v>barang jadi &amp; bahan baku</v>
      </c>
      <c r="E101" s="8" t="str">
        <f>VLOOKUP(B101,Sheet3!$B$2:$E$312,4,)</f>
        <v>PCS</v>
      </c>
      <c r="F101" s="22">
        <v>15.0</v>
      </c>
      <c r="G101" s="22" t="s">
        <v>1216</v>
      </c>
      <c r="H101" s="8"/>
      <c r="I101" s="23" t="s">
        <v>1196</v>
      </c>
      <c r="J101" s="7" t="s">
        <v>1420</v>
      </c>
    </row>
    <row r="102" ht="15.75" customHeight="1">
      <c r="A102" s="17"/>
      <c r="B102" s="21" t="s">
        <v>211</v>
      </c>
      <c r="C102" s="6" t="str">
        <f>VLOOKUP(B102,Sheet3!$B$2:$E$312,2,FALSE)</f>
        <v>B001-088</v>
      </c>
      <c r="D102" s="6" t="str">
        <f>VLOOKUP(B102,Sheet3!$B$2:$E$312,3,)</f>
        <v>bahan baku</v>
      </c>
      <c r="E102" s="8" t="str">
        <f>VLOOKUP(B102,Sheet3!$B$2:$E$312,4,)</f>
        <v>GR</v>
      </c>
      <c r="F102" s="22">
        <v>4580.0</v>
      </c>
      <c r="G102" s="22" t="s">
        <v>1232</v>
      </c>
      <c r="H102" s="22" t="s">
        <v>1417</v>
      </c>
      <c r="I102" s="7" t="s">
        <v>1165</v>
      </c>
    </row>
    <row r="103" ht="15.75" customHeight="1">
      <c r="A103" s="17"/>
      <c r="B103" s="21" t="s">
        <v>148</v>
      </c>
      <c r="C103" s="6" t="str">
        <f>VLOOKUP(B103,Sheet3!$B$2:$E$312,2,FALSE)</f>
        <v>B001-064</v>
      </c>
      <c r="D103" s="6" t="str">
        <f>VLOOKUP(B103,Sheet3!$B$2:$E$312,3,)</f>
        <v>bahan baku</v>
      </c>
      <c r="E103" s="8" t="str">
        <f>VLOOKUP(B103,Sheet3!$B$2:$E$312,4,)</f>
        <v>GR</v>
      </c>
      <c r="F103" s="22">
        <v>112.0</v>
      </c>
      <c r="G103" s="22" t="s">
        <v>1370</v>
      </c>
      <c r="H103" s="22" t="s">
        <v>1228</v>
      </c>
      <c r="I103" s="7" t="s">
        <v>1165</v>
      </c>
    </row>
    <row r="104" ht="15.75" customHeight="1">
      <c r="A104" s="20">
        <v>46329.0</v>
      </c>
      <c r="B104" s="21" t="s">
        <v>629</v>
      </c>
      <c r="C104" s="6" t="str">
        <f>VLOOKUP(B104,Sheet3!$B$2:$E$312,2,FALSE)</f>
        <v>P004-012</v>
      </c>
      <c r="D104" s="6" t="str">
        <f>VLOOKUP(B104,Sheet3!$B$2:$E$312,3,)</f>
        <v>barang jadi &amp; bahan baku</v>
      </c>
      <c r="E104" s="8" t="str">
        <f>VLOOKUP(B104,Sheet3!$B$2:$E$312,4,)</f>
        <v>GR</v>
      </c>
      <c r="F104" s="22">
        <v>71.0</v>
      </c>
      <c r="G104" s="22" t="s">
        <v>1245</v>
      </c>
      <c r="H104" s="8"/>
      <c r="I104" s="7" t="s">
        <v>1165</v>
      </c>
    </row>
    <row r="105" ht="15.75" customHeight="1">
      <c r="A105" s="17"/>
      <c r="B105" s="21" t="s">
        <v>298</v>
      </c>
      <c r="C105" s="6" t="str">
        <f>VLOOKUP(B105,Sheet3!$B$2:$E$312,2,FALSE)</f>
        <v>B001-125</v>
      </c>
      <c r="D105" s="6" t="str">
        <f>VLOOKUP(B105,Sheet3!$B$2:$E$312,3,)</f>
        <v>bahan baku</v>
      </c>
      <c r="E105" s="8" t="str">
        <f>VLOOKUP(B105,Sheet3!$B$2:$E$312,4,)</f>
        <v>GR</v>
      </c>
      <c r="F105" s="22">
        <v>38.0</v>
      </c>
      <c r="G105" s="22" t="s">
        <v>1224</v>
      </c>
      <c r="H105" s="8"/>
      <c r="I105" s="7" t="s">
        <v>1165</v>
      </c>
    </row>
    <row r="106" ht="15.75" customHeight="1">
      <c r="A106" s="17"/>
      <c r="B106" s="21" t="s">
        <v>698</v>
      </c>
      <c r="C106" s="6" t="str">
        <f>VLOOKUP(B106,Sheet3!$B$2:$E$312,2,FALSE)</f>
        <v>P004-038</v>
      </c>
      <c r="D106" s="6" t="str">
        <f>VLOOKUP(B106,Sheet3!$B$2:$E$312,3,)</f>
        <v>barang jadi &amp; bahan baku</v>
      </c>
      <c r="E106" s="8" t="str">
        <f>VLOOKUP(B106,Sheet3!$B$2:$E$312,4,)</f>
        <v>PCS</v>
      </c>
      <c r="F106" s="22">
        <v>1.0</v>
      </c>
      <c r="G106" s="22" t="s">
        <v>1368</v>
      </c>
      <c r="H106" s="8"/>
      <c r="I106" s="7" t="s">
        <v>1165</v>
      </c>
    </row>
    <row r="107" ht="15.75" customHeight="1">
      <c r="A107" s="17"/>
      <c r="B107" s="21" t="s">
        <v>823</v>
      </c>
      <c r="C107" s="6" t="str">
        <f>VLOOKUP(B107,Sheet3!$B$2:$E$312,2,FALSE)</f>
        <v>#N/A</v>
      </c>
      <c r="D107" s="6" t="str">
        <f>VLOOKUP(B107,Sheet3!$B$2:$E$312,3,)</f>
        <v>#N/A</v>
      </c>
      <c r="E107" s="8" t="str">
        <f>VLOOKUP(B107,Sheet3!$B$2:$E$312,4,)</f>
        <v>#N/A</v>
      </c>
      <c r="F107" s="22">
        <v>326.0</v>
      </c>
      <c r="G107" s="22" t="s">
        <v>1245</v>
      </c>
      <c r="H107" s="8"/>
      <c r="I107" s="7" t="s">
        <v>1165</v>
      </c>
      <c r="J107" s="7" t="s">
        <v>1421</v>
      </c>
    </row>
    <row r="108" ht="15.75" customHeight="1">
      <c r="A108" s="17"/>
      <c r="B108" s="21" t="s">
        <v>664</v>
      </c>
      <c r="C108" s="6" t="str">
        <f>VLOOKUP(B108,Sheet3!$B$2:$E$312,2,FALSE)</f>
        <v>P004-025</v>
      </c>
      <c r="D108" s="6" t="str">
        <f>VLOOKUP(B108,Sheet3!$B$2:$E$312,3,)</f>
        <v>barang jadi &amp; bahan baku</v>
      </c>
      <c r="E108" s="8" t="str">
        <f>VLOOKUP(B108,Sheet3!$B$2:$E$312,4,)</f>
        <v>ML</v>
      </c>
      <c r="F108" s="22">
        <v>400.0</v>
      </c>
      <c r="G108" s="22" t="s">
        <v>1216</v>
      </c>
      <c r="H108" s="22" t="s">
        <v>1228</v>
      </c>
      <c r="I108" s="7" t="s">
        <v>1165</v>
      </c>
    </row>
    <row r="109" ht="15.75" customHeight="1">
      <c r="A109" s="17"/>
      <c r="B109" s="21" t="s">
        <v>805</v>
      </c>
      <c r="C109" s="6" t="str">
        <f>VLOOKUP(B109,Sheet3!$B$2:$E$312,2,FALSE)</f>
        <v>#N/A</v>
      </c>
      <c r="D109" s="6" t="str">
        <f>VLOOKUP(B109,Sheet3!$B$2:$E$312,3,)</f>
        <v>#N/A</v>
      </c>
      <c r="E109" s="8" t="str">
        <f>VLOOKUP(B109,Sheet3!$B$2:$E$312,4,)</f>
        <v>#N/A</v>
      </c>
      <c r="F109" s="22">
        <v>925.0</v>
      </c>
      <c r="G109" s="22" t="s">
        <v>1216</v>
      </c>
      <c r="H109" s="22" t="s">
        <v>1228</v>
      </c>
      <c r="I109" s="7" t="s">
        <v>1165</v>
      </c>
    </row>
    <row r="110" ht="15.75" customHeight="1">
      <c r="A110" s="17"/>
      <c r="B110" s="21" t="s">
        <v>657</v>
      </c>
      <c r="C110" s="6" t="str">
        <f>VLOOKUP(B110,Sheet3!$B$2:$E$312,2,FALSE)</f>
        <v>P004-023</v>
      </c>
      <c r="D110" s="6" t="str">
        <f>VLOOKUP(B110,Sheet3!$B$2:$E$312,3,)</f>
        <v>barang jadi &amp; bahan baku</v>
      </c>
      <c r="E110" s="8" t="str">
        <f>VLOOKUP(B110,Sheet3!$B$2:$E$312,4,)</f>
        <v>CC</v>
      </c>
      <c r="F110" s="22">
        <v>800.0</v>
      </c>
      <c r="G110" s="22" t="s">
        <v>1216</v>
      </c>
      <c r="H110" s="22" t="s">
        <v>1228</v>
      </c>
      <c r="I110" s="7" t="s">
        <v>1165</v>
      </c>
    </row>
    <row r="111" ht="15.75" customHeight="1">
      <c r="A111" s="17"/>
      <c r="B111" s="21" t="s">
        <v>211</v>
      </c>
      <c r="C111" s="6" t="str">
        <f>VLOOKUP(B111,Sheet3!$B$2:$E$312,2,FALSE)</f>
        <v>B001-088</v>
      </c>
      <c r="D111" s="6" t="str">
        <f>VLOOKUP(B111,Sheet3!$B$2:$E$312,3,)</f>
        <v>bahan baku</v>
      </c>
      <c r="E111" s="8" t="str">
        <f>VLOOKUP(B111,Sheet3!$B$2:$E$312,4,)</f>
        <v>GR</v>
      </c>
      <c r="F111" s="22">
        <v>5275.0</v>
      </c>
      <c r="G111" s="22" t="s">
        <v>1333</v>
      </c>
      <c r="H111" s="22" t="s">
        <v>1417</v>
      </c>
      <c r="I111" s="7" t="s">
        <v>1165</v>
      </c>
    </row>
    <row r="112" ht="15.75" customHeight="1">
      <c r="A112" s="17"/>
      <c r="B112" s="21" t="s">
        <v>418</v>
      </c>
      <c r="C112" s="6" t="str">
        <f>VLOOKUP(B112,Sheet3!$B$2:$E$312,2,FALSE)</f>
        <v>J001-005</v>
      </c>
      <c r="D112" s="6" t="str">
        <f>VLOOKUP(B112,Sheet3!$B$2:$E$312,3,)</f>
        <v>barang jadi</v>
      </c>
      <c r="E112" s="8" t="str">
        <f>VLOOKUP(B112,Sheet3!$B$2:$E$312,4,)</f>
        <v>PORSI</v>
      </c>
      <c r="F112" s="22">
        <v>1.0</v>
      </c>
      <c r="G112" s="22" t="s">
        <v>1422</v>
      </c>
      <c r="H112" s="22" t="s">
        <v>1290</v>
      </c>
      <c r="J112" s="7" t="s">
        <v>1423</v>
      </c>
    </row>
    <row r="113" ht="15.75" customHeight="1">
      <c r="A113" s="17"/>
      <c r="B113" s="21" t="s">
        <v>502</v>
      </c>
      <c r="C113" s="6" t="str">
        <f>VLOOKUP(B113,Sheet3!$B$2:$E$312,2,FALSE)</f>
        <v>S001-002</v>
      </c>
      <c r="D113" s="6" t="str">
        <f>VLOOKUP(B113,Sheet3!$B$2:$E$312,3,)</f>
        <v>barang jadi</v>
      </c>
      <c r="E113" s="8" t="str">
        <f>VLOOKUP(B113,Sheet3!$B$2:$E$312,4,)</f>
        <v>PORSI</v>
      </c>
      <c r="F113" s="22">
        <v>5.0</v>
      </c>
      <c r="G113" s="22" t="s">
        <v>1216</v>
      </c>
      <c r="H113" s="22" t="s">
        <v>1290</v>
      </c>
      <c r="I113" s="23" t="s">
        <v>1196</v>
      </c>
      <c r="J113" s="7" t="s">
        <v>1424</v>
      </c>
    </row>
    <row r="114" ht="15.75" customHeight="1">
      <c r="A114" s="17"/>
      <c r="B114" s="21" t="s">
        <v>632</v>
      </c>
      <c r="C114" s="6" t="str">
        <f>VLOOKUP(B114,Sheet3!$B$2:$E$312,2,FALSE)</f>
        <v>P004-013</v>
      </c>
      <c r="D114" s="6" t="str">
        <f>VLOOKUP(B114,Sheet3!$B$2:$E$312,3,)</f>
        <v>barang jadi &amp; bahan baku</v>
      </c>
      <c r="E114" s="8" t="str">
        <f>VLOOKUP(B114,Sheet3!$B$2:$E$312,4,)</f>
        <v>PCS</v>
      </c>
      <c r="F114" s="22">
        <v>14.0</v>
      </c>
      <c r="G114" s="22" t="s">
        <v>1333</v>
      </c>
      <c r="H114" s="22" t="s">
        <v>1290</v>
      </c>
      <c r="I114" s="23" t="s">
        <v>1196</v>
      </c>
      <c r="J114" s="7" t="s">
        <v>1425</v>
      </c>
    </row>
    <row r="115" ht="15.75" customHeight="1">
      <c r="A115" s="20">
        <v>46359.0</v>
      </c>
      <c r="B115" s="21" t="s">
        <v>632</v>
      </c>
      <c r="C115" s="6" t="str">
        <f>VLOOKUP(B115,Sheet3!$B$2:$E$312,2,FALSE)</f>
        <v>P004-013</v>
      </c>
      <c r="D115" s="6" t="str">
        <f>VLOOKUP(B115,Sheet3!$B$2:$E$312,3,)</f>
        <v>barang jadi &amp; bahan baku</v>
      </c>
      <c r="E115" s="8" t="str">
        <f>VLOOKUP(B115,Sheet3!$B$2:$E$312,4,)</f>
        <v>PCS</v>
      </c>
      <c r="F115" s="22">
        <v>12.0</v>
      </c>
      <c r="G115" s="22" t="s">
        <v>1333</v>
      </c>
      <c r="H115" s="8"/>
      <c r="I115" s="23" t="s">
        <v>1196</v>
      </c>
      <c r="J115" s="7" t="s">
        <v>1427</v>
      </c>
    </row>
    <row r="116" ht="15.75" customHeight="1">
      <c r="A116" s="17"/>
      <c r="B116" s="21" t="s">
        <v>306</v>
      </c>
      <c r="C116" s="6" t="str">
        <f>VLOOKUP(B116,Sheet3!$B$2:$E$312,2,FALSE)</f>
        <v>B001-127</v>
      </c>
      <c r="D116" s="6" t="str">
        <f>VLOOKUP(B116,Sheet3!$B$2:$E$312,3,)</f>
        <v>bahan baku</v>
      </c>
      <c r="E116" s="8" t="str">
        <f>VLOOKUP(B116,Sheet3!$B$2:$E$312,4,)</f>
        <v>PCS</v>
      </c>
      <c r="F116" s="22">
        <v>1.0</v>
      </c>
      <c r="G116" s="22" t="s">
        <v>1398</v>
      </c>
      <c r="H116" s="8"/>
      <c r="I116" s="7" t="s">
        <v>1165</v>
      </c>
    </row>
    <row r="117" ht="15.75" customHeight="1">
      <c r="A117" s="17"/>
      <c r="B117" s="21" t="s">
        <v>211</v>
      </c>
      <c r="C117" s="6" t="str">
        <f>VLOOKUP(B117,Sheet3!$B$2:$E$312,2,FALSE)</f>
        <v>B001-088</v>
      </c>
      <c r="D117" s="6" t="str">
        <f>VLOOKUP(B117,Sheet3!$B$2:$E$312,3,)</f>
        <v>bahan baku</v>
      </c>
      <c r="E117" s="8" t="str">
        <f>VLOOKUP(B117,Sheet3!$B$2:$E$312,4,)</f>
        <v>GR</v>
      </c>
      <c r="F117" s="22">
        <v>6060.0</v>
      </c>
      <c r="G117" s="22" t="s">
        <v>1333</v>
      </c>
      <c r="H117" s="22" t="s">
        <v>1417</v>
      </c>
      <c r="I117" s="7" t="s">
        <v>1165</v>
      </c>
    </row>
    <row r="118" ht="15.75" customHeight="1">
      <c r="A118" s="17"/>
      <c r="B118" s="21" t="s">
        <v>657</v>
      </c>
      <c r="C118" s="6" t="str">
        <f>VLOOKUP(B118,Sheet3!$B$2:$E$312,2,FALSE)</f>
        <v>P004-023</v>
      </c>
      <c r="D118" s="6" t="str">
        <f>VLOOKUP(B118,Sheet3!$B$2:$E$312,3,)</f>
        <v>barang jadi &amp; bahan baku</v>
      </c>
      <c r="E118" s="8" t="str">
        <f>VLOOKUP(B118,Sheet3!$B$2:$E$312,4,)</f>
        <v>CC</v>
      </c>
      <c r="F118" s="22">
        <v>1500.0</v>
      </c>
      <c r="G118" s="22" t="s">
        <v>1216</v>
      </c>
      <c r="H118" s="22" t="s">
        <v>1290</v>
      </c>
      <c r="I118" s="7" t="s">
        <v>1165</v>
      </c>
    </row>
    <row r="119" ht="15.75" customHeight="1">
      <c r="A119" s="17"/>
      <c r="B119" s="21" t="s">
        <v>664</v>
      </c>
      <c r="C119" s="6" t="str">
        <f>VLOOKUP(B119,Sheet3!$B$2:$E$312,2,FALSE)</f>
        <v>P004-025</v>
      </c>
      <c r="D119" s="6" t="str">
        <f>VLOOKUP(B119,Sheet3!$B$2:$E$312,3,)</f>
        <v>barang jadi &amp; bahan baku</v>
      </c>
      <c r="E119" s="8" t="str">
        <f>VLOOKUP(B119,Sheet3!$B$2:$E$312,4,)</f>
        <v>ML</v>
      </c>
      <c r="F119" s="22">
        <v>3250.0</v>
      </c>
      <c r="G119" s="22" t="s">
        <v>1216</v>
      </c>
      <c r="H119" s="22" t="s">
        <v>1290</v>
      </c>
      <c r="I119" s="7" t="s">
        <v>1165</v>
      </c>
    </row>
    <row r="120" ht="15.75" customHeight="1">
      <c r="A120" s="17"/>
      <c r="B120" s="21" t="s">
        <v>653</v>
      </c>
      <c r="C120" s="6" t="str">
        <f>VLOOKUP(B120,Sheet3!$B$2:$E$312,2,FALSE)</f>
        <v>P004-022</v>
      </c>
      <c r="D120" s="6" t="str">
        <f>VLOOKUP(B120,Sheet3!$B$2:$E$312,3,)</f>
        <v>barang jadi &amp; bahan baku</v>
      </c>
      <c r="E120" s="8" t="str">
        <f>VLOOKUP(B120,Sheet3!$B$2:$E$312,4,)</f>
        <v>CC</v>
      </c>
      <c r="F120" s="22">
        <v>1500.0</v>
      </c>
      <c r="G120" s="22" t="s">
        <v>1216</v>
      </c>
      <c r="H120" s="22" t="s">
        <v>1290</v>
      </c>
      <c r="I120" s="7" t="s">
        <v>1165</v>
      </c>
    </row>
    <row r="121" ht="15.75" customHeight="1">
      <c r="A121" s="17"/>
      <c r="B121" s="21" t="s">
        <v>28</v>
      </c>
      <c r="C121" s="6" t="str">
        <f>VLOOKUP(B121,Sheet3!$B$2:$E$312,2,FALSE)</f>
        <v>B001-006</v>
      </c>
      <c r="D121" s="6" t="str">
        <f>VLOOKUP(B121,Sheet3!$B$2:$E$312,3,)</f>
        <v>bahan baku</v>
      </c>
      <c r="E121" s="8" t="str">
        <f>VLOOKUP(B121,Sheet3!$B$2:$E$312,4,)</f>
        <v>GR</v>
      </c>
      <c r="F121" s="22">
        <v>49.0</v>
      </c>
      <c r="G121" s="22" t="s">
        <v>1232</v>
      </c>
      <c r="H121" s="22" t="s">
        <v>1225</v>
      </c>
      <c r="I121" s="7" t="s">
        <v>1165</v>
      </c>
    </row>
    <row r="122" ht="15.75" customHeight="1">
      <c r="A122" s="21" t="s">
        <v>1429</v>
      </c>
      <c r="B122" s="21" t="s">
        <v>111</v>
      </c>
      <c r="C122" s="6" t="str">
        <f>VLOOKUP(B122,Sheet3!$B$2:$E$312,2,FALSE)</f>
        <v>B001-047</v>
      </c>
      <c r="D122" s="6" t="str">
        <f>VLOOKUP(B122,Sheet3!$B$2:$E$312,3,)</f>
        <v>bahan baku</v>
      </c>
      <c r="E122" s="8" t="str">
        <f>VLOOKUP(B122,Sheet3!$B$2:$E$312,4,)</f>
        <v>GR</v>
      </c>
      <c r="F122" s="22">
        <v>44.0</v>
      </c>
      <c r="G122" s="22" t="s">
        <v>1224</v>
      </c>
      <c r="H122" s="22" t="s">
        <v>1228</v>
      </c>
      <c r="I122" s="7" t="s">
        <v>1165</v>
      </c>
    </row>
    <row r="123" ht="15.75" customHeight="1">
      <c r="B123" s="21" t="s">
        <v>648</v>
      </c>
      <c r="C123" s="6" t="str">
        <f>VLOOKUP(B123,Sheet3!$B$2:$E$312,2,FALSE)</f>
        <v>P004-020</v>
      </c>
      <c r="D123" s="6" t="str">
        <f>VLOOKUP(B123,Sheet3!$B$2:$E$312,3,)</f>
        <v>barang jadi &amp; bahan baku</v>
      </c>
      <c r="E123" s="8" t="str">
        <f>VLOOKUP(B123,Sheet3!$B$2:$E$312,4,)</f>
        <v>GR</v>
      </c>
      <c r="F123" s="22">
        <v>55.0</v>
      </c>
      <c r="G123" s="22" t="s">
        <v>1245</v>
      </c>
      <c r="H123" s="22" t="s">
        <v>1228</v>
      </c>
      <c r="I123" s="7" t="s">
        <v>1165</v>
      </c>
    </row>
    <row r="124" ht="15.75" customHeight="1">
      <c r="A124" s="17"/>
      <c r="B124" s="21" t="s">
        <v>111</v>
      </c>
      <c r="C124" s="6" t="str">
        <f>VLOOKUP(B124,Sheet3!$B$2:$E$312,2,FALSE)</f>
        <v>B001-047</v>
      </c>
      <c r="D124" s="6" t="str">
        <f>VLOOKUP(B124,Sheet3!$B$2:$E$312,3,)</f>
        <v>bahan baku</v>
      </c>
      <c r="E124" s="8" t="str">
        <f>VLOOKUP(B124,Sheet3!$B$2:$E$312,4,)</f>
        <v>GR</v>
      </c>
      <c r="F124" s="22">
        <v>43.0</v>
      </c>
      <c r="G124" s="22" t="s">
        <v>1224</v>
      </c>
      <c r="H124" s="22" t="s">
        <v>1228</v>
      </c>
      <c r="I124" s="7" t="s">
        <v>1165</v>
      </c>
    </row>
    <row r="125" ht="15.75" customHeight="1">
      <c r="A125" s="17"/>
      <c r="B125" s="21" t="s">
        <v>698</v>
      </c>
      <c r="C125" s="6" t="str">
        <f>VLOOKUP(B125,Sheet3!$B$2:$E$312,2,FALSE)</f>
        <v>P004-038</v>
      </c>
      <c r="D125" s="6" t="str">
        <f>VLOOKUP(B125,Sheet3!$B$2:$E$312,3,)</f>
        <v>barang jadi &amp; bahan baku</v>
      </c>
      <c r="E125" s="8" t="str">
        <f>VLOOKUP(B125,Sheet3!$B$2:$E$312,4,)</f>
        <v>PCS</v>
      </c>
      <c r="F125" s="22">
        <v>1.0</v>
      </c>
      <c r="G125" s="22" t="s">
        <v>1431</v>
      </c>
      <c r="H125" s="22" t="s">
        <v>1290</v>
      </c>
      <c r="I125" s="7" t="s">
        <v>1165</v>
      </c>
    </row>
    <row r="126" ht="15.75" customHeight="1">
      <c r="A126" s="17"/>
      <c r="B126" s="21" t="s">
        <v>632</v>
      </c>
      <c r="C126" s="6" t="str">
        <f>VLOOKUP(B126,Sheet3!$B$2:$E$312,2,FALSE)</f>
        <v>P004-013</v>
      </c>
      <c r="D126" s="6" t="str">
        <f>VLOOKUP(B126,Sheet3!$B$2:$E$312,3,)</f>
        <v>barang jadi &amp; bahan baku</v>
      </c>
      <c r="E126" s="8" t="str">
        <f>VLOOKUP(B126,Sheet3!$B$2:$E$312,4,)</f>
        <v>PCS</v>
      </c>
      <c r="F126" s="22">
        <v>6.0</v>
      </c>
      <c r="G126" s="22" t="s">
        <v>1333</v>
      </c>
      <c r="H126" s="8"/>
      <c r="I126" s="23" t="s">
        <v>1196</v>
      </c>
      <c r="J126" s="7" t="s">
        <v>1308</v>
      </c>
    </row>
    <row r="127" ht="15.75" customHeight="1">
      <c r="A127" s="17"/>
      <c r="B127" s="21" t="s">
        <v>532</v>
      </c>
      <c r="C127" s="6" t="str">
        <f>VLOOKUP(B127,Sheet3!$B$2:$E$312,2,FALSE)</f>
        <v>S002-007</v>
      </c>
      <c r="D127" s="6" t="str">
        <f>VLOOKUP(B127,Sheet3!$B$2:$E$312,3,)</f>
        <v>barang jadi</v>
      </c>
      <c r="E127" s="8" t="str">
        <f>VLOOKUP(B127,Sheet3!$B$2:$E$312,4,)</f>
        <v>PORSI</v>
      </c>
      <c r="F127" s="22">
        <v>3.0</v>
      </c>
      <c r="G127" s="22" t="s">
        <v>1216</v>
      </c>
      <c r="H127" s="8"/>
      <c r="I127" s="23" t="s">
        <v>1196</v>
      </c>
      <c r="J127" s="7" t="s">
        <v>1432</v>
      </c>
    </row>
    <row r="128" ht="15.75" customHeight="1">
      <c r="A128" s="17"/>
      <c r="B128" s="21" t="s">
        <v>50</v>
      </c>
      <c r="C128" s="6" t="str">
        <f>VLOOKUP(B128,Sheet3!$B$2:$E$312,2,FALSE)</f>
        <v>B001-017</v>
      </c>
      <c r="D128" s="6" t="str">
        <f>VLOOKUP(B128,Sheet3!$B$2:$E$312,3,)</f>
        <v>bahan baku</v>
      </c>
      <c r="E128" s="8" t="str">
        <f>VLOOKUP(B128,Sheet3!$B$2:$E$312,4,)</f>
        <v>GR</v>
      </c>
      <c r="F128" s="22">
        <v>32.0</v>
      </c>
      <c r="G128" s="22" t="s">
        <v>1232</v>
      </c>
      <c r="H128" s="22" t="s">
        <v>1225</v>
      </c>
      <c r="I128" s="7" t="s">
        <v>1165</v>
      </c>
    </row>
    <row r="129" ht="15.75" customHeight="1">
      <c r="A129" s="17"/>
      <c r="B129" s="21" t="s">
        <v>148</v>
      </c>
      <c r="C129" s="6" t="str">
        <f>VLOOKUP(B129,Sheet3!$B$2:$E$312,2,FALSE)</f>
        <v>B001-064</v>
      </c>
      <c r="D129" s="6" t="str">
        <f>VLOOKUP(B129,Sheet3!$B$2:$E$312,3,)</f>
        <v>bahan baku</v>
      </c>
      <c r="E129" s="8" t="str">
        <f>VLOOKUP(B129,Sheet3!$B$2:$E$312,4,)</f>
        <v>GR</v>
      </c>
      <c r="F129" s="22">
        <v>18.0</v>
      </c>
      <c r="G129" s="22" t="s">
        <v>1232</v>
      </c>
      <c r="H129" s="22" t="s">
        <v>1225</v>
      </c>
      <c r="I129" s="7" t="s">
        <v>1165</v>
      </c>
    </row>
    <row r="130" ht="15.75" customHeight="1">
      <c r="A130" s="17"/>
      <c r="B130" s="21" t="s">
        <v>28</v>
      </c>
      <c r="C130" s="6" t="str">
        <f>VLOOKUP(B130,Sheet3!$B$2:$E$312,2,FALSE)</f>
        <v>B001-006</v>
      </c>
      <c r="D130" s="6" t="str">
        <f>VLOOKUP(B130,Sheet3!$B$2:$E$312,3,)</f>
        <v>bahan baku</v>
      </c>
      <c r="E130" s="8" t="str">
        <f>VLOOKUP(B130,Sheet3!$B$2:$E$312,4,)</f>
        <v>GR</v>
      </c>
      <c r="F130" s="22">
        <v>32.0</v>
      </c>
      <c r="G130" s="22" t="s">
        <v>1232</v>
      </c>
      <c r="H130" s="22" t="s">
        <v>1225</v>
      </c>
      <c r="I130" s="7" t="s">
        <v>1165</v>
      </c>
    </row>
    <row r="131" ht="15.75" customHeight="1">
      <c r="A131" s="17"/>
      <c r="B131" s="21" t="s">
        <v>330</v>
      </c>
      <c r="C131" s="6" t="str">
        <f>VLOOKUP(B131,Sheet3!$B$2:$E$312,2,FALSE)</f>
        <v>D001-007</v>
      </c>
      <c r="D131" s="6" t="str">
        <f>VLOOKUP(B131,Sheet3!$B$2:$E$312,3,)</f>
        <v>barang jadi</v>
      </c>
      <c r="E131" s="8" t="str">
        <f>VLOOKUP(B131,Sheet3!$B$2:$E$312,4,)</f>
        <v>PORSI</v>
      </c>
      <c r="F131" s="22">
        <v>1.0</v>
      </c>
      <c r="G131" s="22" t="s">
        <v>1398</v>
      </c>
      <c r="H131" s="8"/>
      <c r="I131" s="7" t="s">
        <v>1165</v>
      </c>
    </row>
    <row r="132" ht="15.75" customHeight="1">
      <c r="A132" s="17"/>
      <c r="B132" s="21" t="s">
        <v>211</v>
      </c>
      <c r="C132" s="6" t="str">
        <f>VLOOKUP(B132,Sheet3!$B$2:$E$312,2,FALSE)</f>
        <v>B001-088</v>
      </c>
      <c r="D132" s="6" t="str">
        <f>VLOOKUP(B132,Sheet3!$B$2:$E$312,3,)</f>
        <v>bahan baku</v>
      </c>
      <c r="E132" s="8" t="str">
        <f>VLOOKUP(B132,Sheet3!$B$2:$E$312,4,)</f>
        <v>GR</v>
      </c>
      <c r="F132" s="22">
        <v>5395.0</v>
      </c>
      <c r="G132" s="22" t="s">
        <v>1333</v>
      </c>
      <c r="H132" s="22" t="s">
        <v>1417</v>
      </c>
      <c r="I132" s="7" t="s">
        <v>1165</v>
      </c>
    </row>
    <row r="133" ht="15.75" customHeight="1">
      <c r="A133" s="17"/>
      <c r="B133" s="21" t="s">
        <v>657</v>
      </c>
      <c r="C133" s="6" t="str">
        <f>VLOOKUP(B133,Sheet3!$B$2:$E$312,2,FALSE)</f>
        <v>P004-023</v>
      </c>
      <c r="D133" s="6" t="str">
        <f>VLOOKUP(B133,Sheet3!$B$2:$E$312,3,)</f>
        <v>barang jadi &amp; bahan baku</v>
      </c>
      <c r="E133" s="8" t="str">
        <f>VLOOKUP(B133,Sheet3!$B$2:$E$312,4,)</f>
        <v>CC</v>
      </c>
      <c r="F133" s="22">
        <v>650.0</v>
      </c>
      <c r="G133" s="22" t="s">
        <v>1164</v>
      </c>
      <c r="H133" s="22" t="s">
        <v>1225</v>
      </c>
      <c r="I133" s="7" t="s">
        <v>1165</v>
      </c>
    </row>
    <row r="134" ht="15.75" customHeight="1">
      <c r="A134" s="17"/>
      <c r="B134" s="21" t="s">
        <v>805</v>
      </c>
      <c r="C134" s="6" t="str">
        <f>VLOOKUP(B134,Sheet3!$B$2:$E$312,2,FALSE)</f>
        <v>#N/A</v>
      </c>
      <c r="D134" s="6" t="str">
        <f>VLOOKUP(B134,Sheet3!$B$2:$E$312,3,)</f>
        <v>#N/A</v>
      </c>
      <c r="E134" s="8" t="str">
        <f>VLOOKUP(B134,Sheet3!$B$2:$E$312,4,)</f>
        <v>#N/A</v>
      </c>
      <c r="F134" s="22">
        <v>2400.0</v>
      </c>
      <c r="G134" s="22" t="s">
        <v>1438</v>
      </c>
      <c r="H134" s="22" t="s">
        <v>1225</v>
      </c>
      <c r="I134" s="7" t="s">
        <v>1165</v>
      </c>
    </row>
    <row r="135" ht="15.75" customHeight="1">
      <c r="A135" s="21" t="s">
        <v>1439</v>
      </c>
      <c r="B135" s="21" t="s">
        <v>720</v>
      </c>
      <c r="C135" s="6" t="str">
        <f>VLOOKUP(B135,Sheet3!$B$2:$E$312,2,FALSE)</f>
        <v>B002-005</v>
      </c>
      <c r="D135" s="6" t="str">
        <f>VLOOKUP(B135,Sheet3!$B$2:$E$312,3,)</f>
        <v>others</v>
      </c>
      <c r="E135" s="8" t="str">
        <f>VLOOKUP(B135,Sheet3!$B$2:$E$312,4,)</f>
        <v>PCS</v>
      </c>
      <c r="F135" s="22">
        <v>50.0</v>
      </c>
      <c r="G135" s="22" t="s">
        <v>1369</v>
      </c>
      <c r="H135" s="22" t="s">
        <v>1228</v>
      </c>
      <c r="I135" s="7" t="s">
        <v>1165</v>
      </c>
    </row>
    <row r="136" ht="15.75" customHeight="1">
      <c r="A136" s="17"/>
      <c r="B136" s="21" t="s">
        <v>298</v>
      </c>
      <c r="C136" s="6" t="str">
        <f>VLOOKUP(B136,Sheet3!$B$2:$E$312,2,FALSE)</f>
        <v>B001-125</v>
      </c>
      <c r="D136" s="6" t="str">
        <f>VLOOKUP(B136,Sheet3!$B$2:$E$312,3,)</f>
        <v>bahan baku</v>
      </c>
      <c r="E136" s="8" t="str">
        <f>VLOOKUP(B136,Sheet3!$B$2:$E$312,4,)</f>
        <v>GR</v>
      </c>
      <c r="F136" s="22">
        <v>176.0</v>
      </c>
      <c r="G136" s="22" t="s">
        <v>1224</v>
      </c>
      <c r="H136" s="22" t="s">
        <v>1290</v>
      </c>
      <c r="I136" s="7" t="s">
        <v>1165</v>
      </c>
    </row>
    <row r="137" ht="15.75" customHeight="1">
      <c r="A137" s="17"/>
      <c r="B137" s="21" t="s">
        <v>28</v>
      </c>
      <c r="C137" s="6" t="str">
        <f>VLOOKUP(B137,Sheet3!$B$2:$E$312,2,FALSE)</f>
        <v>B001-006</v>
      </c>
      <c r="D137" s="6" t="str">
        <f>VLOOKUP(B137,Sheet3!$B$2:$E$312,3,)</f>
        <v>bahan baku</v>
      </c>
      <c r="E137" s="8" t="str">
        <f>VLOOKUP(B137,Sheet3!$B$2:$E$312,4,)</f>
        <v>GR</v>
      </c>
      <c r="F137" s="22">
        <v>27.0</v>
      </c>
      <c r="G137" s="22" t="s">
        <v>1370</v>
      </c>
      <c r="H137" s="22" t="s">
        <v>1290</v>
      </c>
      <c r="I137" s="7" t="s">
        <v>1165</v>
      </c>
    </row>
    <row r="138" ht="15.75" customHeight="1">
      <c r="A138" s="17"/>
      <c r="B138" s="21" t="s">
        <v>698</v>
      </c>
      <c r="C138" s="6" t="str">
        <f>VLOOKUP(B138,Sheet3!$B$2:$E$312,2,FALSE)</f>
        <v>P004-038</v>
      </c>
      <c r="D138" s="6" t="str">
        <f>VLOOKUP(B138,Sheet3!$B$2:$E$312,3,)</f>
        <v>barang jadi &amp; bahan baku</v>
      </c>
      <c r="E138" s="8" t="str">
        <f>VLOOKUP(B138,Sheet3!$B$2:$E$312,4,)</f>
        <v>PCS</v>
      </c>
      <c r="F138" s="22">
        <v>3.0</v>
      </c>
      <c r="G138" s="22" t="s">
        <v>1431</v>
      </c>
      <c r="H138" s="22" t="s">
        <v>1290</v>
      </c>
      <c r="I138" s="7" t="s">
        <v>1165</v>
      </c>
    </row>
    <row r="139" ht="15.75" customHeight="1">
      <c r="A139" s="17"/>
      <c r="B139" s="21" t="s">
        <v>632</v>
      </c>
      <c r="C139" s="6" t="str">
        <f>VLOOKUP(B139,Sheet3!$B$2:$E$312,2,FALSE)</f>
        <v>P004-013</v>
      </c>
      <c r="D139" s="6" t="str">
        <f>VLOOKUP(B139,Sheet3!$B$2:$E$312,3,)</f>
        <v>barang jadi &amp; bahan baku</v>
      </c>
      <c r="E139" s="8" t="str">
        <f>VLOOKUP(B139,Sheet3!$B$2:$E$312,4,)</f>
        <v>PCS</v>
      </c>
      <c r="F139" s="22">
        <v>4.0</v>
      </c>
      <c r="G139" s="22" t="s">
        <v>1333</v>
      </c>
      <c r="H139" s="8"/>
      <c r="I139" s="7" t="s">
        <v>1165</v>
      </c>
    </row>
    <row r="140" ht="15.75" customHeight="1">
      <c r="A140" s="17"/>
      <c r="B140" s="21" t="s">
        <v>306</v>
      </c>
      <c r="C140" s="6" t="str">
        <f>VLOOKUP(B140,Sheet3!$B$2:$E$312,2,FALSE)</f>
        <v>B001-127</v>
      </c>
      <c r="D140" s="6" t="str">
        <f>VLOOKUP(B140,Sheet3!$B$2:$E$312,3,)</f>
        <v>bahan baku</v>
      </c>
      <c r="E140" s="8" t="str">
        <f>VLOOKUP(B140,Sheet3!$B$2:$E$312,4,)</f>
        <v>PCS</v>
      </c>
      <c r="F140" s="22">
        <v>1.0</v>
      </c>
      <c r="G140" s="22" t="s">
        <v>1398</v>
      </c>
      <c r="H140" s="8"/>
      <c r="I140" s="7" t="s">
        <v>1165</v>
      </c>
    </row>
    <row r="141" ht="15.75" customHeight="1">
      <c r="A141" s="17"/>
      <c r="B141" s="21" t="s">
        <v>720</v>
      </c>
      <c r="C141" s="6" t="str">
        <f>VLOOKUP(B141,Sheet3!$B$2:$E$312,2,FALSE)</f>
        <v>B002-005</v>
      </c>
      <c r="D141" s="6" t="str">
        <f>VLOOKUP(B141,Sheet3!$B$2:$E$312,3,)</f>
        <v>others</v>
      </c>
      <c r="E141" s="8" t="str">
        <f>VLOOKUP(B141,Sheet3!$B$2:$E$312,4,)</f>
        <v>PCS</v>
      </c>
      <c r="F141" s="22">
        <v>50.0</v>
      </c>
      <c r="G141" s="22" t="s">
        <v>1369</v>
      </c>
      <c r="H141" s="22" t="s">
        <v>1186</v>
      </c>
      <c r="I141" s="7" t="s">
        <v>1165</v>
      </c>
    </row>
    <row r="142" ht="15.75" customHeight="1">
      <c r="A142" s="17"/>
      <c r="B142" s="21" t="s">
        <v>664</v>
      </c>
      <c r="C142" s="6" t="str">
        <f>VLOOKUP(B142,Sheet3!$B$2:$E$312,2,FALSE)</f>
        <v>P004-025</v>
      </c>
      <c r="D142" s="6" t="str">
        <f>VLOOKUP(B142,Sheet3!$B$2:$E$312,3,)</f>
        <v>barang jadi &amp; bahan baku</v>
      </c>
      <c r="E142" s="8" t="str">
        <f>VLOOKUP(B142,Sheet3!$B$2:$E$312,4,)</f>
        <v>ML</v>
      </c>
      <c r="F142" s="22">
        <v>500.0</v>
      </c>
      <c r="G142" s="22" t="s">
        <v>1164</v>
      </c>
      <c r="H142" s="22" t="s">
        <v>1186</v>
      </c>
      <c r="I142" s="7" t="s">
        <v>1165</v>
      </c>
    </row>
    <row r="143" ht="15.75" customHeight="1">
      <c r="A143" s="21" t="s">
        <v>1440</v>
      </c>
      <c r="B143" s="21" t="s">
        <v>250</v>
      </c>
      <c r="C143" s="6" t="str">
        <f>VLOOKUP(B143,Sheet3!$B$2:$E$312,2,FALSE)</f>
        <v>B001-110</v>
      </c>
      <c r="D143" s="6" t="str">
        <f>VLOOKUP(B143,Sheet3!$B$2:$E$312,3,)</f>
        <v>bahan baku</v>
      </c>
      <c r="E143" s="8" t="str">
        <f>VLOOKUP(B143,Sheet3!$B$2:$E$312,4,)</f>
        <v>GR</v>
      </c>
      <c r="F143" s="22">
        <v>503.0</v>
      </c>
      <c r="G143" s="22" t="s">
        <v>1245</v>
      </c>
      <c r="H143" s="22" t="s">
        <v>1228</v>
      </c>
      <c r="I143" s="7" t="s">
        <v>1165</v>
      </c>
    </row>
    <row r="144" ht="15.75" customHeight="1">
      <c r="A144" s="17"/>
      <c r="B144" s="21" t="s">
        <v>632</v>
      </c>
      <c r="C144" s="6" t="str">
        <f>VLOOKUP(B144,Sheet3!$B$2:$E$312,2,FALSE)</f>
        <v>P004-013</v>
      </c>
      <c r="D144" s="6" t="str">
        <f>VLOOKUP(B144,Sheet3!$B$2:$E$312,3,)</f>
        <v>barang jadi &amp; bahan baku</v>
      </c>
      <c r="E144" s="8" t="str">
        <f>VLOOKUP(B144,Sheet3!$B$2:$E$312,4,)</f>
        <v>PCS</v>
      </c>
      <c r="F144" s="22">
        <v>34.0</v>
      </c>
      <c r="G144" s="22" t="s">
        <v>1216</v>
      </c>
      <c r="H144" s="8"/>
      <c r="I144" s="7" t="s">
        <v>1165</v>
      </c>
    </row>
    <row r="145" ht="15.75" customHeight="1">
      <c r="A145" s="17"/>
      <c r="B145" s="21" t="s">
        <v>502</v>
      </c>
      <c r="C145" s="6" t="str">
        <f>VLOOKUP(B145,Sheet3!$B$2:$E$312,2,FALSE)</f>
        <v>S001-002</v>
      </c>
      <c r="D145" s="6" t="str">
        <f>VLOOKUP(B145,Sheet3!$B$2:$E$312,3,)</f>
        <v>barang jadi</v>
      </c>
      <c r="E145" s="8" t="str">
        <f>VLOOKUP(B145,Sheet3!$B$2:$E$312,4,)</f>
        <v>PORSI</v>
      </c>
      <c r="F145" s="22">
        <v>4.0</v>
      </c>
      <c r="G145" s="22" t="s">
        <v>1216</v>
      </c>
      <c r="H145" s="22" t="s">
        <v>1225</v>
      </c>
      <c r="I145" s="23" t="s">
        <v>1196</v>
      </c>
      <c r="J145" s="7" t="s">
        <v>1217</v>
      </c>
    </row>
    <row r="146" ht="15.75" customHeight="1">
      <c r="A146" s="17"/>
      <c r="B146" s="21" t="s">
        <v>653</v>
      </c>
      <c r="C146" s="6" t="str">
        <f>VLOOKUP(B146,Sheet3!$B$2:$E$312,2,FALSE)</f>
        <v>P004-022</v>
      </c>
      <c r="D146" s="6" t="str">
        <f>VLOOKUP(B146,Sheet3!$B$2:$E$312,3,)</f>
        <v>barang jadi &amp; bahan baku</v>
      </c>
      <c r="E146" s="8" t="str">
        <f>VLOOKUP(B146,Sheet3!$B$2:$E$312,4,)</f>
        <v>CC</v>
      </c>
      <c r="F146" s="22">
        <v>700.0</v>
      </c>
      <c r="G146" s="22" t="s">
        <v>1164</v>
      </c>
      <c r="H146" s="22" t="s">
        <v>1225</v>
      </c>
      <c r="I146" s="7" t="s">
        <v>1165</v>
      </c>
    </row>
    <row r="147" ht="15.75" customHeight="1">
      <c r="A147" s="17"/>
      <c r="B147" s="21" t="s">
        <v>805</v>
      </c>
      <c r="C147" s="6" t="str">
        <f>VLOOKUP(B147,Sheet3!$B$2:$E$312,2,FALSE)</f>
        <v>#N/A</v>
      </c>
      <c r="D147" s="6" t="str">
        <f>VLOOKUP(B147,Sheet3!$B$2:$E$312,3,)</f>
        <v>#N/A</v>
      </c>
      <c r="E147" s="8" t="str">
        <f>VLOOKUP(B147,Sheet3!$B$2:$E$312,4,)</f>
        <v>#N/A</v>
      </c>
      <c r="F147" s="22">
        <v>850.0</v>
      </c>
      <c r="G147" s="22" t="s">
        <v>1164</v>
      </c>
      <c r="H147" s="22" t="s">
        <v>1225</v>
      </c>
      <c r="I147" s="7" t="s">
        <v>1165</v>
      </c>
    </row>
    <row r="148" ht="15.75" customHeight="1">
      <c r="A148" s="17"/>
      <c r="B148" s="21" t="s">
        <v>657</v>
      </c>
      <c r="C148" s="6" t="str">
        <f>VLOOKUP(B148,Sheet3!$B$2:$E$312,2,FALSE)</f>
        <v>P004-023</v>
      </c>
      <c r="D148" s="6" t="str">
        <f>VLOOKUP(B148,Sheet3!$B$2:$E$312,3,)</f>
        <v>barang jadi &amp; bahan baku</v>
      </c>
      <c r="E148" s="8" t="str">
        <f>VLOOKUP(B148,Sheet3!$B$2:$E$312,4,)</f>
        <v>CC</v>
      </c>
      <c r="F148" s="22">
        <v>650.0</v>
      </c>
      <c r="G148" s="22" t="s">
        <v>1164</v>
      </c>
      <c r="H148" s="22" t="s">
        <v>1225</v>
      </c>
      <c r="I148" s="7" t="s">
        <v>1165</v>
      </c>
    </row>
    <row r="149" ht="15.75" customHeight="1">
      <c r="A149" s="17"/>
      <c r="B149" s="21" t="s">
        <v>211</v>
      </c>
      <c r="C149" s="6" t="str">
        <f>VLOOKUP(B149,Sheet3!$B$2:$E$312,2,FALSE)</f>
        <v>B001-088</v>
      </c>
      <c r="D149" s="6" t="str">
        <f>VLOOKUP(B149,Sheet3!$B$2:$E$312,3,)</f>
        <v>bahan baku</v>
      </c>
      <c r="E149" s="8" t="str">
        <f>VLOOKUP(B149,Sheet3!$B$2:$E$312,4,)</f>
        <v>GR</v>
      </c>
      <c r="F149" s="22">
        <v>6555.0</v>
      </c>
      <c r="G149" s="22" t="s">
        <v>1333</v>
      </c>
      <c r="H149" s="22" t="s">
        <v>1417</v>
      </c>
      <c r="I149" s="23" t="s">
        <v>1196</v>
      </c>
      <c r="J149" s="7" t="s">
        <v>1442</v>
      </c>
    </row>
    <row r="150" ht="15.75" customHeight="1">
      <c r="A150" s="21" t="s">
        <v>1443</v>
      </c>
      <c r="B150" s="21" t="s">
        <v>691</v>
      </c>
      <c r="C150" s="6" t="str">
        <f>VLOOKUP(B150,Sheet3!$B$2:$E$312,2,FALSE)</f>
        <v>P004-036</v>
      </c>
      <c r="D150" s="6" t="str">
        <f>VLOOKUP(B150,Sheet3!$B$2:$E$312,3,)</f>
        <v>barang jadi &amp; bahan baku</v>
      </c>
      <c r="E150" s="8" t="str">
        <f>VLOOKUP(B150,Sheet3!$B$2:$E$312,4,)</f>
        <v>GR</v>
      </c>
      <c r="F150" s="22">
        <v>1500.0</v>
      </c>
      <c r="G150" s="22" t="s">
        <v>1245</v>
      </c>
      <c r="H150" s="22" t="s">
        <v>1228</v>
      </c>
      <c r="I150" s="7" t="s">
        <v>1444</v>
      </c>
    </row>
    <row r="151" ht="15.75" customHeight="1">
      <c r="A151" s="17"/>
      <c r="B151" s="21" t="s">
        <v>298</v>
      </c>
      <c r="C151" s="6" t="str">
        <f>VLOOKUP(B151,Sheet3!$B$2:$E$312,2,FALSE)</f>
        <v>B001-125</v>
      </c>
      <c r="D151" s="6" t="str">
        <f>VLOOKUP(B151,Sheet3!$B$2:$E$312,3,)</f>
        <v>bahan baku</v>
      </c>
      <c r="E151" s="8" t="str">
        <f>VLOOKUP(B151,Sheet3!$B$2:$E$312,4,)</f>
        <v>GR</v>
      </c>
      <c r="F151" s="22">
        <v>55.0</v>
      </c>
      <c r="G151" s="22" t="s">
        <v>1224</v>
      </c>
      <c r="H151" s="22" t="s">
        <v>1225</v>
      </c>
      <c r="I151" s="7" t="s">
        <v>1444</v>
      </c>
    </row>
    <row r="152" ht="15.75" customHeight="1">
      <c r="A152" s="17"/>
      <c r="B152" s="21" t="s">
        <v>28</v>
      </c>
      <c r="C152" s="6" t="str">
        <f>VLOOKUP(B152,Sheet3!$B$2:$E$312,2,FALSE)</f>
        <v>B001-006</v>
      </c>
      <c r="D152" s="6" t="str">
        <f>VLOOKUP(B152,Sheet3!$B$2:$E$312,3,)</f>
        <v>bahan baku</v>
      </c>
      <c r="E152" s="8" t="str">
        <f>VLOOKUP(B152,Sheet3!$B$2:$E$312,4,)</f>
        <v>GR</v>
      </c>
      <c r="F152" s="22">
        <v>107.0</v>
      </c>
      <c r="G152" s="22" t="s">
        <v>1232</v>
      </c>
      <c r="H152" s="22" t="s">
        <v>1225</v>
      </c>
      <c r="I152" s="7" t="s">
        <v>1444</v>
      </c>
    </row>
    <row r="153" ht="15.75" customHeight="1">
      <c r="A153" s="17"/>
      <c r="B153" s="21" t="s">
        <v>148</v>
      </c>
      <c r="C153" s="6" t="str">
        <f>VLOOKUP(B153,Sheet3!$B$2:$E$312,2,FALSE)</f>
        <v>B001-064</v>
      </c>
      <c r="D153" s="6" t="str">
        <f>VLOOKUP(B153,Sheet3!$B$2:$E$312,3,)</f>
        <v>bahan baku</v>
      </c>
      <c r="E153" s="8" t="str">
        <f>VLOOKUP(B153,Sheet3!$B$2:$E$312,4,)</f>
        <v>GR</v>
      </c>
      <c r="F153" s="22">
        <v>136.0</v>
      </c>
      <c r="G153" s="22" t="s">
        <v>1232</v>
      </c>
      <c r="H153" s="22" t="s">
        <v>1225</v>
      </c>
      <c r="I153" s="7" t="s">
        <v>1444</v>
      </c>
    </row>
    <row r="154" ht="15.75" customHeight="1">
      <c r="A154" s="17"/>
      <c r="B154" s="21" t="s">
        <v>86</v>
      </c>
      <c r="C154" s="6" t="str">
        <f>VLOOKUP(B154,Sheet3!$B$2:$E$312,2,FALSE)</f>
        <v>B001-036</v>
      </c>
      <c r="D154" s="6" t="str">
        <f>VLOOKUP(B154,Sheet3!$B$2:$E$312,3,)</f>
        <v>bahan baku</v>
      </c>
      <c r="E154" s="8" t="str">
        <f>VLOOKUP(B154,Sheet3!$B$2:$E$312,4,)</f>
        <v>GR</v>
      </c>
      <c r="F154" s="22">
        <v>60.0</v>
      </c>
      <c r="G154" s="22" t="s">
        <v>1445</v>
      </c>
      <c r="H154" s="8"/>
      <c r="I154" s="7" t="s">
        <v>1444</v>
      </c>
    </row>
    <row r="155" ht="15.75" customHeight="1">
      <c r="A155" s="17"/>
      <c r="B155" s="21" t="s">
        <v>211</v>
      </c>
      <c r="C155" s="6" t="str">
        <f>VLOOKUP(B155,Sheet3!$B$2:$E$312,2,FALSE)</f>
        <v>B001-088</v>
      </c>
      <c r="D155" s="6" t="str">
        <f>VLOOKUP(B155,Sheet3!$B$2:$E$312,3,)</f>
        <v>bahan baku</v>
      </c>
      <c r="E155" s="8" t="str">
        <f>VLOOKUP(B155,Sheet3!$B$2:$E$312,4,)</f>
        <v>GR</v>
      </c>
      <c r="F155" s="22">
        <v>7425.0</v>
      </c>
      <c r="G155" s="22" t="s">
        <v>1445</v>
      </c>
      <c r="H155" s="22" t="s">
        <v>1375</v>
      </c>
      <c r="I155" s="7" t="s">
        <v>1444</v>
      </c>
    </row>
    <row r="156" ht="15.75" customHeight="1">
      <c r="A156" s="17"/>
      <c r="B156" s="21" t="s">
        <v>632</v>
      </c>
      <c r="C156" s="6" t="str">
        <f>VLOOKUP(B156,Sheet3!$B$2:$E$312,2,FALSE)</f>
        <v>P004-013</v>
      </c>
      <c r="D156" s="6" t="str">
        <f>VLOOKUP(B156,Sheet3!$B$2:$E$312,3,)</f>
        <v>barang jadi &amp; bahan baku</v>
      </c>
      <c r="E156" s="8" t="str">
        <f>VLOOKUP(B156,Sheet3!$B$2:$E$312,4,)</f>
        <v>PCS</v>
      </c>
      <c r="F156" s="22">
        <v>5.0</v>
      </c>
      <c r="G156" s="22" t="s">
        <v>1333</v>
      </c>
      <c r="H156" s="22" t="s">
        <v>1384</v>
      </c>
      <c r="I156" s="23" t="s">
        <v>1446</v>
      </c>
      <c r="J156" s="7" t="s">
        <v>1447</v>
      </c>
    </row>
    <row r="157" ht="15.75" customHeight="1">
      <c r="A157" s="17"/>
      <c r="B157" s="21" t="s">
        <v>416</v>
      </c>
      <c r="C157" s="6" t="str">
        <f>VLOOKUP(B157,Sheet3!$B$2:$E$312,2,FALSE)</f>
        <v>J001-004</v>
      </c>
      <c r="D157" s="6" t="str">
        <f>VLOOKUP(B157,Sheet3!$B$2:$E$312,3,)</f>
        <v>barang jadi</v>
      </c>
      <c r="E157" s="8" t="str">
        <f>VLOOKUP(B157,Sheet3!$B$2:$E$312,4,)</f>
        <v>PORSI</v>
      </c>
      <c r="F157" s="22">
        <v>1.0</v>
      </c>
      <c r="G157" s="22" t="s">
        <v>1216</v>
      </c>
      <c r="H157" s="22" t="s">
        <v>1384</v>
      </c>
      <c r="I157" s="7" t="s">
        <v>1444</v>
      </c>
    </row>
    <row r="158" ht="15.75" customHeight="1">
      <c r="A158" s="17"/>
      <c r="B158" s="21" t="s">
        <v>653</v>
      </c>
      <c r="C158" s="6" t="str">
        <f>VLOOKUP(B158,Sheet3!$B$2:$E$312,2,FALSE)</f>
        <v>P004-022</v>
      </c>
      <c r="D158" s="6" t="str">
        <f>VLOOKUP(B158,Sheet3!$B$2:$E$312,3,)</f>
        <v>barang jadi &amp; bahan baku</v>
      </c>
      <c r="E158" s="8" t="str">
        <f>VLOOKUP(B158,Sheet3!$B$2:$E$312,4,)</f>
        <v>CC</v>
      </c>
      <c r="F158" s="22">
        <v>1400.0</v>
      </c>
      <c r="G158" s="22" t="s">
        <v>1164</v>
      </c>
      <c r="H158" s="22" t="s">
        <v>1228</v>
      </c>
      <c r="I158" s="7" t="s">
        <v>1444</v>
      </c>
    </row>
    <row r="159" ht="15.75" customHeight="1">
      <c r="A159" s="17"/>
      <c r="B159" s="21" t="s">
        <v>664</v>
      </c>
      <c r="C159" s="6" t="str">
        <f>VLOOKUP(B159,Sheet3!$B$2:$E$312,2,FALSE)</f>
        <v>P004-025</v>
      </c>
      <c r="D159" s="6" t="str">
        <f>VLOOKUP(B159,Sheet3!$B$2:$E$312,3,)</f>
        <v>barang jadi &amp; bahan baku</v>
      </c>
      <c r="E159" s="8" t="str">
        <f>VLOOKUP(B159,Sheet3!$B$2:$E$312,4,)</f>
        <v>ML</v>
      </c>
      <c r="F159" s="22">
        <v>1500.0</v>
      </c>
      <c r="G159" s="22" t="s">
        <v>1164</v>
      </c>
      <c r="H159" s="22" t="s">
        <v>1228</v>
      </c>
      <c r="I159" s="7" t="s">
        <v>1444</v>
      </c>
    </row>
    <row r="160" ht="15.75" customHeight="1">
      <c r="A160" s="21" t="s">
        <v>1448</v>
      </c>
      <c r="B160" s="21" t="s">
        <v>252</v>
      </c>
      <c r="C160" s="6" t="str">
        <f>VLOOKUP(B160,Sheet3!$B$2:$E$312,2,FALSE)</f>
        <v>B001-111</v>
      </c>
      <c r="D160" s="6" t="str">
        <f>VLOOKUP(B160,Sheet3!$B$2:$E$312,3,)</f>
        <v>bahan baku</v>
      </c>
      <c r="E160" s="8" t="str">
        <f>VLOOKUP(B160,Sheet3!$B$2:$E$312,4,)</f>
        <v>GR</v>
      </c>
      <c r="F160" s="22">
        <v>190.0</v>
      </c>
      <c r="G160" s="22" t="s">
        <v>1245</v>
      </c>
      <c r="H160" s="22" t="s">
        <v>1290</v>
      </c>
      <c r="I160" s="7" t="s">
        <v>1444</v>
      </c>
    </row>
    <row r="161" ht="15.75" customHeight="1">
      <c r="A161" s="17"/>
      <c r="B161" s="21" t="s">
        <v>672</v>
      </c>
      <c r="C161" s="6" t="str">
        <f>VLOOKUP(B161,Sheet3!$B$2:$E$312,2,FALSE)</f>
        <v>P004-028</v>
      </c>
      <c r="D161" s="6" t="str">
        <f>VLOOKUP(B161,Sheet3!$B$2:$E$312,3,)</f>
        <v>barang jadi &amp; bahan baku</v>
      </c>
      <c r="E161" s="8" t="str">
        <f>VLOOKUP(B161,Sheet3!$B$2:$E$312,4,)</f>
        <v>GR</v>
      </c>
      <c r="F161" s="22">
        <v>331.0</v>
      </c>
      <c r="G161" s="22" t="s">
        <v>1245</v>
      </c>
      <c r="H161" s="22" t="s">
        <v>1290</v>
      </c>
      <c r="I161" s="7" t="s">
        <v>1444</v>
      </c>
    </row>
    <row r="162" ht="15.75" customHeight="1">
      <c r="A162" s="17"/>
      <c r="B162" s="21" t="s">
        <v>720</v>
      </c>
      <c r="C162" s="6" t="str">
        <f>VLOOKUP(B162,Sheet3!$B$2:$E$312,2,FALSE)</f>
        <v>B002-005</v>
      </c>
      <c r="D162" s="6" t="str">
        <f>VLOOKUP(B162,Sheet3!$B$2:$E$312,3,)</f>
        <v>others</v>
      </c>
      <c r="E162" s="8" t="str">
        <f>VLOOKUP(B162,Sheet3!$B$2:$E$312,4,)</f>
        <v>PCS</v>
      </c>
      <c r="F162" s="22">
        <v>200.0</v>
      </c>
      <c r="G162" s="22" t="s">
        <v>1369</v>
      </c>
      <c r="H162" s="22" t="s">
        <v>1186</v>
      </c>
      <c r="I162" s="7" t="s">
        <v>1444</v>
      </c>
    </row>
    <row r="163" ht="15.75" customHeight="1">
      <c r="A163" s="17"/>
      <c r="B163" s="21" t="s">
        <v>211</v>
      </c>
      <c r="C163" s="6" t="str">
        <f>VLOOKUP(B163,Sheet3!$B$2:$E$312,2,FALSE)</f>
        <v>B001-088</v>
      </c>
      <c r="D163" s="6" t="str">
        <f>VLOOKUP(B163,Sheet3!$B$2:$E$312,3,)</f>
        <v>bahan baku</v>
      </c>
      <c r="E163" s="8" t="str">
        <f>VLOOKUP(B163,Sheet3!$B$2:$E$312,4,)</f>
        <v>GR</v>
      </c>
      <c r="F163" s="22">
        <v>4525.0</v>
      </c>
      <c r="G163" s="22" t="s">
        <v>1232</v>
      </c>
      <c r="H163" s="22" t="s">
        <v>1375</v>
      </c>
      <c r="I163" s="7" t="s">
        <v>1444</v>
      </c>
    </row>
    <row r="164" ht="15.75" customHeight="1">
      <c r="A164" s="17"/>
      <c r="B164" s="21" t="s">
        <v>657</v>
      </c>
      <c r="C164" s="6" t="str">
        <f>VLOOKUP(B164,Sheet3!$B$2:$E$312,2,FALSE)</f>
        <v>P004-023</v>
      </c>
      <c r="D164" s="6" t="str">
        <f>VLOOKUP(B164,Sheet3!$B$2:$E$312,3,)</f>
        <v>barang jadi &amp; bahan baku</v>
      </c>
      <c r="E164" s="8" t="str">
        <f>VLOOKUP(B164,Sheet3!$B$2:$E$312,4,)</f>
        <v>CC</v>
      </c>
      <c r="F164" s="22">
        <v>600.0</v>
      </c>
      <c r="G164" s="22" t="s">
        <v>1164</v>
      </c>
      <c r="H164" s="22" t="s">
        <v>1449</v>
      </c>
      <c r="I164" s="7" t="s">
        <v>1444</v>
      </c>
    </row>
    <row r="165" ht="15.75" customHeight="1">
      <c r="A165" s="17"/>
      <c r="B165" s="21" t="s">
        <v>653</v>
      </c>
      <c r="C165" s="6" t="str">
        <f>VLOOKUP(B165,Sheet3!$B$2:$E$312,2,FALSE)</f>
        <v>P004-022</v>
      </c>
      <c r="D165" s="6" t="str">
        <f>VLOOKUP(B165,Sheet3!$B$2:$E$312,3,)</f>
        <v>barang jadi &amp; bahan baku</v>
      </c>
      <c r="E165" s="8" t="str">
        <f>VLOOKUP(B165,Sheet3!$B$2:$E$312,4,)</f>
        <v>CC</v>
      </c>
      <c r="F165" s="22">
        <v>400.0</v>
      </c>
      <c r="G165" s="22" t="s">
        <v>1164</v>
      </c>
      <c r="H165" s="22" t="s">
        <v>1450</v>
      </c>
      <c r="I165" s="7" t="s">
        <v>1444</v>
      </c>
    </row>
    <row r="166" ht="15.75" customHeight="1">
      <c r="A166" s="17"/>
      <c r="B166" s="21" t="s">
        <v>632</v>
      </c>
      <c r="C166" s="6" t="str">
        <f>VLOOKUP(B166,Sheet3!$B$2:$E$312,2,FALSE)</f>
        <v>P004-013</v>
      </c>
      <c r="D166" s="6" t="str">
        <f>VLOOKUP(B166,Sheet3!$B$2:$E$312,3,)</f>
        <v>barang jadi &amp; bahan baku</v>
      </c>
      <c r="E166" s="8" t="str">
        <f>VLOOKUP(B166,Sheet3!$B$2:$E$312,4,)</f>
        <v>PCS</v>
      </c>
      <c r="F166" s="22">
        <v>6.0</v>
      </c>
      <c r="G166" s="22" t="s">
        <v>1333</v>
      </c>
      <c r="H166" s="22" t="s">
        <v>1384</v>
      </c>
      <c r="I166" s="23" t="s">
        <v>1446</v>
      </c>
      <c r="J166" s="7" t="s">
        <v>1451</v>
      </c>
    </row>
    <row r="167" ht="15.75" customHeight="1">
      <c r="A167" s="17"/>
      <c r="B167" s="21" t="s">
        <v>502</v>
      </c>
      <c r="C167" s="6" t="str">
        <f>VLOOKUP(B167,Sheet3!$B$2:$E$312,2,FALSE)</f>
        <v>S001-002</v>
      </c>
      <c r="D167" s="6" t="str">
        <f>VLOOKUP(B167,Sheet3!$B$2:$E$312,3,)</f>
        <v>barang jadi</v>
      </c>
      <c r="E167" s="8" t="str">
        <f>VLOOKUP(B167,Sheet3!$B$2:$E$312,4,)</f>
        <v>PORSI</v>
      </c>
      <c r="F167" s="22">
        <v>8.0</v>
      </c>
      <c r="G167" s="22" t="s">
        <v>1216</v>
      </c>
      <c r="H167" s="22" t="s">
        <v>1384</v>
      </c>
      <c r="I167" s="23" t="s">
        <v>1446</v>
      </c>
      <c r="J167" s="7" t="s">
        <v>1452</v>
      </c>
    </row>
    <row r="168" ht="15.75" customHeight="1">
      <c r="A168" s="17"/>
      <c r="B168" s="21" t="s">
        <v>416</v>
      </c>
      <c r="C168" s="6" t="str">
        <f>VLOOKUP(B168,Sheet3!$B$2:$E$312,2,FALSE)</f>
        <v>J001-004</v>
      </c>
      <c r="D168" s="6" t="str">
        <f>VLOOKUP(B168,Sheet3!$B$2:$E$312,3,)</f>
        <v>barang jadi</v>
      </c>
      <c r="E168" s="8" t="str">
        <f>VLOOKUP(B168,Sheet3!$B$2:$E$312,4,)</f>
        <v>PORSI</v>
      </c>
      <c r="F168" s="22">
        <v>1.0</v>
      </c>
      <c r="G168" s="22" t="s">
        <v>1453</v>
      </c>
      <c r="H168" s="22" t="s">
        <v>1384</v>
      </c>
      <c r="I168" s="7" t="s">
        <v>1444</v>
      </c>
    </row>
    <row r="169" ht="15.75" customHeight="1">
      <c r="A169" s="17"/>
      <c r="B169" s="21" t="s">
        <v>28</v>
      </c>
      <c r="C169" s="6" t="str">
        <f>VLOOKUP(B169,Sheet3!$B$2:$E$312,2,FALSE)</f>
        <v>B001-006</v>
      </c>
      <c r="D169" s="6" t="str">
        <f>VLOOKUP(B169,Sheet3!$B$2:$E$312,3,)</f>
        <v>bahan baku</v>
      </c>
      <c r="E169" s="8" t="str">
        <f>VLOOKUP(B169,Sheet3!$B$2:$E$312,4,)</f>
        <v>GR</v>
      </c>
      <c r="F169" s="22">
        <v>28.0</v>
      </c>
      <c r="G169" s="22" t="s">
        <v>1232</v>
      </c>
      <c r="H169" s="22" t="s">
        <v>1225</v>
      </c>
      <c r="I169" s="7" t="s">
        <v>1444</v>
      </c>
    </row>
    <row r="170" ht="15.75" customHeight="1">
      <c r="A170" s="17"/>
      <c r="B170" s="21" t="s">
        <v>148</v>
      </c>
      <c r="C170" s="6" t="str">
        <f>VLOOKUP(B170,Sheet3!$B$2:$E$312,2,FALSE)</f>
        <v>B001-064</v>
      </c>
      <c r="D170" s="6" t="str">
        <f>VLOOKUP(B170,Sheet3!$B$2:$E$312,3,)</f>
        <v>bahan baku</v>
      </c>
      <c r="E170" s="8" t="str">
        <f>VLOOKUP(B170,Sheet3!$B$2:$E$312,4,)</f>
        <v>GR</v>
      </c>
      <c r="F170" s="22">
        <v>174.0</v>
      </c>
      <c r="G170" s="22" t="s">
        <v>1232</v>
      </c>
      <c r="H170" s="22" t="s">
        <v>1225</v>
      </c>
      <c r="I170" s="7" t="s">
        <v>1444</v>
      </c>
    </row>
    <row r="171" ht="15.75" customHeight="1">
      <c r="A171" s="17"/>
      <c r="B171" s="21" t="s">
        <v>48</v>
      </c>
      <c r="C171" s="6" t="str">
        <f>VLOOKUP(B171,Sheet3!$B$2:$E$312,2,FALSE)</f>
        <v>B001-016</v>
      </c>
      <c r="D171" s="6" t="str">
        <f>VLOOKUP(B171,Sheet3!$B$2:$E$312,3,)</f>
        <v>bahan baku</v>
      </c>
      <c r="E171" s="8" t="str">
        <f>VLOOKUP(B171,Sheet3!$B$2:$E$312,4,)</f>
        <v>GR</v>
      </c>
      <c r="F171" s="22">
        <v>188.0</v>
      </c>
      <c r="G171" s="22" t="s">
        <v>1245</v>
      </c>
      <c r="H171" s="22" t="s">
        <v>1225</v>
      </c>
      <c r="I171" s="7" t="s">
        <v>1444</v>
      </c>
    </row>
    <row r="172" ht="15.75" customHeight="1">
      <c r="A172" s="21" t="s">
        <v>1454</v>
      </c>
      <c r="B172" s="21" t="s">
        <v>211</v>
      </c>
      <c r="C172" s="6" t="str">
        <f>VLOOKUP(B172,Sheet3!$B$2:$E$312,2,FALSE)</f>
        <v>B001-088</v>
      </c>
      <c r="D172" s="6" t="str">
        <f>VLOOKUP(B172,Sheet3!$B$2:$E$312,3,)</f>
        <v>bahan baku</v>
      </c>
      <c r="E172" s="8" t="str">
        <f>VLOOKUP(B172,Sheet3!$B$2:$E$312,4,)</f>
        <v>GR</v>
      </c>
      <c r="F172" s="22">
        <v>4645.0</v>
      </c>
      <c r="G172" s="22" t="s">
        <v>1232</v>
      </c>
      <c r="H172" s="22" t="s">
        <v>1375</v>
      </c>
      <c r="I172" s="7" t="s">
        <v>1444</v>
      </c>
    </row>
    <row r="173" ht="15.75" customHeight="1">
      <c r="A173" s="17"/>
      <c r="B173" s="21" t="s">
        <v>91</v>
      </c>
      <c r="C173" s="6" t="str">
        <f>VLOOKUP(B173,Sheet3!$B$2:$E$312,2,FALSE)</f>
        <v>B001-038</v>
      </c>
      <c r="D173" s="6" t="str">
        <f>VLOOKUP(B173,Sheet3!$B$2:$E$312,3,)</f>
        <v>bahan baku</v>
      </c>
      <c r="E173" s="8" t="str">
        <f>VLOOKUP(B173,Sheet3!$B$2:$E$312,4,)</f>
        <v>PCS</v>
      </c>
      <c r="F173" s="22">
        <v>1.0</v>
      </c>
      <c r="G173" s="22" t="s">
        <v>1402</v>
      </c>
      <c r="H173" s="22" t="s">
        <v>1290</v>
      </c>
      <c r="I173" s="7" t="s">
        <v>1444</v>
      </c>
    </row>
    <row r="174" ht="15.75" customHeight="1">
      <c r="A174" s="17"/>
      <c r="B174" s="21" t="s">
        <v>148</v>
      </c>
      <c r="C174" s="6" t="str">
        <f>VLOOKUP(B174,Sheet3!$B$2:$E$312,2,FALSE)</f>
        <v>B001-064</v>
      </c>
      <c r="D174" s="6" t="str">
        <f>VLOOKUP(B174,Sheet3!$B$2:$E$312,3,)</f>
        <v>bahan baku</v>
      </c>
      <c r="E174" s="8" t="str">
        <f>VLOOKUP(B174,Sheet3!$B$2:$E$312,4,)</f>
        <v>GR</v>
      </c>
      <c r="F174" s="22">
        <v>93.0</v>
      </c>
      <c r="G174" s="22" t="s">
        <v>1455</v>
      </c>
      <c r="H174" s="22" t="s">
        <v>1290</v>
      </c>
      <c r="I174" s="7" t="s">
        <v>1444</v>
      </c>
    </row>
    <row r="175" ht="15.75" customHeight="1">
      <c r="A175" s="17"/>
      <c r="B175" s="21" t="s">
        <v>657</v>
      </c>
      <c r="C175" s="6" t="str">
        <f>VLOOKUP(B175,Sheet3!$B$2:$E$312,2,FALSE)</f>
        <v>P004-023</v>
      </c>
      <c r="D175" s="6" t="str">
        <f>VLOOKUP(B175,Sheet3!$B$2:$E$312,3,)</f>
        <v>barang jadi &amp; bahan baku</v>
      </c>
      <c r="E175" s="8" t="str">
        <f>VLOOKUP(B175,Sheet3!$B$2:$E$312,4,)</f>
        <v>CC</v>
      </c>
      <c r="F175" s="22">
        <v>2500.0</v>
      </c>
      <c r="G175" s="22" t="s">
        <v>1216</v>
      </c>
      <c r="H175" s="8"/>
      <c r="I175" s="7" t="s">
        <v>1444</v>
      </c>
    </row>
    <row r="176" ht="15.75" customHeight="1">
      <c r="A176" s="17"/>
      <c r="B176" s="21" t="s">
        <v>653</v>
      </c>
      <c r="C176" s="6" t="str">
        <f>VLOOKUP(B176,Sheet3!$B$2:$E$312,2,FALSE)</f>
        <v>P004-022</v>
      </c>
      <c r="D176" s="6" t="str">
        <f>VLOOKUP(B176,Sheet3!$B$2:$E$312,3,)</f>
        <v>barang jadi &amp; bahan baku</v>
      </c>
      <c r="E176" s="8" t="str">
        <f>VLOOKUP(B176,Sheet3!$B$2:$E$312,4,)</f>
        <v>CC</v>
      </c>
      <c r="F176" s="27">
        <v>550.0</v>
      </c>
      <c r="G176" s="22" t="s">
        <v>1216</v>
      </c>
      <c r="H176" s="8"/>
      <c r="I176" s="7" t="s">
        <v>1444</v>
      </c>
    </row>
    <row r="177" ht="15.75" customHeight="1">
      <c r="A177" s="17"/>
      <c r="B177" s="21" t="s">
        <v>664</v>
      </c>
      <c r="C177" s="6" t="str">
        <f>VLOOKUP(B177,Sheet3!$B$2:$E$312,2,FALSE)</f>
        <v>P004-025</v>
      </c>
      <c r="D177" s="6" t="str">
        <f>VLOOKUP(B177,Sheet3!$B$2:$E$312,3,)</f>
        <v>barang jadi &amp; bahan baku</v>
      </c>
      <c r="E177" s="8" t="str">
        <f>VLOOKUP(B177,Sheet3!$B$2:$E$312,4,)</f>
        <v>ML</v>
      </c>
      <c r="F177" s="22">
        <v>500.0</v>
      </c>
      <c r="G177" s="22" t="s">
        <v>1216</v>
      </c>
      <c r="H177" s="8"/>
      <c r="I177" s="7" t="s">
        <v>1444</v>
      </c>
    </row>
    <row r="178" ht="15.75" customHeight="1">
      <c r="A178" s="17"/>
      <c r="B178" s="21" t="s">
        <v>632</v>
      </c>
      <c r="C178" s="6" t="str">
        <f>VLOOKUP(B178,Sheet3!$B$2:$E$312,2,FALSE)</f>
        <v>P004-013</v>
      </c>
      <c r="D178" s="6" t="str">
        <f>VLOOKUP(B178,Sheet3!$B$2:$E$312,3,)</f>
        <v>barang jadi &amp; bahan baku</v>
      </c>
      <c r="E178" s="8" t="str">
        <f>VLOOKUP(B178,Sheet3!$B$2:$E$312,4,)</f>
        <v>PCS</v>
      </c>
      <c r="F178" s="22">
        <v>16.0</v>
      </c>
      <c r="G178" s="22" t="s">
        <v>1216</v>
      </c>
      <c r="H178" s="8"/>
      <c r="I178" s="7" t="s">
        <v>1446</v>
      </c>
      <c r="J178" s="7" t="s">
        <v>1456</v>
      </c>
    </row>
    <row r="179" ht="15.75" customHeight="1">
      <c r="A179" s="17"/>
      <c r="B179" s="21" t="s">
        <v>502</v>
      </c>
      <c r="C179" s="6" t="str">
        <f>VLOOKUP(B179,Sheet3!$B$2:$E$312,2,FALSE)</f>
        <v>S001-002</v>
      </c>
      <c r="D179" s="6" t="str">
        <f>VLOOKUP(B179,Sheet3!$B$2:$E$312,3,)</f>
        <v>barang jadi</v>
      </c>
      <c r="E179" s="8" t="str">
        <f>VLOOKUP(B179,Sheet3!$B$2:$E$312,4,)</f>
        <v>PORSI</v>
      </c>
      <c r="F179" s="25">
        <v>6.0</v>
      </c>
      <c r="G179" s="25" t="s">
        <v>1216</v>
      </c>
      <c r="H179" s="28"/>
      <c r="I179" s="7" t="s">
        <v>1446</v>
      </c>
      <c r="J179" s="7" t="s">
        <v>1457</v>
      </c>
    </row>
    <row r="180" ht="15.75" customHeight="1">
      <c r="A180" s="17"/>
      <c r="B180" s="21" t="s">
        <v>698</v>
      </c>
      <c r="C180" s="6" t="str">
        <f>VLOOKUP(B180,Sheet3!$B$2:$E$312,2,FALSE)</f>
        <v>P004-038</v>
      </c>
      <c r="D180" s="6" t="str">
        <f>VLOOKUP(B180,Sheet3!$B$2:$E$312,3,)</f>
        <v>barang jadi &amp; bahan baku</v>
      </c>
      <c r="E180" s="8" t="str">
        <f>VLOOKUP(B180,Sheet3!$B$2:$E$312,4,)</f>
        <v>PCS</v>
      </c>
      <c r="F180" s="22">
        <v>1.0</v>
      </c>
      <c r="G180" s="22" t="s">
        <v>1431</v>
      </c>
      <c r="H180" s="22" t="s">
        <v>1228</v>
      </c>
      <c r="I180" s="7" t="s">
        <v>1444</v>
      </c>
    </row>
    <row r="181" ht="15.75" customHeight="1">
      <c r="A181" s="17"/>
      <c r="B181" s="21" t="s">
        <v>132</v>
      </c>
      <c r="C181" s="6" t="str">
        <f>VLOOKUP(B181,Sheet3!$B$2:$E$312,2,FALSE)</f>
        <v>B001-057</v>
      </c>
      <c r="D181" s="6" t="str">
        <f>VLOOKUP(B181,Sheet3!$B$2:$E$312,3,)</f>
        <v>bahan baku</v>
      </c>
      <c r="E181" s="8" t="str">
        <f>VLOOKUP(B181,Sheet3!$B$2:$E$312,4,)</f>
        <v>GR</v>
      </c>
      <c r="F181" s="22">
        <v>56.0</v>
      </c>
      <c r="G181" s="22" t="s">
        <v>1164</v>
      </c>
      <c r="H181" s="22" t="s">
        <v>1228</v>
      </c>
      <c r="I181" s="7" t="s">
        <v>1444</v>
      </c>
    </row>
    <row r="182" ht="15.75" customHeight="1">
      <c r="A182" s="17"/>
      <c r="B182" s="21" t="s">
        <v>189</v>
      </c>
      <c r="C182" s="6" t="str">
        <f>VLOOKUP(B182,Sheet3!$B$2:$E$312,2,FALSE)</f>
        <v>B001-079</v>
      </c>
      <c r="D182" s="6" t="str">
        <f>VLOOKUP(B182,Sheet3!$B$2:$E$312,3,)</f>
        <v>bahan baku</v>
      </c>
      <c r="E182" s="8" t="str">
        <f>VLOOKUP(B182,Sheet3!$B$2:$E$312,4,)</f>
        <v>GR</v>
      </c>
      <c r="F182" s="22">
        <v>147.0</v>
      </c>
      <c r="G182" s="22" t="s">
        <v>1245</v>
      </c>
      <c r="H182" s="22" t="s">
        <v>1228</v>
      </c>
      <c r="I182" s="7" t="s">
        <v>1444</v>
      </c>
    </row>
    <row r="183" ht="15.75" customHeight="1">
      <c r="A183" s="21" t="s">
        <v>1458</v>
      </c>
      <c r="B183" s="21" t="s">
        <v>648</v>
      </c>
      <c r="C183" s="6" t="str">
        <f>VLOOKUP(B183,Sheet3!$B$2:$E$312,2,FALSE)</f>
        <v>P004-020</v>
      </c>
      <c r="D183" s="6" t="str">
        <f>VLOOKUP(B183,Sheet3!$B$2:$E$312,3,)</f>
        <v>barang jadi &amp; bahan baku</v>
      </c>
      <c r="E183" s="8" t="str">
        <f>VLOOKUP(B183,Sheet3!$B$2:$E$312,4,)</f>
        <v>GR</v>
      </c>
      <c r="F183" s="22">
        <v>555.0</v>
      </c>
      <c r="G183" s="22" t="s">
        <v>1245</v>
      </c>
      <c r="H183" s="22" t="s">
        <v>1414</v>
      </c>
      <c r="I183" s="7" t="s">
        <v>1444</v>
      </c>
    </row>
    <row r="184" ht="15.75" customHeight="1">
      <c r="A184" s="17"/>
      <c r="B184" s="21" t="s">
        <v>645</v>
      </c>
      <c r="C184" s="6" t="str">
        <f>VLOOKUP(B184,Sheet3!$B$2:$E$312,2,FALSE)</f>
        <v>P004-019</v>
      </c>
      <c r="D184" s="6" t="str">
        <f>VLOOKUP(B184,Sheet3!$B$2:$E$312,3,)</f>
        <v>barang jadi &amp; bahan baku</v>
      </c>
      <c r="E184" s="8" t="str">
        <f>VLOOKUP(B184,Sheet3!$B$2:$E$312,4,)</f>
        <v>GR</v>
      </c>
      <c r="F184" s="22">
        <v>136.0</v>
      </c>
      <c r="G184" s="22" t="s">
        <v>1245</v>
      </c>
      <c r="H184" s="22" t="s">
        <v>1414</v>
      </c>
    </row>
    <row r="185" ht="15.75" customHeight="1">
      <c r="A185" s="17"/>
      <c r="B185" s="21" t="s">
        <v>294</v>
      </c>
      <c r="C185" s="6" t="str">
        <f>VLOOKUP(B185,Sheet3!$B$2:$E$312,2,FALSE)</f>
        <v>B001-123</v>
      </c>
      <c r="D185" s="6" t="str">
        <f>VLOOKUP(B185,Sheet3!$B$2:$E$312,3,)</f>
        <v>bahan baku</v>
      </c>
      <c r="E185" s="8" t="str">
        <f>VLOOKUP(B185,Sheet3!$B$2:$E$312,4,)</f>
        <v>PCS</v>
      </c>
      <c r="F185" s="22">
        <v>8.0</v>
      </c>
      <c r="G185" s="22" t="s">
        <v>1368</v>
      </c>
      <c r="H185" s="22" t="s">
        <v>1225</v>
      </c>
      <c r="I185" s="7" t="s">
        <v>1444</v>
      </c>
    </row>
    <row r="186" ht="15.75" customHeight="1">
      <c r="A186" s="17"/>
      <c r="B186" s="21" t="s">
        <v>298</v>
      </c>
      <c r="C186" s="6" t="str">
        <f>VLOOKUP(B186,Sheet3!$B$2:$E$312,2,FALSE)</f>
        <v>B001-125</v>
      </c>
      <c r="D186" s="6" t="str">
        <f>VLOOKUP(B186,Sheet3!$B$2:$E$312,3,)</f>
        <v>bahan baku</v>
      </c>
      <c r="E186" s="8" t="str">
        <f>VLOOKUP(B186,Sheet3!$B$2:$E$312,4,)</f>
        <v>GR</v>
      </c>
      <c r="F186" s="22">
        <v>83.0</v>
      </c>
      <c r="G186" s="22" t="s">
        <v>1224</v>
      </c>
      <c r="H186" s="22" t="s">
        <v>1225</v>
      </c>
      <c r="I186" s="7" t="s">
        <v>1444</v>
      </c>
    </row>
    <row r="187" ht="15.75" customHeight="1">
      <c r="A187" s="17"/>
      <c r="B187" s="21" t="s">
        <v>28</v>
      </c>
      <c r="C187" s="6" t="str">
        <f>VLOOKUP(B187,Sheet3!$B$2:$E$312,2,FALSE)</f>
        <v>B001-006</v>
      </c>
      <c r="D187" s="6" t="str">
        <f>VLOOKUP(B187,Sheet3!$B$2:$E$312,3,)</f>
        <v>bahan baku</v>
      </c>
      <c r="E187" s="8" t="str">
        <f>VLOOKUP(B187,Sheet3!$B$2:$E$312,4,)</f>
        <v>GR</v>
      </c>
      <c r="F187" s="22">
        <v>22.0</v>
      </c>
      <c r="G187" s="22" t="s">
        <v>1445</v>
      </c>
      <c r="H187" s="22" t="s">
        <v>1225</v>
      </c>
      <c r="I187" s="7" t="s">
        <v>1444</v>
      </c>
    </row>
    <row r="188" ht="15.75" customHeight="1">
      <c r="A188" s="17"/>
      <c r="B188" s="21" t="s">
        <v>667</v>
      </c>
      <c r="C188" s="6" t="str">
        <f>VLOOKUP(B188,Sheet3!$B$2:$E$312,2,FALSE)</f>
        <v>P004-026</v>
      </c>
      <c r="D188" s="6" t="str">
        <f>VLOOKUP(B188,Sheet3!$B$2:$E$312,3,)</f>
        <v>barang jadi &amp; bahan baku</v>
      </c>
      <c r="E188" s="8" t="str">
        <f>VLOOKUP(B188,Sheet3!$B$2:$E$312,4,)</f>
        <v>GR</v>
      </c>
      <c r="F188" s="22">
        <v>110.0</v>
      </c>
      <c r="G188" s="22" t="s">
        <v>1245</v>
      </c>
      <c r="H188" s="22" t="s">
        <v>1225</v>
      </c>
      <c r="I188" s="7" t="s">
        <v>1444</v>
      </c>
    </row>
    <row r="189" ht="15.75" customHeight="1">
      <c r="A189" s="17"/>
      <c r="B189" s="21" t="s">
        <v>1459</v>
      </c>
      <c r="C189" s="6" t="str">
        <f>VLOOKUP(B189,Sheet3!$B$2:$E$312,2,FALSE)</f>
        <v>#N/A</v>
      </c>
      <c r="D189" s="6" t="str">
        <f>VLOOKUP(B189,Sheet3!$B$2:$E$312,3,)</f>
        <v>#N/A</v>
      </c>
      <c r="E189" s="8" t="str">
        <f>VLOOKUP(B189,Sheet3!$B$2:$E$312,4,)</f>
        <v>#N/A</v>
      </c>
      <c r="F189" s="22">
        <v>1.0</v>
      </c>
      <c r="G189" s="22" t="s">
        <v>1460</v>
      </c>
      <c r="H189" s="22" t="s">
        <v>1225</v>
      </c>
      <c r="I189" s="7" t="s">
        <v>1444</v>
      </c>
    </row>
    <row r="190" ht="15.75" customHeight="1">
      <c r="A190" s="17"/>
      <c r="B190" s="21" t="s">
        <v>653</v>
      </c>
      <c r="C190" s="6" t="str">
        <f>VLOOKUP(B190,Sheet3!$B$2:$E$312,2,FALSE)</f>
        <v>P004-022</v>
      </c>
      <c r="D190" s="6" t="str">
        <f>VLOOKUP(B190,Sheet3!$B$2:$E$312,3,)</f>
        <v>barang jadi &amp; bahan baku</v>
      </c>
      <c r="E190" s="8" t="str">
        <f>VLOOKUP(B190,Sheet3!$B$2:$E$312,4,)</f>
        <v>CC</v>
      </c>
      <c r="F190" s="22">
        <v>1500.0</v>
      </c>
      <c r="G190" s="22" t="s">
        <v>1461</v>
      </c>
      <c r="H190" s="22" t="s">
        <v>1228</v>
      </c>
      <c r="I190" s="7" t="s">
        <v>1444</v>
      </c>
    </row>
    <row r="191" ht="15.75" customHeight="1">
      <c r="A191" s="17"/>
      <c r="B191" s="21" t="s">
        <v>632</v>
      </c>
      <c r="C191" s="6" t="str">
        <f>VLOOKUP(B191,Sheet3!$B$2:$E$312,2,FALSE)</f>
        <v>P004-013</v>
      </c>
      <c r="D191" s="6" t="str">
        <f>VLOOKUP(B191,Sheet3!$B$2:$E$312,3,)</f>
        <v>barang jadi &amp; bahan baku</v>
      </c>
      <c r="E191" s="8" t="str">
        <f>VLOOKUP(B191,Sheet3!$B$2:$E$312,4,)</f>
        <v>PCS</v>
      </c>
      <c r="F191" s="22">
        <v>27.0</v>
      </c>
      <c r="G191" s="22" t="s">
        <v>1462</v>
      </c>
      <c r="H191" s="22" t="s">
        <v>1305</v>
      </c>
      <c r="I191" s="23" t="s">
        <v>1446</v>
      </c>
      <c r="J191" s="7" t="s">
        <v>318</v>
      </c>
    </row>
    <row r="192" ht="15.75" customHeight="1">
      <c r="A192" s="17"/>
      <c r="B192" s="21" t="s">
        <v>805</v>
      </c>
      <c r="C192" s="6" t="str">
        <f>VLOOKUP(B192,Sheet3!$B$2:$E$312,2,FALSE)</f>
        <v>#N/A</v>
      </c>
      <c r="D192" s="6" t="str">
        <f>VLOOKUP(B192,Sheet3!$B$2:$E$312,3,)</f>
        <v>#N/A</v>
      </c>
      <c r="E192" s="8" t="str">
        <f>VLOOKUP(B192,Sheet3!$B$2:$E$312,4,)</f>
        <v>#N/A</v>
      </c>
      <c r="F192" s="22">
        <v>2750.0</v>
      </c>
      <c r="G192" s="22" t="s">
        <v>1164</v>
      </c>
      <c r="H192" s="22" t="s">
        <v>1228</v>
      </c>
      <c r="I192" s="7" t="s">
        <v>1444</v>
      </c>
    </row>
    <row r="193" ht="15.75" customHeight="1">
      <c r="A193" s="17"/>
      <c r="B193" s="21" t="s">
        <v>502</v>
      </c>
      <c r="C193" s="6" t="str">
        <f>VLOOKUP(B193,Sheet3!$B$2:$E$312,2,FALSE)</f>
        <v>S001-002</v>
      </c>
      <c r="D193" s="6" t="str">
        <f>VLOOKUP(B193,Sheet3!$B$2:$E$312,3,)</f>
        <v>barang jadi</v>
      </c>
      <c r="E193" s="8" t="str">
        <f>VLOOKUP(B193,Sheet3!$B$2:$E$312,4,)</f>
        <v>PORSI</v>
      </c>
      <c r="F193" s="22">
        <v>4.0</v>
      </c>
      <c r="G193" s="22" t="s">
        <v>1164</v>
      </c>
      <c r="H193" s="22" t="s">
        <v>1305</v>
      </c>
      <c r="I193" s="23" t="s">
        <v>1446</v>
      </c>
      <c r="J193" s="7" t="s">
        <v>1463</v>
      </c>
    </row>
    <row r="194" ht="15.75" customHeight="1">
      <c r="A194" s="17"/>
      <c r="B194" s="21" t="s">
        <v>532</v>
      </c>
      <c r="C194" s="6" t="str">
        <f>VLOOKUP(B194,Sheet3!$B$2:$E$312,2,FALSE)</f>
        <v>S002-007</v>
      </c>
      <c r="D194" s="6" t="str">
        <f>VLOOKUP(B194,Sheet3!$B$2:$E$312,3,)</f>
        <v>barang jadi</v>
      </c>
      <c r="E194" s="8" t="str">
        <f>VLOOKUP(B194,Sheet3!$B$2:$E$312,4,)</f>
        <v>PORSI</v>
      </c>
      <c r="F194" s="22">
        <v>1.0</v>
      </c>
      <c r="G194" s="22" t="s">
        <v>1164</v>
      </c>
      <c r="H194" s="22" t="s">
        <v>1464</v>
      </c>
      <c r="I194" s="7" t="s">
        <v>1444</v>
      </c>
    </row>
    <row r="195" ht="15.75" customHeight="1">
      <c r="A195" s="17"/>
      <c r="B195" s="21" t="s">
        <v>657</v>
      </c>
      <c r="C195" s="6" t="str">
        <f>VLOOKUP(B195,Sheet3!$B$2:$E$312,2,FALSE)</f>
        <v>P004-023</v>
      </c>
      <c r="D195" s="6" t="str">
        <f>VLOOKUP(B195,Sheet3!$B$2:$E$312,3,)</f>
        <v>barang jadi &amp; bahan baku</v>
      </c>
      <c r="E195" s="8" t="str">
        <f>VLOOKUP(B195,Sheet3!$B$2:$E$312,4,)</f>
        <v>CC</v>
      </c>
      <c r="F195" s="22">
        <v>1600.0</v>
      </c>
      <c r="G195" s="22" t="s">
        <v>1462</v>
      </c>
      <c r="H195" s="22" t="s">
        <v>1228</v>
      </c>
      <c r="I195" s="7" t="s">
        <v>1444</v>
      </c>
    </row>
    <row r="196" ht="15.75" customHeight="1">
      <c r="A196" s="17"/>
      <c r="B196" s="21" t="s">
        <v>211</v>
      </c>
      <c r="C196" s="6" t="str">
        <f>VLOOKUP(B196,Sheet3!$B$2:$E$312,2,FALSE)</f>
        <v>B001-088</v>
      </c>
      <c r="D196" s="6" t="str">
        <f>VLOOKUP(B196,Sheet3!$B$2:$E$312,3,)</f>
        <v>bahan baku</v>
      </c>
      <c r="E196" s="8" t="str">
        <f>VLOOKUP(B196,Sheet3!$B$2:$E$312,4,)</f>
        <v>GR</v>
      </c>
      <c r="F196" s="22">
        <v>7080.0</v>
      </c>
      <c r="G196" s="22" t="s">
        <v>1333</v>
      </c>
      <c r="H196" s="22" t="s">
        <v>1417</v>
      </c>
      <c r="I196" s="7" t="s">
        <v>1444</v>
      </c>
    </row>
    <row r="197" ht="15.75" customHeight="1">
      <c r="A197" s="17"/>
      <c r="B197" s="21" t="s">
        <v>52</v>
      </c>
      <c r="C197" s="6" t="str">
        <f>VLOOKUP(B197,Sheet3!$B$2:$E$312,2,FALSE)</f>
        <v>B001-018</v>
      </c>
      <c r="D197" s="6" t="str">
        <f>VLOOKUP(B197,Sheet3!$B$2:$E$312,3,)</f>
        <v>bahan baku</v>
      </c>
      <c r="E197" s="8" t="str">
        <f>VLOOKUP(B197,Sheet3!$B$2:$E$312,4,)</f>
        <v>GR</v>
      </c>
      <c r="F197" s="22">
        <v>218.0</v>
      </c>
      <c r="G197" s="22" t="s">
        <v>1232</v>
      </c>
      <c r="H197" s="22" t="s">
        <v>1225</v>
      </c>
      <c r="I197" s="7" t="s">
        <v>1444</v>
      </c>
    </row>
    <row r="198" ht="15.75" customHeight="1">
      <c r="A198" s="17"/>
      <c r="B198" s="21" t="s">
        <v>148</v>
      </c>
      <c r="C198" s="6" t="str">
        <f>VLOOKUP(B198,Sheet3!$B$2:$E$312,2,FALSE)</f>
        <v>B001-064</v>
      </c>
      <c r="D198" s="6" t="str">
        <f>VLOOKUP(B198,Sheet3!$B$2:$E$312,3,)</f>
        <v>bahan baku</v>
      </c>
      <c r="E198" s="8" t="str">
        <f>VLOOKUP(B198,Sheet3!$B$2:$E$312,4,)</f>
        <v>GR</v>
      </c>
      <c r="F198" s="22">
        <v>105.0</v>
      </c>
      <c r="G198" s="22" t="s">
        <v>1232</v>
      </c>
      <c r="H198" s="22" t="s">
        <v>1225</v>
      </c>
      <c r="I198" s="7" t="s">
        <v>1444</v>
      </c>
    </row>
    <row r="199" ht="15.75" customHeight="1">
      <c r="A199" s="17"/>
      <c r="B199" s="21" t="s">
        <v>28</v>
      </c>
      <c r="C199" s="6" t="str">
        <f>VLOOKUP(B199,Sheet3!$B$2:$E$312,2,FALSE)</f>
        <v>B001-006</v>
      </c>
      <c r="D199" s="6" t="str">
        <f>VLOOKUP(B199,Sheet3!$B$2:$E$312,3,)</f>
        <v>bahan baku</v>
      </c>
      <c r="E199" s="8" t="str">
        <f>VLOOKUP(B199,Sheet3!$B$2:$E$312,4,)</f>
        <v>GR</v>
      </c>
      <c r="F199" s="22">
        <v>20.0</v>
      </c>
      <c r="G199" s="22" t="s">
        <v>1232</v>
      </c>
      <c r="H199" s="22" t="s">
        <v>1225</v>
      </c>
      <c r="I199" s="7" t="s">
        <v>1444</v>
      </c>
    </row>
    <row r="200" ht="15.75" customHeight="1">
      <c r="A200" s="17"/>
      <c r="B200" s="21" t="s">
        <v>720</v>
      </c>
      <c r="C200" s="6" t="str">
        <f>VLOOKUP(B200,Sheet3!$B$2:$E$312,2,FALSE)</f>
        <v>B002-005</v>
      </c>
      <c r="D200" s="6" t="str">
        <f>VLOOKUP(B200,Sheet3!$B$2:$E$312,3,)</f>
        <v>others</v>
      </c>
      <c r="E200" s="8" t="str">
        <f>VLOOKUP(B200,Sheet3!$B$2:$E$312,4,)</f>
        <v>PCS</v>
      </c>
      <c r="F200" s="22">
        <v>75.0</v>
      </c>
      <c r="G200" s="22" t="s">
        <v>1369</v>
      </c>
      <c r="H200" s="22" t="s">
        <v>1228</v>
      </c>
      <c r="I200" s="7" t="s">
        <v>1444</v>
      </c>
    </row>
    <row r="201" ht="15.75" customHeight="1">
      <c r="A201" s="21" t="s">
        <v>1465</v>
      </c>
      <c r="B201" s="21" t="s">
        <v>720</v>
      </c>
      <c r="C201" s="6" t="str">
        <f>VLOOKUP(B201,Sheet3!$B$2:$E$312,2,FALSE)</f>
        <v>B002-005</v>
      </c>
      <c r="D201" s="6" t="str">
        <f>VLOOKUP(B201,Sheet3!$B$2:$E$312,3,)</f>
        <v>others</v>
      </c>
      <c r="E201" s="8" t="str">
        <f>VLOOKUP(B201,Sheet3!$B$2:$E$312,4,)</f>
        <v>PCS</v>
      </c>
      <c r="F201" s="22">
        <v>238.0</v>
      </c>
      <c r="G201" s="22" t="s">
        <v>1466</v>
      </c>
      <c r="H201" s="22" t="s">
        <v>1186</v>
      </c>
      <c r="I201" s="7" t="s">
        <v>1444</v>
      </c>
    </row>
    <row r="202" ht="15.75" customHeight="1">
      <c r="A202" s="17"/>
      <c r="B202" s="21" t="s">
        <v>148</v>
      </c>
      <c r="C202" s="6" t="str">
        <f>VLOOKUP(B202,Sheet3!$B$2:$E$312,2,FALSE)</f>
        <v>B001-064</v>
      </c>
      <c r="D202" s="6" t="str">
        <f>VLOOKUP(B202,Sheet3!$B$2:$E$312,3,)</f>
        <v>bahan baku</v>
      </c>
      <c r="E202" s="8" t="str">
        <f>VLOOKUP(B202,Sheet3!$B$2:$E$312,4,)</f>
        <v>GR</v>
      </c>
      <c r="F202" s="22">
        <v>107.0</v>
      </c>
      <c r="G202" s="22" t="s">
        <v>1232</v>
      </c>
      <c r="H202" s="22" t="s">
        <v>1225</v>
      </c>
      <c r="I202" s="7" t="s">
        <v>1444</v>
      </c>
    </row>
    <row r="203" ht="15.75" customHeight="1">
      <c r="A203" s="17"/>
      <c r="B203" s="21" t="s">
        <v>28</v>
      </c>
      <c r="C203" s="6" t="str">
        <f>VLOOKUP(B203,Sheet3!$B$2:$E$312,2,FALSE)</f>
        <v>B001-006</v>
      </c>
      <c r="D203" s="6" t="str">
        <f>VLOOKUP(B203,Sheet3!$B$2:$E$312,3,)</f>
        <v>bahan baku</v>
      </c>
      <c r="E203" s="8" t="str">
        <f>VLOOKUP(B203,Sheet3!$B$2:$E$312,4,)</f>
        <v>GR</v>
      </c>
      <c r="F203" s="22">
        <v>47.0</v>
      </c>
      <c r="G203" s="22" t="s">
        <v>1232</v>
      </c>
      <c r="H203" s="22" t="s">
        <v>1225</v>
      </c>
      <c r="I203" s="7" t="s">
        <v>1444</v>
      </c>
    </row>
    <row r="204" ht="15.75" customHeight="1">
      <c r="A204" s="17"/>
      <c r="B204" s="21" t="s">
        <v>657</v>
      </c>
      <c r="C204" s="6" t="str">
        <f>VLOOKUP(B204,Sheet3!$B$2:$E$312,2,FALSE)</f>
        <v>P004-023</v>
      </c>
      <c r="D204" s="6" t="str">
        <f>VLOOKUP(B204,Sheet3!$B$2:$E$312,3,)</f>
        <v>barang jadi &amp; bahan baku</v>
      </c>
      <c r="E204" s="8" t="str">
        <f>VLOOKUP(B204,Sheet3!$B$2:$E$312,4,)</f>
        <v>CC</v>
      </c>
      <c r="F204" s="22">
        <v>400.0</v>
      </c>
      <c r="G204" s="22" t="s">
        <v>1216</v>
      </c>
      <c r="H204" s="22" t="s">
        <v>1373</v>
      </c>
      <c r="I204" s="7" t="s">
        <v>1444</v>
      </c>
    </row>
    <row r="205" ht="15.75" customHeight="1">
      <c r="A205" s="17"/>
      <c r="B205" s="21" t="s">
        <v>632</v>
      </c>
      <c r="C205" s="6" t="str">
        <f>VLOOKUP(B205,Sheet3!$B$2:$E$312,2,FALSE)</f>
        <v>P004-013</v>
      </c>
      <c r="D205" s="6" t="str">
        <f>VLOOKUP(B205,Sheet3!$B$2:$E$312,3,)</f>
        <v>barang jadi &amp; bahan baku</v>
      </c>
      <c r="E205" s="8" t="str">
        <f>VLOOKUP(B205,Sheet3!$B$2:$E$312,4,)</f>
        <v>PCS</v>
      </c>
      <c r="F205" s="22">
        <v>13.0</v>
      </c>
      <c r="G205" s="22" t="s">
        <v>1216</v>
      </c>
      <c r="H205" s="22" t="s">
        <v>1305</v>
      </c>
      <c r="I205" s="23" t="s">
        <v>1446</v>
      </c>
      <c r="J205" s="7" t="s">
        <v>1467</v>
      </c>
    </row>
    <row r="206" ht="15.75" customHeight="1">
      <c r="A206" s="17"/>
      <c r="B206" s="21" t="s">
        <v>502</v>
      </c>
      <c r="C206" s="6" t="str">
        <f>VLOOKUP(B206,Sheet3!$B$2:$E$312,2,FALSE)</f>
        <v>S001-002</v>
      </c>
      <c r="D206" s="6" t="str">
        <f>VLOOKUP(B206,Sheet3!$B$2:$E$312,3,)</f>
        <v>barang jadi</v>
      </c>
      <c r="E206" s="8" t="str">
        <f>VLOOKUP(B206,Sheet3!$B$2:$E$312,4,)</f>
        <v>PORSI</v>
      </c>
      <c r="F206" s="22">
        <v>4.0</v>
      </c>
      <c r="G206" s="22" t="s">
        <v>1216</v>
      </c>
      <c r="H206" s="22" t="s">
        <v>1305</v>
      </c>
      <c r="I206" s="23" t="s">
        <v>1446</v>
      </c>
      <c r="J206" s="7" t="s">
        <v>1463</v>
      </c>
    </row>
    <row r="207" ht="15.75" customHeight="1">
      <c r="A207" s="21" t="s">
        <v>1468</v>
      </c>
      <c r="B207" s="21" t="s">
        <v>640</v>
      </c>
      <c r="C207" s="6" t="str">
        <f>VLOOKUP(B207,Sheet3!$B$2:$E$312,2,FALSE)</f>
        <v>P004-016</v>
      </c>
      <c r="D207" s="6" t="str">
        <f>VLOOKUP(B207,Sheet3!$B$2:$E$312,3,)</f>
        <v>barang jadi &amp; bahan baku</v>
      </c>
      <c r="E207" s="8" t="str">
        <f>VLOOKUP(B207,Sheet3!$B$2:$E$312,4,)</f>
        <v>GR</v>
      </c>
      <c r="F207" s="22">
        <v>229.0</v>
      </c>
      <c r="G207" s="22" t="s">
        <v>1245</v>
      </c>
      <c r="H207" s="22" t="s">
        <v>1225</v>
      </c>
      <c r="I207" s="7" t="s">
        <v>1444</v>
      </c>
    </row>
    <row r="208" ht="15.75" customHeight="1">
      <c r="A208" s="17"/>
      <c r="B208" s="21" t="s">
        <v>632</v>
      </c>
      <c r="C208" s="6" t="str">
        <f>VLOOKUP(B208,Sheet3!$B$2:$E$312,2,FALSE)</f>
        <v>P004-013</v>
      </c>
      <c r="D208" s="6" t="str">
        <f>VLOOKUP(B208,Sheet3!$B$2:$E$312,3,)</f>
        <v>barang jadi &amp; bahan baku</v>
      </c>
      <c r="E208" s="8" t="str">
        <f>VLOOKUP(B208,Sheet3!$B$2:$E$312,4,)</f>
        <v>PCS</v>
      </c>
      <c r="F208" s="22">
        <v>33.0</v>
      </c>
      <c r="G208" s="22" t="s">
        <v>1216</v>
      </c>
      <c r="H208" s="22" t="s">
        <v>1305</v>
      </c>
      <c r="I208" s="23" t="s">
        <v>1446</v>
      </c>
      <c r="J208" s="7" t="s">
        <v>1469</v>
      </c>
    </row>
    <row r="209" ht="15.75" customHeight="1">
      <c r="A209" s="17"/>
      <c r="B209" s="21" t="s">
        <v>524</v>
      </c>
      <c r="C209" s="6" t="str">
        <f>VLOOKUP(B209,Sheet3!$B$2:$E$312,2,FALSE)</f>
        <v>S002-001</v>
      </c>
      <c r="D209" s="6" t="str">
        <f>VLOOKUP(B209,Sheet3!$B$2:$E$312,3,)</f>
        <v>barang jadi</v>
      </c>
      <c r="E209" s="8" t="str">
        <f>VLOOKUP(B209,Sheet3!$B$2:$E$312,4,)</f>
        <v>PORSI</v>
      </c>
      <c r="F209" s="22">
        <v>1.0</v>
      </c>
      <c r="G209" s="22" t="s">
        <v>1455</v>
      </c>
      <c r="H209" s="22" t="s">
        <v>1305</v>
      </c>
      <c r="I209" s="7" t="s">
        <v>1444</v>
      </c>
    </row>
    <row r="210" ht="15.75" customHeight="1">
      <c r="A210" s="17"/>
      <c r="B210" s="21" t="s">
        <v>502</v>
      </c>
      <c r="C210" s="6" t="str">
        <f>VLOOKUP(B210,Sheet3!$B$2:$E$312,2,FALSE)</f>
        <v>S001-002</v>
      </c>
      <c r="D210" s="6" t="str">
        <f>VLOOKUP(B210,Sheet3!$B$2:$E$312,3,)</f>
        <v>barang jadi</v>
      </c>
      <c r="E210" s="8" t="str">
        <f>VLOOKUP(B210,Sheet3!$B$2:$E$312,4,)</f>
        <v>PORSI</v>
      </c>
      <c r="F210" s="22">
        <v>10.0</v>
      </c>
      <c r="G210" s="22" t="s">
        <v>1216</v>
      </c>
      <c r="H210" s="22" t="s">
        <v>1305</v>
      </c>
      <c r="I210" s="23" t="s">
        <v>1446</v>
      </c>
      <c r="J210" s="7" t="s">
        <v>1470</v>
      </c>
    </row>
    <row r="211" ht="15.75" customHeight="1">
      <c r="A211" s="17"/>
      <c r="B211" s="21" t="s">
        <v>28</v>
      </c>
      <c r="C211" s="6" t="str">
        <f>VLOOKUP(B211,Sheet3!$B$2:$E$312,2,FALSE)</f>
        <v>B001-006</v>
      </c>
      <c r="D211" s="6" t="str">
        <f>VLOOKUP(B211,Sheet3!$B$2:$E$312,3,)</f>
        <v>bahan baku</v>
      </c>
      <c r="E211" s="8" t="str">
        <f>VLOOKUP(B211,Sheet3!$B$2:$E$312,4,)</f>
        <v>GR</v>
      </c>
      <c r="F211" s="22">
        <v>29.0</v>
      </c>
      <c r="G211" s="22" t="s">
        <v>1445</v>
      </c>
      <c r="H211" s="22" t="s">
        <v>1225</v>
      </c>
      <c r="I211" s="7" t="s">
        <v>1444</v>
      </c>
    </row>
    <row r="212" ht="15.75" customHeight="1">
      <c r="A212" s="17"/>
      <c r="B212" s="21" t="s">
        <v>148</v>
      </c>
      <c r="C212" s="6" t="str">
        <f>VLOOKUP(B212,Sheet3!$B$2:$E$312,2,FALSE)</f>
        <v>B001-064</v>
      </c>
      <c r="D212" s="6" t="str">
        <f>VLOOKUP(B212,Sheet3!$B$2:$E$312,3,)</f>
        <v>bahan baku</v>
      </c>
      <c r="E212" s="8" t="str">
        <f>VLOOKUP(B212,Sheet3!$B$2:$E$312,4,)</f>
        <v>GR</v>
      </c>
      <c r="F212" s="22">
        <v>57.0</v>
      </c>
      <c r="G212" s="22" t="s">
        <v>1471</v>
      </c>
      <c r="H212" s="22" t="s">
        <v>1225</v>
      </c>
      <c r="I212" s="7" t="s">
        <v>1444</v>
      </c>
    </row>
    <row r="213" ht="15.75" customHeight="1">
      <c r="A213" s="17"/>
      <c r="B213" s="21" t="s">
        <v>139</v>
      </c>
      <c r="C213" s="6" t="str">
        <f>VLOOKUP(B213,Sheet3!$B$2:$E$312,2,FALSE)</f>
        <v>B001-061</v>
      </c>
      <c r="D213" s="6" t="str">
        <f>VLOOKUP(B213,Sheet3!$B$2:$E$312,3,)</f>
        <v>bahan baku</v>
      </c>
      <c r="E213" s="8" t="str">
        <f>VLOOKUP(B213,Sheet3!$B$2:$E$312,4,)</f>
        <v>GR</v>
      </c>
      <c r="F213" s="22">
        <v>57.0</v>
      </c>
      <c r="G213" s="22" t="s">
        <v>1224</v>
      </c>
      <c r="H213" s="22" t="s">
        <v>1225</v>
      </c>
      <c r="I213" s="7" t="s">
        <v>1444</v>
      </c>
    </row>
    <row r="214" ht="15.75" customHeight="1">
      <c r="A214" s="17"/>
      <c r="B214" s="21" t="s">
        <v>211</v>
      </c>
      <c r="C214" s="6" t="str">
        <f>VLOOKUP(B214,Sheet3!$B$2:$E$312,2,FALSE)</f>
        <v>B001-088</v>
      </c>
      <c r="D214" s="6" t="str">
        <f>VLOOKUP(B214,Sheet3!$B$2:$E$312,3,)</f>
        <v>bahan baku</v>
      </c>
      <c r="E214" s="8" t="str">
        <f>VLOOKUP(B214,Sheet3!$B$2:$E$312,4,)</f>
        <v>GR</v>
      </c>
      <c r="F214" s="22">
        <v>4013.0</v>
      </c>
      <c r="G214" s="22" t="s">
        <v>1471</v>
      </c>
      <c r="H214" s="22" t="s">
        <v>1375</v>
      </c>
      <c r="I214" s="23" t="s">
        <v>1446</v>
      </c>
      <c r="J214" s="7" t="s">
        <v>1472</v>
      </c>
    </row>
    <row r="215" ht="15.75" customHeight="1">
      <c r="A215" s="17"/>
      <c r="B215" s="21" t="s">
        <v>653</v>
      </c>
      <c r="C215" s="6" t="str">
        <f>VLOOKUP(B215,Sheet3!$B$2:$E$312,2,FALSE)</f>
        <v>P004-022</v>
      </c>
      <c r="D215" s="6" t="str">
        <f>VLOOKUP(B215,Sheet3!$B$2:$E$312,3,)</f>
        <v>barang jadi &amp; bahan baku</v>
      </c>
      <c r="E215" s="8" t="str">
        <f>VLOOKUP(B215,Sheet3!$B$2:$E$312,4,)</f>
        <v>CC</v>
      </c>
      <c r="F215" s="22">
        <v>550.0</v>
      </c>
      <c r="G215" s="22" t="s">
        <v>1164</v>
      </c>
      <c r="H215" s="22" t="s">
        <v>1228</v>
      </c>
      <c r="I215" s="7" t="s">
        <v>1444</v>
      </c>
    </row>
    <row r="216" ht="15.75" customHeight="1">
      <c r="A216" s="17"/>
      <c r="B216" s="21" t="s">
        <v>657</v>
      </c>
      <c r="C216" s="6" t="str">
        <f>VLOOKUP(B216,Sheet3!$B$2:$E$312,2,FALSE)</f>
        <v>P004-023</v>
      </c>
      <c r="D216" s="6" t="str">
        <f>VLOOKUP(B216,Sheet3!$B$2:$E$312,3,)</f>
        <v>barang jadi &amp; bahan baku</v>
      </c>
      <c r="E216" s="8" t="str">
        <f>VLOOKUP(B216,Sheet3!$B$2:$E$312,4,)</f>
        <v>CC</v>
      </c>
      <c r="F216" s="22">
        <v>2000.0</v>
      </c>
      <c r="G216" s="22" t="s">
        <v>1462</v>
      </c>
      <c r="H216" s="22" t="s">
        <v>1228</v>
      </c>
      <c r="I216" s="7" t="s">
        <v>1444</v>
      </c>
    </row>
    <row r="217" ht="15.75" customHeight="1">
      <c r="A217" s="17"/>
      <c r="B217" s="21" t="s">
        <v>720</v>
      </c>
      <c r="C217" s="6" t="str">
        <f>VLOOKUP(B217,Sheet3!$B$2:$E$312,2,FALSE)</f>
        <v>B002-005</v>
      </c>
      <c r="D217" s="6" t="str">
        <f>VLOOKUP(B217,Sheet3!$B$2:$E$312,3,)</f>
        <v>others</v>
      </c>
      <c r="E217" s="8" t="str">
        <f>VLOOKUP(B217,Sheet3!$B$2:$E$312,4,)</f>
        <v>PCS</v>
      </c>
      <c r="F217" s="22">
        <v>75.0</v>
      </c>
      <c r="G217" s="22" t="s">
        <v>1473</v>
      </c>
      <c r="H217" s="22" t="s">
        <v>1228</v>
      </c>
      <c r="I217" s="7" t="s">
        <v>1444</v>
      </c>
    </row>
    <row r="218" ht="15.75" customHeight="1">
      <c r="A218" s="21" t="s">
        <v>1474</v>
      </c>
      <c r="B218" s="21" t="s">
        <v>720</v>
      </c>
      <c r="C218" s="6" t="str">
        <f>VLOOKUP(B218,Sheet3!$B$2:$E$312,2,FALSE)</f>
        <v>B002-005</v>
      </c>
      <c r="D218" s="6" t="str">
        <f>VLOOKUP(B218,Sheet3!$B$2:$E$312,3,)</f>
        <v>others</v>
      </c>
      <c r="E218" s="8" t="str">
        <f>VLOOKUP(B218,Sheet3!$B$2:$E$312,4,)</f>
        <v>PCS</v>
      </c>
      <c r="F218" s="22">
        <v>50.0</v>
      </c>
      <c r="G218" s="22" t="s">
        <v>1412</v>
      </c>
      <c r="H218" s="22" t="s">
        <v>1228</v>
      </c>
      <c r="I218" s="7" t="s">
        <v>1444</v>
      </c>
    </row>
    <row r="219" ht="15.75" customHeight="1">
      <c r="A219" s="17"/>
      <c r="B219" s="21" t="s">
        <v>211</v>
      </c>
      <c r="C219" s="6" t="str">
        <f>VLOOKUP(B219,Sheet3!$B$2:$E$312,2,FALSE)</f>
        <v>B001-088</v>
      </c>
      <c r="D219" s="6" t="str">
        <f>VLOOKUP(B219,Sheet3!$B$2:$E$312,3,)</f>
        <v>bahan baku</v>
      </c>
      <c r="E219" s="8" t="str">
        <f>VLOOKUP(B219,Sheet3!$B$2:$E$312,4,)</f>
        <v>GR</v>
      </c>
      <c r="F219" s="22">
        <v>4850.0</v>
      </c>
      <c r="G219" s="22" t="s">
        <v>1475</v>
      </c>
      <c r="H219" s="8"/>
      <c r="I219" s="23" t="s">
        <v>1446</v>
      </c>
      <c r="J219" s="7" t="s">
        <v>1476</v>
      </c>
    </row>
    <row r="220" ht="15.75" customHeight="1">
      <c r="A220" s="17"/>
      <c r="B220" s="21" t="s">
        <v>211</v>
      </c>
      <c r="C220" s="6" t="str">
        <f>VLOOKUP(B220,Sheet3!$B$2:$E$312,2,FALSE)</f>
        <v>B001-088</v>
      </c>
      <c r="D220" s="6" t="str">
        <f>VLOOKUP(B220,Sheet3!$B$2:$E$312,3,)</f>
        <v>bahan baku</v>
      </c>
      <c r="E220" s="8" t="str">
        <f>VLOOKUP(B220,Sheet3!$B$2:$E$312,4,)</f>
        <v>GR</v>
      </c>
      <c r="F220" s="22">
        <v>8135.0</v>
      </c>
      <c r="G220" s="22" t="s">
        <v>1475</v>
      </c>
      <c r="H220" s="8"/>
      <c r="I220" s="7" t="s">
        <v>1444</v>
      </c>
    </row>
    <row r="221" ht="15.75" customHeight="1">
      <c r="A221" s="17"/>
      <c r="B221" s="21" t="s">
        <v>632</v>
      </c>
      <c r="C221" s="6" t="str">
        <f>VLOOKUP(B221,Sheet3!$B$2:$E$312,2,FALSE)</f>
        <v>P004-013</v>
      </c>
      <c r="D221" s="6" t="str">
        <f>VLOOKUP(B221,Sheet3!$B$2:$E$312,3,)</f>
        <v>barang jadi &amp; bahan baku</v>
      </c>
      <c r="E221" s="8" t="str">
        <f>VLOOKUP(B221,Sheet3!$B$2:$E$312,4,)</f>
        <v>PCS</v>
      </c>
      <c r="F221" s="22">
        <v>13.0</v>
      </c>
      <c r="G221" s="22" t="s">
        <v>1164</v>
      </c>
      <c r="H221" s="22" t="s">
        <v>1384</v>
      </c>
      <c r="I221" s="7" t="s">
        <v>1444</v>
      </c>
    </row>
    <row r="222" ht="15.75" customHeight="1">
      <c r="A222" s="17"/>
      <c r="B222" s="21" t="s">
        <v>416</v>
      </c>
      <c r="C222" s="6" t="str">
        <f>VLOOKUP(B222,Sheet3!$B$2:$E$312,2,FALSE)</f>
        <v>J001-004</v>
      </c>
      <c r="D222" s="6" t="str">
        <f>VLOOKUP(B222,Sheet3!$B$2:$E$312,3,)</f>
        <v>barang jadi</v>
      </c>
      <c r="E222" s="8" t="str">
        <f>VLOOKUP(B222,Sheet3!$B$2:$E$312,4,)</f>
        <v>PORSI</v>
      </c>
      <c r="F222" s="22">
        <v>1.0</v>
      </c>
      <c r="G222" s="22" t="s">
        <v>1477</v>
      </c>
      <c r="H222" s="22" t="s">
        <v>1384</v>
      </c>
      <c r="I222" s="7" t="s">
        <v>1444</v>
      </c>
    </row>
    <row r="223" ht="15.75" customHeight="1">
      <c r="A223" s="17"/>
      <c r="B223" s="21" t="s">
        <v>653</v>
      </c>
      <c r="C223" s="6" t="str">
        <f>VLOOKUP(B223,Sheet3!$B$2:$E$312,2,FALSE)</f>
        <v>P004-022</v>
      </c>
      <c r="D223" s="6" t="str">
        <f>VLOOKUP(B223,Sheet3!$B$2:$E$312,3,)</f>
        <v>barang jadi &amp; bahan baku</v>
      </c>
      <c r="E223" s="8" t="str">
        <f>VLOOKUP(B223,Sheet3!$B$2:$E$312,4,)</f>
        <v>CC</v>
      </c>
      <c r="F223" s="22">
        <v>350.0</v>
      </c>
      <c r="G223" s="22" t="s">
        <v>1216</v>
      </c>
      <c r="H223" s="22" t="s">
        <v>1373</v>
      </c>
      <c r="I223" s="7" t="s">
        <v>1444</v>
      </c>
    </row>
    <row r="224" ht="15.75" customHeight="1">
      <c r="A224" s="17"/>
      <c r="B224" s="21" t="s">
        <v>657</v>
      </c>
      <c r="C224" s="6" t="str">
        <f>VLOOKUP(B224,Sheet3!$B$2:$E$312,2,FALSE)</f>
        <v>P004-023</v>
      </c>
      <c r="D224" s="6" t="str">
        <f>VLOOKUP(B224,Sheet3!$B$2:$E$312,3,)</f>
        <v>barang jadi &amp; bahan baku</v>
      </c>
      <c r="E224" s="8" t="str">
        <f>VLOOKUP(B224,Sheet3!$B$2:$E$312,4,)</f>
        <v>CC</v>
      </c>
      <c r="F224" s="22">
        <v>1800.0</v>
      </c>
      <c r="G224" s="22" t="s">
        <v>1216</v>
      </c>
      <c r="H224" s="22" t="s">
        <v>1373</v>
      </c>
      <c r="I224" s="7" t="s">
        <v>1444</v>
      </c>
    </row>
    <row r="225" ht="15.75" customHeight="1">
      <c r="A225" s="17"/>
      <c r="B225" s="21" t="s">
        <v>805</v>
      </c>
      <c r="C225" s="6" t="str">
        <f>VLOOKUP(B225,Sheet3!$B$2:$E$312,2,FALSE)</f>
        <v>#N/A</v>
      </c>
      <c r="D225" s="6" t="str">
        <f>VLOOKUP(B225,Sheet3!$B$2:$E$312,3,)</f>
        <v>#N/A</v>
      </c>
      <c r="E225" s="8" t="str">
        <f>VLOOKUP(B225,Sheet3!$B$2:$E$312,4,)</f>
        <v>#N/A</v>
      </c>
      <c r="F225" s="22">
        <v>1000.0</v>
      </c>
      <c r="G225" s="22" t="s">
        <v>1216</v>
      </c>
      <c r="H225" s="22" t="s">
        <v>1373</v>
      </c>
      <c r="I225" s="7" t="s">
        <v>1444</v>
      </c>
    </row>
    <row r="226" ht="15.75" customHeight="1">
      <c r="A226" s="17"/>
      <c r="B226" s="21" t="s">
        <v>664</v>
      </c>
      <c r="C226" s="6" t="str">
        <f>VLOOKUP(B226,Sheet3!$B$2:$E$312,2,FALSE)</f>
        <v>P004-025</v>
      </c>
      <c r="D226" s="6" t="str">
        <f>VLOOKUP(B226,Sheet3!$B$2:$E$312,3,)</f>
        <v>barang jadi &amp; bahan baku</v>
      </c>
      <c r="E226" s="8" t="str">
        <f>VLOOKUP(B226,Sheet3!$B$2:$E$312,4,)</f>
        <v>ML</v>
      </c>
      <c r="F226" s="22">
        <v>1900.0</v>
      </c>
      <c r="G226" s="22" t="s">
        <v>1216</v>
      </c>
      <c r="H226" s="22" t="s">
        <v>1373</v>
      </c>
      <c r="I226" s="7" t="s">
        <v>1444</v>
      </c>
    </row>
    <row r="227" ht="15.75" customHeight="1">
      <c r="A227" s="21" t="s">
        <v>1478</v>
      </c>
      <c r="B227" s="21" t="s">
        <v>298</v>
      </c>
      <c r="C227" s="6" t="str">
        <f>VLOOKUP(B227,Sheet3!$B$2:$E$312,2,FALSE)</f>
        <v>B001-125</v>
      </c>
      <c r="D227" s="6" t="str">
        <f>VLOOKUP(B227,Sheet3!$B$2:$E$312,3,)</f>
        <v>bahan baku</v>
      </c>
      <c r="E227" s="8" t="str">
        <f>VLOOKUP(B227,Sheet3!$B$2:$E$312,4,)</f>
        <v>GR</v>
      </c>
      <c r="F227" s="22">
        <v>122.0</v>
      </c>
      <c r="G227" s="22" t="s">
        <v>1445</v>
      </c>
      <c r="H227" s="22" t="s">
        <v>1225</v>
      </c>
      <c r="I227" s="7" t="s">
        <v>1444</v>
      </c>
    </row>
    <row r="228" ht="15.75" customHeight="1">
      <c r="A228" s="17"/>
      <c r="B228" s="21" t="s">
        <v>52</v>
      </c>
      <c r="C228" s="6" t="str">
        <f>VLOOKUP(B228,Sheet3!$B$2:$E$312,2,FALSE)</f>
        <v>B001-018</v>
      </c>
      <c r="D228" s="6" t="str">
        <f>VLOOKUP(B228,Sheet3!$B$2:$E$312,3,)</f>
        <v>bahan baku</v>
      </c>
      <c r="E228" s="8" t="str">
        <f>VLOOKUP(B228,Sheet3!$B$2:$E$312,4,)</f>
        <v>GR</v>
      </c>
      <c r="F228" s="22">
        <v>31.0</v>
      </c>
      <c r="G228" s="22" t="s">
        <v>1445</v>
      </c>
      <c r="H228" s="22" t="s">
        <v>1225</v>
      </c>
      <c r="I228" s="7" t="s">
        <v>1444</v>
      </c>
    </row>
    <row r="229" ht="15.75" customHeight="1">
      <c r="A229" s="6"/>
      <c r="B229" s="21" t="s">
        <v>698</v>
      </c>
      <c r="C229" s="6" t="str">
        <f>VLOOKUP(B229,Sheet3!$B$2:$E$312,2,FALSE)</f>
        <v>P004-038</v>
      </c>
      <c r="D229" s="6" t="str">
        <f>VLOOKUP(B229,Sheet3!$B$2:$E$312,3,)</f>
        <v>barang jadi &amp; bahan baku</v>
      </c>
      <c r="E229" s="8" t="str">
        <f>VLOOKUP(B229,Sheet3!$B$2:$E$312,4,)</f>
        <v>PCS</v>
      </c>
      <c r="F229" s="22">
        <v>1.0</v>
      </c>
      <c r="G229" s="22" t="s">
        <v>1479</v>
      </c>
      <c r="H229" s="22" t="s">
        <v>1225</v>
      </c>
      <c r="I229" s="7" t="s">
        <v>1444</v>
      </c>
    </row>
    <row r="230" ht="15.75" customHeight="1">
      <c r="A230" s="6"/>
      <c r="B230" s="21" t="s">
        <v>28</v>
      </c>
      <c r="C230" s="6" t="str">
        <f>VLOOKUP(B230,Sheet3!$B$2:$E$312,2,FALSE)</f>
        <v>B001-006</v>
      </c>
      <c r="D230" s="6" t="str">
        <f>VLOOKUP(B230,Sheet3!$B$2:$E$312,3,)</f>
        <v>bahan baku</v>
      </c>
      <c r="E230" s="8" t="str">
        <f>VLOOKUP(B230,Sheet3!$B$2:$E$312,4,)</f>
        <v>GR</v>
      </c>
      <c r="F230" s="22">
        <v>70.0</v>
      </c>
      <c r="G230" s="22" t="s">
        <v>1445</v>
      </c>
      <c r="H230" s="22" t="s">
        <v>1225</v>
      </c>
      <c r="I230" s="7" t="s">
        <v>1444</v>
      </c>
    </row>
    <row r="231" ht="15.75" customHeight="1">
      <c r="A231" s="6"/>
      <c r="B231" s="21" t="s">
        <v>211</v>
      </c>
      <c r="C231" s="6" t="str">
        <f>VLOOKUP(B231,Sheet3!$B$2:$E$312,2,FALSE)</f>
        <v>B001-088</v>
      </c>
      <c r="D231" s="6" t="str">
        <f>VLOOKUP(B231,Sheet3!$B$2:$E$312,3,)</f>
        <v>bahan baku</v>
      </c>
      <c r="E231" s="8" t="str">
        <f>VLOOKUP(B231,Sheet3!$B$2:$E$312,4,)</f>
        <v>GR</v>
      </c>
      <c r="F231" s="22">
        <v>16115.0</v>
      </c>
      <c r="G231" s="22" t="s">
        <v>1475</v>
      </c>
      <c r="H231" s="22" t="s">
        <v>1417</v>
      </c>
      <c r="I231" s="7" t="s">
        <v>1444</v>
      </c>
    </row>
    <row r="232" ht="15.75" customHeight="1">
      <c r="A232" s="6"/>
      <c r="B232" s="21" t="s">
        <v>298</v>
      </c>
      <c r="C232" s="6" t="str">
        <f>VLOOKUP(B232,Sheet3!$B$2:$E$312,2,FALSE)</f>
        <v>B001-125</v>
      </c>
      <c r="D232" s="6" t="str">
        <f>VLOOKUP(B232,Sheet3!$B$2:$E$312,3,)</f>
        <v>bahan baku</v>
      </c>
      <c r="E232" s="8" t="str">
        <f>VLOOKUP(B232,Sheet3!$B$2:$E$312,4,)</f>
        <v>GR</v>
      </c>
      <c r="F232" s="22">
        <v>49.0</v>
      </c>
      <c r="G232" s="22" t="s">
        <v>1445</v>
      </c>
      <c r="H232" s="22" t="s">
        <v>1225</v>
      </c>
      <c r="I232" s="7" t="s">
        <v>1444</v>
      </c>
    </row>
    <row r="233" ht="15.75" customHeight="1">
      <c r="A233" s="6"/>
      <c r="B233" s="21" t="s">
        <v>150</v>
      </c>
      <c r="C233" s="6" t="str">
        <f>VLOOKUP(B233,Sheet3!$B$2:$E$312,2,FALSE)</f>
        <v>B001-066</v>
      </c>
      <c r="D233" s="6" t="str">
        <f>VLOOKUP(B233,Sheet3!$B$2:$E$312,3,)</f>
        <v>bahan baku</v>
      </c>
      <c r="E233" s="8" t="str">
        <f>VLOOKUP(B233,Sheet3!$B$2:$E$312,4,)</f>
        <v>PCS</v>
      </c>
      <c r="F233" s="22">
        <v>1.0</v>
      </c>
      <c r="G233" s="22" t="s">
        <v>1368</v>
      </c>
      <c r="H233" s="22" t="s">
        <v>1225</v>
      </c>
      <c r="I233" s="7" t="s">
        <v>1444</v>
      </c>
    </row>
    <row r="234" ht="15.75" customHeight="1">
      <c r="A234" s="6"/>
      <c r="B234" s="21" t="s">
        <v>502</v>
      </c>
      <c r="C234" s="6" t="str">
        <f>VLOOKUP(B234,Sheet3!$B$2:$E$312,2,FALSE)</f>
        <v>S001-002</v>
      </c>
      <c r="D234" s="6" t="str">
        <f>VLOOKUP(B234,Sheet3!$B$2:$E$312,3,)</f>
        <v>barang jadi</v>
      </c>
      <c r="E234" s="8" t="str">
        <f>VLOOKUP(B234,Sheet3!$B$2:$E$312,4,)</f>
        <v>PORSI</v>
      </c>
      <c r="F234" s="22">
        <v>6.0</v>
      </c>
      <c r="G234" s="22" t="s">
        <v>1216</v>
      </c>
      <c r="H234" s="22" t="s">
        <v>1225</v>
      </c>
      <c r="I234" s="23" t="s">
        <v>1446</v>
      </c>
      <c r="J234" s="7" t="s">
        <v>1480</v>
      </c>
    </row>
    <row r="235" ht="15.75" customHeight="1">
      <c r="A235" s="6"/>
      <c r="B235" s="21" t="s">
        <v>653</v>
      </c>
      <c r="C235" s="6" t="str">
        <f>VLOOKUP(B235,Sheet3!$B$2:$E$312,2,FALSE)</f>
        <v>P004-022</v>
      </c>
      <c r="D235" s="6" t="str">
        <f>VLOOKUP(B235,Sheet3!$B$2:$E$312,3,)</f>
        <v>barang jadi &amp; bahan baku</v>
      </c>
      <c r="E235" s="8" t="str">
        <f>VLOOKUP(B235,Sheet3!$B$2:$E$312,4,)</f>
        <v>CC</v>
      </c>
      <c r="F235" s="22">
        <v>50.0</v>
      </c>
      <c r="G235" s="22" t="s">
        <v>1462</v>
      </c>
      <c r="H235" s="22" t="s">
        <v>1225</v>
      </c>
      <c r="I235" s="7" t="s">
        <v>1444</v>
      </c>
    </row>
    <row r="236" ht="15.75" customHeight="1">
      <c r="A236" s="6"/>
      <c r="B236" s="21" t="s">
        <v>657</v>
      </c>
      <c r="C236" s="6" t="str">
        <f>VLOOKUP(B236,Sheet3!$B$2:$E$312,2,FALSE)</f>
        <v>P004-023</v>
      </c>
      <c r="D236" s="6" t="str">
        <f>VLOOKUP(B236,Sheet3!$B$2:$E$312,3,)</f>
        <v>barang jadi &amp; bahan baku</v>
      </c>
      <c r="E236" s="8" t="str">
        <f>VLOOKUP(B236,Sheet3!$B$2:$E$312,4,)</f>
        <v>CC</v>
      </c>
      <c r="F236" s="22">
        <v>400.0</v>
      </c>
      <c r="G236" s="22" t="s">
        <v>1164</v>
      </c>
      <c r="H236" s="22" t="s">
        <v>1225</v>
      </c>
      <c r="I236" s="7" t="s">
        <v>1444</v>
      </c>
    </row>
    <row r="237" ht="15.75" customHeight="1">
      <c r="A237" s="6"/>
      <c r="B237" s="21" t="s">
        <v>664</v>
      </c>
      <c r="C237" s="6" t="str">
        <f>VLOOKUP(B237,Sheet3!$B$2:$E$312,2,FALSE)</f>
        <v>P004-025</v>
      </c>
      <c r="D237" s="6" t="str">
        <f>VLOOKUP(B237,Sheet3!$B$2:$E$312,3,)</f>
        <v>barang jadi &amp; bahan baku</v>
      </c>
      <c r="E237" s="8" t="str">
        <f>VLOOKUP(B237,Sheet3!$B$2:$E$312,4,)</f>
        <v>ML</v>
      </c>
      <c r="F237" s="22">
        <v>420.0</v>
      </c>
      <c r="G237" s="22" t="s">
        <v>1164</v>
      </c>
      <c r="H237" s="22" t="s">
        <v>1225</v>
      </c>
      <c r="I237" s="7" t="s">
        <v>1444</v>
      </c>
    </row>
    <row r="238" ht="15.75" customHeight="1">
      <c r="A238" s="21" t="s">
        <v>1481</v>
      </c>
      <c r="B238" s="21" t="s">
        <v>28</v>
      </c>
      <c r="C238" s="6" t="str">
        <f>VLOOKUP(B238,Sheet3!$B$2:$E$312,2,FALSE)</f>
        <v>B001-006</v>
      </c>
      <c r="D238" s="6" t="str">
        <f>VLOOKUP(B238,Sheet3!$B$2:$E$312,3,)</f>
        <v>bahan baku</v>
      </c>
      <c r="E238" s="8" t="str">
        <f>VLOOKUP(B238,Sheet3!$B$2:$E$312,4,)</f>
        <v>GR</v>
      </c>
      <c r="F238" s="22">
        <v>25.0</v>
      </c>
      <c r="G238" s="22" t="s">
        <v>1445</v>
      </c>
      <c r="H238" s="22" t="s">
        <v>1225</v>
      </c>
      <c r="I238" s="7" t="s">
        <v>1444</v>
      </c>
    </row>
    <row r="239" ht="15.75" customHeight="1">
      <c r="A239" s="6"/>
      <c r="B239" s="21" t="s">
        <v>150</v>
      </c>
      <c r="C239" s="6" t="str">
        <f>VLOOKUP(B239,Sheet3!$B$2:$E$312,2,FALSE)</f>
        <v>B001-066</v>
      </c>
      <c r="D239" s="6" t="str">
        <f>VLOOKUP(B239,Sheet3!$B$2:$E$312,3,)</f>
        <v>bahan baku</v>
      </c>
      <c r="E239" s="8" t="str">
        <f>VLOOKUP(B239,Sheet3!$B$2:$E$312,4,)</f>
        <v>PCS</v>
      </c>
      <c r="F239" s="22">
        <v>1.0</v>
      </c>
      <c r="G239" s="22" t="s">
        <v>1368</v>
      </c>
      <c r="H239" s="22" t="s">
        <v>1225</v>
      </c>
      <c r="I239" s="7" t="s">
        <v>1444</v>
      </c>
    </row>
    <row r="240" ht="15.75" customHeight="1">
      <c r="A240" s="6"/>
      <c r="B240" s="21" t="s">
        <v>137</v>
      </c>
      <c r="C240" s="6" t="str">
        <f>VLOOKUP(B240,Sheet3!$B$2:$E$312,2,FALSE)</f>
        <v>B001-060</v>
      </c>
      <c r="D240" s="6" t="str">
        <f>VLOOKUP(B240,Sheet3!$B$2:$E$312,3,)</f>
        <v>bahan baku</v>
      </c>
      <c r="E240" s="8" t="str">
        <f>VLOOKUP(B240,Sheet3!$B$2:$E$312,4,)</f>
        <v>GR</v>
      </c>
      <c r="F240" s="22">
        <v>38.0</v>
      </c>
      <c r="G240" s="22" t="s">
        <v>1482</v>
      </c>
      <c r="H240" s="22" t="s">
        <v>1225</v>
      </c>
      <c r="I240" s="7" t="s">
        <v>1444</v>
      </c>
    </row>
    <row r="241" ht="15.75" customHeight="1">
      <c r="A241" s="6"/>
      <c r="B241" s="21" t="s">
        <v>148</v>
      </c>
      <c r="C241" s="6" t="str">
        <f>VLOOKUP(B241,Sheet3!$B$2:$E$312,2,FALSE)</f>
        <v>B001-064</v>
      </c>
      <c r="D241" s="6" t="str">
        <f>VLOOKUP(B241,Sheet3!$B$2:$E$312,3,)</f>
        <v>bahan baku</v>
      </c>
      <c r="E241" s="8" t="str">
        <f>VLOOKUP(B241,Sheet3!$B$2:$E$312,4,)</f>
        <v>GR</v>
      </c>
      <c r="F241" s="22">
        <v>120.0</v>
      </c>
      <c r="G241" s="22" t="s">
        <v>1445</v>
      </c>
      <c r="H241" s="22" t="s">
        <v>1225</v>
      </c>
      <c r="I241" s="7" t="s">
        <v>1444</v>
      </c>
    </row>
    <row r="242" ht="15.75" customHeight="1">
      <c r="A242" s="6"/>
      <c r="B242" s="21" t="s">
        <v>298</v>
      </c>
      <c r="C242" s="6" t="str">
        <f>VLOOKUP(B242,Sheet3!$B$2:$E$312,2,FALSE)</f>
        <v>B001-125</v>
      </c>
      <c r="D242" s="6" t="str">
        <f>VLOOKUP(B242,Sheet3!$B$2:$E$312,3,)</f>
        <v>bahan baku</v>
      </c>
      <c r="E242" s="8" t="str">
        <f>VLOOKUP(B242,Sheet3!$B$2:$E$312,4,)</f>
        <v>GR</v>
      </c>
      <c r="F242" s="22">
        <v>66.0</v>
      </c>
      <c r="G242" s="22" t="s">
        <v>1445</v>
      </c>
      <c r="H242" s="22" t="s">
        <v>1225</v>
      </c>
      <c r="I242" s="7" t="s">
        <v>1444</v>
      </c>
    </row>
    <row r="243" ht="15.75" customHeight="1">
      <c r="A243" s="6"/>
      <c r="B243" s="21" t="s">
        <v>632</v>
      </c>
      <c r="C243" s="6" t="str">
        <f>VLOOKUP(B243,Sheet3!$B$2:$E$312,2,FALSE)</f>
        <v>P004-013</v>
      </c>
      <c r="D243" s="6" t="str">
        <f>VLOOKUP(B243,Sheet3!$B$2:$E$312,3,)</f>
        <v>barang jadi &amp; bahan baku</v>
      </c>
      <c r="E243" s="8" t="str">
        <f>VLOOKUP(B243,Sheet3!$B$2:$E$312,4,)</f>
        <v>PCS</v>
      </c>
      <c r="F243" s="22">
        <v>8.0</v>
      </c>
      <c r="G243" s="22" t="s">
        <v>1216</v>
      </c>
      <c r="H243" s="22" t="s">
        <v>1384</v>
      </c>
      <c r="I243" s="23" t="s">
        <v>1446</v>
      </c>
      <c r="J243" s="7" t="s">
        <v>1483</v>
      </c>
    </row>
    <row r="244" ht="15.75" customHeight="1">
      <c r="A244" s="6"/>
      <c r="B244" s="21" t="s">
        <v>502</v>
      </c>
      <c r="C244" s="6" t="str">
        <f>VLOOKUP(B244,Sheet3!$B$2:$E$312,2,FALSE)</f>
        <v>S001-002</v>
      </c>
      <c r="D244" s="6" t="str">
        <f>VLOOKUP(B244,Sheet3!$B$2:$E$312,3,)</f>
        <v>barang jadi</v>
      </c>
      <c r="E244" s="8" t="str">
        <f>VLOOKUP(B244,Sheet3!$B$2:$E$312,4,)</f>
        <v>PORSI</v>
      </c>
      <c r="F244" s="22">
        <v>5.0</v>
      </c>
      <c r="G244" s="22" t="s">
        <v>1216</v>
      </c>
      <c r="H244" s="22" t="s">
        <v>1384</v>
      </c>
      <c r="I244" s="23" t="s">
        <v>1446</v>
      </c>
      <c r="J244" s="7" t="s">
        <v>1484</v>
      </c>
    </row>
    <row r="245" ht="15.75" customHeight="1">
      <c r="A245" s="6"/>
      <c r="B245" s="21" t="s">
        <v>211</v>
      </c>
      <c r="C245" s="6" t="str">
        <f>VLOOKUP(B245,Sheet3!$B$2:$E$312,2,FALSE)</f>
        <v>B001-088</v>
      </c>
      <c r="D245" s="6" t="str">
        <f>VLOOKUP(B245,Sheet3!$B$2:$E$312,3,)</f>
        <v>bahan baku</v>
      </c>
      <c r="E245" s="8" t="str">
        <f>VLOOKUP(B245,Sheet3!$B$2:$E$312,4,)</f>
        <v>GR</v>
      </c>
      <c r="F245" s="22">
        <v>17315.0</v>
      </c>
      <c r="G245" s="22" t="s">
        <v>1333</v>
      </c>
      <c r="H245" s="22" t="s">
        <v>1417</v>
      </c>
      <c r="I245" s="7" t="s">
        <v>1444</v>
      </c>
    </row>
    <row r="246" ht="15.75" customHeight="1">
      <c r="A246" s="6"/>
      <c r="B246" s="21" t="s">
        <v>653</v>
      </c>
      <c r="C246" s="6" t="str">
        <f>VLOOKUP(B246,Sheet3!$B$2:$E$312,2,FALSE)</f>
        <v>P004-022</v>
      </c>
      <c r="D246" s="6" t="str">
        <f>VLOOKUP(B246,Sheet3!$B$2:$E$312,3,)</f>
        <v>barang jadi &amp; bahan baku</v>
      </c>
      <c r="E246" s="8" t="str">
        <f>VLOOKUP(B246,Sheet3!$B$2:$E$312,4,)</f>
        <v>CC</v>
      </c>
      <c r="F246" s="22">
        <v>600.0</v>
      </c>
      <c r="G246" s="22" t="s">
        <v>1216</v>
      </c>
      <c r="H246" s="22" t="s">
        <v>1373</v>
      </c>
      <c r="I246" s="7" t="s">
        <v>1444</v>
      </c>
    </row>
    <row r="247" ht="15.75" customHeight="1">
      <c r="A247" s="6"/>
      <c r="B247" s="21" t="s">
        <v>657</v>
      </c>
      <c r="C247" s="6" t="str">
        <f>VLOOKUP(B247,Sheet3!$B$2:$E$312,2,FALSE)</f>
        <v>P004-023</v>
      </c>
      <c r="D247" s="6" t="str">
        <f>VLOOKUP(B247,Sheet3!$B$2:$E$312,3,)</f>
        <v>barang jadi &amp; bahan baku</v>
      </c>
      <c r="E247" s="8" t="str">
        <f>VLOOKUP(B247,Sheet3!$B$2:$E$312,4,)</f>
        <v>CC</v>
      </c>
      <c r="F247" s="22">
        <v>1000.0</v>
      </c>
      <c r="G247" s="22" t="s">
        <v>1216</v>
      </c>
      <c r="H247" s="22" t="s">
        <v>1373</v>
      </c>
      <c r="I247" s="7" t="s">
        <v>1444</v>
      </c>
    </row>
    <row r="248" ht="15.75" customHeight="1">
      <c r="A248" s="6"/>
      <c r="B248" s="21" t="s">
        <v>664</v>
      </c>
      <c r="C248" s="6" t="str">
        <f>VLOOKUP(B248,Sheet3!$B$2:$E$312,2,FALSE)</f>
        <v>P004-025</v>
      </c>
      <c r="D248" s="6" t="str">
        <f>VLOOKUP(B248,Sheet3!$B$2:$E$312,3,)</f>
        <v>barang jadi &amp; bahan baku</v>
      </c>
      <c r="E248" s="8" t="str">
        <f>VLOOKUP(B248,Sheet3!$B$2:$E$312,4,)</f>
        <v>ML</v>
      </c>
      <c r="F248" s="22">
        <v>2000.0</v>
      </c>
      <c r="G248" s="22" t="s">
        <v>1216</v>
      </c>
      <c r="H248" s="22" t="s">
        <v>1373</v>
      </c>
      <c r="I248" s="7" t="s">
        <v>1444</v>
      </c>
    </row>
    <row r="249" ht="15.75" customHeight="1">
      <c r="A249" s="21" t="s">
        <v>1485</v>
      </c>
      <c r="B249" s="21" t="s">
        <v>52</v>
      </c>
      <c r="C249" s="6" t="str">
        <f>VLOOKUP(B249,Sheet3!$B$2:$E$312,2,FALSE)</f>
        <v>B001-018</v>
      </c>
      <c r="D249" s="6" t="str">
        <f>VLOOKUP(B249,Sheet3!$B$2:$E$312,3,)</f>
        <v>bahan baku</v>
      </c>
      <c r="E249" s="8" t="str">
        <f>VLOOKUP(B249,Sheet3!$B$2:$E$312,4,)</f>
        <v>GR</v>
      </c>
      <c r="F249" s="22">
        <v>325.0</v>
      </c>
      <c r="G249" s="22" t="s">
        <v>1224</v>
      </c>
      <c r="H249" s="22" t="s">
        <v>1290</v>
      </c>
      <c r="I249" s="7" t="s">
        <v>1444</v>
      </c>
    </row>
    <row r="250" ht="15.75" customHeight="1">
      <c r="A250" s="6"/>
      <c r="B250" s="21" t="s">
        <v>691</v>
      </c>
      <c r="C250" s="6" t="str">
        <f>VLOOKUP(B250,Sheet3!$B$2:$E$312,2,FALSE)</f>
        <v>P004-036</v>
      </c>
      <c r="D250" s="6" t="str">
        <f>VLOOKUP(B250,Sheet3!$B$2:$E$312,3,)</f>
        <v>barang jadi &amp; bahan baku</v>
      </c>
      <c r="E250" s="8" t="str">
        <f>VLOOKUP(B250,Sheet3!$B$2:$E$312,4,)</f>
        <v>GR</v>
      </c>
      <c r="F250" s="22">
        <v>2000.0</v>
      </c>
      <c r="G250" s="22" t="s">
        <v>1245</v>
      </c>
      <c r="H250" s="22" t="s">
        <v>1228</v>
      </c>
      <c r="I250" s="7" t="s">
        <v>1444</v>
      </c>
    </row>
    <row r="251" ht="15.75" customHeight="1">
      <c r="A251" s="6"/>
      <c r="B251" s="21" t="s">
        <v>653</v>
      </c>
      <c r="C251" s="6" t="str">
        <f>VLOOKUP(B251,Sheet3!$B$2:$E$312,2,FALSE)</f>
        <v>P004-022</v>
      </c>
      <c r="D251" s="6" t="str">
        <f>VLOOKUP(B251,Sheet3!$B$2:$E$312,3,)</f>
        <v>barang jadi &amp; bahan baku</v>
      </c>
      <c r="E251" s="8" t="str">
        <f>VLOOKUP(B251,Sheet3!$B$2:$E$312,4,)</f>
        <v>CC</v>
      </c>
      <c r="F251" s="22">
        <v>1750.0</v>
      </c>
      <c r="G251" s="22" t="s">
        <v>1216</v>
      </c>
      <c r="H251" s="22" t="s">
        <v>1373</v>
      </c>
      <c r="I251" s="7" t="s">
        <v>1444</v>
      </c>
    </row>
    <row r="252" ht="15.75" customHeight="1">
      <c r="A252" s="6"/>
      <c r="B252" s="21" t="s">
        <v>657</v>
      </c>
      <c r="C252" s="6" t="str">
        <f>VLOOKUP(B252,Sheet3!$B$2:$E$312,2,FALSE)</f>
        <v>P004-023</v>
      </c>
      <c r="D252" s="6" t="str">
        <f>VLOOKUP(B252,Sheet3!$B$2:$E$312,3,)</f>
        <v>barang jadi &amp; bahan baku</v>
      </c>
      <c r="E252" s="8" t="str">
        <f>VLOOKUP(B252,Sheet3!$B$2:$E$312,4,)</f>
        <v>CC</v>
      </c>
      <c r="F252" s="22">
        <v>3750.0</v>
      </c>
      <c r="G252" s="22" t="s">
        <v>1216</v>
      </c>
      <c r="H252" s="22" t="s">
        <v>1373</v>
      </c>
      <c r="I252" s="7" t="s">
        <v>1444</v>
      </c>
    </row>
    <row r="253" ht="15.75" customHeight="1">
      <c r="A253" s="6"/>
      <c r="B253" s="21" t="s">
        <v>805</v>
      </c>
      <c r="C253" s="6" t="str">
        <f>VLOOKUP(B253,Sheet3!$B$2:$E$312,2,FALSE)</f>
        <v>#N/A</v>
      </c>
      <c r="D253" s="6" t="str">
        <f>VLOOKUP(B253,Sheet3!$B$2:$E$312,3,)</f>
        <v>#N/A</v>
      </c>
      <c r="E253" s="8" t="str">
        <f>VLOOKUP(B253,Sheet3!$B$2:$E$312,4,)</f>
        <v>#N/A</v>
      </c>
      <c r="F253" s="22">
        <v>2200.0</v>
      </c>
      <c r="G253" s="22" t="s">
        <v>1216</v>
      </c>
      <c r="H253" s="22" t="s">
        <v>1373</v>
      </c>
      <c r="I253" s="7" t="s">
        <v>1444</v>
      </c>
    </row>
    <row r="254" ht="15.75" customHeight="1">
      <c r="A254" s="6"/>
      <c r="B254" s="21" t="s">
        <v>664</v>
      </c>
      <c r="C254" s="6" t="str">
        <f>VLOOKUP(B254,Sheet3!$B$2:$E$312,2,FALSE)</f>
        <v>P004-025</v>
      </c>
      <c r="D254" s="6" t="str">
        <f>VLOOKUP(B254,Sheet3!$B$2:$E$312,3,)</f>
        <v>barang jadi &amp; bahan baku</v>
      </c>
      <c r="E254" s="8" t="str">
        <f>VLOOKUP(B254,Sheet3!$B$2:$E$312,4,)</f>
        <v>ML</v>
      </c>
      <c r="F254" s="22">
        <v>3850.0</v>
      </c>
      <c r="G254" s="22" t="s">
        <v>1216</v>
      </c>
      <c r="H254" s="22" t="s">
        <v>1373</v>
      </c>
      <c r="I254" s="7" t="s">
        <v>1444</v>
      </c>
    </row>
    <row r="255" ht="15.75" customHeight="1">
      <c r="A255" s="6"/>
      <c r="B255" s="21" t="s">
        <v>632</v>
      </c>
      <c r="C255" s="6" t="str">
        <f>VLOOKUP(B255,Sheet3!$B$2:$E$312,2,FALSE)</f>
        <v>P004-013</v>
      </c>
      <c r="D255" s="6" t="str">
        <f>VLOOKUP(B255,Sheet3!$B$2:$E$312,3,)</f>
        <v>barang jadi &amp; bahan baku</v>
      </c>
      <c r="E255" s="8" t="str">
        <f>VLOOKUP(B255,Sheet3!$B$2:$E$312,4,)</f>
        <v>PCS</v>
      </c>
      <c r="F255" s="22">
        <v>19.0</v>
      </c>
      <c r="G255" s="22" t="s">
        <v>1216</v>
      </c>
      <c r="H255" s="22" t="s">
        <v>1305</v>
      </c>
      <c r="I255" s="23" t="s">
        <v>1446</v>
      </c>
      <c r="J255" s="7" t="s">
        <v>1486</v>
      </c>
    </row>
    <row r="256" ht="15.75" customHeight="1">
      <c r="A256" s="6"/>
      <c r="B256" s="21" t="s">
        <v>502</v>
      </c>
      <c r="C256" s="6" t="str">
        <f>VLOOKUP(B256,Sheet3!$B$2:$E$312,2,FALSE)</f>
        <v>S001-002</v>
      </c>
      <c r="D256" s="6" t="str">
        <f>VLOOKUP(B256,Sheet3!$B$2:$E$312,3,)</f>
        <v>barang jadi</v>
      </c>
      <c r="E256" s="8" t="str">
        <f>VLOOKUP(B256,Sheet3!$B$2:$E$312,4,)</f>
        <v>PORSI</v>
      </c>
      <c r="F256" s="22">
        <v>7.0</v>
      </c>
      <c r="G256" s="22" t="s">
        <v>1216</v>
      </c>
      <c r="H256" s="22" t="s">
        <v>1305</v>
      </c>
      <c r="I256" s="23" t="s">
        <v>1446</v>
      </c>
      <c r="J256" s="7" t="s">
        <v>1487</v>
      </c>
    </row>
    <row r="257" ht="15.75" customHeight="1">
      <c r="A257" s="6"/>
      <c r="B257" s="21" t="s">
        <v>211</v>
      </c>
      <c r="C257" s="6" t="str">
        <f>VLOOKUP(B257,Sheet3!$B$2:$E$312,2,FALSE)</f>
        <v>B001-088</v>
      </c>
      <c r="D257" s="6" t="str">
        <f>VLOOKUP(B257,Sheet3!$B$2:$E$312,3,)</f>
        <v>bahan baku</v>
      </c>
      <c r="E257" s="8" t="str">
        <f>VLOOKUP(B257,Sheet3!$B$2:$E$312,4,)</f>
        <v>GR</v>
      </c>
      <c r="F257" s="22">
        <v>7675.0</v>
      </c>
      <c r="G257" s="22" t="s">
        <v>1333</v>
      </c>
      <c r="H257" s="22" t="s">
        <v>1417</v>
      </c>
      <c r="I257" s="7" t="s">
        <v>1444</v>
      </c>
    </row>
    <row r="258" ht="15.75" customHeight="1">
      <c r="A258" s="6"/>
      <c r="B258" s="21" t="s">
        <v>86</v>
      </c>
      <c r="C258" s="6" t="str">
        <f>VLOOKUP(B258,Sheet3!$B$2:$E$312,2,FALSE)</f>
        <v>B001-036</v>
      </c>
      <c r="D258" s="6" t="str">
        <f>VLOOKUP(B258,Sheet3!$B$2:$E$312,3,)</f>
        <v>bahan baku</v>
      </c>
      <c r="E258" s="8" t="str">
        <f>VLOOKUP(B258,Sheet3!$B$2:$E$312,4,)</f>
        <v>GR</v>
      </c>
      <c r="F258" s="22">
        <v>35.0</v>
      </c>
      <c r="G258" s="22" t="s">
        <v>1224</v>
      </c>
      <c r="H258" s="22" t="s">
        <v>1488</v>
      </c>
      <c r="I258" s="7" t="s">
        <v>1444</v>
      </c>
    </row>
    <row r="259" ht="15.75" customHeight="1">
      <c r="A259" s="6"/>
      <c r="B259" s="21" t="s">
        <v>91</v>
      </c>
      <c r="C259" s="6" t="str">
        <f>VLOOKUP(B259,Sheet3!$B$2:$E$312,2,FALSE)</f>
        <v>B001-038</v>
      </c>
      <c r="D259" s="6" t="str">
        <f>VLOOKUP(B259,Sheet3!$B$2:$E$312,3,)</f>
        <v>bahan baku</v>
      </c>
      <c r="E259" s="8" t="str">
        <f>VLOOKUP(B259,Sheet3!$B$2:$E$312,4,)</f>
        <v>PCS</v>
      </c>
      <c r="F259" s="22">
        <v>1.0</v>
      </c>
      <c r="G259" s="22" t="s">
        <v>1402</v>
      </c>
      <c r="H259" s="22" t="s">
        <v>1290</v>
      </c>
      <c r="I259" s="7" t="s">
        <v>1444</v>
      </c>
    </row>
    <row r="260" ht="15.75" customHeight="1">
      <c r="A260" s="6"/>
      <c r="B260" s="21" t="s">
        <v>1489</v>
      </c>
      <c r="C260" s="6" t="str">
        <f>VLOOKUP(B260,Sheet3!$B$2:$E$312,2,FALSE)</f>
        <v>#N/A</v>
      </c>
      <c r="D260" s="6" t="str">
        <f>VLOOKUP(B260,Sheet3!$B$2:$E$312,3,)</f>
        <v>#N/A</v>
      </c>
      <c r="E260" s="8" t="str">
        <f>VLOOKUP(B260,Sheet3!$B$2:$E$312,4,)</f>
        <v>#N/A</v>
      </c>
      <c r="F260" s="22">
        <v>535.0</v>
      </c>
      <c r="G260" s="22" t="s">
        <v>1490</v>
      </c>
      <c r="H260" s="22" t="s">
        <v>1290</v>
      </c>
      <c r="I260" s="7" t="s">
        <v>1444</v>
      </c>
    </row>
    <row r="261" ht="15.75" customHeight="1">
      <c r="A261" s="21" t="s">
        <v>1491</v>
      </c>
      <c r="B261" s="21" t="s">
        <v>23</v>
      </c>
      <c r="C261" s="6" t="str">
        <f>VLOOKUP(B261,Sheet3!$B$2:$E$312,2,FALSE)</f>
        <v>B001-004</v>
      </c>
      <c r="D261" s="6" t="str">
        <f>VLOOKUP(B261,Sheet3!$B$2:$E$312,3,)</f>
        <v>bahan baku</v>
      </c>
      <c r="E261" s="8" t="str">
        <f>VLOOKUP(B261,Sheet3!$B$2:$E$312,4,)</f>
        <v>PCS</v>
      </c>
      <c r="F261" s="22">
        <v>1.0</v>
      </c>
      <c r="G261" s="22" t="s">
        <v>1492</v>
      </c>
      <c r="H261" s="22" t="s">
        <v>1290</v>
      </c>
      <c r="I261" s="7" t="s">
        <v>1444</v>
      </c>
    </row>
    <row r="262" ht="15.75" customHeight="1">
      <c r="A262" s="6"/>
      <c r="B262" s="21" t="s">
        <v>250</v>
      </c>
      <c r="C262" s="6" t="str">
        <f>VLOOKUP(B262,Sheet3!$B$2:$E$312,2,FALSE)</f>
        <v>B001-110</v>
      </c>
      <c r="D262" s="6" t="str">
        <f>VLOOKUP(B262,Sheet3!$B$2:$E$312,3,)</f>
        <v>bahan baku</v>
      </c>
      <c r="E262" s="8" t="str">
        <f>VLOOKUP(B262,Sheet3!$B$2:$E$312,4,)</f>
        <v>GR</v>
      </c>
      <c r="F262" s="22">
        <v>460.0</v>
      </c>
      <c r="G262" s="22" t="s">
        <v>1245</v>
      </c>
      <c r="H262" s="22" t="s">
        <v>1228</v>
      </c>
      <c r="I262" s="7" t="s">
        <v>1444</v>
      </c>
    </row>
    <row r="263" ht="15.75" customHeight="1">
      <c r="A263" s="6"/>
      <c r="B263" s="21" t="s">
        <v>632</v>
      </c>
      <c r="C263" s="6" t="str">
        <f>VLOOKUP(B263,Sheet3!$B$2:$E$312,2,FALSE)</f>
        <v>P004-013</v>
      </c>
      <c r="D263" s="6" t="str">
        <f>VLOOKUP(B263,Sheet3!$B$2:$E$312,3,)</f>
        <v>barang jadi &amp; bahan baku</v>
      </c>
      <c r="E263" s="8" t="str">
        <f>VLOOKUP(B263,Sheet3!$B$2:$E$312,4,)</f>
        <v>PCS</v>
      </c>
      <c r="F263" s="22">
        <v>13.0</v>
      </c>
      <c r="G263" s="22" t="s">
        <v>1216</v>
      </c>
      <c r="H263" s="22" t="s">
        <v>1305</v>
      </c>
      <c r="I263" s="7" t="s">
        <v>1444</v>
      </c>
    </row>
    <row r="264" ht="15.75" customHeight="1">
      <c r="A264" s="6"/>
      <c r="B264" s="21" t="s">
        <v>211</v>
      </c>
      <c r="C264" s="6" t="str">
        <f>VLOOKUP(B264,Sheet3!$B$2:$E$312,2,FALSE)</f>
        <v>B001-088</v>
      </c>
      <c r="D264" s="6" t="str">
        <f>VLOOKUP(B264,Sheet3!$B$2:$E$312,3,)</f>
        <v>bahan baku</v>
      </c>
      <c r="E264" s="8" t="str">
        <f>VLOOKUP(B264,Sheet3!$B$2:$E$312,4,)</f>
        <v>GR</v>
      </c>
      <c r="F264" s="22">
        <v>12100.0</v>
      </c>
      <c r="G264" s="22" t="s">
        <v>1216</v>
      </c>
      <c r="H264" s="22" t="s">
        <v>1417</v>
      </c>
      <c r="I264" s="23" t="s">
        <v>1446</v>
      </c>
      <c r="J264" s="7" t="s">
        <v>1493</v>
      </c>
    </row>
    <row r="265" ht="15.75" customHeight="1">
      <c r="A265" s="6"/>
      <c r="B265" s="21" t="s">
        <v>28</v>
      </c>
      <c r="C265" s="6" t="str">
        <f>VLOOKUP(B265,Sheet3!$B$2:$E$312,2,FALSE)</f>
        <v>B001-006</v>
      </c>
      <c r="D265" s="6" t="str">
        <f>VLOOKUP(B265,Sheet3!$B$2:$E$312,3,)</f>
        <v>bahan baku</v>
      </c>
      <c r="E265" s="8" t="str">
        <f>VLOOKUP(B265,Sheet3!$B$2:$E$312,4,)</f>
        <v>GR</v>
      </c>
      <c r="F265" s="22">
        <v>39.0</v>
      </c>
      <c r="G265" s="22" t="s">
        <v>1445</v>
      </c>
      <c r="H265" s="22" t="s">
        <v>1290</v>
      </c>
      <c r="I265" s="7" t="s">
        <v>1444</v>
      </c>
    </row>
    <row r="266" ht="15.75" customHeight="1">
      <c r="A266" s="6"/>
      <c r="B266" s="21" t="s">
        <v>218</v>
      </c>
      <c r="C266" s="6" t="str">
        <f>VLOOKUP(B266,Sheet3!$B$2:$E$312,2,FALSE)</f>
        <v>B001-095</v>
      </c>
      <c r="D266" s="6" t="str">
        <f>VLOOKUP(B266,Sheet3!$B$2:$E$312,3,)</f>
        <v>bahan baku</v>
      </c>
      <c r="E266" s="8" t="str">
        <f>VLOOKUP(B266,Sheet3!$B$2:$E$312,4,)</f>
        <v>GR</v>
      </c>
      <c r="F266" s="22">
        <v>107.0</v>
      </c>
      <c r="G266" s="22" t="s">
        <v>1494</v>
      </c>
      <c r="H266" s="22" t="s">
        <v>1290</v>
      </c>
      <c r="I266" s="7" t="s">
        <v>1444</v>
      </c>
    </row>
    <row r="267" ht="15.75" customHeight="1">
      <c r="A267" s="6"/>
      <c r="B267" s="21" t="s">
        <v>298</v>
      </c>
      <c r="C267" s="6" t="str">
        <f>VLOOKUP(B267,Sheet3!$B$2:$E$312,2,FALSE)</f>
        <v>B001-125</v>
      </c>
      <c r="D267" s="6" t="str">
        <f>VLOOKUP(B267,Sheet3!$B$2:$E$312,3,)</f>
        <v>bahan baku</v>
      </c>
      <c r="E267" s="8" t="str">
        <f>VLOOKUP(B267,Sheet3!$B$2:$E$312,4,)</f>
        <v>GR</v>
      </c>
      <c r="F267" s="22">
        <v>47.0</v>
      </c>
      <c r="G267" s="22" t="s">
        <v>1445</v>
      </c>
      <c r="H267" s="22" t="s">
        <v>1290</v>
      </c>
      <c r="I267" s="7" t="s">
        <v>1444</v>
      </c>
    </row>
    <row r="268" ht="15.75" customHeight="1">
      <c r="A268" s="21" t="s">
        <v>1495</v>
      </c>
      <c r="B268" s="21" t="s">
        <v>720</v>
      </c>
      <c r="C268" s="6" t="str">
        <f>VLOOKUP(B268,Sheet3!$B$2:$E$312,2,FALSE)</f>
        <v>B002-005</v>
      </c>
      <c r="D268" s="6" t="str">
        <f>VLOOKUP(B268,Sheet3!$B$2:$E$312,3,)</f>
        <v>others</v>
      </c>
      <c r="E268" s="8" t="str">
        <f>VLOOKUP(B268,Sheet3!$B$2:$E$312,4,)</f>
        <v>PCS</v>
      </c>
      <c r="F268" s="22">
        <v>190.0</v>
      </c>
      <c r="G268" s="22" t="s">
        <v>1369</v>
      </c>
      <c r="H268" s="22" t="s">
        <v>1373</v>
      </c>
      <c r="I268" s="7" t="s">
        <v>1444</v>
      </c>
    </row>
    <row r="269" ht="15.75" customHeight="1">
      <c r="A269" s="6"/>
      <c r="B269" s="21" t="s">
        <v>79</v>
      </c>
      <c r="C269" s="6" t="str">
        <f>VLOOKUP(B269,Sheet3!$B$2:$E$312,2,FALSE)</f>
        <v>B001-033</v>
      </c>
      <c r="D269" s="6" t="str">
        <f>VLOOKUP(B269,Sheet3!$B$2:$E$312,3,)</f>
        <v>bahan baku</v>
      </c>
      <c r="E269" s="8" t="str">
        <f>VLOOKUP(B269,Sheet3!$B$2:$E$312,4,)</f>
        <v>PCS</v>
      </c>
      <c r="F269" s="22">
        <v>135.0</v>
      </c>
      <c r="G269" s="22" t="s">
        <v>1411</v>
      </c>
      <c r="H269" s="22" t="s">
        <v>1373</v>
      </c>
      <c r="I269" s="23" t="s">
        <v>1446</v>
      </c>
      <c r="J269" s="7" t="s">
        <v>1496</v>
      </c>
    </row>
    <row r="270" ht="15.75" customHeight="1">
      <c r="A270" s="6"/>
      <c r="B270" s="21" t="s">
        <v>148</v>
      </c>
      <c r="C270" s="6" t="str">
        <f>VLOOKUP(B270,Sheet3!$B$2:$E$312,2,FALSE)</f>
        <v>B001-064</v>
      </c>
      <c r="D270" s="6" t="str">
        <f>VLOOKUP(B270,Sheet3!$B$2:$E$312,3,)</f>
        <v>bahan baku</v>
      </c>
      <c r="E270" s="8" t="str">
        <f>VLOOKUP(B270,Sheet3!$B$2:$E$312,4,)</f>
        <v>GR</v>
      </c>
      <c r="F270" s="22">
        <v>89.0</v>
      </c>
      <c r="G270" s="22" t="s">
        <v>1445</v>
      </c>
      <c r="H270" s="22" t="s">
        <v>1225</v>
      </c>
      <c r="I270" s="7" t="s">
        <v>1444</v>
      </c>
    </row>
    <row r="271" ht="15.75" customHeight="1">
      <c r="A271" s="6"/>
      <c r="B271" s="21" t="s">
        <v>298</v>
      </c>
      <c r="C271" s="6" t="str">
        <f>VLOOKUP(B271,Sheet3!$B$2:$E$312,2,FALSE)</f>
        <v>B001-125</v>
      </c>
      <c r="D271" s="6" t="str">
        <f>VLOOKUP(B271,Sheet3!$B$2:$E$312,3,)</f>
        <v>bahan baku</v>
      </c>
      <c r="E271" s="8" t="str">
        <f>VLOOKUP(B271,Sheet3!$B$2:$E$312,4,)</f>
        <v>GR</v>
      </c>
      <c r="F271" s="22">
        <v>56.0</v>
      </c>
      <c r="G271" s="22" t="s">
        <v>1445</v>
      </c>
      <c r="H271" s="22" t="s">
        <v>1225</v>
      </c>
      <c r="I271" s="7" t="s">
        <v>1444</v>
      </c>
    </row>
    <row r="272" ht="15.75" customHeight="1">
      <c r="A272" s="6"/>
      <c r="B272" s="21" t="s">
        <v>28</v>
      </c>
      <c r="C272" s="6" t="str">
        <f>VLOOKUP(B272,Sheet3!$B$2:$E$312,2,FALSE)</f>
        <v>B001-006</v>
      </c>
      <c r="D272" s="6" t="str">
        <f>VLOOKUP(B272,Sheet3!$B$2:$E$312,3,)</f>
        <v>bahan baku</v>
      </c>
      <c r="E272" s="8" t="str">
        <f>VLOOKUP(B272,Sheet3!$B$2:$E$312,4,)</f>
        <v>GR</v>
      </c>
      <c r="F272" s="22">
        <v>78.0</v>
      </c>
      <c r="G272" s="22" t="s">
        <v>1445</v>
      </c>
      <c r="H272" s="22" t="s">
        <v>1225</v>
      </c>
      <c r="I272" s="23" t="s">
        <v>1446</v>
      </c>
      <c r="J272" s="7" t="s">
        <v>1497</v>
      </c>
    </row>
    <row r="273" ht="15.75" customHeight="1">
      <c r="A273" s="6"/>
      <c r="B273" s="21" t="s">
        <v>189</v>
      </c>
      <c r="C273" s="6" t="str">
        <f>VLOOKUP(B273,Sheet3!$B$2:$E$312,2,FALSE)</f>
        <v>B001-079</v>
      </c>
      <c r="D273" s="6" t="str">
        <f>VLOOKUP(B273,Sheet3!$B$2:$E$312,3,)</f>
        <v>bahan baku</v>
      </c>
      <c r="E273" s="8" t="str">
        <f>VLOOKUP(B273,Sheet3!$B$2:$E$312,4,)</f>
        <v>GR</v>
      </c>
      <c r="F273" s="22">
        <v>160.0</v>
      </c>
      <c r="G273" s="22" t="s">
        <v>1245</v>
      </c>
      <c r="H273" s="22" t="s">
        <v>1225</v>
      </c>
      <c r="I273" s="7" t="s">
        <v>1444</v>
      </c>
    </row>
    <row r="274" ht="15.75" customHeight="1">
      <c r="A274" s="6"/>
      <c r="B274" s="21" t="s">
        <v>632</v>
      </c>
      <c r="C274" s="6" t="str">
        <f>VLOOKUP(B274,Sheet3!$B$2:$E$312,2,FALSE)</f>
        <v>P004-013</v>
      </c>
      <c r="D274" s="6" t="str">
        <f>VLOOKUP(B274,Sheet3!$B$2:$E$312,3,)</f>
        <v>barang jadi &amp; bahan baku</v>
      </c>
      <c r="E274" s="8" t="str">
        <f>VLOOKUP(B274,Sheet3!$B$2:$E$312,4,)</f>
        <v>PCS</v>
      </c>
      <c r="F274" s="22">
        <v>17.0</v>
      </c>
      <c r="G274" s="22" t="s">
        <v>1216</v>
      </c>
      <c r="H274" s="22" t="s">
        <v>1305</v>
      </c>
      <c r="I274" s="7" t="s">
        <v>1444</v>
      </c>
    </row>
    <row r="275" ht="15.75" customHeight="1">
      <c r="A275" s="6"/>
      <c r="B275" s="21" t="s">
        <v>502</v>
      </c>
      <c r="C275" s="6" t="str">
        <f>VLOOKUP(B275,Sheet3!$B$2:$E$312,2,FALSE)</f>
        <v>S001-002</v>
      </c>
      <c r="D275" s="6" t="str">
        <f>VLOOKUP(B275,Sheet3!$B$2:$E$312,3,)</f>
        <v>barang jadi</v>
      </c>
      <c r="E275" s="8" t="str">
        <f>VLOOKUP(B275,Sheet3!$B$2:$E$312,4,)</f>
        <v>PORSI</v>
      </c>
      <c r="F275" s="22">
        <v>5.0</v>
      </c>
      <c r="G275" s="22" t="s">
        <v>1216</v>
      </c>
      <c r="H275" s="22" t="s">
        <v>1305</v>
      </c>
      <c r="I275" s="23" t="s">
        <v>1446</v>
      </c>
      <c r="J275" s="7" t="s">
        <v>1484</v>
      </c>
    </row>
    <row r="276" ht="15.75" customHeight="1">
      <c r="A276" s="6"/>
      <c r="B276" s="21" t="s">
        <v>657</v>
      </c>
      <c r="C276" s="6" t="str">
        <f>VLOOKUP(B276,Sheet3!$B$2:$E$312,2,FALSE)</f>
        <v>P004-023</v>
      </c>
      <c r="D276" s="6" t="str">
        <f>VLOOKUP(B276,Sheet3!$B$2:$E$312,3,)</f>
        <v>barang jadi &amp; bahan baku</v>
      </c>
      <c r="E276" s="8" t="str">
        <f>VLOOKUP(B276,Sheet3!$B$2:$E$312,4,)</f>
        <v>CC</v>
      </c>
      <c r="F276" s="22">
        <v>1100.0</v>
      </c>
      <c r="G276" s="22" t="s">
        <v>1216</v>
      </c>
      <c r="H276" s="22" t="s">
        <v>1228</v>
      </c>
      <c r="I276" s="7" t="s">
        <v>1444</v>
      </c>
    </row>
    <row r="277" ht="15.75" customHeight="1">
      <c r="A277" s="6"/>
      <c r="B277" s="21" t="s">
        <v>805</v>
      </c>
      <c r="C277" s="6" t="str">
        <f>VLOOKUP(B277,Sheet3!$B$2:$E$312,2,FALSE)</f>
        <v>#N/A</v>
      </c>
      <c r="D277" s="6" t="str">
        <f>VLOOKUP(B277,Sheet3!$B$2:$E$312,3,)</f>
        <v>#N/A</v>
      </c>
      <c r="E277" s="8" t="str">
        <f>VLOOKUP(B277,Sheet3!$B$2:$E$312,4,)</f>
        <v>#N/A</v>
      </c>
      <c r="F277" s="22">
        <v>600.0</v>
      </c>
      <c r="G277" s="22" t="s">
        <v>1216</v>
      </c>
      <c r="H277" s="22" t="s">
        <v>1228</v>
      </c>
      <c r="I277" s="7" t="s">
        <v>1444</v>
      </c>
    </row>
    <row r="278" ht="15.75" customHeight="1">
      <c r="A278" s="6"/>
      <c r="B278" s="21" t="s">
        <v>664</v>
      </c>
      <c r="C278" s="6" t="str">
        <f>VLOOKUP(B278,Sheet3!$B$2:$E$312,2,FALSE)</f>
        <v>P004-025</v>
      </c>
      <c r="D278" s="6" t="str">
        <f>VLOOKUP(B278,Sheet3!$B$2:$E$312,3,)</f>
        <v>barang jadi &amp; bahan baku</v>
      </c>
      <c r="E278" s="8" t="str">
        <f>VLOOKUP(B278,Sheet3!$B$2:$E$312,4,)</f>
        <v>ML</v>
      </c>
      <c r="F278" s="22">
        <v>1550.0</v>
      </c>
      <c r="G278" s="22" t="s">
        <v>1216</v>
      </c>
      <c r="H278" s="22" t="s">
        <v>1228</v>
      </c>
      <c r="I278" s="7" t="s">
        <v>1444</v>
      </c>
    </row>
    <row r="279" ht="15.75" customHeight="1">
      <c r="A279" s="21" t="s">
        <v>1498</v>
      </c>
      <c r="B279" s="21" t="s">
        <v>26</v>
      </c>
      <c r="C279" s="6" t="str">
        <f>VLOOKUP(B279,Sheet3!$B$2:$E$312,2,FALSE)</f>
        <v>B001-005</v>
      </c>
      <c r="D279" s="6" t="str">
        <f>VLOOKUP(B279,Sheet3!$B$2:$E$312,3,)</f>
        <v>bahan baku</v>
      </c>
      <c r="E279" s="8" t="str">
        <f>VLOOKUP(B279,Sheet3!$B$2:$E$312,4,)</f>
        <v>PCS</v>
      </c>
      <c r="F279" s="22">
        <v>1.0</v>
      </c>
      <c r="G279" s="22" t="s">
        <v>1224</v>
      </c>
      <c r="H279" s="22" t="s">
        <v>1290</v>
      </c>
      <c r="I279" s="7" t="s">
        <v>1444</v>
      </c>
    </row>
    <row r="280" ht="15.75" customHeight="1">
      <c r="A280" s="6"/>
      <c r="B280" s="21" t="s">
        <v>211</v>
      </c>
      <c r="C280" s="6" t="str">
        <f>VLOOKUP(B280,Sheet3!$B$2:$E$312,2,FALSE)</f>
        <v>B001-088</v>
      </c>
      <c r="D280" s="6" t="str">
        <f>VLOOKUP(B280,Sheet3!$B$2:$E$312,3,)</f>
        <v>bahan baku</v>
      </c>
      <c r="E280" s="8" t="str">
        <f>VLOOKUP(B280,Sheet3!$B$2:$E$312,4,)</f>
        <v>GR</v>
      </c>
      <c r="F280" s="22">
        <v>16380.0</v>
      </c>
      <c r="G280" s="22" t="s">
        <v>1475</v>
      </c>
      <c r="H280" s="22" t="s">
        <v>1417</v>
      </c>
      <c r="I280" s="7" t="s">
        <v>1444</v>
      </c>
    </row>
    <row r="281" ht="15.75" customHeight="1">
      <c r="A281" s="6"/>
      <c r="B281" s="21" t="s">
        <v>632</v>
      </c>
      <c r="C281" s="6" t="str">
        <f>VLOOKUP(B281,Sheet3!$B$2:$E$312,2,FALSE)</f>
        <v>P004-013</v>
      </c>
      <c r="D281" s="6" t="str">
        <f>VLOOKUP(B281,Sheet3!$B$2:$E$312,3,)</f>
        <v>barang jadi &amp; bahan baku</v>
      </c>
      <c r="E281" s="8" t="str">
        <f>VLOOKUP(B281,Sheet3!$B$2:$E$312,4,)</f>
        <v>PCS</v>
      </c>
      <c r="F281" s="22">
        <v>23.0</v>
      </c>
      <c r="G281" s="22" t="s">
        <v>1216</v>
      </c>
      <c r="H281" s="22" t="s">
        <v>1499</v>
      </c>
      <c r="I281" s="7" t="s">
        <v>1444</v>
      </c>
    </row>
    <row r="282" ht="15.75" customHeight="1">
      <c r="A282" s="6"/>
      <c r="B282" s="21" t="s">
        <v>664</v>
      </c>
      <c r="C282" s="6" t="str">
        <f>VLOOKUP(B282,Sheet3!$B$2:$E$312,2,FALSE)</f>
        <v>P004-025</v>
      </c>
      <c r="D282" s="6" t="str">
        <f>VLOOKUP(B282,Sheet3!$B$2:$E$312,3,)</f>
        <v>barang jadi &amp; bahan baku</v>
      </c>
      <c r="E282" s="8" t="str">
        <f>VLOOKUP(B282,Sheet3!$B$2:$E$312,4,)</f>
        <v>ML</v>
      </c>
      <c r="F282" s="22">
        <v>1000.0</v>
      </c>
      <c r="G282" s="22" t="s">
        <v>1216</v>
      </c>
      <c r="H282" s="22" t="s">
        <v>1228</v>
      </c>
      <c r="I282" s="7" t="s">
        <v>1444</v>
      </c>
    </row>
    <row r="283" ht="15.75" customHeight="1">
      <c r="A283" s="6"/>
      <c r="B283" s="21" t="s">
        <v>805</v>
      </c>
      <c r="C283" s="6" t="str">
        <f>VLOOKUP(B283,Sheet3!$B$2:$E$312,2,FALSE)</f>
        <v>#N/A</v>
      </c>
      <c r="D283" s="6" t="str">
        <f>VLOOKUP(B283,Sheet3!$B$2:$E$312,3,)</f>
        <v>#N/A</v>
      </c>
      <c r="E283" s="8" t="str">
        <f>VLOOKUP(B283,Sheet3!$B$2:$E$312,4,)</f>
        <v>#N/A</v>
      </c>
      <c r="F283" s="22">
        <v>1000.0</v>
      </c>
      <c r="G283" s="22" t="s">
        <v>1216</v>
      </c>
      <c r="H283" s="22" t="s">
        <v>1228</v>
      </c>
      <c r="I283" s="7" t="s">
        <v>1444</v>
      </c>
    </row>
    <row r="284" ht="15.75" customHeight="1">
      <c r="A284" s="6"/>
      <c r="B284" s="21" t="s">
        <v>28</v>
      </c>
      <c r="C284" s="6" t="str">
        <f>VLOOKUP(B284,Sheet3!$B$2:$E$312,2,FALSE)</f>
        <v>B001-006</v>
      </c>
      <c r="D284" s="6" t="str">
        <f>VLOOKUP(B284,Sheet3!$B$2:$E$312,3,)</f>
        <v>bahan baku</v>
      </c>
      <c r="E284" s="8" t="str">
        <f>VLOOKUP(B284,Sheet3!$B$2:$E$312,4,)</f>
        <v>GR</v>
      </c>
      <c r="F284" s="22">
        <v>33.0</v>
      </c>
      <c r="G284" s="22" t="s">
        <v>1445</v>
      </c>
      <c r="H284" s="22" t="s">
        <v>1225</v>
      </c>
      <c r="I284" s="7" t="s">
        <v>1444</v>
      </c>
    </row>
    <row r="285" ht="15.75" customHeight="1">
      <c r="A285" s="6"/>
      <c r="B285" s="21" t="s">
        <v>298</v>
      </c>
      <c r="C285" s="6" t="str">
        <f>VLOOKUP(B285,Sheet3!$B$2:$E$312,2,FALSE)</f>
        <v>B001-125</v>
      </c>
      <c r="D285" s="6" t="str">
        <f>VLOOKUP(B285,Sheet3!$B$2:$E$312,3,)</f>
        <v>bahan baku</v>
      </c>
      <c r="E285" s="8" t="str">
        <f>VLOOKUP(B285,Sheet3!$B$2:$E$312,4,)</f>
        <v>GR</v>
      </c>
      <c r="F285" s="22">
        <v>133.0</v>
      </c>
      <c r="G285" s="22" t="s">
        <v>1445</v>
      </c>
      <c r="H285" s="22" t="s">
        <v>1225</v>
      </c>
      <c r="I285" s="7" t="s">
        <v>1444</v>
      </c>
    </row>
    <row r="286" ht="15.75" customHeight="1">
      <c r="A286" s="21" t="s">
        <v>1500</v>
      </c>
      <c r="B286" s="21" t="s">
        <v>211</v>
      </c>
      <c r="C286" s="6" t="str">
        <f>VLOOKUP(B286,Sheet3!$B$2:$E$312,2,FALSE)</f>
        <v>B001-088</v>
      </c>
      <c r="D286" s="6" t="str">
        <f>VLOOKUP(B286,Sheet3!$B$2:$E$312,3,)</f>
        <v>bahan baku</v>
      </c>
      <c r="E286" s="8" t="str">
        <f>VLOOKUP(B286,Sheet3!$B$2:$E$312,4,)</f>
        <v>GR</v>
      </c>
      <c r="F286" s="22">
        <v>11000.0</v>
      </c>
      <c r="G286" s="22" t="s">
        <v>1333</v>
      </c>
      <c r="H286" s="22" t="s">
        <v>1417</v>
      </c>
      <c r="I286" s="7" t="s">
        <v>1444</v>
      </c>
    </row>
    <row r="287" ht="15.75" customHeight="1">
      <c r="A287" s="6"/>
      <c r="B287" s="21" t="s">
        <v>632</v>
      </c>
      <c r="C287" s="6" t="str">
        <f>VLOOKUP(B287,Sheet3!$B$2:$E$312,2,FALSE)</f>
        <v>P004-013</v>
      </c>
      <c r="D287" s="6" t="str">
        <f>VLOOKUP(B287,Sheet3!$B$2:$E$312,3,)</f>
        <v>barang jadi &amp; bahan baku</v>
      </c>
      <c r="E287" s="8" t="str">
        <f>VLOOKUP(B287,Sheet3!$B$2:$E$312,4,)</f>
        <v>PCS</v>
      </c>
      <c r="F287" s="22">
        <v>21.0</v>
      </c>
      <c r="G287" s="22" t="s">
        <v>1216</v>
      </c>
      <c r="H287" s="22" t="s">
        <v>1305</v>
      </c>
      <c r="I287" s="23" t="s">
        <v>1446</v>
      </c>
      <c r="J287" s="7" t="s">
        <v>1501</v>
      </c>
    </row>
    <row r="288" ht="15.75" customHeight="1">
      <c r="A288" s="6"/>
      <c r="B288" s="21" t="s">
        <v>532</v>
      </c>
      <c r="C288" s="6" t="str">
        <f>VLOOKUP(B288,Sheet3!$B$2:$E$312,2,FALSE)</f>
        <v>S002-007</v>
      </c>
      <c r="D288" s="6" t="str">
        <f>VLOOKUP(B288,Sheet3!$B$2:$E$312,3,)</f>
        <v>barang jadi</v>
      </c>
      <c r="E288" s="8" t="str">
        <f>VLOOKUP(B288,Sheet3!$B$2:$E$312,4,)</f>
        <v>PORSI</v>
      </c>
      <c r="F288" s="22">
        <v>5.0</v>
      </c>
      <c r="G288" s="22" t="s">
        <v>1216</v>
      </c>
      <c r="H288" s="22" t="s">
        <v>1305</v>
      </c>
      <c r="I288" s="23" t="s">
        <v>1446</v>
      </c>
      <c r="J288" s="7" t="s">
        <v>1502</v>
      </c>
    </row>
    <row r="289" ht="15.75" customHeight="1">
      <c r="A289" s="6"/>
      <c r="B289" s="21" t="s">
        <v>28</v>
      </c>
      <c r="C289" s="6" t="str">
        <f>VLOOKUP(B289,Sheet3!$B$2:$E$312,2,FALSE)</f>
        <v>B001-006</v>
      </c>
      <c r="D289" s="6" t="str">
        <f>VLOOKUP(B289,Sheet3!$B$2:$E$312,3,)</f>
        <v>bahan baku</v>
      </c>
      <c r="E289" s="8" t="str">
        <f>VLOOKUP(B289,Sheet3!$B$2:$E$312,4,)</f>
        <v>GR</v>
      </c>
      <c r="F289" s="22">
        <v>95.0</v>
      </c>
      <c r="G289" s="22" t="s">
        <v>1445</v>
      </c>
      <c r="H289" s="22" t="s">
        <v>1225</v>
      </c>
      <c r="I289" s="7" t="s">
        <v>1446</v>
      </c>
    </row>
    <row r="290" ht="15.75" customHeight="1">
      <c r="A290" s="6"/>
      <c r="B290" s="21" t="s">
        <v>148</v>
      </c>
      <c r="C290" s="6" t="str">
        <f>VLOOKUP(B290,Sheet3!$B$2:$E$312,2,FALSE)</f>
        <v>B001-064</v>
      </c>
      <c r="D290" s="6" t="str">
        <f>VLOOKUP(B290,Sheet3!$B$2:$E$312,3,)</f>
        <v>bahan baku</v>
      </c>
      <c r="E290" s="8" t="str">
        <f>VLOOKUP(B290,Sheet3!$B$2:$E$312,4,)</f>
        <v>GR</v>
      </c>
      <c r="F290" s="22">
        <v>63.0</v>
      </c>
      <c r="G290" s="22" t="s">
        <v>1445</v>
      </c>
      <c r="H290" s="22" t="s">
        <v>1225</v>
      </c>
      <c r="I290" s="7" t="s">
        <v>1444</v>
      </c>
    </row>
    <row r="291" ht="15.75" customHeight="1">
      <c r="A291" s="6"/>
      <c r="B291" s="21" t="s">
        <v>360</v>
      </c>
      <c r="C291" s="6" t="str">
        <f>VLOOKUP(B291,Sheet3!$B$2:$E$312,2,FALSE)</f>
        <v>D003-001</v>
      </c>
      <c r="D291" s="6" t="str">
        <f>VLOOKUP(B291,Sheet3!$B$2:$E$312,3,)</f>
        <v>barang jadi</v>
      </c>
      <c r="E291" s="8" t="str">
        <f>VLOOKUP(B291,Sheet3!$B$2:$E$312,4,)</f>
        <v>PORSI</v>
      </c>
      <c r="F291" s="22">
        <v>1.0</v>
      </c>
      <c r="G291" s="22" t="s">
        <v>1503</v>
      </c>
      <c r="H291" s="22" t="s">
        <v>1228</v>
      </c>
      <c r="I291" s="7" t="s">
        <v>1444</v>
      </c>
    </row>
    <row r="292" ht="15.75" customHeight="1">
      <c r="A292" s="21" t="s">
        <v>1504</v>
      </c>
      <c r="B292" s="21" t="s">
        <v>79</v>
      </c>
      <c r="C292" s="6" t="str">
        <f>VLOOKUP(B292,Sheet3!$B$2:$E$312,2,FALSE)</f>
        <v>B001-033</v>
      </c>
      <c r="D292" s="6" t="str">
        <f>VLOOKUP(B292,Sheet3!$B$2:$E$312,3,)</f>
        <v>bahan baku</v>
      </c>
      <c r="E292" s="8" t="str">
        <f>VLOOKUP(B292,Sheet3!$B$2:$E$312,4,)</f>
        <v>PCS</v>
      </c>
      <c r="F292" s="22">
        <v>99.0</v>
      </c>
      <c r="G292" s="22" t="s">
        <v>1411</v>
      </c>
      <c r="H292" s="22" t="s">
        <v>1373</v>
      </c>
      <c r="I292" s="23" t="s">
        <v>1446</v>
      </c>
      <c r="J292" s="7" t="s">
        <v>1505</v>
      </c>
    </row>
    <row r="293" ht="15.75" customHeight="1">
      <c r="A293" s="6"/>
      <c r="B293" s="21" t="s">
        <v>211</v>
      </c>
      <c r="C293" s="6" t="str">
        <f>VLOOKUP(B293,Sheet3!$B$2:$E$312,2,FALSE)</f>
        <v>B001-088</v>
      </c>
      <c r="D293" s="6" t="str">
        <f>VLOOKUP(B293,Sheet3!$B$2:$E$312,3,)</f>
        <v>bahan baku</v>
      </c>
      <c r="E293" s="8" t="str">
        <f>VLOOKUP(B293,Sheet3!$B$2:$E$312,4,)</f>
        <v>GR</v>
      </c>
      <c r="F293" s="22">
        <v>5000.0</v>
      </c>
      <c r="G293" s="22" t="s">
        <v>1475</v>
      </c>
      <c r="H293" s="22" t="s">
        <v>1441</v>
      </c>
      <c r="I293" s="7" t="s">
        <v>1444</v>
      </c>
    </row>
    <row r="294" ht="15.75" customHeight="1">
      <c r="A294" s="6"/>
      <c r="B294" s="21" t="s">
        <v>720</v>
      </c>
      <c r="C294" s="6" t="str">
        <f>VLOOKUP(B294,Sheet3!$B$2:$E$312,2,FALSE)</f>
        <v>B002-005</v>
      </c>
      <c r="D294" s="6" t="str">
        <f>VLOOKUP(B294,Sheet3!$B$2:$E$312,3,)</f>
        <v>others</v>
      </c>
      <c r="E294" s="8" t="str">
        <f>VLOOKUP(B294,Sheet3!$B$2:$E$312,4,)</f>
        <v>PCS</v>
      </c>
      <c r="F294" s="22">
        <v>234.0</v>
      </c>
      <c r="G294" s="22" t="s">
        <v>1369</v>
      </c>
      <c r="H294" s="22" t="s">
        <v>1373</v>
      </c>
      <c r="I294" s="7" t="s">
        <v>1444</v>
      </c>
    </row>
    <row r="295" ht="15.75" customHeight="1">
      <c r="A295" s="6"/>
      <c r="B295" s="21" t="s">
        <v>805</v>
      </c>
      <c r="C295" s="6" t="str">
        <f>VLOOKUP(B295,Sheet3!$B$2:$E$312,2,FALSE)</f>
        <v>#N/A</v>
      </c>
      <c r="D295" s="6" t="str">
        <f>VLOOKUP(B295,Sheet3!$B$2:$E$312,3,)</f>
        <v>#N/A</v>
      </c>
      <c r="E295" s="8" t="str">
        <f>VLOOKUP(B295,Sheet3!$B$2:$E$312,4,)</f>
        <v>#N/A</v>
      </c>
      <c r="F295" s="22">
        <v>1750.0</v>
      </c>
      <c r="G295" s="22" t="s">
        <v>1216</v>
      </c>
      <c r="H295" s="22" t="s">
        <v>1373</v>
      </c>
      <c r="I295" s="7" t="s">
        <v>1444</v>
      </c>
    </row>
    <row r="296" ht="15.75" customHeight="1">
      <c r="A296" s="6"/>
      <c r="B296" s="21" t="s">
        <v>657</v>
      </c>
      <c r="C296" s="6" t="str">
        <f>VLOOKUP(B296,Sheet3!$B$2:$E$312,2,FALSE)</f>
        <v>P004-023</v>
      </c>
      <c r="D296" s="6" t="str">
        <f>VLOOKUP(B296,Sheet3!$B$2:$E$312,3,)</f>
        <v>barang jadi &amp; bahan baku</v>
      </c>
      <c r="E296" s="8" t="str">
        <f>VLOOKUP(B296,Sheet3!$B$2:$E$312,4,)</f>
        <v>CC</v>
      </c>
      <c r="F296" s="22">
        <v>600.0</v>
      </c>
      <c r="G296" s="22" t="s">
        <v>1216</v>
      </c>
      <c r="H296" s="22" t="s">
        <v>1373</v>
      </c>
      <c r="I296" s="7" t="s">
        <v>1444</v>
      </c>
    </row>
    <row r="297" ht="15.75" customHeight="1">
      <c r="A297" s="6"/>
      <c r="B297" s="21" t="s">
        <v>664</v>
      </c>
      <c r="C297" s="6" t="str">
        <f>VLOOKUP(B297,Sheet3!$B$2:$E$312,2,FALSE)</f>
        <v>P004-025</v>
      </c>
      <c r="D297" s="6" t="str">
        <f>VLOOKUP(B297,Sheet3!$B$2:$E$312,3,)</f>
        <v>barang jadi &amp; bahan baku</v>
      </c>
      <c r="E297" s="8" t="str">
        <f>VLOOKUP(B297,Sheet3!$B$2:$E$312,4,)</f>
        <v>ML</v>
      </c>
      <c r="F297" s="22">
        <v>600.0</v>
      </c>
      <c r="G297" s="22" t="s">
        <v>1216</v>
      </c>
      <c r="H297" s="22" t="s">
        <v>1373</v>
      </c>
      <c r="I297" s="7" t="s">
        <v>1444</v>
      </c>
    </row>
    <row r="298" ht="15.75" customHeight="1">
      <c r="A298" s="6"/>
      <c r="B298" s="21" t="s">
        <v>653</v>
      </c>
      <c r="C298" s="6" t="str">
        <f>VLOOKUP(B298,Sheet3!$B$2:$E$312,2,FALSE)</f>
        <v>P004-022</v>
      </c>
      <c r="D298" s="6" t="str">
        <f>VLOOKUP(B298,Sheet3!$B$2:$E$312,3,)</f>
        <v>barang jadi &amp; bahan baku</v>
      </c>
      <c r="E298" s="8" t="str">
        <f>VLOOKUP(B298,Sheet3!$B$2:$E$312,4,)</f>
        <v>CC</v>
      </c>
      <c r="F298" s="22">
        <v>450.0</v>
      </c>
      <c r="G298" s="22" t="s">
        <v>1216</v>
      </c>
      <c r="H298" s="22" t="s">
        <v>1373</v>
      </c>
      <c r="I298" s="7" t="s">
        <v>1444</v>
      </c>
    </row>
    <row r="299" ht="15.75" customHeight="1">
      <c r="A299" s="6"/>
      <c r="B299" s="21" t="s">
        <v>632</v>
      </c>
      <c r="C299" s="6" t="str">
        <f>VLOOKUP(B299,Sheet3!$B$2:$E$312,2,FALSE)</f>
        <v>P004-013</v>
      </c>
      <c r="D299" s="6" t="str">
        <f>VLOOKUP(B299,Sheet3!$B$2:$E$312,3,)</f>
        <v>barang jadi &amp; bahan baku</v>
      </c>
      <c r="E299" s="8" t="str">
        <f>VLOOKUP(B299,Sheet3!$B$2:$E$312,4,)</f>
        <v>PCS</v>
      </c>
      <c r="F299" s="22">
        <v>32.0</v>
      </c>
      <c r="G299" s="22" t="s">
        <v>1216</v>
      </c>
      <c r="H299" s="22" t="s">
        <v>1305</v>
      </c>
      <c r="I299" s="23" t="s">
        <v>1446</v>
      </c>
      <c r="J299" s="7" t="s">
        <v>1506</v>
      </c>
    </row>
    <row r="300" ht="15.75" customHeight="1">
      <c r="A300" s="6"/>
      <c r="B300" s="21" t="s">
        <v>502</v>
      </c>
      <c r="C300" s="6" t="str">
        <f>VLOOKUP(B300,Sheet3!$B$2:$E$312,2,FALSE)</f>
        <v>S001-002</v>
      </c>
      <c r="D300" s="6" t="str">
        <f>VLOOKUP(B300,Sheet3!$B$2:$E$312,3,)</f>
        <v>barang jadi</v>
      </c>
      <c r="E300" s="8" t="str">
        <f>VLOOKUP(B300,Sheet3!$B$2:$E$312,4,)</f>
        <v>PORSI</v>
      </c>
      <c r="F300" s="22">
        <v>5.0</v>
      </c>
      <c r="G300" s="22" t="s">
        <v>1216</v>
      </c>
      <c r="H300" s="22" t="s">
        <v>1305</v>
      </c>
      <c r="I300" s="23" t="s">
        <v>1446</v>
      </c>
      <c r="J300" s="7" t="s">
        <v>1484</v>
      </c>
    </row>
    <row r="301" ht="15.75" customHeight="1">
      <c r="A301" s="6"/>
      <c r="B301" s="21" t="s">
        <v>416</v>
      </c>
      <c r="C301" s="6" t="str">
        <f>VLOOKUP(B301,Sheet3!$B$2:$E$312,2,FALSE)</f>
        <v>J001-004</v>
      </c>
      <c r="D301" s="6" t="str">
        <f>VLOOKUP(B301,Sheet3!$B$2:$E$312,3,)</f>
        <v>barang jadi</v>
      </c>
      <c r="E301" s="8" t="str">
        <f>VLOOKUP(B301,Sheet3!$B$2:$E$312,4,)</f>
        <v>PORSI</v>
      </c>
      <c r="F301" s="22">
        <v>1.0</v>
      </c>
      <c r="G301" s="22" t="s">
        <v>1216</v>
      </c>
      <c r="H301" s="22" t="s">
        <v>1305</v>
      </c>
      <c r="I301" s="7" t="s">
        <v>1444</v>
      </c>
    </row>
    <row r="302" ht="15.75" customHeight="1">
      <c r="A302" s="21" t="s">
        <v>1507</v>
      </c>
      <c r="B302" s="21" t="s">
        <v>250</v>
      </c>
      <c r="C302" s="6" t="str">
        <f>VLOOKUP(B302,Sheet3!$B$2:$E$312,2,FALSE)</f>
        <v>B001-110</v>
      </c>
      <c r="D302" s="6" t="str">
        <f>VLOOKUP(B302,Sheet3!$B$2:$E$312,3,)</f>
        <v>bahan baku</v>
      </c>
      <c r="E302" s="8" t="str">
        <f>VLOOKUP(B302,Sheet3!$B$2:$E$312,4,)</f>
        <v>GR</v>
      </c>
      <c r="F302" s="22">
        <v>388.0</v>
      </c>
      <c r="G302" s="22" t="s">
        <v>1245</v>
      </c>
      <c r="H302" s="22" t="s">
        <v>1373</v>
      </c>
      <c r="I302" s="7" t="s">
        <v>1444</v>
      </c>
    </row>
    <row r="303" ht="15.75" customHeight="1">
      <c r="A303" s="6"/>
      <c r="B303" s="21" t="s">
        <v>211</v>
      </c>
      <c r="C303" s="6" t="str">
        <f>VLOOKUP(B303,Sheet3!$B$2:$E$312,2,FALSE)</f>
        <v>B001-088</v>
      </c>
      <c r="D303" s="6" t="str">
        <f>VLOOKUP(B303,Sheet3!$B$2:$E$312,3,)</f>
        <v>bahan baku</v>
      </c>
      <c r="E303" s="8" t="str">
        <f>VLOOKUP(B303,Sheet3!$B$2:$E$312,4,)</f>
        <v>GR</v>
      </c>
      <c r="F303" s="22">
        <v>3675.0</v>
      </c>
      <c r="G303" s="22" t="s">
        <v>1475</v>
      </c>
      <c r="H303" s="22" t="s">
        <v>1441</v>
      </c>
      <c r="I303" s="7" t="s">
        <v>1444</v>
      </c>
    </row>
    <row r="304" ht="15.75" customHeight="1">
      <c r="A304" s="6"/>
      <c r="B304" s="21" t="s">
        <v>632</v>
      </c>
      <c r="C304" s="6" t="str">
        <f>VLOOKUP(B304,Sheet3!$B$2:$E$312,2,FALSE)</f>
        <v>P004-013</v>
      </c>
      <c r="D304" s="6" t="str">
        <f>VLOOKUP(B304,Sheet3!$B$2:$E$312,3,)</f>
        <v>barang jadi &amp; bahan baku</v>
      </c>
      <c r="E304" s="8" t="str">
        <f>VLOOKUP(B304,Sheet3!$B$2:$E$312,4,)</f>
        <v>PCS</v>
      </c>
      <c r="F304" s="22">
        <v>2.0</v>
      </c>
      <c r="G304" s="22" t="s">
        <v>1216</v>
      </c>
      <c r="H304" s="22" t="s">
        <v>1225</v>
      </c>
      <c r="I304" s="7" t="s">
        <v>1444</v>
      </c>
    </row>
    <row r="305" ht="15.75" customHeight="1">
      <c r="A305" s="6"/>
      <c r="B305" s="21" t="s">
        <v>634</v>
      </c>
      <c r="C305" s="6" t="str">
        <f>VLOOKUP(B305,Sheet3!$B$2:$E$312,2,FALSE)</f>
        <v>P004-014</v>
      </c>
      <c r="D305" s="6" t="str">
        <f>VLOOKUP(B305,Sheet3!$B$2:$E$312,3,)</f>
        <v>barang jadi &amp; bahan baku</v>
      </c>
      <c r="E305" s="8" t="str">
        <f>VLOOKUP(B305,Sheet3!$B$2:$E$312,4,)</f>
        <v>GR</v>
      </c>
      <c r="F305" s="22">
        <v>284.0</v>
      </c>
      <c r="G305" s="22" t="s">
        <v>1508</v>
      </c>
      <c r="H305" s="22" t="s">
        <v>1225</v>
      </c>
      <c r="I305" s="7" t="s">
        <v>1444</v>
      </c>
    </row>
    <row r="306" ht="15.75" customHeight="1">
      <c r="A306" s="6"/>
      <c r="B306" s="21" t="s">
        <v>657</v>
      </c>
      <c r="C306" s="6" t="str">
        <f>VLOOKUP(B306,Sheet3!$B$2:$E$312,2,FALSE)</f>
        <v>P004-023</v>
      </c>
      <c r="D306" s="6" t="str">
        <f>VLOOKUP(B306,Sheet3!$B$2:$E$312,3,)</f>
        <v>barang jadi &amp; bahan baku</v>
      </c>
      <c r="E306" s="8" t="str">
        <f>VLOOKUP(B306,Sheet3!$B$2:$E$312,4,)</f>
        <v>CC</v>
      </c>
      <c r="F306" s="22">
        <v>450.0</v>
      </c>
      <c r="G306" s="22" t="s">
        <v>1216</v>
      </c>
      <c r="H306" s="22" t="s">
        <v>1373</v>
      </c>
      <c r="I306" s="7" t="s">
        <v>1444</v>
      </c>
    </row>
    <row r="307" ht="15.75" customHeight="1">
      <c r="A307" s="6"/>
      <c r="B307" s="21" t="s">
        <v>653</v>
      </c>
      <c r="C307" s="6" t="str">
        <f>VLOOKUP(B307,Sheet3!$B$2:$E$312,2,FALSE)</f>
        <v>P004-022</v>
      </c>
      <c r="D307" s="6" t="str">
        <f>VLOOKUP(B307,Sheet3!$B$2:$E$312,3,)</f>
        <v>barang jadi &amp; bahan baku</v>
      </c>
      <c r="E307" s="8" t="str">
        <f>VLOOKUP(B307,Sheet3!$B$2:$E$312,4,)</f>
        <v>CC</v>
      </c>
      <c r="F307" s="22">
        <v>50.0</v>
      </c>
      <c r="G307" s="22" t="s">
        <v>1216</v>
      </c>
      <c r="H307" s="22" t="s">
        <v>1373</v>
      </c>
      <c r="I307" s="7" t="s">
        <v>1444</v>
      </c>
    </row>
    <row r="308" ht="15.75" customHeight="1">
      <c r="A308" s="6"/>
      <c r="B308" s="21" t="s">
        <v>720</v>
      </c>
      <c r="C308" s="6" t="str">
        <f>VLOOKUP(B308,Sheet3!$B$2:$E$312,2,FALSE)</f>
        <v>B002-005</v>
      </c>
      <c r="D308" s="6" t="str">
        <f>VLOOKUP(B308,Sheet3!$B$2:$E$312,3,)</f>
        <v>others</v>
      </c>
      <c r="E308" s="8" t="str">
        <f>VLOOKUP(B308,Sheet3!$B$2:$E$312,4,)</f>
        <v>PCS</v>
      </c>
      <c r="F308" s="22">
        <v>10.0</v>
      </c>
      <c r="G308" s="22" t="s">
        <v>1369</v>
      </c>
      <c r="H308" s="22" t="s">
        <v>1373</v>
      </c>
      <c r="I308" s="7" t="s">
        <v>1444</v>
      </c>
    </row>
    <row r="309" ht="15.75" customHeight="1">
      <c r="A309" s="6"/>
      <c r="B309" s="21" t="s">
        <v>148</v>
      </c>
      <c r="C309" s="6" t="str">
        <f>VLOOKUP(B309,Sheet3!$B$2:$E$312,2,FALSE)</f>
        <v>B001-064</v>
      </c>
      <c r="D309" s="6" t="str">
        <f>VLOOKUP(B309,Sheet3!$B$2:$E$312,3,)</f>
        <v>bahan baku</v>
      </c>
      <c r="E309" s="8" t="str">
        <f>VLOOKUP(B309,Sheet3!$B$2:$E$312,4,)</f>
        <v>GR</v>
      </c>
      <c r="F309" s="22">
        <v>53.0</v>
      </c>
      <c r="G309" s="22" t="s">
        <v>1224</v>
      </c>
      <c r="H309" s="22" t="s">
        <v>1509</v>
      </c>
      <c r="I309" s="7" t="s">
        <v>1444</v>
      </c>
    </row>
    <row r="310" ht="15.75" customHeight="1">
      <c r="A310" s="6"/>
      <c r="B310" s="21" t="s">
        <v>629</v>
      </c>
      <c r="C310" s="6" t="str">
        <f>VLOOKUP(B310,Sheet3!$B$2:$E$312,2,FALSE)</f>
        <v>P004-012</v>
      </c>
      <c r="D310" s="6" t="str">
        <f>VLOOKUP(B310,Sheet3!$B$2:$E$312,3,)</f>
        <v>barang jadi &amp; bahan baku</v>
      </c>
      <c r="E310" s="8" t="str">
        <f>VLOOKUP(B310,Sheet3!$B$2:$E$312,4,)</f>
        <v>GR</v>
      </c>
      <c r="F310" s="22">
        <v>118.0</v>
      </c>
      <c r="G310" s="22" t="s">
        <v>1245</v>
      </c>
      <c r="H310" s="22" t="s">
        <v>1509</v>
      </c>
      <c r="I310" s="7" t="s">
        <v>1444</v>
      </c>
    </row>
    <row r="311" ht="15.75" customHeight="1">
      <c r="A311" s="6"/>
      <c r="B311" s="21" t="s">
        <v>148</v>
      </c>
      <c r="C311" s="6" t="str">
        <f>VLOOKUP(B311,Sheet3!$B$2:$E$312,2,FALSE)</f>
        <v>B001-064</v>
      </c>
      <c r="D311" s="6" t="str">
        <f>VLOOKUP(B311,Sheet3!$B$2:$E$312,3,)</f>
        <v>bahan baku</v>
      </c>
      <c r="E311" s="8" t="str">
        <f>VLOOKUP(B311,Sheet3!$B$2:$E$312,4,)</f>
        <v>GR</v>
      </c>
      <c r="F311" s="22">
        <v>46.0</v>
      </c>
      <c r="G311" s="22" t="s">
        <v>1445</v>
      </c>
      <c r="H311" s="22" t="s">
        <v>1509</v>
      </c>
      <c r="I311" s="7" t="s">
        <v>1444</v>
      </c>
    </row>
    <row r="312" ht="15.75" customHeight="1">
      <c r="A312" s="6"/>
      <c r="B312" s="21" t="s">
        <v>28</v>
      </c>
      <c r="C312" s="6" t="str">
        <f>VLOOKUP(B312,Sheet3!$B$2:$E$312,2,FALSE)</f>
        <v>B001-006</v>
      </c>
      <c r="D312" s="6" t="str">
        <f>VLOOKUP(B312,Sheet3!$B$2:$E$312,3,)</f>
        <v>bahan baku</v>
      </c>
      <c r="E312" s="8" t="str">
        <f>VLOOKUP(B312,Sheet3!$B$2:$E$312,4,)</f>
        <v>GR</v>
      </c>
      <c r="F312" s="22">
        <v>13.0</v>
      </c>
      <c r="G312" s="22" t="s">
        <v>1445</v>
      </c>
      <c r="H312" s="22" t="s">
        <v>1509</v>
      </c>
      <c r="I312" s="7" t="s">
        <v>1444</v>
      </c>
    </row>
    <row r="313" ht="15.75" customHeight="1">
      <c r="A313" s="6"/>
      <c r="B313" s="21"/>
      <c r="C313" s="6" t="str">
        <f>VLOOKUP(B313,Sheet3!$B$2:$E$312,2,FALSE)</f>
        <v>#N/A</v>
      </c>
      <c r="D313" s="6" t="str">
        <f>VLOOKUP(B313,Sheet3!$B$2:$E$312,3,)</f>
        <v>#N/A</v>
      </c>
      <c r="E313" s="8" t="str">
        <f>VLOOKUP(B313,Sheet3!$B$2:$E$312,4,)</f>
        <v>#N/A</v>
      </c>
      <c r="F313" s="8"/>
      <c r="G313" s="8"/>
      <c r="H313" s="8"/>
    </row>
    <row r="314" ht="15.75" customHeight="1">
      <c r="A314" s="6"/>
      <c r="B314" s="6"/>
      <c r="C314" s="6" t="str">
        <f>VLOOKUP(B314,Sheet3!$B$2:$E$312,2,FALSE)</f>
        <v>#N/A</v>
      </c>
      <c r="D314" s="6" t="str">
        <f>VLOOKUP(B314,Sheet3!$B$2:$E$312,3,)</f>
        <v>#N/A</v>
      </c>
      <c r="E314" s="8" t="str">
        <f>VLOOKUP(B314,Sheet3!$B$2:$E$312,4,)</f>
        <v>#N/A</v>
      </c>
      <c r="F314" s="8"/>
      <c r="G314" s="8"/>
      <c r="H314" s="8"/>
    </row>
    <row r="315" ht="15.75" customHeight="1">
      <c r="A315" s="6"/>
      <c r="B315" s="6"/>
      <c r="C315" s="6" t="str">
        <f>VLOOKUP(B315,Sheet3!$B$2:$E$312,2,FALSE)</f>
        <v>#N/A</v>
      </c>
      <c r="D315" s="6" t="str">
        <f>VLOOKUP(B315,Sheet3!$B$2:$E$312,3,)</f>
        <v>#N/A</v>
      </c>
      <c r="E315" s="8" t="str">
        <f>VLOOKUP(B315,Sheet3!$B$2:$E$312,4,)</f>
        <v>#N/A</v>
      </c>
      <c r="F315" s="8"/>
      <c r="G315" s="8"/>
      <c r="H315" s="8"/>
    </row>
    <row r="316" ht="15.75" customHeight="1">
      <c r="A316" s="6"/>
      <c r="B316" s="6"/>
      <c r="C316" s="6" t="str">
        <f>VLOOKUP(B316,Sheet3!$B$2:$E$312,2,FALSE)</f>
        <v>#N/A</v>
      </c>
      <c r="D316" s="6" t="str">
        <f>VLOOKUP(B316,Sheet3!$B$2:$E$312,3,)</f>
        <v>#N/A</v>
      </c>
      <c r="E316" s="8" t="str">
        <f>VLOOKUP(B316,Sheet3!$B$2:$E$312,4,)</f>
        <v>#N/A</v>
      </c>
      <c r="F316" s="8"/>
      <c r="G316" s="8"/>
      <c r="H316" s="8"/>
    </row>
    <row r="317" ht="15.75" customHeight="1">
      <c r="A317" s="6"/>
      <c r="B317" s="6"/>
      <c r="C317" s="6" t="str">
        <f>VLOOKUP(B317,Sheet3!$B$2:$E$312,2,FALSE)</f>
        <v>#N/A</v>
      </c>
      <c r="D317" s="6" t="str">
        <f>VLOOKUP(B317,Sheet3!$B$2:$E$312,3,)</f>
        <v>#N/A</v>
      </c>
      <c r="E317" s="8" t="str">
        <f>VLOOKUP(B317,Sheet3!$B$2:$E$312,4,)</f>
        <v>#N/A</v>
      </c>
      <c r="F317" s="8"/>
      <c r="G317" s="8"/>
      <c r="H317" s="8"/>
    </row>
    <row r="318" ht="15.75" customHeight="1">
      <c r="A318" s="6"/>
      <c r="B318" s="6"/>
      <c r="C318" s="6" t="str">
        <f>VLOOKUP(B318,Sheet3!$B$2:$E$312,2,FALSE)</f>
        <v>#N/A</v>
      </c>
      <c r="D318" s="6" t="str">
        <f>VLOOKUP(B318,Sheet3!$B$2:$E$312,3,)</f>
        <v>#N/A</v>
      </c>
      <c r="E318" s="8" t="str">
        <f>VLOOKUP(B318,Sheet3!$B$2:$E$312,4,)</f>
        <v>#N/A</v>
      </c>
      <c r="F318" s="8"/>
      <c r="G318" s="8"/>
      <c r="H318" s="8"/>
    </row>
    <row r="319" ht="15.75" customHeight="1">
      <c r="A319" s="6"/>
      <c r="B319" s="6"/>
      <c r="C319" s="6" t="str">
        <f>VLOOKUP(B319,Sheet3!$B$2:$E$312,2,FALSE)</f>
        <v>#N/A</v>
      </c>
      <c r="D319" s="6" t="str">
        <f>VLOOKUP(B319,Sheet3!$B$2:$E$312,3,)</f>
        <v>#N/A</v>
      </c>
      <c r="E319" s="8" t="str">
        <f>VLOOKUP(B319,Sheet3!$B$2:$E$312,4,)</f>
        <v>#N/A</v>
      </c>
      <c r="F319" s="8"/>
      <c r="G319" s="8"/>
      <c r="H319" s="8"/>
    </row>
    <row r="320" ht="15.75" customHeight="1">
      <c r="A320" s="6"/>
      <c r="B320" s="6"/>
      <c r="C320" s="6" t="str">
        <f>VLOOKUP(B320,Sheet3!$B$2:$E$312,2,FALSE)</f>
        <v>#N/A</v>
      </c>
      <c r="D320" s="6" t="str">
        <f>VLOOKUP(B320,Sheet3!$B$2:$E$312,3,)</f>
        <v>#N/A</v>
      </c>
      <c r="E320" s="8" t="str">
        <f>VLOOKUP(B320,Sheet3!$B$2:$E$312,4,)</f>
        <v>#N/A</v>
      </c>
      <c r="F320" s="8"/>
      <c r="G320" s="8"/>
      <c r="H320" s="8"/>
    </row>
    <row r="321" ht="15.75" customHeight="1">
      <c r="A321" s="6"/>
      <c r="B321" s="6"/>
      <c r="C321" s="6" t="str">
        <f>VLOOKUP(B321,Sheet3!$B$2:$E$312,2,FALSE)</f>
        <v>#N/A</v>
      </c>
      <c r="D321" s="6" t="str">
        <f>VLOOKUP(B321,Sheet3!$B$2:$E$312,3,)</f>
        <v>#N/A</v>
      </c>
      <c r="E321" s="8" t="str">
        <f>VLOOKUP(B321,Sheet3!$B$2:$E$312,4,)</f>
        <v>#N/A</v>
      </c>
      <c r="F321" s="8"/>
      <c r="G321" s="8"/>
      <c r="H321" s="8"/>
    </row>
    <row r="322" ht="15.75" customHeight="1">
      <c r="A322" s="6"/>
      <c r="B322" s="6"/>
      <c r="C322" s="6" t="str">
        <f>VLOOKUP(B322,Sheet3!$B$2:$E$312,2,FALSE)</f>
        <v>#N/A</v>
      </c>
      <c r="D322" s="6" t="str">
        <f>VLOOKUP(B322,Sheet3!$B$2:$E$312,3,)</f>
        <v>#N/A</v>
      </c>
      <c r="E322" s="8" t="str">
        <f>VLOOKUP(B322,Sheet3!$B$2:$E$312,4,)</f>
        <v>#N/A</v>
      </c>
      <c r="F322" s="8"/>
      <c r="G322" s="8"/>
      <c r="H322" s="8"/>
    </row>
    <row r="323" ht="15.75" customHeight="1">
      <c r="A323" s="6"/>
      <c r="B323" s="6"/>
      <c r="C323" s="6" t="str">
        <f>VLOOKUP(B323,Sheet3!$B$2:$E$312,2,FALSE)</f>
        <v>#N/A</v>
      </c>
      <c r="D323" s="6" t="str">
        <f>VLOOKUP(B323,Sheet3!$B$2:$E$312,3,)</f>
        <v>#N/A</v>
      </c>
      <c r="E323" s="8" t="str">
        <f>VLOOKUP(B323,Sheet3!$B$2:$E$312,4,)</f>
        <v>#N/A</v>
      </c>
      <c r="F323" s="8"/>
      <c r="G323" s="8"/>
      <c r="H323" s="8"/>
    </row>
    <row r="324" ht="15.75" customHeight="1">
      <c r="A324" s="6"/>
      <c r="B324" s="6"/>
      <c r="C324" s="6" t="str">
        <f>VLOOKUP(B324,Sheet3!$B$2:$E$312,2,FALSE)</f>
        <v>#N/A</v>
      </c>
      <c r="D324" s="6" t="str">
        <f>VLOOKUP(B324,Sheet3!$B$2:$E$312,3,)</f>
        <v>#N/A</v>
      </c>
      <c r="E324" s="8" t="str">
        <f>VLOOKUP(B324,Sheet3!$B$2:$E$312,4,)</f>
        <v>#N/A</v>
      </c>
      <c r="F324" s="8"/>
      <c r="G324" s="8"/>
      <c r="H324" s="8"/>
    </row>
    <row r="325" ht="15.75" customHeight="1">
      <c r="A325" s="6"/>
      <c r="B325" s="6"/>
      <c r="C325" s="6" t="str">
        <f>VLOOKUP(B325,Sheet3!$B$2:$E$312,2,FALSE)</f>
        <v>#N/A</v>
      </c>
      <c r="D325" s="6" t="str">
        <f>VLOOKUP(B325,Sheet3!$B$2:$E$312,3,)</f>
        <v>#N/A</v>
      </c>
      <c r="E325" s="8" t="str">
        <f>VLOOKUP(B325,Sheet3!$B$2:$E$312,4,)</f>
        <v>#N/A</v>
      </c>
      <c r="F325" s="8"/>
      <c r="G325" s="8"/>
      <c r="H325" s="8"/>
    </row>
    <row r="326" ht="15.75" customHeight="1">
      <c r="A326" s="6"/>
      <c r="B326" s="6"/>
      <c r="C326" s="6" t="str">
        <f>VLOOKUP(B326,Sheet3!$B$2:$E$312,2,FALSE)</f>
        <v>#N/A</v>
      </c>
      <c r="D326" s="6" t="str">
        <f>VLOOKUP(B326,Sheet3!$B$2:$E$312,3,)</f>
        <v>#N/A</v>
      </c>
      <c r="E326" s="8" t="str">
        <f>VLOOKUP(B326,Sheet3!$B$2:$E$312,4,)</f>
        <v>#N/A</v>
      </c>
      <c r="F326" s="8"/>
      <c r="G326" s="8"/>
      <c r="H326" s="8"/>
    </row>
    <row r="327" ht="15.75" customHeight="1">
      <c r="A327" s="6"/>
      <c r="B327" s="6"/>
      <c r="C327" s="6" t="str">
        <f>VLOOKUP(B327,Sheet3!$B$2:$E$312,2,FALSE)</f>
        <v>#N/A</v>
      </c>
      <c r="D327" s="6" t="str">
        <f>VLOOKUP(B327,Sheet3!$B$2:$E$312,3,)</f>
        <v>#N/A</v>
      </c>
      <c r="E327" s="8" t="str">
        <f>VLOOKUP(B327,Sheet3!$B$2:$E$312,4,)</f>
        <v>#N/A</v>
      </c>
      <c r="F327" s="8"/>
      <c r="G327" s="8"/>
      <c r="H327" s="8"/>
    </row>
    <row r="328" ht="15.75" customHeight="1">
      <c r="A328" s="6"/>
      <c r="B328" s="6"/>
      <c r="C328" s="6" t="str">
        <f>VLOOKUP(B328,Sheet3!$B$2:$E$312,2,FALSE)</f>
        <v>#N/A</v>
      </c>
      <c r="D328" s="6" t="str">
        <f>VLOOKUP(B328,Sheet3!$B$2:$E$312,3,)</f>
        <v>#N/A</v>
      </c>
      <c r="E328" s="8" t="str">
        <f>VLOOKUP(B328,Sheet3!$B$2:$E$312,4,)</f>
        <v>#N/A</v>
      </c>
      <c r="F328" s="8"/>
      <c r="G328" s="8"/>
      <c r="H328" s="8"/>
    </row>
    <row r="329" ht="15.75" customHeight="1">
      <c r="A329" s="6"/>
      <c r="B329" s="6"/>
      <c r="C329" s="6" t="str">
        <f>VLOOKUP(B329,Sheet3!$B$2:$E$312,2,FALSE)</f>
        <v>#N/A</v>
      </c>
      <c r="D329" s="6" t="str">
        <f>VLOOKUP(B329,Sheet3!$B$2:$E$312,3,)</f>
        <v>#N/A</v>
      </c>
      <c r="E329" s="8" t="str">
        <f>VLOOKUP(B329,Sheet3!$B$2:$E$312,4,)</f>
        <v>#N/A</v>
      </c>
      <c r="F329" s="8"/>
      <c r="G329" s="8"/>
      <c r="H329" s="8"/>
    </row>
    <row r="330" ht="15.75" customHeight="1">
      <c r="A330" s="6"/>
      <c r="B330" s="6"/>
      <c r="C330" s="6" t="str">
        <f>VLOOKUP(B330,Sheet3!$B$2:$E$312,2,FALSE)</f>
        <v>#N/A</v>
      </c>
      <c r="D330" s="6" t="str">
        <f>VLOOKUP(B330,Sheet3!$B$2:$E$312,3,)</f>
        <v>#N/A</v>
      </c>
      <c r="E330" s="8" t="str">
        <f>VLOOKUP(B330,Sheet3!$B$2:$E$312,4,)</f>
        <v>#N/A</v>
      </c>
      <c r="F330" s="8"/>
      <c r="G330" s="8"/>
      <c r="H330" s="8"/>
    </row>
    <row r="331" ht="15.75" customHeight="1">
      <c r="A331" s="6"/>
      <c r="B331" s="6"/>
      <c r="C331" s="6" t="str">
        <f>VLOOKUP(B331,Sheet3!$B$2:$E$312,2,FALSE)</f>
        <v>#N/A</v>
      </c>
      <c r="D331" s="6" t="str">
        <f>VLOOKUP(B331,Sheet3!$B$2:$E$312,3,)</f>
        <v>#N/A</v>
      </c>
      <c r="E331" s="8" t="str">
        <f>VLOOKUP(B331,Sheet3!$B$2:$E$312,4,)</f>
        <v>#N/A</v>
      </c>
      <c r="F331" s="8"/>
      <c r="G331" s="8"/>
      <c r="H331" s="8"/>
    </row>
    <row r="332" ht="15.75" customHeight="1">
      <c r="A332" s="6"/>
      <c r="B332" s="6"/>
      <c r="C332" s="6" t="str">
        <f>VLOOKUP(B332,Sheet3!$B$2:$E$312,2,FALSE)</f>
        <v>#N/A</v>
      </c>
      <c r="D332" s="6" t="str">
        <f>VLOOKUP(B332,Sheet3!$B$2:$E$312,3,)</f>
        <v>#N/A</v>
      </c>
      <c r="E332" s="8" t="str">
        <f>VLOOKUP(B332,Sheet3!$B$2:$E$312,4,)</f>
        <v>#N/A</v>
      </c>
      <c r="F332" s="8"/>
      <c r="G332" s="8"/>
      <c r="H332" s="8"/>
    </row>
    <row r="333" ht="15.75" customHeight="1">
      <c r="A333" s="6"/>
      <c r="B333" s="6"/>
      <c r="C333" s="6" t="str">
        <f>VLOOKUP(B333,Sheet3!$B$2:$E$312,2,FALSE)</f>
        <v>#N/A</v>
      </c>
      <c r="D333" s="6" t="str">
        <f>VLOOKUP(B333,Sheet3!$B$2:$E$312,3,)</f>
        <v>#N/A</v>
      </c>
      <c r="E333" s="8" t="str">
        <f>VLOOKUP(B333,Sheet3!$B$2:$E$312,4,)</f>
        <v>#N/A</v>
      </c>
      <c r="F333" s="8"/>
      <c r="G333" s="8"/>
      <c r="H333" s="8"/>
    </row>
    <row r="334" ht="15.75" customHeight="1">
      <c r="A334" s="6"/>
      <c r="B334" s="6"/>
      <c r="C334" s="6" t="str">
        <f>VLOOKUP(B334,Sheet3!$B$2:$E$312,2,FALSE)</f>
        <v>#N/A</v>
      </c>
      <c r="D334" s="6" t="str">
        <f>VLOOKUP(B334,Sheet3!$B$2:$E$312,3,)</f>
        <v>#N/A</v>
      </c>
      <c r="E334" s="8" t="str">
        <f>VLOOKUP(B334,Sheet3!$B$2:$E$312,4,)</f>
        <v>#N/A</v>
      </c>
      <c r="F334" s="8"/>
      <c r="G334" s="8"/>
      <c r="H334" s="8"/>
    </row>
    <row r="335" ht="15.75" customHeight="1">
      <c r="A335" s="6"/>
      <c r="B335" s="6"/>
      <c r="C335" s="6" t="str">
        <f>VLOOKUP(B335,Sheet3!$B$2:$E$312,2,FALSE)</f>
        <v>#N/A</v>
      </c>
      <c r="D335" s="6" t="str">
        <f>VLOOKUP(B335,Sheet3!$B$2:$E$312,3,)</f>
        <v>#N/A</v>
      </c>
      <c r="E335" s="8" t="str">
        <f>VLOOKUP(B335,Sheet3!$B$2:$E$312,4,)</f>
        <v>#N/A</v>
      </c>
      <c r="F335" s="8"/>
      <c r="G335" s="8"/>
      <c r="H335" s="8"/>
    </row>
    <row r="336" ht="15.75" customHeight="1">
      <c r="A336" s="6"/>
      <c r="B336" s="6"/>
      <c r="C336" s="6" t="str">
        <f>VLOOKUP(B336,Sheet3!$B$2:$E$312,2,FALSE)</f>
        <v>#N/A</v>
      </c>
      <c r="D336" s="6" t="str">
        <f>VLOOKUP(B336,Sheet3!$B$2:$E$312,3,)</f>
        <v>#N/A</v>
      </c>
      <c r="E336" s="8" t="str">
        <f>VLOOKUP(B336,Sheet3!$B$2:$E$312,4,)</f>
        <v>#N/A</v>
      </c>
      <c r="F336" s="8"/>
      <c r="G336" s="8"/>
      <c r="H336" s="8"/>
    </row>
    <row r="337" ht="15.75" customHeight="1">
      <c r="A337" s="6"/>
      <c r="B337" s="6"/>
      <c r="C337" s="6" t="str">
        <f>VLOOKUP(B337,Sheet3!$B$2:$E$312,2,FALSE)</f>
        <v>#N/A</v>
      </c>
      <c r="D337" s="6" t="str">
        <f>VLOOKUP(B337,Sheet3!$B$2:$E$312,3,)</f>
        <v>#N/A</v>
      </c>
      <c r="E337" s="8" t="str">
        <f>VLOOKUP(B337,Sheet3!$B$2:$E$312,4,)</f>
        <v>#N/A</v>
      </c>
      <c r="F337" s="8"/>
      <c r="G337" s="8"/>
      <c r="H337" s="8"/>
    </row>
    <row r="338" ht="15.75" customHeight="1">
      <c r="A338" s="6"/>
      <c r="B338" s="6"/>
      <c r="C338" s="6" t="str">
        <f>VLOOKUP(B338,Sheet3!$B$2:$E$312,2,FALSE)</f>
        <v>#N/A</v>
      </c>
      <c r="D338" s="6" t="str">
        <f>VLOOKUP(B338,Sheet3!$B$2:$E$312,3,)</f>
        <v>#N/A</v>
      </c>
      <c r="E338" s="8" t="str">
        <f>VLOOKUP(B338,Sheet3!$B$2:$E$312,4,)</f>
        <v>#N/A</v>
      </c>
      <c r="F338" s="8"/>
      <c r="G338" s="8"/>
      <c r="H338" s="8"/>
    </row>
    <row r="339" ht="15.75" customHeight="1">
      <c r="A339" s="6"/>
      <c r="B339" s="6"/>
      <c r="C339" s="6" t="str">
        <f>VLOOKUP(B339,Sheet3!$B$2:$E$312,2,FALSE)</f>
        <v>#N/A</v>
      </c>
      <c r="D339" s="6" t="str">
        <f>VLOOKUP(B339,Sheet3!$B$2:$E$312,3,)</f>
        <v>#N/A</v>
      </c>
      <c r="E339" s="8" t="str">
        <f>VLOOKUP(B339,Sheet3!$B$2:$E$312,4,)</f>
        <v>#N/A</v>
      </c>
      <c r="F339" s="8"/>
      <c r="G339" s="8"/>
      <c r="H339" s="8"/>
    </row>
    <row r="340" ht="15.75" customHeight="1">
      <c r="A340" s="6"/>
      <c r="B340" s="6"/>
      <c r="C340" s="6" t="str">
        <f>VLOOKUP(B340,Sheet3!$B$2:$E$312,2,FALSE)</f>
        <v>#N/A</v>
      </c>
      <c r="D340" s="6" t="str">
        <f>VLOOKUP(B340,Sheet3!$B$2:$E$312,3,)</f>
        <v>#N/A</v>
      </c>
      <c r="E340" s="8" t="str">
        <f>VLOOKUP(B340,Sheet3!$B$2:$E$312,4,)</f>
        <v>#N/A</v>
      </c>
      <c r="F340" s="8"/>
      <c r="G340" s="8"/>
      <c r="H340" s="8"/>
    </row>
    <row r="341" ht="15.75" customHeight="1">
      <c r="A341" s="6"/>
      <c r="B341" s="6"/>
      <c r="C341" s="6" t="str">
        <f>VLOOKUP(B341,Sheet3!$B$2:$E$312,2,FALSE)</f>
        <v>#N/A</v>
      </c>
      <c r="D341" s="6" t="str">
        <f>VLOOKUP(B341,Sheet3!$B$2:$E$312,3,)</f>
        <v>#N/A</v>
      </c>
      <c r="E341" s="8" t="str">
        <f>VLOOKUP(B341,Sheet3!$B$2:$E$312,4,)</f>
        <v>#N/A</v>
      </c>
      <c r="F341" s="8"/>
      <c r="G341" s="8"/>
      <c r="H341" s="8"/>
    </row>
    <row r="342" ht="15.75" customHeight="1">
      <c r="A342" s="6"/>
      <c r="B342" s="6"/>
      <c r="C342" s="6" t="str">
        <f>VLOOKUP(B342,Sheet3!$B$2:$E$312,2,FALSE)</f>
        <v>#N/A</v>
      </c>
      <c r="D342" s="6" t="str">
        <f>VLOOKUP(B342,Sheet3!$B$2:$E$312,3,)</f>
        <v>#N/A</v>
      </c>
      <c r="E342" s="8" t="str">
        <f>VLOOKUP(B342,Sheet3!$B$2:$E$312,4,)</f>
        <v>#N/A</v>
      </c>
      <c r="F342" s="8"/>
      <c r="G342" s="8"/>
      <c r="H342" s="8"/>
    </row>
    <row r="343" ht="15.75" customHeight="1">
      <c r="A343" s="6"/>
      <c r="B343" s="6"/>
      <c r="C343" s="6" t="str">
        <f>VLOOKUP(B343,Sheet3!$B$2:$E$312,2,FALSE)</f>
        <v>#N/A</v>
      </c>
      <c r="D343" s="6" t="str">
        <f>VLOOKUP(B343,Sheet3!$B$2:$E$312,3,)</f>
        <v>#N/A</v>
      </c>
      <c r="E343" s="8" t="str">
        <f>VLOOKUP(B343,Sheet3!$B$2:$E$312,4,)</f>
        <v>#N/A</v>
      </c>
      <c r="F343" s="8"/>
      <c r="G343" s="8"/>
      <c r="H343" s="8"/>
    </row>
    <row r="344" ht="15.75" customHeight="1">
      <c r="A344" s="6"/>
      <c r="B344" s="6"/>
      <c r="C344" s="6" t="str">
        <f>VLOOKUP(B344,Sheet3!$B$2:$E$312,2,FALSE)</f>
        <v>#N/A</v>
      </c>
      <c r="D344" s="6" t="str">
        <f>VLOOKUP(B344,Sheet3!$B$2:$E$312,3,)</f>
        <v>#N/A</v>
      </c>
      <c r="E344" s="8" t="str">
        <f>VLOOKUP(B344,Sheet3!$B$2:$E$312,4,)</f>
        <v>#N/A</v>
      </c>
      <c r="F344" s="8"/>
      <c r="G344" s="8"/>
      <c r="H344" s="8"/>
    </row>
    <row r="345" ht="15.75" customHeight="1">
      <c r="A345" s="6"/>
      <c r="B345" s="6"/>
      <c r="C345" s="6" t="str">
        <f>VLOOKUP(B345,Sheet3!$B$2:$E$312,2,FALSE)</f>
        <v>#N/A</v>
      </c>
      <c r="D345" s="6" t="str">
        <f>VLOOKUP(B345,Sheet3!$B$2:$E$312,3,)</f>
        <v>#N/A</v>
      </c>
      <c r="E345" s="8" t="str">
        <f>VLOOKUP(B345,Sheet3!$B$2:$E$312,4,)</f>
        <v>#N/A</v>
      </c>
      <c r="F345" s="8"/>
      <c r="G345" s="8"/>
      <c r="H345" s="8"/>
    </row>
    <row r="346" ht="15.75" customHeight="1">
      <c r="A346" s="6"/>
      <c r="B346" s="6"/>
      <c r="C346" s="6" t="str">
        <f>VLOOKUP(B346,Sheet3!$B$2:$E$312,2,FALSE)</f>
        <v>#N/A</v>
      </c>
      <c r="D346" s="6" t="str">
        <f>VLOOKUP(B346,Sheet3!$B$2:$E$312,3,)</f>
        <v>#N/A</v>
      </c>
      <c r="E346" s="8" t="str">
        <f>VLOOKUP(B346,Sheet3!$B$2:$E$312,4,)</f>
        <v>#N/A</v>
      </c>
      <c r="F346" s="8"/>
      <c r="G346" s="8"/>
      <c r="H346" s="8"/>
    </row>
    <row r="347" ht="15.75" customHeight="1">
      <c r="A347" s="6"/>
      <c r="B347" s="6"/>
      <c r="C347" s="6" t="str">
        <f>VLOOKUP(B347,Sheet3!$B$2:$E$312,2,FALSE)</f>
        <v>#N/A</v>
      </c>
      <c r="D347" s="6" t="str">
        <f>VLOOKUP(B347,Sheet3!$B$2:$E$312,3,)</f>
        <v>#N/A</v>
      </c>
      <c r="E347" s="8" t="str">
        <f>VLOOKUP(B347,Sheet3!$B$2:$E$312,4,)</f>
        <v>#N/A</v>
      </c>
      <c r="F347" s="8"/>
      <c r="G347" s="8"/>
      <c r="H347" s="8"/>
    </row>
    <row r="348" ht="15.75" customHeight="1">
      <c r="A348" s="6"/>
      <c r="B348" s="6"/>
      <c r="C348" s="6" t="str">
        <f>VLOOKUP(B348,Sheet3!$B$2:$E$312,2,FALSE)</f>
        <v>#N/A</v>
      </c>
      <c r="D348" s="6" t="str">
        <f>VLOOKUP(B348,Sheet3!$B$2:$E$312,3,)</f>
        <v>#N/A</v>
      </c>
      <c r="E348" s="8" t="str">
        <f>VLOOKUP(B348,Sheet3!$B$2:$E$312,4,)</f>
        <v>#N/A</v>
      </c>
      <c r="F348" s="8"/>
      <c r="G348" s="8"/>
      <c r="H348" s="8"/>
    </row>
    <row r="349" ht="15.75" customHeight="1">
      <c r="A349" s="6"/>
      <c r="B349" s="6"/>
      <c r="C349" s="6" t="str">
        <f>VLOOKUP(B349,Sheet3!$B$2:$E$312,2,FALSE)</f>
        <v>#N/A</v>
      </c>
      <c r="D349" s="6" t="str">
        <f>VLOOKUP(B349,Sheet3!$B$2:$E$312,3,)</f>
        <v>#N/A</v>
      </c>
      <c r="E349" s="8" t="str">
        <f>VLOOKUP(B349,Sheet3!$B$2:$E$312,4,)</f>
        <v>#N/A</v>
      </c>
      <c r="F349" s="8"/>
      <c r="G349" s="8"/>
      <c r="H349" s="8"/>
    </row>
    <row r="350" ht="15.75" customHeight="1">
      <c r="A350" s="6"/>
      <c r="B350" s="6"/>
      <c r="C350" s="6" t="str">
        <f>VLOOKUP(B350,Sheet3!$B$2:$E$312,2,FALSE)</f>
        <v>#N/A</v>
      </c>
      <c r="D350" s="6" t="str">
        <f>VLOOKUP(B350,Sheet3!$B$2:$E$312,3,)</f>
        <v>#N/A</v>
      </c>
      <c r="E350" s="8" t="str">
        <f>VLOOKUP(B350,Sheet3!$B$2:$E$312,4,)</f>
        <v>#N/A</v>
      </c>
      <c r="F350" s="8"/>
      <c r="G350" s="8"/>
      <c r="H350" s="8"/>
    </row>
    <row r="351" ht="15.75" customHeight="1">
      <c r="A351" s="6"/>
      <c r="B351" s="6"/>
      <c r="C351" s="6" t="str">
        <f>VLOOKUP(B351,Sheet3!$B$2:$E$312,2,FALSE)</f>
        <v>#N/A</v>
      </c>
      <c r="D351" s="6" t="str">
        <f>VLOOKUP(B351,Sheet3!$B$2:$E$312,3,)</f>
        <v>#N/A</v>
      </c>
      <c r="E351" s="8" t="str">
        <f>VLOOKUP(B351,Sheet3!$B$2:$E$312,4,)</f>
        <v>#N/A</v>
      </c>
      <c r="F351" s="8"/>
      <c r="G351" s="8"/>
      <c r="H351" s="8"/>
    </row>
    <row r="352" ht="15.75" customHeight="1">
      <c r="A352" s="6"/>
      <c r="B352" s="6"/>
      <c r="C352" s="6" t="str">
        <f>VLOOKUP(B352,Sheet3!$B$2:$E$312,2,FALSE)</f>
        <v>#N/A</v>
      </c>
      <c r="D352" s="6" t="str">
        <f>VLOOKUP(B352,Sheet3!$B$2:$E$312,3,)</f>
        <v>#N/A</v>
      </c>
      <c r="E352" s="8" t="str">
        <f>VLOOKUP(B352,Sheet3!$B$2:$E$312,4,)</f>
        <v>#N/A</v>
      </c>
      <c r="F352" s="8"/>
      <c r="G352" s="8"/>
      <c r="H352" s="8"/>
    </row>
    <row r="353" ht="15.75" customHeight="1">
      <c r="A353" s="6"/>
      <c r="B353" s="6"/>
      <c r="C353" s="6" t="str">
        <f>VLOOKUP(B353,Sheet3!$B$2:$E$312,2,FALSE)</f>
        <v>#N/A</v>
      </c>
      <c r="D353" s="6" t="str">
        <f>VLOOKUP(B353,Sheet3!$B$2:$E$312,3,)</f>
        <v>#N/A</v>
      </c>
      <c r="E353" s="8" t="str">
        <f>VLOOKUP(B353,Sheet3!$B$2:$E$312,4,)</f>
        <v>#N/A</v>
      </c>
      <c r="F353" s="8"/>
      <c r="G353" s="8"/>
      <c r="H353" s="8"/>
    </row>
    <row r="354" ht="15.75" customHeight="1">
      <c r="A354" s="6"/>
      <c r="B354" s="6"/>
      <c r="C354" s="6" t="str">
        <f>VLOOKUP(B354,Sheet3!$B$2:$E$312,2,FALSE)</f>
        <v>#N/A</v>
      </c>
      <c r="D354" s="6" t="str">
        <f>VLOOKUP(B354,Sheet3!$B$2:$E$312,3,)</f>
        <v>#N/A</v>
      </c>
      <c r="E354" s="8" t="str">
        <f>VLOOKUP(B354,Sheet3!$B$2:$E$312,4,)</f>
        <v>#N/A</v>
      </c>
      <c r="F354" s="8"/>
      <c r="G354" s="8"/>
      <c r="H354" s="8"/>
    </row>
    <row r="355" ht="15.75" customHeight="1">
      <c r="A355" s="6"/>
      <c r="B355" s="21"/>
      <c r="C355" s="6" t="str">
        <f>VLOOKUP(B355,Sheet3!$B$2:$E$312,2,FALSE)</f>
        <v>#N/A</v>
      </c>
      <c r="D355" s="6" t="str">
        <f>VLOOKUP(B355,Sheet3!$B$2:$E$312,3,)</f>
        <v>#N/A</v>
      </c>
      <c r="E355" s="8" t="str">
        <f>VLOOKUP(B355,Sheet3!$B$2:$E$312,4,)</f>
        <v>#N/A</v>
      </c>
      <c r="F355" s="8"/>
      <c r="G355" s="8"/>
      <c r="H355" s="8"/>
    </row>
    <row r="356" ht="15.75" customHeight="1">
      <c r="A356" s="6"/>
      <c r="B356" s="6"/>
      <c r="C356" s="6" t="str">
        <f>VLOOKUP(B356,Sheet3!$B$2:$E$312,2,FALSE)</f>
        <v>#N/A</v>
      </c>
      <c r="D356" s="6" t="str">
        <f>VLOOKUP(B356,Sheet3!$B$2:$E$312,3,)</f>
        <v>#N/A</v>
      </c>
      <c r="E356" s="8" t="str">
        <f>VLOOKUP(B356,Sheet3!$B$2:$E$312,4,)</f>
        <v>#N/A</v>
      </c>
      <c r="F356" s="8"/>
      <c r="G356" s="8"/>
      <c r="H356" s="8"/>
    </row>
    <row r="357" ht="15.75" customHeight="1">
      <c r="A357" s="6"/>
      <c r="B357" s="6"/>
      <c r="C357" s="6" t="str">
        <f>VLOOKUP(B357,Sheet3!$B$2:$E$312,2,FALSE)</f>
        <v>#N/A</v>
      </c>
      <c r="D357" s="6" t="str">
        <f>VLOOKUP(B357,Sheet3!$B$2:$E$312,3,)</f>
        <v>#N/A</v>
      </c>
      <c r="E357" s="8" t="str">
        <f>VLOOKUP(B357,Sheet3!$B$2:$E$312,4,)</f>
        <v>#N/A</v>
      </c>
      <c r="F357" s="8"/>
      <c r="G357" s="8"/>
      <c r="H357" s="8"/>
    </row>
    <row r="358" ht="15.75" customHeight="1">
      <c r="A358" s="6"/>
      <c r="B358" s="6"/>
      <c r="C358" s="6" t="str">
        <f>VLOOKUP(B358,Sheet3!$B$2:$E$312,2,FALSE)</f>
        <v>#N/A</v>
      </c>
      <c r="D358" s="6" t="str">
        <f>VLOOKUP(B358,Sheet3!$B$2:$E$312,3,)</f>
        <v>#N/A</v>
      </c>
      <c r="E358" s="8" t="str">
        <f>VLOOKUP(B358,Sheet3!$B$2:$E$312,4,)</f>
        <v>#N/A</v>
      </c>
      <c r="F358" s="8"/>
      <c r="G358" s="8"/>
      <c r="H358" s="8"/>
    </row>
    <row r="359" ht="15.75" customHeight="1">
      <c r="A359" s="6"/>
      <c r="B359" s="6"/>
      <c r="C359" s="6" t="str">
        <f>VLOOKUP(B359,Sheet3!$B$2:$E$312,2,FALSE)</f>
        <v>#N/A</v>
      </c>
      <c r="D359" s="6" t="str">
        <f>VLOOKUP(B359,Sheet3!$B$2:$E$312,3,)</f>
        <v>#N/A</v>
      </c>
      <c r="E359" s="8" t="str">
        <f>VLOOKUP(B359,Sheet3!$B$2:$E$312,4,)</f>
        <v>#N/A</v>
      </c>
      <c r="F359" s="8"/>
      <c r="G359" s="8"/>
      <c r="H359" s="8"/>
    </row>
    <row r="360" ht="15.75" customHeight="1">
      <c r="A360" s="6"/>
      <c r="B360" s="6"/>
      <c r="C360" s="6" t="str">
        <f>VLOOKUP(B360,Sheet3!$B$2:$E$312,2,FALSE)</f>
        <v>#N/A</v>
      </c>
      <c r="D360" s="6" t="str">
        <f>VLOOKUP(B360,Sheet3!$B$2:$E$312,3,)</f>
        <v>#N/A</v>
      </c>
      <c r="E360" s="8" t="str">
        <f>VLOOKUP(B360,Sheet3!$B$2:$E$312,4,)</f>
        <v>#N/A</v>
      </c>
      <c r="F360" s="8"/>
      <c r="G360" s="8"/>
      <c r="H360" s="8"/>
    </row>
    <row r="361" ht="15.75" customHeight="1">
      <c r="A361" s="6"/>
      <c r="B361" s="6"/>
      <c r="C361" s="6" t="str">
        <f>VLOOKUP(B361,Sheet3!$B$2:$E$312,2,FALSE)</f>
        <v>#N/A</v>
      </c>
      <c r="D361" s="6" t="str">
        <f>VLOOKUP(B361,Sheet3!$B$2:$E$312,3,)</f>
        <v>#N/A</v>
      </c>
      <c r="E361" s="8" t="str">
        <f>VLOOKUP(B361,Sheet3!$B$2:$E$312,4,)</f>
        <v>#N/A</v>
      </c>
      <c r="F361" s="8"/>
      <c r="G361" s="8"/>
      <c r="H361" s="8"/>
    </row>
    <row r="362" ht="15.75" customHeight="1">
      <c r="A362" s="6"/>
      <c r="B362" s="6"/>
      <c r="C362" s="6" t="str">
        <f>VLOOKUP(B362,Sheet3!$B$2:$E$312,2,FALSE)</f>
        <v>#N/A</v>
      </c>
      <c r="D362" s="6" t="str">
        <f>VLOOKUP(B362,Sheet3!$B$2:$E$312,3,)</f>
        <v>#N/A</v>
      </c>
      <c r="E362" s="8" t="str">
        <f>VLOOKUP(B362,Sheet3!$B$2:$E$312,4,)</f>
        <v>#N/A</v>
      </c>
      <c r="F362" s="8"/>
      <c r="G362" s="8"/>
      <c r="H362" s="8"/>
    </row>
    <row r="363" ht="15.75" customHeight="1">
      <c r="A363" s="6"/>
      <c r="B363" s="6"/>
      <c r="C363" s="6" t="str">
        <f>VLOOKUP(B363,Sheet3!$B$2:$E$312,2,FALSE)</f>
        <v>#N/A</v>
      </c>
      <c r="D363" s="6" t="str">
        <f>VLOOKUP(B363,Sheet3!$B$2:$E$312,3,)</f>
        <v>#N/A</v>
      </c>
      <c r="E363" s="8" t="str">
        <f>VLOOKUP(B363,Sheet3!$B$2:$E$312,4,)</f>
        <v>#N/A</v>
      </c>
      <c r="F363" s="8"/>
      <c r="G363" s="8"/>
      <c r="H363" s="8"/>
    </row>
    <row r="364" ht="15.75" customHeight="1">
      <c r="A364" s="6"/>
      <c r="B364" s="6"/>
      <c r="C364" s="6" t="str">
        <f>VLOOKUP(B364,Sheet3!$B$2:$E$312,2,FALSE)</f>
        <v>#N/A</v>
      </c>
      <c r="D364" s="6" t="str">
        <f>VLOOKUP(B364,Sheet3!$B$2:$E$312,3,)</f>
        <v>#N/A</v>
      </c>
      <c r="E364" s="8" t="str">
        <f>VLOOKUP(B364,Sheet3!$B$2:$E$312,4,)</f>
        <v>#N/A</v>
      </c>
      <c r="F364" s="8"/>
      <c r="G364" s="8"/>
      <c r="H364" s="8"/>
    </row>
    <row r="365" ht="15.75" customHeight="1">
      <c r="A365" s="6"/>
      <c r="B365" s="6"/>
      <c r="C365" s="6" t="str">
        <f>VLOOKUP(B365,Sheet3!$B$2:$E$312,2,FALSE)</f>
        <v>#N/A</v>
      </c>
      <c r="D365" s="6" t="str">
        <f>VLOOKUP(B365,Sheet3!$B$2:$E$312,3,)</f>
        <v>#N/A</v>
      </c>
      <c r="E365" s="8" t="str">
        <f>VLOOKUP(B365,Sheet3!$B$2:$E$312,4,)</f>
        <v>#N/A</v>
      </c>
      <c r="F365" s="8"/>
      <c r="G365" s="8"/>
      <c r="H365" s="8"/>
    </row>
    <row r="366" ht="15.75" customHeight="1">
      <c r="A366" s="6"/>
      <c r="B366" s="6"/>
      <c r="C366" s="6" t="str">
        <f>VLOOKUP(B366,Sheet3!$B$2:$E$312,2,FALSE)</f>
        <v>#N/A</v>
      </c>
      <c r="D366" s="6" t="str">
        <f>VLOOKUP(B366,Sheet3!$B$2:$E$312,3,)</f>
        <v>#N/A</v>
      </c>
      <c r="E366" s="8" t="str">
        <f>VLOOKUP(B366,Sheet3!$B$2:$E$312,4,)</f>
        <v>#N/A</v>
      </c>
      <c r="F366" s="8"/>
      <c r="G366" s="8"/>
      <c r="H366" s="8"/>
    </row>
    <row r="367" ht="15.75" customHeight="1">
      <c r="A367" s="6"/>
      <c r="B367" s="6"/>
      <c r="C367" s="6" t="str">
        <f>VLOOKUP(B367,Sheet3!$B$2:$E$312,2,FALSE)</f>
        <v>#N/A</v>
      </c>
      <c r="D367" s="6" t="str">
        <f>VLOOKUP(B367,Sheet3!$B$2:$E$312,3,)</f>
        <v>#N/A</v>
      </c>
      <c r="E367" s="8" t="str">
        <f>VLOOKUP(B367,Sheet3!$B$2:$E$312,4,)</f>
        <v>#N/A</v>
      </c>
      <c r="F367" s="8"/>
      <c r="G367" s="8"/>
      <c r="H367" s="8"/>
    </row>
    <row r="368" ht="15.75" customHeight="1">
      <c r="A368" s="6"/>
      <c r="B368" s="6"/>
      <c r="C368" s="6" t="str">
        <f>VLOOKUP(B368,Sheet3!$B$2:$E$312,2,FALSE)</f>
        <v>#N/A</v>
      </c>
      <c r="D368" s="6" t="str">
        <f>VLOOKUP(B368,Sheet3!$B$2:$E$312,3,)</f>
        <v>#N/A</v>
      </c>
      <c r="E368" s="8" t="str">
        <f>VLOOKUP(B368,Sheet3!$B$2:$E$312,4,)</f>
        <v>#N/A</v>
      </c>
      <c r="F368" s="8"/>
      <c r="G368" s="8"/>
      <c r="H368" s="8"/>
    </row>
    <row r="369" ht="15.75" customHeight="1">
      <c r="A369" s="6"/>
      <c r="B369" s="6"/>
      <c r="C369" s="6" t="str">
        <f>VLOOKUP(B369,Sheet3!$B$2:$E$312,2,FALSE)</f>
        <v>#N/A</v>
      </c>
      <c r="D369" s="6" t="str">
        <f>VLOOKUP(B369,Sheet3!$B$2:$E$312,3,)</f>
        <v>#N/A</v>
      </c>
      <c r="E369" s="8" t="str">
        <f>VLOOKUP(B369,Sheet3!$B$2:$E$312,4,)</f>
        <v>#N/A</v>
      </c>
      <c r="F369" s="8"/>
      <c r="G369" s="8"/>
      <c r="H369" s="8"/>
    </row>
    <row r="370" ht="15.75" customHeight="1">
      <c r="A370" s="6"/>
      <c r="B370" s="6"/>
      <c r="C370" s="6" t="str">
        <f>VLOOKUP(B370,Sheet3!$B$2:$E$312,2,FALSE)</f>
        <v>#N/A</v>
      </c>
      <c r="D370" s="6" t="str">
        <f>VLOOKUP(B370,Sheet3!$B$2:$E$312,3,)</f>
        <v>#N/A</v>
      </c>
      <c r="E370" s="8" t="str">
        <f>VLOOKUP(B370,Sheet3!$B$2:$E$312,4,)</f>
        <v>#N/A</v>
      </c>
      <c r="F370" s="8"/>
      <c r="G370" s="8"/>
      <c r="H370" s="8"/>
    </row>
    <row r="371" ht="15.75" customHeight="1">
      <c r="A371" s="6"/>
      <c r="B371" s="6"/>
      <c r="C371" s="6" t="str">
        <f>VLOOKUP(B371,Sheet3!$B$2:$E$312,2,FALSE)</f>
        <v>#N/A</v>
      </c>
      <c r="D371" s="6" t="str">
        <f>VLOOKUP(B371,Sheet3!$B$2:$E$312,3,)</f>
        <v>#N/A</v>
      </c>
      <c r="E371" s="8" t="str">
        <f>VLOOKUP(B371,Sheet3!$B$2:$E$312,4,)</f>
        <v>#N/A</v>
      </c>
      <c r="F371" s="8"/>
      <c r="G371" s="8"/>
      <c r="H371" s="8"/>
    </row>
    <row r="372" ht="15.75" customHeight="1">
      <c r="A372" s="6"/>
      <c r="B372" s="6"/>
      <c r="C372" s="6" t="str">
        <f>VLOOKUP(B372,Sheet3!$B$2:$E$312,2,FALSE)</f>
        <v>#N/A</v>
      </c>
      <c r="D372" s="6" t="str">
        <f>VLOOKUP(B372,Sheet3!$B$2:$E$312,3,)</f>
        <v>#N/A</v>
      </c>
      <c r="E372" s="8" t="str">
        <f>VLOOKUP(B372,Sheet3!$B$2:$E$312,4,)</f>
        <v>#N/A</v>
      </c>
      <c r="F372" s="8"/>
      <c r="G372" s="8"/>
      <c r="H372" s="8"/>
    </row>
    <row r="373" ht="15.75" customHeight="1">
      <c r="A373" s="6"/>
      <c r="B373" s="6"/>
      <c r="C373" s="6" t="str">
        <f>VLOOKUP(B373,Sheet3!$B$2:$E$312,2,FALSE)</f>
        <v>#N/A</v>
      </c>
      <c r="D373" s="6" t="str">
        <f>VLOOKUP(B373,Sheet3!$B$2:$E$312,3,)</f>
        <v>#N/A</v>
      </c>
      <c r="E373" s="8" t="str">
        <f>VLOOKUP(B373,Sheet3!$B$2:$E$312,4,)</f>
        <v>#N/A</v>
      </c>
      <c r="F373" s="8"/>
      <c r="G373" s="8"/>
      <c r="H373" s="8"/>
    </row>
    <row r="374" ht="15.75" customHeight="1">
      <c r="A374" s="6"/>
      <c r="B374" s="6"/>
      <c r="C374" s="6" t="str">
        <f>VLOOKUP(B374,Sheet3!$B$2:$E$312,2,FALSE)</f>
        <v>#N/A</v>
      </c>
      <c r="D374" s="6" t="str">
        <f>VLOOKUP(B374,Sheet3!$B$2:$E$312,3,)</f>
        <v>#N/A</v>
      </c>
      <c r="E374" s="8" t="str">
        <f>VLOOKUP(B374,Sheet3!$B$2:$E$312,4,)</f>
        <v>#N/A</v>
      </c>
      <c r="F374" s="8"/>
      <c r="G374" s="8"/>
      <c r="H374" s="8"/>
    </row>
    <row r="375" ht="15.75" customHeight="1">
      <c r="A375" s="6"/>
      <c r="B375" s="6"/>
      <c r="C375" s="6" t="str">
        <f>VLOOKUP(B375,Sheet3!$B$2:$E$312,2,FALSE)</f>
        <v>#N/A</v>
      </c>
      <c r="D375" s="6" t="str">
        <f>VLOOKUP(B375,Sheet3!$B$2:$E$312,3,)</f>
        <v>#N/A</v>
      </c>
      <c r="E375" s="8" t="str">
        <f>VLOOKUP(B375,Sheet3!$B$2:$E$312,4,)</f>
        <v>#N/A</v>
      </c>
      <c r="F375" s="8"/>
      <c r="G375" s="8"/>
      <c r="H375" s="8"/>
    </row>
    <row r="376" ht="15.75" customHeight="1">
      <c r="A376" s="6"/>
      <c r="B376" s="6"/>
      <c r="C376" s="6" t="str">
        <f>VLOOKUP(B376,Sheet3!$B$2:$E$312,2,FALSE)</f>
        <v>#N/A</v>
      </c>
      <c r="D376" s="6" t="str">
        <f>VLOOKUP(B376,Sheet3!$B$2:$E$312,3,)</f>
        <v>#N/A</v>
      </c>
      <c r="E376" s="8" t="str">
        <f>VLOOKUP(B376,Sheet3!$B$2:$E$312,4,)</f>
        <v>#N/A</v>
      </c>
      <c r="F376" s="8"/>
      <c r="G376" s="8"/>
      <c r="H376" s="8"/>
    </row>
    <row r="377" ht="15.75" customHeight="1">
      <c r="A377" s="6"/>
      <c r="B377" s="6"/>
      <c r="C377" s="6" t="str">
        <f>VLOOKUP(B377,Sheet3!$B$2:$E$312,2,FALSE)</f>
        <v>#N/A</v>
      </c>
      <c r="D377" s="6" t="str">
        <f>VLOOKUP(B377,Sheet3!$B$2:$E$312,3,)</f>
        <v>#N/A</v>
      </c>
      <c r="E377" s="8" t="str">
        <f>VLOOKUP(B377,Sheet3!$B$2:$E$312,4,)</f>
        <v>#N/A</v>
      </c>
      <c r="F377" s="8"/>
      <c r="G377" s="8"/>
      <c r="H377" s="8"/>
    </row>
    <row r="378" ht="15.75" customHeight="1">
      <c r="A378" s="6"/>
      <c r="B378" s="6"/>
      <c r="C378" s="6" t="str">
        <f>VLOOKUP(B378,Sheet3!$B$2:$E$312,2,FALSE)</f>
        <v>#N/A</v>
      </c>
      <c r="D378" s="6" t="str">
        <f>VLOOKUP(B378,Sheet3!$B$2:$E$312,3,)</f>
        <v>#N/A</v>
      </c>
      <c r="E378" s="8" t="str">
        <f>VLOOKUP(B378,Sheet3!$B$2:$E$312,4,)</f>
        <v>#N/A</v>
      </c>
      <c r="F378" s="8"/>
      <c r="G378" s="8"/>
      <c r="H378" s="8"/>
    </row>
    <row r="379" ht="15.75" customHeight="1">
      <c r="A379" s="6"/>
      <c r="B379" s="6"/>
      <c r="C379" s="6" t="str">
        <f>VLOOKUP(B379,Sheet3!$B$2:$E$312,2,FALSE)</f>
        <v>#N/A</v>
      </c>
      <c r="D379" s="6" t="str">
        <f>VLOOKUP(B379,Sheet3!$B$2:$E$312,3,)</f>
        <v>#N/A</v>
      </c>
      <c r="E379" s="8" t="str">
        <f>VLOOKUP(B379,Sheet3!$B$2:$E$312,4,)</f>
        <v>#N/A</v>
      </c>
      <c r="F379" s="8"/>
      <c r="G379" s="8"/>
      <c r="H379" s="8"/>
    </row>
    <row r="380" ht="15.75" customHeight="1">
      <c r="A380" s="6"/>
      <c r="B380" s="6"/>
      <c r="C380" s="6" t="str">
        <f>VLOOKUP(B380,Sheet3!$B$2:$E$312,2,FALSE)</f>
        <v>#N/A</v>
      </c>
      <c r="D380" s="6" t="str">
        <f>VLOOKUP(B380,Sheet3!$B$2:$E$312,3,)</f>
        <v>#N/A</v>
      </c>
      <c r="E380" s="8" t="str">
        <f>VLOOKUP(B380,Sheet3!$B$2:$E$312,4,)</f>
        <v>#N/A</v>
      </c>
      <c r="F380" s="8"/>
      <c r="G380" s="8"/>
      <c r="H380" s="8"/>
    </row>
    <row r="381" ht="15.75" customHeight="1">
      <c r="A381" s="6"/>
      <c r="B381" s="6"/>
      <c r="C381" s="6" t="str">
        <f>VLOOKUP(B381,Sheet3!$B$2:$E$312,2,FALSE)</f>
        <v>#N/A</v>
      </c>
      <c r="D381" s="6" t="str">
        <f>VLOOKUP(B381,Sheet3!$B$2:$E$312,3,)</f>
        <v>#N/A</v>
      </c>
      <c r="E381" s="8" t="str">
        <f>VLOOKUP(B381,Sheet3!$B$2:$E$312,4,)</f>
        <v>#N/A</v>
      </c>
      <c r="F381" s="8"/>
      <c r="G381" s="8"/>
      <c r="H381" s="8"/>
    </row>
    <row r="382" ht="15.75" customHeight="1">
      <c r="A382" s="6"/>
      <c r="B382" s="6"/>
      <c r="C382" s="6" t="str">
        <f>VLOOKUP(B382,Sheet3!$B$2:$E$312,2,FALSE)</f>
        <v>#N/A</v>
      </c>
      <c r="D382" s="6" t="str">
        <f>VLOOKUP(B382,Sheet3!$B$2:$E$312,3,)</f>
        <v>#N/A</v>
      </c>
      <c r="E382" s="8" t="str">
        <f>VLOOKUP(B382,Sheet3!$B$2:$E$312,4,)</f>
        <v>#N/A</v>
      </c>
      <c r="F382" s="8"/>
      <c r="G382" s="8"/>
      <c r="H382" s="8"/>
    </row>
    <row r="383" ht="15.75" customHeight="1">
      <c r="A383" s="6"/>
      <c r="B383" s="6"/>
      <c r="C383" s="6" t="str">
        <f>VLOOKUP(B383,Sheet3!$B$2:$E$312,2,FALSE)</f>
        <v>#N/A</v>
      </c>
      <c r="D383" s="6" t="str">
        <f>VLOOKUP(B383,Sheet3!$B$2:$E$312,3,)</f>
        <v>#N/A</v>
      </c>
      <c r="E383" s="8" t="str">
        <f>VLOOKUP(B383,Sheet3!$B$2:$E$312,4,)</f>
        <v>#N/A</v>
      </c>
      <c r="F383" s="8"/>
      <c r="G383" s="8"/>
      <c r="H383" s="8"/>
    </row>
    <row r="384" ht="15.75" customHeight="1">
      <c r="A384" s="6"/>
      <c r="B384" s="6"/>
      <c r="C384" s="6" t="str">
        <f>VLOOKUP(B384,Sheet3!$B$2:$E$312,2,FALSE)</f>
        <v>#N/A</v>
      </c>
      <c r="D384" s="6" t="str">
        <f>VLOOKUP(B384,Sheet3!$B$2:$E$312,3,)</f>
        <v>#N/A</v>
      </c>
      <c r="E384" s="8" t="str">
        <f>VLOOKUP(B384,Sheet3!$B$2:$E$312,4,)</f>
        <v>#N/A</v>
      </c>
      <c r="F384" s="8"/>
      <c r="G384" s="8"/>
      <c r="H384" s="8"/>
    </row>
    <row r="385" ht="15.75" customHeight="1">
      <c r="A385" s="6"/>
      <c r="B385" s="6"/>
      <c r="C385" s="6" t="str">
        <f>VLOOKUP(B385,Sheet3!$B$2:$E$312,2,FALSE)</f>
        <v>#N/A</v>
      </c>
      <c r="D385" s="6" t="str">
        <f>VLOOKUP(B385,Sheet3!$B$2:$E$312,3,)</f>
        <v>#N/A</v>
      </c>
      <c r="E385" s="8" t="str">
        <f>VLOOKUP(B385,Sheet3!$B$2:$E$312,4,)</f>
        <v>#N/A</v>
      </c>
      <c r="F385" s="8"/>
      <c r="G385" s="8"/>
      <c r="H385" s="8"/>
    </row>
    <row r="386" ht="15.75" customHeight="1">
      <c r="A386" s="6"/>
      <c r="B386" s="6"/>
      <c r="C386" s="6" t="str">
        <f>VLOOKUP(B386,Sheet3!$B$2:$E$312,2,FALSE)</f>
        <v>#N/A</v>
      </c>
      <c r="D386" s="6" t="str">
        <f>VLOOKUP(B386,Sheet3!$B$2:$E$312,3,)</f>
        <v>#N/A</v>
      </c>
      <c r="E386" s="8" t="str">
        <f>VLOOKUP(B386,Sheet3!$B$2:$E$312,4,)</f>
        <v>#N/A</v>
      </c>
      <c r="F386" s="8"/>
      <c r="G386" s="8"/>
      <c r="H386" s="8"/>
    </row>
    <row r="387" ht="15.75" customHeight="1">
      <c r="A387" s="6"/>
      <c r="B387" s="6"/>
      <c r="C387" s="6" t="str">
        <f>VLOOKUP(B387,Sheet3!$B$2:$E$312,2,FALSE)</f>
        <v>#N/A</v>
      </c>
      <c r="D387" s="6" t="str">
        <f>VLOOKUP(B387,Sheet3!$B$2:$E$312,3,)</f>
        <v>#N/A</v>
      </c>
      <c r="E387" s="8" t="str">
        <f>VLOOKUP(B387,Sheet3!$B$2:$E$312,4,)</f>
        <v>#N/A</v>
      </c>
      <c r="F387" s="8"/>
      <c r="G387" s="8"/>
      <c r="H387" s="8"/>
    </row>
    <row r="388" ht="15.75" customHeight="1">
      <c r="A388" s="6"/>
      <c r="B388" s="6"/>
      <c r="C388" s="6" t="str">
        <f>VLOOKUP(B388,Sheet3!$B$2:$E$312,2,FALSE)</f>
        <v>#N/A</v>
      </c>
      <c r="D388" s="6" t="str">
        <f>VLOOKUP(B388,Sheet3!$B$2:$E$312,3,)</f>
        <v>#N/A</v>
      </c>
      <c r="E388" s="8" t="str">
        <f>VLOOKUP(B388,Sheet3!$B$2:$E$312,4,)</f>
        <v>#N/A</v>
      </c>
      <c r="F388" s="8"/>
      <c r="G388" s="8"/>
      <c r="H388" s="8"/>
    </row>
    <row r="389" ht="15.75" customHeight="1">
      <c r="A389" s="6"/>
      <c r="B389" s="6"/>
      <c r="C389" s="6" t="str">
        <f>VLOOKUP(B389,Sheet3!$B$2:$E$312,2,FALSE)</f>
        <v>#N/A</v>
      </c>
      <c r="D389" s="6" t="str">
        <f>VLOOKUP(B389,Sheet3!$B$2:$E$312,3,)</f>
        <v>#N/A</v>
      </c>
      <c r="E389" s="8" t="str">
        <f>VLOOKUP(B389,Sheet3!$B$2:$E$312,4,)</f>
        <v>#N/A</v>
      </c>
      <c r="F389" s="8"/>
      <c r="G389" s="8"/>
      <c r="H389" s="8"/>
    </row>
    <row r="390" ht="15.75" customHeight="1">
      <c r="A390" s="6"/>
      <c r="B390" s="6"/>
      <c r="C390" s="6" t="str">
        <f>VLOOKUP(B390,Sheet3!$B$2:$E$312,2,FALSE)</f>
        <v>#N/A</v>
      </c>
      <c r="D390" s="6" t="str">
        <f>VLOOKUP(B390,Sheet3!$B$2:$E$312,3,)</f>
        <v>#N/A</v>
      </c>
      <c r="E390" s="8" t="str">
        <f>VLOOKUP(B390,Sheet3!$B$2:$E$312,4,)</f>
        <v>#N/A</v>
      </c>
      <c r="F390" s="8"/>
      <c r="G390" s="8"/>
      <c r="H390" s="8"/>
    </row>
    <row r="391" ht="15.75" customHeight="1">
      <c r="A391" s="6"/>
      <c r="B391" s="6"/>
      <c r="C391" s="6" t="str">
        <f>VLOOKUP(B391,Sheet3!$B$2:$E$312,2,FALSE)</f>
        <v>#N/A</v>
      </c>
      <c r="D391" s="6" t="str">
        <f>VLOOKUP(B391,Sheet3!$B$2:$E$312,3,)</f>
        <v>#N/A</v>
      </c>
      <c r="E391" s="8" t="str">
        <f>VLOOKUP(B391,Sheet3!$B$2:$E$312,4,)</f>
        <v>#N/A</v>
      </c>
      <c r="F391" s="8"/>
      <c r="G391" s="8"/>
      <c r="H391" s="8"/>
    </row>
    <row r="392" ht="15.75" customHeight="1">
      <c r="A392" s="6"/>
      <c r="B392" s="6"/>
      <c r="C392" s="6" t="str">
        <f>VLOOKUP(B392,Sheet3!$B$2:$E$312,2,FALSE)</f>
        <v>#N/A</v>
      </c>
      <c r="D392" s="6" t="str">
        <f>VLOOKUP(B392,Sheet3!$B$2:$E$312,3,)</f>
        <v>#N/A</v>
      </c>
      <c r="E392" s="8" t="str">
        <f>VLOOKUP(B392,Sheet3!$B$2:$E$312,4,)</f>
        <v>#N/A</v>
      </c>
      <c r="F392" s="8"/>
      <c r="G392" s="8"/>
      <c r="H392" s="8"/>
    </row>
    <row r="393" ht="15.75" customHeight="1">
      <c r="A393" s="6"/>
      <c r="B393" s="6"/>
      <c r="C393" s="6" t="str">
        <f>VLOOKUP(B393,Sheet3!$B$2:$E$312,2,FALSE)</f>
        <v>#N/A</v>
      </c>
      <c r="D393" s="6" t="str">
        <f>VLOOKUP(B393,Sheet3!$B$2:$E$312,3,)</f>
        <v>#N/A</v>
      </c>
      <c r="E393" s="8" t="str">
        <f>VLOOKUP(B393,Sheet3!$B$2:$E$312,4,)</f>
        <v>#N/A</v>
      </c>
      <c r="F393" s="8"/>
      <c r="G393" s="8"/>
      <c r="H393" s="8"/>
    </row>
    <row r="394" ht="15.75" customHeight="1">
      <c r="A394" s="6"/>
      <c r="B394" s="6"/>
      <c r="C394" s="6" t="str">
        <f>VLOOKUP(B394,Sheet3!$B$2:$E$312,2,FALSE)</f>
        <v>#N/A</v>
      </c>
      <c r="D394" s="6" t="str">
        <f>VLOOKUP(B394,Sheet3!$B$2:$E$312,3,)</f>
        <v>#N/A</v>
      </c>
      <c r="E394" s="8" t="str">
        <f>VLOOKUP(B394,Sheet3!$B$2:$E$312,4,)</f>
        <v>#N/A</v>
      </c>
      <c r="F394" s="8"/>
      <c r="G394" s="8"/>
      <c r="H394" s="8"/>
    </row>
    <row r="395" ht="15.75" customHeight="1">
      <c r="A395" s="6"/>
      <c r="B395" s="6"/>
      <c r="C395" s="6" t="str">
        <f>VLOOKUP(B395,Sheet3!$B$2:$E$312,2,FALSE)</f>
        <v>#N/A</v>
      </c>
      <c r="D395" s="6" t="str">
        <f>VLOOKUP(B395,Sheet3!$B$2:$E$312,3,)</f>
        <v>#N/A</v>
      </c>
      <c r="E395" s="8" t="str">
        <f>VLOOKUP(B395,Sheet3!$B$2:$E$312,4,)</f>
        <v>#N/A</v>
      </c>
      <c r="F395" s="8"/>
      <c r="G395" s="8"/>
      <c r="H395" s="8"/>
    </row>
    <row r="396" ht="15.75" customHeight="1">
      <c r="A396" s="6"/>
      <c r="B396" s="6"/>
      <c r="C396" s="6" t="str">
        <f>VLOOKUP(B396,Sheet3!$B$2:$E$312,2,FALSE)</f>
        <v>#N/A</v>
      </c>
      <c r="D396" s="6" t="str">
        <f>VLOOKUP(B396,Sheet3!$B$2:$E$312,3,)</f>
        <v>#N/A</v>
      </c>
      <c r="E396" s="8" t="str">
        <f>VLOOKUP(B396,Sheet3!$B$2:$E$312,4,)</f>
        <v>#N/A</v>
      </c>
      <c r="F396" s="8"/>
      <c r="G396" s="8"/>
      <c r="H396" s="8"/>
    </row>
    <row r="397" ht="15.75" customHeight="1">
      <c r="A397" s="6"/>
      <c r="B397" s="6"/>
      <c r="C397" s="6" t="str">
        <f>VLOOKUP(B397,Sheet3!$B$2:$E$312,2,FALSE)</f>
        <v>#N/A</v>
      </c>
      <c r="D397" s="6" t="str">
        <f>VLOOKUP(B397,Sheet3!$B$2:$E$312,3,)</f>
        <v>#N/A</v>
      </c>
      <c r="E397" s="8" t="str">
        <f>VLOOKUP(B397,Sheet3!$B$2:$E$312,4,)</f>
        <v>#N/A</v>
      </c>
      <c r="F397" s="8"/>
      <c r="G397" s="8"/>
      <c r="H397" s="8"/>
    </row>
    <row r="398" ht="15.75" customHeight="1">
      <c r="A398" s="6"/>
      <c r="B398" s="6"/>
      <c r="C398" s="6" t="str">
        <f>VLOOKUP(B398,Sheet3!$B$2:$E$312,2,FALSE)</f>
        <v>#N/A</v>
      </c>
      <c r="D398" s="6" t="str">
        <f>VLOOKUP(B398,Sheet3!$B$2:$E$312,3,)</f>
        <v>#N/A</v>
      </c>
      <c r="E398" s="8" t="str">
        <f>VLOOKUP(B398,Sheet3!$B$2:$E$312,4,)</f>
        <v>#N/A</v>
      </c>
      <c r="F398" s="8"/>
      <c r="G398" s="8"/>
      <c r="H398" s="8"/>
    </row>
    <row r="399" ht="15.75" customHeight="1">
      <c r="A399" s="6"/>
      <c r="B399" s="6"/>
      <c r="C399" s="6" t="str">
        <f>VLOOKUP(B399,Sheet3!$B$2:$E$312,2,FALSE)</f>
        <v>#N/A</v>
      </c>
      <c r="D399" s="6" t="str">
        <f>VLOOKUP(B399,Sheet3!$B$2:$E$312,3,)</f>
        <v>#N/A</v>
      </c>
      <c r="E399" s="8" t="str">
        <f>VLOOKUP(B399,Sheet3!$B$2:$E$312,4,)</f>
        <v>#N/A</v>
      </c>
      <c r="F399" s="8"/>
      <c r="G399" s="8"/>
      <c r="H399" s="8"/>
    </row>
    <row r="400" ht="15.75" customHeight="1">
      <c r="A400" s="6"/>
      <c r="B400" s="6"/>
      <c r="C400" s="6" t="str">
        <f>VLOOKUP(B400,Sheet3!$B$2:$E$312,2,FALSE)</f>
        <v>#N/A</v>
      </c>
      <c r="D400" s="6" t="str">
        <f>VLOOKUP(B400,Sheet3!$B$2:$E$312,3,)</f>
        <v>#N/A</v>
      </c>
      <c r="E400" s="8" t="str">
        <f>VLOOKUP(B400,Sheet3!$B$2:$E$312,4,)</f>
        <v>#N/A</v>
      </c>
      <c r="F400" s="8"/>
      <c r="G400" s="8"/>
      <c r="H400" s="8"/>
    </row>
    <row r="401" ht="15.75" customHeight="1">
      <c r="A401" s="6"/>
      <c r="B401" s="6"/>
      <c r="C401" s="6" t="str">
        <f>VLOOKUP(B401,Sheet3!$B$2:$E$312,2,FALSE)</f>
        <v>#N/A</v>
      </c>
      <c r="D401" s="6" t="str">
        <f>VLOOKUP(B401,Sheet3!$B$2:$E$312,3,)</f>
        <v>#N/A</v>
      </c>
      <c r="E401" s="8" t="str">
        <f>VLOOKUP(B401,Sheet3!$B$2:$E$312,4,)</f>
        <v>#N/A</v>
      </c>
      <c r="F401" s="8"/>
      <c r="G401" s="8"/>
      <c r="H401" s="8"/>
    </row>
    <row r="402" ht="15.75" customHeight="1">
      <c r="A402" s="6"/>
      <c r="B402" s="6"/>
      <c r="C402" s="6" t="str">
        <f>VLOOKUP(B402,Sheet3!$B$2:$E$312,2,FALSE)</f>
        <v>#N/A</v>
      </c>
      <c r="D402" s="6" t="str">
        <f>VLOOKUP(B402,Sheet3!$B$2:$E$312,3,)</f>
        <v>#N/A</v>
      </c>
      <c r="E402" s="8" t="str">
        <f>VLOOKUP(B402,Sheet3!$B$2:$E$312,4,)</f>
        <v>#N/A</v>
      </c>
      <c r="F402" s="8"/>
      <c r="G402" s="8"/>
      <c r="H402" s="8"/>
    </row>
    <row r="403" ht="15.75" customHeight="1">
      <c r="A403" s="6"/>
      <c r="B403" s="6"/>
      <c r="C403" s="6" t="str">
        <f>VLOOKUP(B403,Sheet3!$B$2:$E$312,2,FALSE)</f>
        <v>#N/A</v>
      </c>
      <c r="D403" s="6" t="str">
        <f>VLOOKUP(B403,Sheet3!$B$2:$E$312,3,)</f>
        <v>#N/A</v>
      </c>
      <c r="E403" s="8" t="str">
        <f>VLOOKUP(B403,Sheet3!$B$2:$E$312,4,)</f>
        <v>#N/A</v>
      </c>
      <c r="F403" s="8"/>
      <c r="G403" s="8"/>
      <c r="H403" s="8"/>
    </row>
    <row r="404" ht="15.75" customHeight="1">
      <c r="A404" s="6"/>
      <c r="B404" s="6"/>
      <c r="C404" s="6" t="str">
        <f>VLOOKUP(B404,Sheet3!$B$2:$E$312,2,FALSE)</f>
        <v>#N/A</v>
      </c>
      <c r="D404" s="6" t="str">
        <f>VLOOKUP(B404,Sheet3!$B$2:$E$312,3,)</f>
        <v>#N/A</v>
      </c>
      <c r="E404" s="8" t="str">
        <f>VLOOKUP(B404,Sheet3!$B$2:$E$312,4,)</f>
        <v>#N/A</v>
      </c>
      <c r="F404" s="8"/>
      <c r="G404" s="8"/>
      <c r="H404" s="8"/>
    </row>
    <row r="405" ht="15.75" customHeight="1">
      <c r="A405" s="6"/>
      <c r="B405" s="6"/>
      <c r="C405" s="6" t="str">
        <f>VLOOKUP(B405,Sheet3!$B$2:$E$312,2,FALSE)</f>
        <v>#N/A</v>
      </c>
      <c r="D405" s="6" t="str">
        <f>VLOOKUP(B405,Sheet3!$B$2:$E$312,3,)</f>
        <v>#N/A</v>
      </c>
      <c r="E405" s="8" t="str">
        <f>VLOOKUP(B405,Sheet3!$B$2:$E$312,4,)</f>
        <v>#N/A</v>
      </c>
      <c r="F405" s="8"/>
      <c r="G405" s="8"/>
      <c r="H405" s="8"/>
    </row>
    <row r="406" ht="15.75" customHeight="1">
      <c r="A406" s="6"/>
      <c r="B406" s="6"/>
      <c r="C406" s="6" t="str">
        <f>VLOOKUP(B406,Sheet3!$B$2:$E$312,2,FALSE)</f>
        <v>#N/A</v>
      </c>
      <c r="D406" s="6" t="str">
        <f>VLOOKUP(B406,Sheet3!$B$2:$E$312,3,)</f>
        <v>#N/A</v>
      </c>
      <c r="E406" s="8" t="str">
        <f>VLOOKUP(B406,Sheet3!$B$2:$E$312,4,)</f>
        <v>#N/A</v>
      </c>
      <c r="F406" s="8"/>
      <c r="G406" s="8"/>
      <c r="H406" s="8"/>
    </row>
    <row r="407" ht="15.75" customHeight="1">
      <c r="A407" s="6"/>
      <c r="B407" s="6"/>
      <c r="C407" s="6" t="str">
        <f>VLOOKUP(B407,Sheet3!$B$2:$E$312,2,FALSE)</f>
        <v>#N/A</v>
      </c>
      <c r="D407" s="6" t="str">
        <f>VLOOKUP(B407,Sheet3!$B$2:$E$312,3,)</f>
        <v>#N/A</v>
      </c>
      <c r="E407" s="8" t="str">
        <f>VLOOKUP(B407,Sheet3!$B$2:$E$312,4,)</f>
        <v>#N/A</v>
      </c>
      <c r="F407" s="8"/>
      <c r="G407" s="8"/>
      <c r="H407" s="8"/>
    </row>
    <row r="408" ht="15.75" customHeight="1">
      <c r="A408" s="6"/>
      <c r="B408" s="6"/>
      <c r="C408" s="6" t="str">
        <f>VLOOKUP(B408,Sheet3!$B$2:$E$312,2,FALSE)</f>
        <v>#N/A</v>
      </c>
      <c r="D408" s="6" t="str">
        <f>VLOOKUP(B408,Sheet3!$B$2:$E$312,3,)</f>
        <v>#N/A</v>
      </c>
      <c r="E408" s="8" t="str">
        <f>VLOOKUP(B408,Sheet3!$B$2:$E$312,4,)</f>
        <v>#N/A</v>
      </c>
      <c r="F408" s="8"/>
      <c r="G408" s="8"/>
      <c r="H408" s="8"/>
    </row>
    <row r="409" ht="15.75" customHeight="1">
      <c r="A409" s="6"/>
      <c r="B409" s="6"/>
      <c r="C409" s="6" t="str">
        <f>VLOOKUP(B409,Sheet3!$B$2:$E$312,2,FALSE)</f>
        <v>#N/A</v>
      </c>
      <c r="D409" s="6" t="str">
        <f>VLOOKUP(B409,Sheet3!$B$2:$E$312,3,)</f>
        <v>#N/A</v>
      </c>
      <c r="E409" s="8" t="str">
        <f>VLOOKUP(B409,Sheet3!$B$2:$E$312,4,)</f>
        <v>#N/A</v>
      </c>
      <c r="F409" s="8"/>
      <c r="G409" s="8"/>
      <c r="H409" s="8"/>
    </row>
    <row r="410" ht="15.75" customHeight="1">
      <c r="A410" s="6"/>
      <c r="B410" s="6"/>
      <c r="C410" s="6" t="str">
        <f>VLOOKUP(B410,Sheet3!$B$2:$E$312,2,FALSE)</f>
        <v>#N/A</v>
      </c>
      <c r="D410" s="6" t="str">
        <f>VLOOKUP(B410,Sheet3!$B$2:$E$312,3,)</f>
        <v>#N/A</v>
      </c>
      <c r="E410" s="8" t="str">
        <f>VLOOKUP(B410,Sheet3!$B$2:$E$312,4,)</f>
        <v>#N/A</v>
      </c>
      <c r="F410" s="8"/>
      <c r="G410" s="8"/>
      <c r="H410" s="8"/>
    </row>
    <row r="411" ht="15.75" customHeight="1">
      <c r="A411" s="6"/>
      <c r="B411" s="6"/>
      <c r="C411" s="6" t="str">
        <f>VLOOKUP(B411,Sheet3!$B$2:$E$312,2,FALSE)</f>
        <v>#N/A</v>
      </c>
      <c r="D411" s="6" t="str">
        <f>VLOOKUP(B411,Sheet3!$B$2:$E$312,3,)</f>
        <v>#N/A</v>
      </c>
      <c r="E411" s="8" t="str">
        <f>VLOOKUP(B411,Sheet3!$B$2:$E$312,4,)</f>
        <v>#N/A</v>
      </c>
      <c r="F411" s="8"/>
      <c r="G411" s="8"/>
      <c r="H411" s="8"/>
    </row>
    <row r="412" ht="15.75" customHeight="1">
      <c r="A412" s="6"/>
      <c r="B412" s="6"/>
      <c r="C412" s="6" t="str">
        <f>VLOOKUP(B412,Sheet3!$B$2:$E$312,2,FALSE)</f>
        <v>#N/A</v>
      </c>
      <c r="D412" s="6" t="str">
        <f>VLOOKUP(B412,Sheet3!$B$2:$E$312,3,)</f>
        <v>#N/A</v>
      </c>
      <c r="E412" s="8" t="str">
        <f>VLOOKUP(B412,Sheet3!$B$2:$E$312,4,)</f>
        <v>#N/A</v>
      </c>
      <c r="F412" s="8"/>
      <c r="G412" s="8"/>
      <c r="H412" s="8"/>
    </row>
    <row r="413" ht="15.75" customHeight="1">
      <c r="A413" s="6"/>
      <c r="B413" s="6"/>
      <c r="C413" s="6" t="str">
        <f>VLOOKUP(B413,Sheet3!$B$2:$E$312,2,FALSE)</f>
        <v>#N/A</v>
      </c>
      <c r="D413" s="6" t="str">
        <f>VLOOKUP(B413,Sheet3!$B$2:$E$312,3,)</f>
        <v>#N/A</v>
      </c>
      <c r="E413" s="8" t="str">
        <f>VLOOKUP(B413,Sheet3!$B$2:$E$312,4,)</f>
        <v>#N/A</v>
      </c>
      <c r="F413" s="8"/>
      <c r="G413" s="8"/>
      <c r="H413" s="8"/>
    </row>
    <row r="414" ht="15.75" customHeight="1">
      <c r="A414" s="6"/>
      <c r="B414" s="6"/>
      <c r="C414" s="6" t="str">
        <f>VLOOKUP(B414,Sheet3!$B$2:$E$312,2,FALSE)</f>
        <v>#N/A</v>
      </c>
      <c r="D414" s="6" t="str">
        <f>VLOOKUP(B414,Sheet3!$B$2:$E$312,3,)</f>
        <v>#N/A</v>
      </c>
      <c r="E414" s="8" t="str">
        <f>VLOOKUP(B414,Sheet3!$B$2:$E$312,4,)</f>
        <v>#N/A</v>
      </c>
      <c r="F414" s="8"/>
      <c r="G414" s="8"/>
      <c r="H414" s="8"/>
    </row>
    <row r="415" ht="15.75" customHeight="1">
      <c r="A415" s="6"/>
      <c r="B415" s="6"/>
      <c r="C415" s="6" t="str">
        <f>VLOOKUP(B415,Sheet3!$B$2:$E$312,2,FALSE)</f>
        <v>#N/A</v>
      </c>
      <c r="D415" s="6" t="str">
        <f>VLOOKUP(B415,Sheet3!$B$2:$E$312,3,)</f>
        <v>#N/A</v>
      </c>
      <c r="E415" s="8" t="str">
        <f>VLOOKUP(B415,Sheet3!$B$2:$E$312,4,)</f>
        <v>#N/A</v>
      </c>
      <c r="F415" s="8"/>
      <c r="G415" s="8"/>
      <c r="H415" s="8"/>
    </row>
    <row r="416" ht="15.75" customHeight="1">
      <c r="A416" s="6"/>
      <c r="B416" s="6"/>
      <c r="C416" s="6" t="str">
        <f>VLOOKUP(B416,Sheet3!$B$2:$E$312,2,FALSE)</f>
        <v>#N/A</v>
      </c>
      <c r="D416" s="6" t="str">
        <f>VLOOKUP(B416,Sheet3!$B$2:$E$312,3,)</f>
        <v>#N/A</v>
      </c>
      <c r="E416" s="8" t="str">
        <f>VLOOKUP(B416,Sheet3!$B$2:$E$312,4,)</f>
        <v>#N/A</v>
      </c>
      <c r="F416" s="8"/>
      <c r="G416" s="8"/>
      <c r="H416" s="8"/>
    </row>
    <row r="417" ht="15.75" customHeight="1">
      <c r="A417" s="6"/>
      <c r="B417" s="6"/>
      <c r="C417" s="6" t="str">
        <f>VLOOKUP(B417,Sheet3!$B$2:$E$312,2,FALSE)</f>
        <v>#N/A</v>
      </c>
      <c r="D417" s="6" t="str">
        <f>VLOOKUP(B417,Sheet3!$B$2:$E$312,3,)</f>
        <v>#N/A</v>
      </c>
      <c r="E417" s="8" t="str">
        <f>VLOOKUP(B417,Sheet3!$B$2:$E$312,4,)</f>
        <v>#N/A</v>
      </c>
      <c r="F417" s="8"/>
      <c r="G417" s="8"/>
      <c r="H417" s="8"/>
    </row>
    <row r="418" ht="15.75" customHeight="1">
      <c r="A418" s="6"/>
      <c r="B418" s="6"/>
      <c r="C418" s="6" t="str">
        <f>VLOOKUP(B418,Sheet3!$B$2:$E$312,2,FALSE)</f>
        <v>#N/A</v>
      </c>
      <c r="D418" s="6" t="str">
        <f>VLOOKUP(B418,Sheet3!$B$2:$E$312,3,)</f>
        <v>#N/A</v>
      </c>
      <c r="E418" s="8" t="str">
        <f>VLOOKUP(B418,Sheet3!$B$2:$E$312,4,)</f>
        <v>#N/A</v>
      </c>
      <c r="F418" s="8"/>
      <c r="G418" s="8"/>
      <c r="H418" s="8"/>
    </row>
    <row r="419" ht="15.75" customHeight="1">
      <c r="A419" s="6"/>
      <c r="B419" s="6"/>
      <c r="C419" s="6" t="str">
        <f>VLOOKUP(B419,Sheet3!$B$2:$E$312,2,FALSE)</f>
        <v>#N/A</v>
      </c>
      <c r="D419" s="6" t="str">
        <f>VLOOKUP(B419,Sheet3!$B$2:$E$312,3,)</f>
        <v>#N/A</v>
      </c>
      <c r="E419" s="8" t="str">
        <f>VLOOKUP(B419,Sheet3!$B$2:$E$312,4,)</f>
        <v>#N/A</v>
      </c>
      <c r="F419" s="8"/>
      <c r="G419" s="8"/>
      <c r="H419" s="8"/>
    </row>
    <row r="420" ht="15.75" customHeight="1">
      <c r="A420" s="6"/>
      <c r="B420" s="6"/>
      <c r="C420" s="6" t="str">
        <f>VLOOKUP(B420,Sheet3!$B$2:$E$312,2,FALSE)</f>
        <v>#N/A</v>
      </c>
      <c r="D420" s="6" t="str">
        <f>VLOOKUP(B420,Sheet3!$B$2:$E$312,3,)</f>
        <v>#N/A</v>
      </c>
      <c r="E420" s="8" t="str">
        <f>VLOOKUP(B420,Sheet3!$B$2:$E$312,4,)</f>
        <v>#N/A</v>
      </c>
      <c r="F420" s="8"/>
      <c r="G420" s="8"/>
      <c r="H420" s="8"/>
    </row>
    <row r="421" ht="15.75" customHeight="1">
      <c r="A421" s="6"/>
      <c r="B421" s="6"/>
      <c r="C421" s="6" t="str">
        <f>VLOOKUP(B421,Sheet3!$B$2:$E$312,2,FALSE)</f>
        <v>#N/A</v>
      </c>
      <c r="D421" s="6" t="str">
        <f>VLOOKUP(B421,Sheet3!$B$2:$E$312,3,)</f>
        <v>#N/A</v>
      </c>
      <c r="E421" s="8" t="str">
        <f>VLOOKUP(B421,Sheet3!$B$2:$E$312,4,)</f>
        <v>#N/A</v>
      </c>
      <c r="F421" s="8"/>
      <c r="G421" s="8"/>
      <c r="H421" s="8"/>
    </row>
    <row r="422" ht="15.75" customHeight="1">
      <c r="A422" s="6"/>
      <c r="B422" s="6"/>
      <c r="C422" s="6" t="str">
        <f>VLOOKUP(B422,Sheet3!$B$2:$E$312,2,FALSE)</f>
        <v>#N/A</v>
      </c>
      <c r="D422" s="6" t="str">
        <f>VLOOKUP(B422,Sheet3!$B$2:$E$312,3,)</f>
        <v>#N/A</v>
      </c>
      <c r="E422" s="8" t="str">
        <f>VLOOKUP(B422,Sheet3!$B$2:$E$312,4,)</f>
        <v>#N/A</v>
      </c>
      <c r="F422" s="8"/>
      <c r="G422" s="8"/>
      <c r="H422" s="8"/>
    </row>
    <row r="423" ht="15.75" customHeight="1">
      <c r="A423" s="6"/>
      <c r="B423" s="6"/>
      <c r="C423" s="6" t="str">
        <f>VLOOKUP(B423,Sheet3!$B$2:$E$312,2,FALSE)</f>
        <v>#N/A</v>
      </c>
      <c r="D423" s="6" t="str">
        <f>VLOOKUP(B423,Sheet3!$B$2:$E$312,3,)</f>
        <v>#N/A</v>
      </c>
      <c r="E423" s="8" t="str">
        <f>VLOOKUP(B423,Sheet3!$B$2:$E$312,4,)</f>
        <v>#N/A</v>
      </c>
      <c r="F423" s="8"/>
      <c r="G423" s="8"/>
      <c r="H423" s="8"/>
    </row>
    <row r="424" ht="15.75" customHeight="1">
      <c r="A424" s="6"/>
      <c r="B424" s="6"/>
      <c r="C424" s="6" t="str">
        <f>VLOOKUP(B424,Sheet3!$B$2:$E$312,2,FALSE)</f>
        <v>#N/A</v>
      </c>
      <c r="D424" s="6" t="str">
        <f>VLOOKUP(B424,Sheet3!$B$2:$E$312,3,)</f>
        <v>#N/A</v>
      </c>
      <c r="E424" s="8" t="str">
        <f>VLOOKUP(B424,Sheet3!$B$2:$E$312,4,)</f>
        <v>#N/A</v>
      </c>
      <c r="F424" s="8"/>
      <c r="G424" s="8"/>
      <c r="H424" s="8"/>
    </row>
    <row r="425" ht="15.75" customHeight="1">
      <c r="A425" s="6"/>
      <c r="B425" s="6"/>
      <c r="C425" s="6" t="str">
        <f>VLOOKUP(B425,Sheet3!$B$2:$E$312,2,FALSE)</f>
        <v>#N/A</v>
      </c>
      <c r="D425" s="6" t="str">
        <f>VLOOKUP(B425,Sheet3!$B$2:$E$312,3,)</f>
        <v>#N/A</v>
      </c>
      <c r="E425" s="8" t="str">
        <f>VLOOKUP(B425,Sheet3!$B$2:$E$312,4,)</f>
        <v>#N/A</v>
      </c>
      <c r="F425" s="8"/>
      <c r="G425" s="8"/>
      <c r="H425" s="8"/>
    </row>
    <row r="426" ht="15.75" customHeight="1">
      <c r="A426" s="6"/>
      <c r="B426" s="6"/>
      <c r="C426" s="6" t="str">
        <f>VLOOKUP(B426,Sheet3!$B$2:$E$312,2,FALSE)</f>
        <v>#N/A</v>
      </c>
      <c r="D426" s="6" t="str">
        <f>VLOOKUP(B426,Sheet3!$B$2:$E$312,3,)</f>
        <v>#N/A</v>
      </c>
      <c r="E426" s="8" t="str">
        <f>VLOOKUP(B426,Sheet3!$B$2:$E$312,4,)</f>
        <v>#N/A</v>
      </c>
      <c r="F426" s="8"/>
      <c r="G426" s="8"/>
      <c r="H426" s="8"/>
    </row>
    <row r="427" ht="15.75" customHeight="1">
      <c r="A427" s="6"/>
      <c r="B427" s="6"/>
      <c r="C427" s="6" t="str">
        <f>VLOOKUP(B427,Sheet3!$B$2:$E$312,2,FALSE)</f>
        <v>#N/A</v>
      </c>
      <c r="D427" s="6" t="str">
        <f>VLOOKUP(B427,Sheet3!$B$2:$E$312,3,)</f>
        <v>#N/A</v>
      </c>
      <c r="E427" s="8" t="str">
        <f>VLOOKUP(B427,Sheet3!$B$2:$E$312,4,)</f>
        <v>#N/A</v>
      </c>
      <c r="F427" s="8"/>
      <c r="G427" s="8"/>
      <c r="H427" s="8"/>
    </row>
    <row r="428" ht="15.75" customHeight="1">
      <c r="A428" s="6"/>
      <c r="B428" s="6"/>
      <c r="C428" s="6" t="str">
        <f>VLOOKUP(B428,Sheet3!$B$2:$E$312,2,FALSE)</f>
        <v>#N/A</v>
      </c>
      <c r="D428" s="6" t="str">
        <f>VLOOKUP(B428,Sheet3!$B$2:$E$312,3,)</f>
        <v>#N/A</v>
      </c>
      <c r="E428" s="8" t="str">
        <f>VLOOKUP(B428,Sheet3!$B$2:$E$312,4,)</f>
        <v>#N/A</v>
      </c>
      <c r="F428" s="8"/>
      <c r="G428" s="8"/>
      <c r="H428" s="8"/>
    </row>
    <row r="429" ht="15.75" customHeight="1">
      <c r="A429" s="6"/>
      <c r="B429" s="6"/>
      <c r="C429" s="6" t="str">
        <f>VLOOKUP(B429,Sheet3!$B$2:$E$312,2,FALSE)</f>
        <v>#N/A</v>
      </c>
      <c r="D429" s="6" t="str">
        <f>VLOOKUP(B429,Sheet3!$B$2:$E$312,3,)</f>
        <v>#N/A</v>
      </c>
      <c r="E429" s="8" t="str">
        <f>VLOOKUP(B429,Sheet3!$B$2:$E$312,4,)</f>
        <v>#N/A</v>
      </c>
      <c r="F429" s="8"/>
      <c r="G429" s="8"/>
      <c r="H429" s="8"/>
    </row>
    <row r="430" ht="15.75" customHeight="1">
      <c r="A430" s="6"/>
      <c r="B430" s="6"/>
      <c r="C430" s="6" t="str">
        <f>VLOOKUP(B430,Sheet3!$B$2:$E$312,2,FALSE)</f>
        <v>#N/A</v>
      </c>
      <c r="D430" s="6" t="str">
        <f>VLOOKUP(B430,Sheet3!$B$2:$E$312,3,)</f>
        <v>#N/A</v>
      </c>
      <c r="E430" s="8" t="str">
        <f>VLOOKUP(B430,Sheet3!$B$2:$E$312,4,)</f>
        <v>#N/A</v>
      </c>
      <c r="F430" s="8"/>
      <c r="G430" s="8"/>
      <c r="H430" s="8"/>
    </row>
    <row r="431" ht="15.75" customHeight="1">
      <c r="A431" s="6"/>
      <c r="B431" s="6"/>
      <c r="C431" s="6" t="str">
        <f>VLOOKUP(B431,Sheet3!$B$2:$E$312,2,FALSE)</f>
        <v>#N/A</v>
      </c>
      <c r="D431" s="6" t="str">
        <f>VLOOKUP(B431,Sheet3!$B$2:$E$312,3,)</f>
        <v>#N/A</v>
      </c>
      <c r="E431" s="8" t="str">
        <f>VLOOKUP(B431,Sheet3!$B$2:$E$312,4,)</f>
        <v>#N/A</v>
      </c>
      <c r="F431" s="8"/>
      <c r="G431" s="8"/>
      <c r="H431" s="8"/>
    </row>
    <row r="432" ht="15.75" customHeight="1">
      <c r="A432" s="6"/>
      <c r="B432" s="6"/>
      <c r="C432" s="6" t="str">
        <f>VLOOKUP(B432,Sheet3!$B$2:$E$312,2,FALSE)</f>
        <v>#N/A</v>
      </c>
      <c r="D432" s="6" t="str">
        <f>VLOOKUP(B432,Sheet3!$B$2:$E$312,3,)</f>
        <v>#N/A</v>
      </c>
      <c r="E432" s="8" t="str">
        <f>VLOOKUP(B432,Sheet3!$B$2:$E$312,4,)</f>
        <v>#N/A</v>
      </c>
      <c r="F432" s="8"/>
      <c r="G432" s="8"/>
      <c r="H432" s="8"/>
    </row>
    <row r="433" ht="15.75" customHeight="1">
      <c r="A433" s="6"/>
      <c r="B433" s="6"/>
      <c r="C433" s="6" t="str">
        <f>VLOOKUP(B433,Sheet3!$B$2:$E$312,2,FALSE)</f>
        <v>#N/A</v>
      </c>
      <c r="D433" s="6" t="str">
        <f>VLOOKUP(B433,Sheet3!$B$2:$E$312,3,)</f>
        <v>#N/A</v>
      </c>
      <c r="E433" s="8" t="str">
        <f>VLOOKUP(B433,Sheet3!$B$2:$E$312,4,)</f>
        <v>#N/A</v>
      </c>
      <c r="F433" s="8"/>
      <c r="G433" s="8"/>
      <c r="H433" s="8"/>
    </row>
    <row r="434" ht="15.75" customHeight="1">
      <c r="A434" s="6"/>
      <c r="B434" s="6"/>
      <c r="C434" s="6" t="str">
        <f>VLOOKUP(B434,Sheet3!$B$2:$E$312,2,FALSE)</f>
        <v>#N/A</v>
      </c>
      <c r="D434" s="6" t="str">
        <f>VLOOKUP(B434,Sheet3!$B$2:$E$312,3,)</f>
        <v>#N/A</v>
      </c>
      <c r="E434" s="8" t="str">
        <f>VLOOKUP(B434,Sheet3!$B$2:$E$312,4,)</f>
        <v>#N/A</v>
      </c>
      <c r="F434" s="8"/>
      <c r="G434" s="8"/>
      <c r="H434" s="8"/>
    </row>
    <row r="435" ht="15.75" customHeight="1">
      <c r="A435" s="6"/>
      <c r="B435" s="6"/>
      <c r="C435" s="6" t="str">
        <f>VLOOKUP(B435,Sheet3!$B$2:$E$312,2,FALSE)</f>
        <v>#N/A</v>
      </c>
      <c r="D435" s="6" t="str">
        <f>VLOOKUP(B435,Sheet3!$B$2:$E$312,3,)</f>
        <v>#N/A</v>
      </c>
      <c r="E435" s="8" t="str">
        <f>VLOOKUP(B435,Sheet3!$B$2:$E$312,4,)</f>
        <v>#N/A</v>
      </c>
      <c r="F435" s="8"/>
      <c r="G435" s="8"/>
      <c r="H435" s="8"/>
    </row>
    <row r="436" ht="15.75" customHeight="1">
      <c r="A436" s="6"/>
      <c r="B436" s="6"/>
      <c r="C436" s="6" t="str">
        <f>VLOOKUP(B436,Sheet3!$B$2:$E$312,2,FALSE)</f>
        <v>#N/A</v>
      </c>
      <c r="D436" s="6" t="str">
        <f>VLOOKUP(B436,Sheet3!$B$2:$E$312,3,)</f>
        <v>#N/A</v>
      </c>
      <c r="E436" s="8" t="str">
        <f>VLOOKUP(B436,Sheet3!$B$2:$E$312,4,)</f>
        <v>#N/A</v>
      </c>
      <c r="F436" s="8"/>
      <c r="G436" s="8"/>
      <c r="H436" s="8"/>
    </row>
    <row r="437" ht="15.75" customHeight="1">
      <c r="A437" s="6"/>
      <c r="B437" s="6"/>
      <c r="C437" s="6" t="str">
        <f>VLOOKUP(B437,Sheet3!$B$2:$E$312,2,FALSE)</f>
        <v>#N/A</v>
      </c>
      <c r="D437" s="6" t="str">
        <f>VLOOKUP(B437,Sheet3!$B$2:$E$312,3,)</f>
        <v>#N/A</v>
      </c>
      <c r="E437" s="8" t="str">
        <f>VLOOKUP(B437,Sheet3!$B$2:$E$312,4,)</f>
        <v>#N/A</v>
      </c>
      <c r="F437" s="8"/>
      <c r="G437" s="8"/>
      <c r="H437" s="8"/>
    </row>
    <row r="438" ht="15.75" customHeight="1">
      <c r="A438" s="6"/>
      <c r="B438" s="6"/>
      <c r="C438" s="6" t="str">
        <f>VLOOKUP(B438,Sheet3!$B$2:$E$312,2,FALSE)</f>
        <v>#N/A</v>
      </c>
      <c r="D438" s="6" t="str">
        <f>VLOOKUP(B438,Sheet3!$B$2:$E$312,3,)</f>
        <v>#N/A</v>
      </c>
      <c r="E438" s="8" t="str">
        <f>VLOOKUP(B438,Sheet3!$B$2:$E$312,4,)</f>
        <v>#N/A</v>
      </c>
      <c r="F438" s="8"/>
      <c r="G438" s="8"/>
      <c r="H438" s="8"/>
    </row>
    <row r="439" ht="15.75" customHeight="1">
      <c r="A439" s="6"/>
      <c r="B439" s="6"/>
      <c r="C439" s="6" t="str">
        <f>VLOOKUP(B439,Sheet3!$B$2:$E$312,2,FALSE)</f>
        <v>#N/A</v>
      </c>
      <c r="D439" s="6" t="str">
        <f>VLOOKUP(B439,Sheet3!$B$2:$E$312,3,)</f>
        <v>#N/A</v>
      </c>
      <c r="E439" s="8" t="str">
        <f>VLOOKUP(B439,Sheet3!$B$2:$E$312,4,)</f>
        <v>#N/A</v>
      </c>
      <c r="F439" s="8"/>
      <c r="G439" s="8"/>
      <c r="H439" s="8"/>
    </row>
    <row r="440" ht="15.75" customHeight="1">
      <c r="A440" s="6"/>
      <c r="B440" s="6"/>
      <c r="C440" s="6" t="str">
        <f>VLOOKUP(B440,Sheet3!$B$2:$E$312,2,FALSE)</f>
        <v>#N/A</v>
      </c>
      <c r="D440" s="6" t="str">
        <f>VLOOKUP(B440,Sheet3!$B$2:$E$312,3,)</f>
        <v>#N/A</v>
      </c>
      <c r="E440" s="8" t="str">
        <f>VLOOKUP(B440,Sheet3!$B$2:$E$312,4,)</f>
        <v>#N/A</v>
      </c>
      <c r="F440" s="8"/>
      <c r="G440" s="8"/>
      <c r="H440" s="8"/>
    </row>
    <row r="441" ht="15.75" customHeight="1">
      <c r="A441" s="6"/>
      <c r="B441" s="6"/>
      <c r="C441" s="6" t="str">
        <f>VLOOKUP(B441,Sheet3!$B$2:$E$312,2,FALSE)</f>
        <v>#N/A</v>
      </c>
      <c r="D441" s="6" t="str">
        <f>VLOOKUP(B441,Sheet3!$B$2:$E$312,3,)</f>
        <v>#N/A</v>
      </c>
      <c r="E441" s="8" t="str">
        <f>VLOOKUP(B441,Sheet3!$B$2:$E$312,4,)</f>
        <v>#N/A</v>
      </c>
      <c r="F441" s="8"/>
      <c r="G441" s="8"/>
      <c r="H441" s="8"/>
    </row>
    <row r="442" ht="15.75" customHeight="1">
      <c r="A442" s="6"/>
      <c r="B442" s="6"/>
      <c r="C442" s="6" t="str">
        <f>VLOOKUP(B442,Sheet3!$B$2:$E$312,2,FALSE)</f>
        <v>#N/A</v>
      </c>
      <c r="D442" s="6" t="str">
        <f>VLOOKUP(B442,Sheet3!$B$2:$E$312,3,)</f>
        <v>#N/A</v>
      </c>
      <c r="E442" s="8" t="str">
        <f>VLOOKUP(B442,Sheet3!$B$2:$E$312,4,)</f>
        <v>#N/A</v>
      </c>
      <c r="F442" s="8"/>
      <c r="G442" s="8"/>
      <c r="H442" s="8"/>
    </row>
    <row r="443" ht="15.75" customHeight="1">
      <c r="A443" s="6"/>
      <c r="B443" s="6"/>
      <c r="C443" s="6" t="str">
        <f>VLOOKUP(B443,Sheet3!$B$2:$E$312,2,FALSE)</f>
        <v>#N/A</v>
      </c>
      <c r="D443" s="6" t="str">
        <f>VLOOKUP(B443,Sheet3!$B$2:$E$312,3,)</f>
        <v>#N/A</v>
      </c>
      <c r="E443" s="8" t="str">
        <f>VLOOKUP(B443,Sheet3!$B$2:$E$312,4,)</f>
        <v>#N/A</v>
      </c>
      <c r="F443" s="8"/>
      <c r="G443" s="8"/>
      <c r="H443" s="8"/>
    </row>
    <row r="444" ht="15.75" customHeight="1">
      <c r="A444" s="6"/>
      <c r="B444" s="6"/>
      <c r="C444" s="6" t="str">
        <f>VLOOKUP(B444,Sheet3!$B$2:$E$312,2,FALSE)</f>
        <v>#N/A</v>
      </c>
      <c r="D444" s="6" t="str">
        <f>VLOOKUP(B444,Sheet3!$B$2:$E$312,3,)</f>
        <v>#N/A</v>
      </c>
      <c r="E444" s="8" t="str">
        <f>VLOOKUP(B444,Sheet3!$B$2:$E$312,4,)</f>
        <v>#N/A</v>
      </c>
      <c r="F444" s="8"/>
      <c r="G444" s="8"/>
      <c r="H444" s="8"/>
    </row>
    <row r="445" ht="15.75" customHeight="1">
      <c r="A445" s="6"/>
      <c r="B445" s="6"/>
      <c r="C445" s="6" t="str">
        <f>VLOOKUP(B445,Sheet3!$B$2:$E$312,2,FALSE)</f>
        <v>#N/A</v>
      </c>
      <c r="D445" s="6" t="str">
        <f>VLOOKUP(B445,Sheet3!$B$2:$E$312,3,)</f>
        <v>#N/A</v>
      </c>
      <c r="E445" s="8" t="str">
        <f>VLOOKUP(B445,Sheet3!$B$2:$E$312,4,)</f>
        <v>#N/A</v>
      </c>
      <c r="F445" s="8"/>
      <c r="G445" s="8"/>
      <c r="H445" s="8"/>
    </row>
    <row r="446" ht="15.75" customHeight="1">
      <c r="A446" s="6"/>
      <c r="B446" s="6"/>
      <c r="C446" s="6" t="str">
        <f>VLOOKUP(B446,Sheet3!$B$2:$E$312,2,FALSE)</f>
        <v>#N/A</v>
      </c>
      <c r="D446" s="6" t="str">
        <f>VLOOKUP(B446,Sheet3!$B$2:$E$312,3,)</f>
        <v>#N/A</v>
      </c>
      <c r="E446" s="8" t="str">
        <f>VLOOKUP(B446,Sheet3!$B$2:$E$312,4,)</f>
        <v>#N/A</v>
      </c>
      <c r="F446" s="8"/>
      <c r="G446" s="8"/>
      <c r="H446" s="8"/>
    </row>
    <row r="447" ht="15.75" customHeight="1">
      <c r="A447" s="6"/>
      <c r="B447" s="6"/>
      <c r="C447" s="6" t="str">
        <f>VLOOKUP(B447,Sheet3!$B$2:$E$312,2,FALSE)</f>
        <v>#N/A</v>
      </c>
      <c r="D447" s="6" t="str">
        <f>VLOOKUP(B447,Sheet3!$B$2:$E$312,3,)</f>
        <v>#N/A</v>
      </c>
      <c r="E447" s="8" t="str">
        <f>VLOOKUP(B447,Sheet3!$B$2:$E$312,4,)</f>
        <v>#N/A</v>
      </c>
      <c r="F447" s="8"/>
      <c r="G447" s="8"/>
      <c r="H447" s="8"/>
    </row>
    <row r="448" ht="15.75" customHeight="1">
      <c r="A448" s="6"/>
      <c r="B448" s="6"/>
      <c r="C448" s="6" t="str">
        <f>VLOOKUP(B448,Sheet3!$B$2:$E$312,2,FALSE)</f>
        <v>#N/A</v>
      </c>
      <c r="D448" s="6" t="str">
        <f>VLOOKUP(B448,Sheet3!$B$2:$E$312,3,)</f>
        <v>#N/A</v>
      </c>
      <c r="E448" s="8" t="str">
        <f>VLOOKUP(B448,Sheet3!$B$2:$E$312,4,)</f>
        <v>#N/A</v>
      </c>
      <c r="F448" s="8"/>
      <c r="G448" s="8"/>
      <c r="H448" s="8"/>
    </row>
    <row r="449" ht="15.75" customHeight="1">
      <c r="A449" s="6"/>
      <c r="B449" s="6"/>
      <c r="C449" s="6" t="str">
        <f>VLOOKUP(B449,Sheet3!$B$2:$E$312,2,FALSE)</f>
        <v>#N/A</v>
      </c>
      <c r="D449" s="6" t="str">
        <f>VLOOKUP(B449,Sheet3!$B$2:$E$312,3,)</f>
        <v>#N/A</v>
      </c>
      <c r="E449" s="8" t="str">
        <f>VLOOKUP(B449,Sheet3!$B$2:$E$312,4,)</f>
        <v>#N/A</v>
      </c>
      <c r="F449" s="8"/>
      <c r="G449" s="8"/>
      <c r="H449" s="8"/>
    </row>
    <row r="450" ht="15.75" customHeight="1">
      <c r="A450" s="6"/>
      <c r="B450" s="6"/>
      <c r="C450" s="6" t="str">
        <f>VLOOKUP(B450,Sheet3!$B$2:$E$312,2,FALSE)</f>
        <v>#N/A</v>
      </c>
      <c r="D450" s="6" t="str">
        <f>VLOOKUP(B450,Sheet3!$B$2:$E$312,3,)</f>
        <v>#N/A</v>
      </c>
      <c r="E450" s="8" t="str">
        <f>VLOOKUP(B450,Sheet3!$B$2:$E$312,4,)</f>
        <v>#N/A</v>
      </c>
      <c r="F450" s="8"/>
      <c r="G450" s="8"/>
      <c r="H450" s="8"/>
    </row>
    <row r="451" ht="15.75" customHeight="1">
      <c r="A451" s="6"/>
      <c r="B451" s="6"/>
      <c r="C451" s="6" t="str">
        <f>VLOOKUP(B451,Sheet3!$B$2:$E$312,2,FALSE)</f>
        <v>#N/A</v>
      </c>
      <c r="D451" s="6" t="str">
        <f>VLOOKUP(B451,Sheet3!$B$2:$E$312,3,)</f>
        <v>#N/A</v>
      </c>
      <c r="E451" s="8" t="str">
        <f>VLOOKUP(B451,Sheet3!$B$2:$E$312,4,)</f>
        <v>#N/A</v>
      </c>
      <c r="F451" s="8"/>
      <c r="G451" s="8"/>
      <c r="H451" s="8"/>
    </row>
    <row r="452" ht="15.75" customHeight="1">
      <c r="A452" s="6"/>
      <c r="B452" s="6"/>
      <c r="C452" s="6" t="str">
        <f>VLOOKUP(B452,Sheet3!$B$2:$E$312,2,FALSE)</f>
        <v>#N/A</v>
      </c>
      <c r="D452" s="6" t="str">
        <f>VLOOKUP(B452,Sheet3!$B$2:$E$312,3,)</f>
        <v>#N/A</v>
      </c>
      <c r="E452" s="8" t="str">
        <f>VLOOKUP(B452,Sheet3!$B$2:$E$312,4,)</f>
        <v>#N/A</v>
      </c>
      <c r="F452" s="8"/>
      <c r="G452" s="8"/>
      <c r="H452" s="8"/>
    </row>
    <row r="453" ht="15.75" customHeight="1">
      <c r="A453" s="6"/>
      <c r="B453" s="6"/>
      <c r="C453" s="6" t="str">
        <f>VLOOKUP(B453,Sheet3!$B$2:$E$312,2,FALSE)</f>
        <v>#N/A</v>
      </c>
      <c r="D453" s="6" t="str">
        <f>VLOOKUP(B453,Sheet3!$B$2:$E$312,3,)</f>
        <v>#N/A</v>
      </c>
      <c r="E453" s="8" t="str">
        <f>VLOOKUP(B453,Sheet3!$B$2:$E$312,4,)</f>
        <v>#N/A</v>
      </c>
      <c r="F453" s="8"/>
      <c r="G453" s="8"/>
      <c r="H453" s="8"/>
    </row>
    <row r="454" ht="15.75" customHeight="1">
      <c r="A454" s="6"/>
      <c r="B454" s="6"/>
      <c r="C454" s="6" t="str">
        <f>VLOOKUP(B454,Sheet3!$B$2:$E$312,2,FALSE)</f>
        <v>#N/A</v>
      </c>
      <c r="D454" s="6" t="str">
        <f>VLOOKUP(B454,Sheet3!$B$2:$E$312,3,)</f>
        <v>#N/A</v>
      </c>
      <c r="E454" s="8" t="str">
        <f>VLOOKUP(B454,Sheet3!$B$2:$E$312,4,)</f>
        <v>#N/A</v>
      </c>
      <c r="F454" s="8"/>
      <c r="G454" s="8"/>
      <c r="H454" s="8"/>
    </row>
    <row r="455" ht="15.75" customHeight="1">
      <c r="A455" s="6"/>
      <c r="B455" s="6"/>
      <c r="C455" s="6" t="str">
        <f>VLOOKUP(B455,Sheet3!$B$2:$E$312,2,FALSE)</f>
        <v>#N/A</v>
      </c>
      <c r="D455" s="6" t="str">
        <f>VLOOKUP(B455,Sheet3!$B$2:$E$312,3,)</f>
        <v>#N/A</v>
      </c>
      <c r="E455" s="8" t="str">
        <f>VLOOKUP(B455,Sheet3!$B$2:$E$312,4,)</f>
        <v>#N/A</v>
      </c>
      <c r="F455" s="8"/>
      <c r="G455" s="8"/>
      <c r="H455" s="8"/>
    </row>
    <row r="456" ht="15.75" customHeight="1">
      <c r="A456" s="6"/>
      <c r="B456" s="6"/>
      <c r="C456" s="6" t="str">
        <f>VLOOKUP(B456,Sheet3!$B$2:$E$312,2,FALSE)</f>
        <v>#N/A</v>
      </c>
      <c r="D456" s="6" t="str">
        <f>VLOOKUP(B456,Sheet3!$B$2:$E$312,3,)</f>
        <v>#N/A</v>
      </c>
      <c r="E456" s="8" t="str">
        <f>VLOOKUP(B456,Sheet3!$B$2:$E$312,4,)</f>
        <v>#N/A</v>
      </c>
      <c r="F456" s="8"/>
      <c r="G456" s="8"/>
      <c r="H456" s="8"/>
    </row>
    <row r="457" ht="15.75" customHeight="1">
      <c r="A457" s="6"/>
      <c r="B457" s="6"/>
      <c r="C457" s="6" t="str">
        <f>VLOOKUP(B457,Sheet3!$B$2:$E$312,2,FALSE)</f>
        <v>#N/A</v>
      </c>
      <c r="D457" s="6" t="str">
        <f>VLOOKUP(B457,Sheet3!$B$2:$E$312,3,)</f>
        <v>#N/A</v>
      </c>
      <c r="E457" s="8" t="str">
        <f>VLOOKUP(B457,Sheet3!$B$2:$E$312,4,)</f>
        <v>#N/A</v>
      </c>
      <c r="F457" s="8"/>
      <c r="G457" s="8"/>
      <c r="H457" s="8"/>
    </row>
    <row r="458" ht="15.75" customHeight="1">
      <c r="A458" s="6"/>
      <c r="B458" s="6"/>
      <c r="C458" s="6" t="str">
        <f>VLOOKUP(B458,Sheet3!$B$2:$E$312,2,FALSE)</f>
        <v>#N/A</v>
      </c>
      <c r="D458" s="6" t="str">
        <f>VLOOKUP(B458,Sheet3!$B$2:$E$312,3,)</f>
        <v>#N/A</v>
      </c>
      <c r="E458" s="8" t="str">
        <f>VLOOKUP(B458,Sheet3!$B$2:$E$312,4,)</f>
        <v>#N/A</v>
      </c>
      <c r="F458" s="8"/>
      <c r="G458" s="8"/>
      <c r="H458" s="8"/>
    </row>
    <row r="459" ht="15.75" customHeight="1">
      <c r="A459" s="6"/>
      <c r="B459" s="6"/>
      <c r="C459" s="6" t="str">
        <f>VLOOKUP(B459,Sheet3!$B$2:$E$312,2,FALSE)</f>
        <v>#N/A</v>
      </c>
      <c r="D459" s="6" t="str">
        <f>VLOOKUP(B459,Sheet3!$B$2:$E$312,3,)</f>
        <v>#N/A</v>
      </c>
      <c r="E459" s="8" t="str">
        <f>VLOOKUP(B459,Sheet3!$B$2:$E$312,4,)</f>
        <v>#N/A</v>
      </c>
      <c r="F459" s="8"/>
      <c r="G459" s="8"/>
      <c r="H459" s="8"/>
    </row>
    <row r="460" ht="15.75" customHeight="1">
      <c r="A460" s="6"/>
      <c r="B460" s="6"/>
      <c r="C460" s="6" t="str">
        <f>VLOOKUP(B460,Sheet3!$B$2:$E$312,2,FALSE)</f>
        <v>#N/A</v>
      </c>
      <c r="D460" s="6" t="str">
        <f>VLOOKUP(B460,Sheet3!$B$2:$E$312,3,)</f>
        <v>#N/A</v>
      </c>
      <c r="E460" s="8" t="str">
        <f>VLOOKUP(B460,Sheet3!$B$2:$E$312,4,)</f>
        <v>#N/A</v>
      </c>
      <c r="F460" s="8"/>
      <c r="G460" s="8"/>
      <c r="H460" s="8"/>
    </row>
    <row r="461" ht="15.75" customHeight="1">
      <c r="A461" s="6"/>
      <c r="B461" s="6"/>
      <c r="C461" s="6" t="str">
        <f>VLOOKUP(B461,Sheet3!$B$2:$E$312,2,FALSE)</f>
        <v>#N/A</v>
      </c>
      <c r="D461" s="6" t="str">
        <f>VLOOKUP(B461,Sheet3!$B$2:$E$312,3,)</f>
        <v>#N/A</v>
      </c>
      <c r="E461" s="8" t="str">
        <f>VLOOKUP(B461,Sheet3!$B$2:$E$312,4,)</f>
        <v>#N/A</v>
      </c>
      <c r="F461" s="8"/>
      <c r="G461" s="8"/>
      <c r="H461" s="8"/>
    </row>
    <row r="462" ht="15.75" customHeight="1">
      <c r="A462" s="6"/>
      <c r="B462" s="6"/>
      <c r="C462" s="6" t="str">
        <f>VLOOKUP(B462,Sheet3!$B$2:$E$312,2,FALSE)</f>
        <v>#N/A</v>
      </c>
      <c r="D462" s="6" t="str">
        <f>VLOOKUP(B462,Sheet3!$B$2:$E$312,3,)</f>
        <v>#N/A</v>
      </c>
      <c r="E462" s="8" t="str">
        <f>VLOOKUP(B462,Sheet3!$B$2:$E$312,4,)</f>
        <v>#N/A</v>
      </c>
      <c r="F462" s="8"/>
      <c r="G462" s="8"/>
      <c r="H462" s="8"/>
    </row>
    <row r="463" ht="15.75" customHeight="1">
      <c r="A463" s="6"/>
      <c r="B463" s="6"/>
      <c r="C463" s="6" t="str">
        <f>VLOOKUP(B463,Sheet3!$B$2:$E$312,2,FALSE)</f>
        <v>#N/A</v>
      </c>
      <c r="D463" s="6" t="str">
        <f>VLOOKUP(B463,Sheet3!$B$2:$E$312,3,)</f>
        <v>#N/A</v>
      </c>
      <c r="E463" s="8" t="str">
        <f>VLOOKUP(B463,Sheet3!$B$2:$E$312,4,)</f>
        <v>#N/A</v>
      </c>
      <c r="F463" s="8"/>
      <c r="G463" s="8"/>
      <c r="H463" s="8"/>
    </row>
    <row r="464" ht="15.75" customHeight="1">
      <c r="A464" s="6"/>
      <c r="B464" s="6"/>
      <c r="C464" s="6" t="str">
        <f>VLOOKUP(B464,Sheet3!$B$2:$E$312,2,FALSE)</f>
        <v>#N/A</v>
      </c>
      <c r="D464" s="6" t="str">
        <f>VLOOKUP(B464,Sheet3!$B$2:$E$312,3,)</f>
        <v>#N/A</v>
      </c>
      <c r="E464" s="8" t="str">
        <f>VLOOKUP(B464,Sheet3!$B$2:$E$312,4,)</f>
        <v>#N/A</v>
      </c>
      <c r="F464" s="8"/>
      <c r="G464" s="8"/>
      <c r="H464" s="8"/>
    </row>
    <row r="465" ht="15.75" customHeight="1">
      <c r="A465" s="6"/>
      <c r="B465" s="6"/>
      <c r="C465" s="6" t="str">
        <f>VLOOKUP(B465,Sheet3!$B$2:$E$312,2,FALSE)</f>
        <v>#N/A</v>
      </c>
      <c r="D465" s="6" t="str">
        <f>VLOOKUP(B465,Sheet3!$B$2:$E$312,3,)</f>
        <v>#N/A</v>
      </c>
      <c r="E465" s="8" t="str">
        <f>VLOOKUP(B465,Sheet3!$B$2:$E$312,4,)</f>
        <v>#N/A</v>
      </c>
      <c r="F465" s="8"/>
      <c r="G465" s="8"/>
      <c r="H465" s="8"/>
    </row>
    <row r="466" ht="15.75" customHeight="1">
      <c r="A466" s="6"/>
      <c r="B466" s="6"/>
      <c r="C466" s="6" t="str">
        <f>VLOOKUP(B466,Sheet3!$B$2:$E$312,2,FALSE)</f>
        <v>#N/A</v>
      </c>
      <c r="D466" s="6" t="str">
        <f>VLOOKUP(B466,Sheet3!$B$2:$E$312,3,)</f>
        <v>#N/A</v>
      </c>
      <c r="E466" s="8" t="str">
        <f>VLOOKUP(B466,Sheet3!$B$2:$E$312,4,)</f>
        <v>#N/A</v>
      </c>
      <c r="F466" s="8"/>
      <c r="G466" s="8"/>
      <c r="H466" s="8"/>
    </row>
    <row r="467" ht="15.75" customHeight="1">
      <c r="A467" s="6"/>
      <c r="B467" s="6"/>
      <c r="C467" s="6" t="str">
        <f>VLOOKUP(B467,Sheet3!$B$2:$E$312,2,FALSE)</f>
        <v>#N/A</v>
      </c>
      <c r="D467" s="6" t="str">
        <f>VLOOKUP(B467,Sheet3!$B$2:$E$312,3,)</f>
        <v>#N/A</v>
      </c>
      <c r="E467" s="8" t="str">
        <f>VLOOKUP(B467,Sheet3!$B$2:$E$312,4,)</f>
        <v>#N/A</v>
      </c>
      <c r="F467" s="8"/>
      <c r="G467" s="8"/>
      <c r="H467" s="8"/>
    </row>
    <row r="468" ht="15.75" customHeight="1">
      <c r="A468" s="6"/>
      <c r="B468" s="6"/>
      <c r="C468" s="6" t="str">
        <f>VLOOKUP(B468,Sheet3!$B$2:$E$312,2,FALSE)</f>
        <v>#N/A</v>
      </c>
      <c r="D468" s="6" t="str">
        <f>VLOOKUP(B468,Sheet3!$B$2:$E$312,3,)</f>
        <v>#N/A</v>
      </c>
      <c r="E468" s="8" t="str">
        <f>VLOOKUP(B468,Sheet3!$B$2:$E$312,4,)</f>
        <v>#N/A</v>
      </c>
      <c r="F468" s="8"/>
      <c r="G468" s="8"/>
      <c r="H468" s="8"/>
    </row>
    <row r="469" ht="15.75" customHeight="1">
      <c r="A469" s="6"/>
      <c r="B469" s="6"/>
      <c r="C469" s="6" t="str">
        <f>VLOOKUP(B469,Sheet3!$B$2:$E$312,2,FALSE)</f>
        <v>#N/A</v>
      </c>
      <c r="D469" s="6" t="str">
        <f>VLOOKUP(B469,Sheet3!$B$2:$E$312,3,)</f>
        <v>#N/A</v>
      </c>
      <c r="E469" s="8" t="str">
        <f>VLOOKUP(B469,Sheet3!$B$2:$E$312,4,)</f>
        <v>#N/A</v>
      </c>
      <c r="F469" s="8"/>
      <c r="G469" s="8"/>
      <c r="H469" s="8"/>
    </row>
    <row r="470" ht="15.75" customHeight="1">
      <c r="A470" s="6"/>
      <c r="B470" s="6"/>
      <c r="C470" s="6" t="str">
        <f>VLOOKUP(B470,Sheet3!$B$2:$E$312,2,FALSE)</f>
        <v>#N/A</v>
      </c>
      <c r="D470" s="6" t="str">
        <f>VLOOKUP(B470,Sheet3!$B$2:$E$312,3,)</f>
        <v>#N/A</v>
      </c>
      <c r="E470" s="8" t="str">
        <f>VLOOKUP(B470,Sheet3!$B$2:$E$312,4,)</f>
        <v>#N/A</v>
      </c>
      <c r="F470" s="8"/>
      <c r="G470" s="8"/>
      <c r="H470" s="8"/>
    </row>
    <row r="471" ht="15.75" customHeight="1">
      <c r="A471" s="6"/>
      <c r="B471" s="6"/>
      <c r="C471" s="6" t="str">
        <f>VLOOKUP(B471,Sheet3!$B$2:$E$312,2,FALSE)</f>
        <v>#N/A</v>
      </c>
      <c r="D471" s="6" t="str">
        <f>VLOOKUP(B471,Sheet3!$B$2:$E$312,3,)</f>
        <v>#N/A</v>
      </c>
      <c r="E471" s="8" t="str">
        <f>VLOOKUP(B471,Sheet3!$B$2:$E$312,4,)</f>
        <v>#N/A</v>
      </c>
      <c r="F471" s="8"/>
      <c r="G471" s="8"/>
      <c r="H471" s="8"/>
    </row>
    <row r="472" ht="15.75" customHeight="1">
      <c r="A472" s="6"/>
      <c r="B472" s="6"/>
      <c r="C472" s="6" t="str">
        <f>VLOOKUP(B472,Sheet3!$B$2:$E$312,2,FALSE)</f>
        <v>#N/A</v>
      </c>
      <c r="D472" s="6" t="str">
        <f>VLOOKUP(B472,Sheet3!$B$2:$E$312,3,)</f>
        <v>#N/A</v>
      </c>
      <c r="E472" s="8" t="str">
        <f>VLOOKUP(B472,Sheet3!$B$2:$E$312,4,)</f>
        <v>#N/A</v>
      </c>
      <c r="F472" s="8"/>
      <c r="G472" s="8"/>
      <c r="H472" s="8"/>
    </row>
    <row r="473" ht="15.75" customHeight="1">
      <c r="A473" s="6"/>
      <c r="B473" s="6"/>
      <c r="C473" s="6" t="str">
        <f>VLOOKUP(B473,Sheet3!$B$2:$E$312,2,FALSE)</f>
        <v>#N/A</v>
      </c>
      <c r="D473" s="6" t="str">
        <f>VLOOKUP(B473,Sheet3!$B$2:$E$312,3,)</f>
        <v>#N/A</v>
      </c>
      <c r="E473" s="8" t="str">
        <f>VLOOKUP(B473,Sheet3!$B$2:$E$312,4,)</f>
        <v>#N/A</v>
      </c>
      <c r="F473" s="8"/>
      <c r="G473" s="8"/>
      <c r="H473" s="8"/>
    </row>
    <row r="474" ht="15.75" customHeight="1">
      <c r="A474" s="6"/>
      <c r="B474" s="6"/>
      <c r="C474" s="6" t="str">
        <f>VLOOKUP(B474,Sheet3!$B$2:$E$312,2,FALSE)</f>
        <v>#N/A</v>
      </c>
      <c r="D474" s="6" t="str">
        <f>VLOOKUP(B474,Sheet3!$B$2:$E$312,3,)</f>
        <v>#N/A</v>
      </c>
      <c r="E474" s="8" t="str">
        <f>VLOOKUP(B474,Sheet3!$B$2:$E$312,4,)</f>
        <v>#N/A</v>
      </c>
      <c r="F474" s="8"/>
      <c r="G474" s="8"/>
      <c r="H474" s="8"/>
    </row>
    <row r="475" ht="15.75" customHeight="1">
      <c r="A475" s="6"/>
      <c r="B475" s="6"/>
      <c r="C475" s="6" t="str">
        <f>VLOOKUP(B475,Sheet3!$B$2:$E$312,2,FALSE)</f>
        <v>#N/A</v>
      </c>
      <c r="D475" s="6" t="str">
        <f>VLOOKUP(B475,Sheet3!$B$2:$E$312,3,)</f>
        <v>#N/A</v>
      </c>
      <c r="E475" s="8" t="str">
        <f>VLOOKUP(B475,Sheet3!$B$2:$E$312,4,)</f>
        <v>#N/A</v>
      </c>
      <c r="F475" s="8"/>
      <c r="G475" s="8"/>
      <c r="H475" s="8"/>
    </row>
    <row r="476" ht="15.75" customHeight="1">
      <c r="A476" s="6"/>
      <c r="B476" s="6"/>
      <c r="C476" s="6" t="str">
        <f>VLOOKUP(B476,Sheet3!$B$2:$E$312,2,FALSE)</f>
        <v>#N/A</v>
      </c>
      <c r="D476" s="6" t="str">
        <f>VLOOKUP(B476,Sheet3!$B$2:$E$312,3,)</f>
        <v>#N/A</v>
      </c>
      <c r="E476" s="8" t="str">
        <f>VLOOKUP(B476,Sheet3!$B$2:$E$312,4,)</f>
        <v>#N/A</v>
      </c>
      <c r="F476" s="8"/>
      <c r="G476" s="8"/>
      <c r="H476" s="8"/>
    </row>
    <row r="477" ht="15.75" customHeight="1">
      <c r="A477" s="6"/>
      <c r="B477" s="6"/>
      <c r="C477" s="6" t="str">
        <f>VLOOKUP(B477,Sheet3!$B$2:$E$312,2,FALSE)</f>
        <v>#N/A</v>
      </c>
      <c r="D477" s="6" t="str">
        <f>VLOOKUP(B477,Sheet3!$B$2:$E$312,3,)</f>
        <v>#N/A</v>
      </c>
      <c r="E477" s="8" t="str">
        <f>VLOOKUP(B477,Sheet3!$B$2:$E$312,4,)</f>
        <v>#N/A</v>
      </c>
      <c r="F477" s="8"/>
      <c r="G477" s="8"/>
      <c r="H477" s="8"/>
    </row>
    <row r="478" ht="15.75" customHeight="1">
      <c r="A478" s="6"/>
      <c r="B478" s="6"/>
      <c r="C478" s="6" t="str">
        <f>VLOOKUP(B478,Sheet3!$B$2:$E$312,2,FALSE)</f>
        <v>#N/A</v>
      </c>
      <c r="D478" s="6" t="str">
        <f>VLOOKUP(B478,Sheet3!$B$2:$E$312,3,)</f>
        <v>#N/A</v>
      </c>
      <c r="E478" s="8" t="str">
        <f>VLOOKUP(B478,Sheet3!$B$2:$E$312,4,)</f>
        <v>#N/A</v>
      </c>
      <c r="F478" s="8"/>
      <c r="G478" s="8"/>
      <c r="H478" s="8"/>
    </row>
    <row r="479" ht="15.75" customHeight="1">
      <c r="A479" s="6"/>
      <c r="B479" s="6"/>
      <c r="C479" s="6" t="str">
        <f>VLOOKUP(B479,Sheet3!$B$2:$E$312,2,FALSE)</f>
        <v>#N/A</v>
      </c>
      <c r="D479" s="6" t="str">
        <f>VLOOKUP(B479,Sheet3!$B$2:$E$312,3,)</f>
        <v>#N/A</v>
      </c>
      <c r="E479" s="8" t="str">
        <f>VLOOKUP(B479,Sheet3!$B$2:$E$312,4,)</f>
        <v>#N/A</v>
      </c>
      <c r="F479" s="8"/>
      <c r="G479" s="8"/>
      <c r="H479" s="8"/>
    </row>
    <row r="480" ht="15.75" customHeight="1">
      <c r="A480" s="6"/>
      <c r="B480" s="6"/>
      <c r="C480" s="6" t="str">
        <f>VLOOKUP(B480,Sheet3!$B$2:$E$312,2,FALSE)</f>
        <v>#N/A</v>
      </c>
      <c r="D480" s="6" t="str">
        <f>VLOOKUP(B480,Sheet3!$B$2:$E$312,3,)</f>
        <v>#N/A</v>
      </c>
      <c r="E480" s="8" t="str">
        <f>VLOOKUP(B480,Sheet3!$B$2:$E$312,4,)</f>
        <v>#N/A</v>
      </c>
      <c r="F480" s="8"/>
      <c r="G480" s="8"/>
      <c r="H480" s="8"/>
    </row>
    <row r="481" ht="15.75" customHeight="1">
      <c r="A481" s="6"/>
      <c r="B481" s="6"/>
      <c r="C481" s="6" t="str">
        <f>VLOOKUP(B481,Sheet3!$B$2:$E$312,2,FALSE)</f>
        <v>#N/A</v>
      </c>
      <c r="D481" s="6" t="str">
        <f>VLOOKUP(B481,Sheet3!$B$2:$E$312,3,)</f>
        <v>#N/A</v>
      </c>
      <c r="E481" s="8" t="str">
        <f>VLOOKUP(B481,Sheet3!$B$2:$E$312,4,)</f>
        <v>#N/A</v>
      </c>
      <c r="F481" s="8"/>
      <c r="G481" s="8"/>
      <c r="H481" s="8"/>
    </row>
    <row r="482" ht="15.75" customHeight="1">
      <c r="A482" s="6"/>
      <c r="B482" s="6"/>
      <c r="C482" s="6" t="str">
        <f>VLOOKUP(B482,Sheet3!$B$2:$E$312,2,FALSE)</f>
        <v>#N/A</v>
      </c>
      <c r="D482" s="6" t="str">
        <f>VLOOKUP(B482,Sheet3!$B$2:$E$312,3,)</f>
        <v>#N/A</v>
      </c>
      <c r="E482" s="8" t="str">
        <f>VLOOKUP(B482,Sheet3!$B$2:$E$312,4,)</f>
        <v>#N/A</v>
      </c>
      <c r="F482" s="8"/>
      <c r="G482" s="8"/>
      <c r="H482" s="8"/>
    </row>
    <row r="483" ht="15.75" customHeight="1">
      <c r="A483" s="6"/>
      <c r="B483" s="6"/>
      <c r="C483" s="6" t="str">
        <f>VLOOKUP(B483,Sheet3!$B$2:$E$312,2,FALSE)</f>
        <v>#N/A</v>
      </c>
      <c r="D483" s="6" t="str">
        <f>VLOOKUP(B483,Sheet3!$B$2:$E$312,3,)</f>
        <v>#N/A</v>
      </c>
      <c r="E483" s="8" t="str">
        <f>VLOOKUP(B483,Sheet3!$B$2:$E$312,4,)</f>
        <v>#N/A</v>
      </c>
      <c r="F483" s="8"/>
      <c r="G483" s="8"/>
      <c r="H483" s="8"/>
    </row>
    <row r="484" ht="15.75" customHeight="1">
      <c r="A484" s="6"/>
      <c r="B484" s="6"/>
      <c r="C484" s="6" t="str">
        <f>VLOOKUP(B484,Sheet3!$B$2:$E$312,2,FALSE)</f>
        <v>#N/A</v>
      </c>
      <c r="D484" s="6" t="str">
        <f>VLOOKUP(B484,Sheet3!$B$2:$E$312,3,)</f>
        <v>#N/A</v>
      </c>
      <c r="E484" s="8" t="str">
        <f>VLOOKUP(B484,Sheet3!$B$2:$E$312,4,)</f>
        <v>#N/A</v>
      </c>
      <c r="F484" s="8"/>
      <c r="G484" s="8"/>
      <c r="H484" s="8"/>
    </row>
    <row r="485" ht="15.75" customHeight="1">
      <c r="A485" s="6"/>
      <c r="B485" s="6"/>
      <c r="C485" s="6" t="str">
        <f>VLOOKUP(B485,Sheet3!$B$2:$E$312,2,FALSE)</f>
        <v>#N/A</v>
      </c>
      <c r="D485" s="6" t="str">
        <f>VLOOKUP(B485,Sheet3!$B$2:$E$312,3,)</f>
        <v>#N/A</v>
      </c>
      <c r="E485" s="8" t="str">
        <f>VLOOKUP(B485,Sheet3!$B$2:$E$312,4,)</f>
        <v>#N/A</v>
      </c>
      <c r="F485" s="8"/>
      <c r="G485" s="8"/>
      <c r="H485" s="8"/>
    </row>
    <row r="486" ht="15.75" customHeight="1">
      <c r="A486" s="6"/>
      <c r="B486" s="6"/>
      <c r="C486" s="6" t="str">
        <f>VLOOKUP(B486,Sheet3!$B$2:$E$312,2,FALSE)</f>
        <v>#N/A</v>
      </c>
      <c r="D486" s="6" t="str">
        <f>VLOOKUP(B486,Sheet3!$B$2:$E$312,3,)</f>
        <v>#N/A</v>
      </c>
      <c r="E486" s="8" t="str">
        <f>VLOOKUP(B486,Sheet3!$B$2:$E$312,4,)</f>
        <v>#N/A</v>
      </c>
      <c r="F486" s="8"/>
      <c r="G486" s="8"/>
      <c r="H486" s="8"/>
    </row>
    <row r="487" ht="15.75" customHeight="1">
      <c r="A487" s="6"/>
      <c r="B487" s="6"/>
      <c r="C487" s="6" t="str">
        <f>VLOOKUP(B487,Sheet3!$B$2:$E$312,2,FALSE)</f>
        <v>#N/A</v>
      </c>
      <c r="D487" s="6" t="str">
        <f>VLOOKUP(B487,Sheet3!$B$2:$E$312,3,)</f>
        <v>#N/A</v>
      </c>
      <c r="E487" s="8" t="str">
        <f>VLOOKUP(B487,Sheet3!$B$2:$E$312,4,)</f>
        <v>#N/A</v>
      </c>
      <c r="F487" s="8"/>
      <c r="G487" s="8"/>
      <c r="H487" s="8"/>
    </row>
    <row r="488" ht="15.75" customHeight="1">
      <c r="A488" s="6"/>
      <c r="B488" s="6"/>
      <c r="C488" s="6" t="str">
        <f>VLOOKUP(B488,Sheet3!$B$2:$E$312,2,FALSE)</f>
        <v>#N/A</v>
      </c>
      <c r="D488" s="6" t="str">
        <f>VLOOKUP(B488,Sheet3!$B$2:$E$312,3,)</f>
        <v>#N/A</v>
      </c>
      <c r="E488" s="8" t="str">
        <f>VLOOKUP(B488,Sheet3!$B$2:$E$312,4,)</f>
        <v>#N/A</v>
      </c>
      <c r="F488" s="8"/>
      <c r="G488" s="8"/>
      <c r="H488" s="8"/>
    </row>
    <row r="489" ht="15.75" customHeight="1">
      <c r="A489" s="6"/>
      <c r="B489" s="6"/>
      <c r="C489" s="6" t="str">
        <f>VLOOKUP(B489,Sheet3!$B$2:$E$312,2,FALSE)</f>
        <v>#N/A</v>
      </c>
      <c r="D489" s="6" t="str">
        <f>VLOOKUP(B489,Sheet3!$B$2:$E$312,3,)</f>
        <v>#N/A</v>
      </c>
      <c r="E489" s="8" t="str">
        <f>VLOOKUP(B489,Sheet3!$B$2:$E$312,4,)</f>
        <v>#N/A</v>
      </c>
      <c r="F489" s="8"/>
      <c r="G489" s="8"/>
      <c r="H489" s="8"/>
    </row>
    <row r="490" ht="15.75" customHeight="1">
      <c r="A490" s="6"/>
      <c r="B490" s="6"/>
      <c r="C490" s="6" t="str">
        <f>VLOOKUP(B490,Sheet3!$B$2:$E$312,2,FALSE)</f>
        <v>#N/A</v>
      </c>
      <c r="D490" s="6" t="str">
        <f>VLOOKUP(B490,Sheet3!$B$2:$E$312,3,)</f>
        <v>#N/A</v>
      </c>
      <c r="E490" s="8" t="str">
        <f>VLOOKUP(B490,Sheet3!$B$2:$E$312,4,)</f>
        <v>#N/A</v>
      </c>
      <c r="F490" s="8"/>
      <c r="G490" s="8"/>
      <c r="H490" s="8"/>
    </row>
    <row r="491" ht="15.75" customHeight="1">
      <c r="A491" s="6"/>
      <c r="B491" s="6"/>
      <c r="C491" s="6" t="str">
        <f>VLOOKUP(B491,Sheet3!$B$2:$E$312,2,FALSE)</f>
        <v>#N/A</v>
      </c>
      <c r="D491" s="6" t="str">
        <f>VLOOKUP(B491,Sheet3!$B$2:$E$312,3,)</f>
        <v>#N/A</v>
      </c>
      <c r="E491" s="8" t="str">
        <f>VLOOKUP(B491,Sheet3!$B$2:$E$312,4,)</f>
        <v>#N/A</v>
      </c>
      <c r="F491" s="8"/>
      <c r="G491" s="8"/>
      <c r="H491" s="8"/>
    </row>
    <row r="492" ht="15.75" customHeight="1">
      <c r="A492" s="6"/>
      <c r="B492" s="6"/>
      <c r="C492" s="6" t="str">
        <f>VLOOKUP(B492,Sheet3!$B$2:$E$312,2,FALSE)</f>
        <v>#N/A</v>
      </c>
      <c r="D492" s="6" t="str">
        <f>VLOOKUP(B492,Sheet3!$B$2:$E$312,3,)</f>
        <v>#N/A</v>
      </c>
      <c r="E492" s="8" t="str">
        <f>VLOOKUP(B492,Sheet3!$B$2:$E$312,4,)</f>
        <v>#N/A</v>
      </c>
      <c r="F492" s="8"/>
      <c r="G492" s="8"/>
      <c r="H492" s="8"/>
    </row>
    <row r="493" ht="15.75" customHeight="1">
      <c r="A493" s="6"/>
      <c r="B493" s="6"/>
      <c r="C493" s="6" t="str">
        <f>VLOOKUP(B493,Sheet3!$B$2:$E$312,2,FALSE)</f>
        <v>#N/A</v>
      </c>
      <c r="D493" s="6" t="str">
        <f>VLOOKUP(B493,Sheet3!$B$2:$E$312,3,)</f>
        <v>#N/A</v>
      </c>
      <c r="E493" s="8" t="str">
        <f>VLOOKUP(B493,Sheet3!$B$2:$E$312,4,)</f>
        <v>#N/A</v>
      </c>
      <c r="F493" s="8"/>
      <c r="G493" s="8"/>
      <c r="H493" s="8"/>
    </row>
    <row r="494" ht="15.75" customHeight="1">
      <c r="A494" s="6"/>
      <c r="B494" s="6"/>
      <c r="C494" s="6" t="str">
        <f>VLOOKUP(B494,Sheet3!$B$2:$E$312,2,FALSE)</f>
        <v>#N/A</v>
      </c>
      <c r="D494" s="6" t="str">
        <f>VLOOKUP(B494,Sheet3!$B$2:$E$312,3,)</f>
        <v>#N/A</v>
      </c>
      <c r="E494" s="8" t="str">
        <f>VLOOKUP(B494,Sheet3!$B$2:$E$312,4,)</f>
        <v>#N/A</v>
      </c>
      <c r="F494" s="8"/>
      <c r="G494" s="8"/>
      <c r="H494" s="8"/>
    </row>
    <row r="495" ht="15.75" customHeight="1">
      <c r="A495" s="6"/>
      <c r="B495" s="6"/>
      <c r="C495" s="6" t="str">
        <f>VLOOKUP(B495,Sheet3!$B$2:$E$312,2,FALSE)</f>
        <v>#N/A</v>
      </c>
      <c r="D495" s="6" t="str">
        <f>VLOOKUP(B495,Sheet3!$B$2:$E$312,3,)</f>
        <v>#N/A</v>
      </c>
      <c r="E495" s="8" t="str">
        <f>VLOOKUP(B495,Sheet3!$B$2:$E$312,4,)</f>
        <v>#N/A</v>
      </c>
      <c r="F495" s="8"/>
      <c r="G495" s="8"/>
      <c r="H495" s="8"/>
    </row>
    <row r="496" ht="15.75" customHeight="1">
      <c r="A496" s="6"/>
      <c r="B496" s="6"/>
      <c r="C496" s="6" t="str">
        <f>VLOOKUP(B496,Sheet3!$B$2:$E$312,2,FALSE)</f>
        <v>#N/A</v>
      </c>
      <c r="D496" s="6" t="str">
        <f>VLOOKUP(B496,Sheet3!$B$2:$E$312,3,)</f>
        <v>#N/A</v>
      </c>
      <c r="E496" s="8" t="str">
        <f>VLOOKUP(B496,Sheet3!$B$2:$E$312,4,)</f>
        <v>#N/A</v>
      </c>
      <c r="F496" s="8"/>
      <c r="G496" s="8"/>
      <c r="H496" s="8"/>
    </row>
    <row r="497" ht="15.75" customHeight="1">
      <c r="A497" s="6"/>
      <c r="B497" s="6"/>
      <c r="C497" s="6" t="str">
        <f>VLOOKUP(B497,Sheet3!$B$2:$E$312,2,FALSE)</f>
        <v>#N/A</v>
      </c>
      <c r="D497" s="6" t="str">
        <f>VLOOKUP(B497,Sheet3!$B$2:$E$312,3,)</f>
        <v>#N/A</v>
      </c>
      <c r="E497" s="8" t="str">
        <f>VLOOKUP(B497,Sheet3!$B$2:$E$312,4,)</f>
        <v>#N/A</v>
      </c>
      <c r="F497" s="8"/>
      <c r="G497" s="8"/>
      <c r="H497" s="8"/>
    </row>
    <row r="498" ht="15.75" customHeight="1">
      <c r="A498" s="6"/>
      <c r="B498" s="6"/>
      <c r="C498" s="6" t="str">
        <f>VLOOKUP(B498,Sheet3!$B$2:$E$312,2,FALSE)</f>
        <v>#N/A</v>
      </c>
      <c r="D498" s="6" t="str">
        <f>VLOOKUP(B498,Sheet3!$B$2:$E$312,3,)</f>
        <v>#N/A</v>
      </c>
      <c r="E498" s="8" t="str">
        <f>VLOOKUP(B498,Sheet3!$B$2:$E$312,4,)</f>
        <v>#N/A</v>
      </c>
      <c r="F498" s="8"/>
      <c r="G498" s="8"/>
      <c r="H498" s="8"/>
    </row>
    <row r="499" ht="15.75" customHeight="1">
      <c r="A499" s="6"/>
      <c r="B499" s="6"/>
      <c r="C499" s="6" t="str">
        <f>VLOOKUP(B499,Sheet3!$B$2:$E$312,2,FALSE)</f>
        <v>#N/A</v>
      </c>
      <c r="D499" s="6" t="str">
        <f>VLOOKUP(B499,Sheet3!$B$2:$E$312,3,)</f>
        <v>#N/A</v>
      </c>
      <c r="E499" s="8" t="str">
        <f>VLOOKUP(B499,Sheet3!$B$2:$E$312,4,)</f>
        <v>#N/A</v>
      </c>
      <c r="F499" s="8"/>
      <c r="G499" s="8"/>
      <c r="H499" s="8"/>
    </row>
    <row r="500" ht="15.75" customHeight="1">
      <c r="A500" s="6"/>
      <c r="B500" s="6"/>
      <c r="C500" s="6" t="str">
        <f>VLOOKUP(B500,Sheet3!$B$2:$E$312,2,FALSE)</f>
        <v>#N/A</v>
      </c>
      <c r="D500" s="6" t="str">
        <f>VLOOKUP(B500,Sheet3!$B$2:$E$312,3,)</f>
        <v>#N/A</v>
      </c>
      <c r="E500" s="8" t="str">
        <f>VLOOKUP(B500,Sheet3!$B$2:$E$312,4,)</f>
        <v>#N/A</v>
      </c>
      <c r="F500" s="8"/>
      <c r="G500" s="8"/>
      <c r="H500" s="8"/>
    </row>
    <row r="501" ht="15.75" customHeight="1">
      <c r="A501" s="6"/>
      <c r="B501" s="6"/>
      <c r="C501" s="6" t="str">
        <f>VLOOKUP(B501,Sheet3!$B$2:$E$312,2,FALSE)</f>
        <v>#N/A</v>
      </c>
      <c r="D501" s="6" t="str">
        <f>VLOOKUP(B501,Sheet3!$B$2:$E$312,3,)</f>
        <v>#N/A</v>
      </c>
      <c r="E501" s="8" t="str">
        <f>VLOOKUP(B501,Sheet3!$B$2:$E$312,4,)</f>
        <v>#N/A</v>
      </c>
      <c r="F501" s="8"/>
      <c r="G501" s="8"/>
      <c r="H501" s="8"/>
    </row>
    <row r="502" ht="15.75" customHeight="1">
      <c r="A502" s="6"/>
      <c r="B502" s="6"/>
      <c r="C502" s="6" t="str">
        <f>VLOOKUP(B502,Sheet3!$B$2:$E$312,2,FALSE)</f>
        <v>#N/A</v>
      </c>
      <c r="D502" s="6" t="str">
        <f>VLOOKUP(B502,Sheet3!$B$2:$E$312,3,)</f>
        <v>#N/A</v>
      </c>
      <c r="E502" s="8" t="str">
        <f>VLOOKUP(B502,Sheet3!$B$2:$E$312,4,)</f>
        <v>#N/A</v>
      </c>
      <c r="F502" s="8"/>
      <c r="G502" s="8"/>
      <c r="H502" s="8"/>
    </row>
    <row r="503" ht="15.75" customHeight="1">
      <c r="A503" s="6"/>
      <c r="B503" s="6"/>
      <c r="C503" s="6" t="str">
        <f>VLOOKUP(B503,Sheet3!$B$2:$E$312,2,FALSE)</f>
        <v>#N/A</v>
      </c>
      <c r="D503" s="6" t="str">
        <f>VLOOKUP(B503,Sheet3!$B$2:$E$312,3,)</f>
        <v>#N/A</v>
      </c>
      <c r="E503" s="8" t="str">
        <f>VLOOKUP(B503,Sheet3!$B$2:$E$312,4,)</f>
        <v>#N/A</v>
      </c>
      <c r="F503" s="8"/>
      <c r="G503" s="8"/>
      <c r="H503" s="8"/>
    </row>
    <row r="504" ht="15.75" customHeight="1">
      <c r="A504" s="6"/>
      <c r="B504" s="6"/>
      <c r="C504" s="6" t="str">
        <f>VLOOKUP(B504,Sheet3!$B$2:$E$312,2,FALSE)</f>
        <v>#N/A</v>
      </c>
      <c r="D504" s="6" t="str">
        <f>VLOOKUP(B504,Sheet3!$B$2:$E$312,3,)</f>
        <v>#N/A</v>
      </c>
      <c r="E504" s="8" t="str">
        <f>VLOOKUP(B504,Sheet3!$B$2:$E$312,4,)</f>
        <v>#N/A</v>
      </c>
      <c r="F504" s="8"/>
      <c r="G504" s="8"/>
      <c r="H504" s="8"/>
    </row>
    <row r="505" ht="15.75" customHeight="1">
      <c r="A505" s="6"/>
      <c r="B505" s="6"/>
      <c r="C505" s="6" t="str">
        <f>VLOOKUP(B505,Sheet3!$B$2:$E$312,2,FALSE)</f>
        <v>#N/A</v>
      </c>
      <c r="D505" s="6" t="str">
        <f>VLOOKUP(B505,Sheet3!$B$2:$E$312,3,)</f>
        <v>#N/A</v>
      </c>
      <c r="E505" s="8" t="str">
        <f>VLOOKUP(B505,Sheet3!$B$2:$E$312,4,)</f>
        <v>#N/A</v>
      </c>
      <c r="F505" s="8"/>
      <c r="G505" s="8"/>
      <c r="H505" s="8"/>
    </row>
    <row r="506" ht="15.75" customHeight="1">
      <c r="A506" s="6"/>
      <c r="B506" s="6"/>
      <c r="C506" s="6" t="str">
        <f>VLOOKUP(B506,Sheet3!$B$2:$E$312,2,FALSE)</f>
        <v>#N/A</v>
      </c>
      <c r="D506" s="6" t="str">
        <f>VLOOKUP(B506,Sheet3!$B$2:$E$312,3,)</f>
        <v>#N/A</v>
      </c>
      <c r="E506" s="8" t="str">
        <f>VLOOKUP(B506,Sheet3!$B$2:$E$312,4,)</f>
        <v>#N/A</v>
      </c>
      <c r="F506" s="8"/>
      <c r="G506" s="8"/>
      <c r="H506" s="8"/>
    </row>
    <row r="507" ht="15.75" customHeight="1">
      <c r="A507" s="6"/>
      <c r="B507" s="6"/>
      <c r="C507" s="6" t="str">
        <f>VLOOKUP(B507,Sheet3!$B$2:$E$312,2,FALSE)</f>
        <v>#N/A</v>
      </c>
      <c r="D507" s="6" t="str">
        <f>VLOOKUP(B507,Sheet3!$B$2:$E$312,3,)</f>
        <v>#N/A</v>
      </c>
      <c r="E507" s="8" t="str">
        <f>VLOOKUP(B507,Sheet3!$B$2:$E$312,4,)</f>
        <v>#N/A</v>
      </c>
      <c r="F507" s="8"/>
      <c r="G507" s="8"/>
      <c r="H507" s="8"/>
    </row>
    <row r="508" ht="15.75" customHeight="1">
      <c r="A508" s="6"/>
      <c r="B508" s="6"/>
      <c r="C508" s="6" t="str">
        <f>VLOOKUP(B508,Sheet3!$B$2:$E$312,2,FALSE)</f>
        <v>#N/A</v>
      </c>
      <c r="D508" s="6" t="str">
        <f>VLOOKUP(B508,Sheet3!$B$2:$E$312,3,)</f>
        <v>#N/A</v>
      </c>
      <c r="E508" s="8" t="str">
        <f>VLOOKUP(B508,Sheet3!$B$2:$E$312,4,)</f>
        <v>#N/A</v>
      </c>
      <c r="F508" s="8"/>
      <c r="G508" s="8"/>
      <c r="H508" s="8"/>
    </row>
    <row r="509" ht="15.75" customHeight="1">
      <c r="A509" s="6"/>
      <c r="B509" s="6"/>
      <c r="C509" s="6" t="str">
        <f>VLOOKUP(B509,Sheet3!$B$2:$E$312,2,FALSE)</f>
        <v>#N/A</v>
      </c>
      <c r="D509" s="6" t="str">
        <f>VLOOKUP(B509,Sheet3!$B$2:$E$312,3,)</f>
        <v>#N/A</v>
      </c>
      <c r="E509" s="8" t="str">
        <f>VLOOKUP(B509,Sheet3!$B$2:$E$312,4,)</f>
        <v>#N/A</v>
      </c>
      <c r="F509" s="8"/>
      <c r="G509" s="8"/>
      <c r="H509" s="8"/>
    </row>
    <row r="510" ht="15.75" customHeight="1">
      <c r="A510" s="6"/>
      <c r="B510" s="6"/>
      <c r="C510" s="6" t="str">
        <f>VLOOKUP(B510,Sheet3!$B$2:$E$312,2,FALSE)</f>
        <v>#N/A</v>
      </c>
      <c r="D510" s="6" t="str">
        <f>VLOOKUP(B510,Sheet3!$B$2:$E$312,3,)</f>
        <v>#N/A</v>
      </c>
      <c r="E510" s="8" t="str">
        <f>VLOOKUP(B510,Sheet3!$B$2:$E$312,4,)</f>
        <v>#N/A</v>
      </c>
      <c r="F510" s="8"/>
      <c r="G510" s="8"/>
      <c r="H510" s="8"/>
    </row>
    <row r="511" ht="15.75" customHeight="1">
      <c r="A511" s="6"/>
      <c r="B511" s="6"/>
      <c r="C511" s="6" t="str">
        <f>VLOOKUP(B511,Sheet3!$B$2:$E$312,2,FALSE)</f>
        <v>#N/A</v>
      </c>
      <c r="D511" s="6" t="str">
        <f>VLOOKUP(B511,Sheet3!$B$2:$E$312,3,)</f>
        <v>#N/A</v>
      </c>
      <c r="E511" s="8" t="str">
        <f>VLOOKUP(B511,Sheet3!$B$2:$E$312,4,)</f>
        <v>#N/A</v>
      </c>
      <c r="F511" s="8"/>
      <c r="G511" s="8"/>
      <c r="H511" s="8"/>
    </row>
    <row r="512" ht="15.75" customHeight="1">
      <c r="A512" s="6"/>
      <c r="B512" s="6"/>
      <c r="C512" s="6" t="str">
        <f>VLOOKUP(B512,Sheet3!$B$2:$E$312,2,FALSE)</f>
        <v>#N/A</v>
      </c>
      <c r="D512" s="6" t="str">
        <f>VLOOKUP(B512,Sheet3!$B$2:$E$312,3,)</f>
        <v>#N/A</v>
      </c>
      <c r="E512" s="8" t="str">
        <f>VLOOKUP(B512,Sheet3!$B$2:$E$312,4,)</f>
        <v>#N/A</v>
      </c>
      <c r="F512" s="8"/>
      <c r="G512" s="8"/>
      <c r="H512" s="8"/>
    </row>
    <row r="513" ht="15.75" customHeight="1">
      <c r="A513" s="6"/>
      <c r="B513" s="6"/>
      <c r="C513" s="6" t="str">
        <f>VLOOKUP(B513,Sheet3!$B$2:$E$312,2,FALSE)</f>
        <v>#N/A</v>
      </c>
      <c r="D513" s="6" t="str">
        <f>VLOOKUP(B513,Sheet3!$B$2:$E$312,3,)</f>
        <v>#N/A</v>
      </c>
      <c r="E513" s="8" t="str">
        <f>VLOOKUP(B513,Sheet3!$B$2:$E$312,4,)</f>
        <v>#N/A</v>
      </c>
      <c r="F513" s="8"/>
      <c r="G513" s="8"/>
      <c r="H513" s="8"/>
    </row>
    <row r="514" ht="15.75" customHeight="1">
      <c r="A514" s="6"/>
      <c r="B514" s="6"/>
      <c r="C514" s="6" t="str">
        <f>VLOOKUP(B514,Sheet3!$B$2:$E$312,2,FALSE)</f>
        <v>#N/A</v>
      </c>
      <c r="D514" s="6" t="str">
        <f>VLOOKUP(B514,Sheet3!$B$2:$E$312,3,)</f>
        <v>#N/A</v>
      </c>
      <c r="E514" s="8" t="str">
        <f>VLOOKUP(B514,Sheet3!$B$2:$E$312,4,)</f>
        <v>#N/A</v>
      </c>
      <c r="F514" s="8"/>
      <c r="G514" s="8"/>
      <c r="H514" s="8"/>
    </row>
    <row r="515" ht="15.75" customHeight="1">
      <c r="A515" s="6"/>
      <c r="B515" s="6"/>
      <c r="C515" s="6" t="str">
        <f>VLOOKUP(B515,Sheet3!$B$2:$E$312,2,FALSE)</f>
        <v>#N/A</v>
      </c>
      <c r="D515" s="6" t="str">
        <f>VLOOKUP(B515,Sheet3!$B$2:$E$312,3,)</f>
        <v>#N/A</v>
      </c>
      <c r="E515" s="8" t="str">
        <f>VLOOKUP(B515,Sheet3!$B$2:$E$312,4,)</f>
        <v>#N/A</v>
      </c>
      <c r="F515" s="8"/>
      <c r="G515" s="8"/>
      <c r="H515" s="8"/>
    </row>
    <row r="516" ht="15.75" customHeight="1">
      <c r="A516" s="6"/>
      <c r="B516" s="6"/>
      <c r="C516" s="6" t="str">
        <f>VLOOKUP(B516,Sheet3!$B$2:$E$312,2,FALSE)</f>
        <v>#N/A</v>
      </c>
      <c r="D516" s="6" t="str">
        <f>VLOOKUP(B516,Sheet3!$B$2:$E$312,3,)</f>
        <v>#N/A</v>
      </c>
      <c r="E516" s="8" t="str">
        <f>VLOOKUP(B516,Sheet3!$B$2:$E$312,4,)</f>
        <v>#N/A</v>
      </c>
      <c r="F516" s="8"/>
      <c r="G516" s="8"/>
      <c r="H516" s="8"/>
    </row>
    <row r="517" ht="15.75" customHeight="1">
      <c r="A517" s="6"/>
      <c r="B517" s="6"/>
      <c r="C517" s="6" t="str">
        <f>VLOOKUP(B517,Sheet3!$B$2:$E$312,2,FALSE)</f>
        <v>#N/A</v>
      </c>
      <c r="D517" s="6" t="str">
        <f>VLOOKUP(B517,Sheet3!$B$2:$E$312,3,)</f>
        <v>#N/A</v>
      </c>
      <c r="E517" s="8" t="str">
        <f>VLOOKUP(B517,Sheet3!$B$2:$E$312,4,)</f>
        <v>#N/A</v>
      </c>
      <c r="F517" s="8"/>
      <c r="G517" s="8"/>
      <c r="H517" s="8"/>
    </row>
    <row r="518" ht="15.75" customHeight="1">
      <c r="A518" s="6"/>
      <c r="B518" s="6"/>
      <c r="C518" s="6" t="str">
        <f>VLOOKUP(B518,Sheet3!$B$2:$E$312,2,FALSE)</f>
        <v>#N/A</v>
      </c>
      <c r="D518" s="6" t="str">
        <f>VLOOKUP(B518,Sheet3!$B$2:$E$312,3,)</f>
        <v>#N/A</v>
      </c>
      <c r="E518" s="8" t="str">
        <f>VLOOKUP(B518,Sheet3!$B$2:$E$312,4,)</f>
        <v>#N/A</v>
      </c>
      <c r="F518" s="8"/>
      <c r="G518" s="8"/>
      <c r="H518" s="8"/>
    </row>
    <row r="519" ht="15.75" customHeight="1">
      <c r="A519" s="6"/>
      <c r="B519" s="6"/>
      <c r="C519" s="6" t="str">
        <f>VLOOKUP(B519,Sheet3!$B$2:$E$312,2,FALSE)</f>
        <v>#N/A</v>
      </c>
      <c r="D519" s="6" t="str">
        <f>VLOOKUP(B519,Sheet3!$B$2:$E$312,3,)</f>
        <v>#N/A</v>
      </c>
      <c r="E519" s="8" t="str">
        <f>VLOOKUP(B519,Sheet3!$B$2:$E$312,4,)</f>
        <v>#N/A</v>
      </c>
      <c r="F519" s="8"/>
      <c r="G519" s="8"/>
      <c r="H519" s="8"/>
    </row>
    <row r="520" ht="15.75" customHeight="1">
      <c r="A520" s="6"/>
      <c r="B520" s="6"/>
      <c r="C520" s="6" t="str">
        <f>VLOOKUP(B520,Sheet3!$B$2:$E$312,2,FALSE)</f>
        <v>#N/A</v>
      </c>
      <c r="D520" s="6" t="str">
        <f>VLOOKUP(B520,Sheet3!$B$2:$E$312,3,)</f>
        <v>#N/A</v>
      </c>
      <c r="E520" s="8" t="str">
        <f>VLOOKUP(B520,Sheet3!$B$2:$E$312,4,)</f>
        <v>#N/A</v>
      </c>
      <c r="F520" s="8"/>
      <c r="G520" s="8"/>
      <c r="H520" s="8"/>
    </row>
    <row r="521" ht="15.75" customHeight="1">
      <c r="A521" s="6"/>
      <c r="B521" s="6"/>
      <c r="C521" s="6" t="str">
        <f>VLOOKUP(B521,Sheet3!$B$2:$E$312,2,FALSE)</f>
        <v>#N/A</v>
      </c>
      <c r="D521" s="6" t="str">
        <f>VLOOKUP(B521,Sheet3!$B$2:$E$312,3,)</f>
        <v>#N/A</v>
      </c>
      <c r="E521" s="8" t="str">
        <f>VLOOKUP(B521,Sheet3!$B$2:$E$312,4,)</f>
        <v>#N/A</v>
      </c>
      <c r="F521" s="8"/>
      <c r="G521" s="8"/>
      <c r="H521" s="8"/>
    </row>
    <row r="522" ht="15.75" customHeight="1">
      <c r="A522" s="6"/>
      <c r="B522" s="6"/>
      <c r="C522" s="6" t="str">
        <f>VLOOKUP(B522,Sheet3!$B$2:$E$312,2,FALSE)</f>
        <v>#N/A</v>
      </c>
      <c r="D522" s="6" t="str">
        <f>VLOOKUP(B522,Sheet3!$B$2:$E$312,3,)</f>
        <v>#N/A</v>
      </c>
      <c r="E522" s="8" t="str">
        <f>VLOOKUP(B522,Sheet3!$B$2:$E$312,4,)</f>
        <v>#N/A</v>
      </c>
      <c r="F522" s="8"/>
      <c r="G522" s="8"/>
      <c r="H522" s="8"/>
    </row>
    <row r="523" ht="15.75" customHeight="1">
      <c r="A523" s="6"/>
      <c r="B523" s="6"/>
      <c r="C523" s="6" t="str">
        <f>VLOOKUP(B523,Sheet3!$B$2:$E$312,2,FALSE)</f>
        <v>#N/A</v>
      </c>
      <c r="D523" s="6" t="str">
        <f>VLOOKUP(B523,Sheet3!$B$2:$E$312,3,)</f>
        <v>#N/A</v>
      </c>
      <c r="E523" s="8" t="str">
        <f>VLOOKUP(B523,Sheet3!$B$2:$E$312,4,)</f>
        <v>#N/A</v>
      </c>
      <c r="F523" s="8"/>
      <c r="G523" s="8"/>
      <c r="H523" s="8"/>
    </row>
    <row r="524" ht="15.75" customHeight="1">
      <c r="A524" s="6"/>
      <c r="B524" s="6"/>
      <c r="C524" s="6" t="str">
        <f>VLOOKUP(B524,Sheet3!$B$2:$E$312,2,FALSE)</f>
        <v>#N/A</v>
      </c>
      <c r="D524" s="6" t="str">
        <f>VLOOKUP(B524,Sheet3!$B$2:$E$312,3,)</f>
        <v>#N/A</v>
      </c>
      <c r="E524" s="8" t="str">
        <f>VLOOKUP(B524,Sheet3!$B$2:$E$312,4,)</f>
        <v>#N/A</v>
      </c>
      <c r="F524" s="8"/>
      <c r="G524" s="8"/>
      <c r="H524" s="8"/>
    </row>
    <row r="525" ht="15.75" customHeight="1">
      <c r="A525" s="6"/>
      <c r="B525" s="6"/>
      <c r="C525" s="6" t="str">
        <f>VLOOKUP(B525,Sheet3!$B$2:$E$312,2,FALSE)</f>
        <v>#N/A</v>
      </c>
      <c r="D525" s="6" t="str">
        <f>VLOOKUP(B525,Sheet3!$B$2:$E$312,3,)</f>
        <v>#N/A</v>
      </c>
      <c r="E525" s="8" t="str">
        <f>VLOOKUP(B525,Sheet3!$B$2:$E$312,4,)</f>
        <v>#N/A</v>
      </c>
      <c r="F525" s="8"/>
      <c r="G525" s="8"/>
      <c r="H525" s="8"/>
    </row>
    <row r="526" ht="15.75" customHeight="1">
      <c r="A526" s="6"/>
      <c r="B526" s="6"/>
      <c r="C526" s="6" t="str">
        <f>VLOOKUP(B526,Sheet3!$B$2:$E$312,2,FALSE)</f>
        <v>#N/A</v>
      </c>
      <c r="D526" s="6" t="str">
        <f>VLOOKUP(B526,Sheet3!$B$2:$E$312,3,)</f>
        <v>#N/A</v>
      </c>
      <c r="E526" s="8" t="str">
        <f>VLOOKUP(B526,Sheet3!$B$2:$E$312,4,)</f>
        <v>#N/A</v>
      </c>
      <c r="F526" s="8"/>
      <c r="G526" s="8"/>
      <c r="H526" s="8"/>
    </row>
    <row r="527" ht="15.75" customHeight="1">
      <c r="A527" s="6"/>
      <c r="B527" s="6"/>
      <c r="C527" s="6" t="str">
        <f>VLOOKUP(B527,Sheet3!$B$2:$E$312,2,FALSE)</f>
        <v>#N/A</v>
      </c>
      <c r="D527" s="6" t="str">
        <f>VLOOKUP(B527,Sheet3!$B$2:$E$312,3,)</f>
        <v>#N/A</v>
      </c>
      <c r="E527" s="8" t="str">
        <f>VLOOKUP(B527,Sheet3!$B$2:$E$312,4,)</f>
        <v>#N/A</v>
      </c>
      <c r="F527" s="8"/>
      <c r="G527" s="8"/>
      <c r="H527" s="8"/>
    </row>
    <row r="528" ht="15.75" customHeight="1">
      <c r="A528" s="6"/>
      <c r="B528" s="6"/>
      <c r="C528" s="6" t="str">
        <f>VLOOKUP(B528,Sheet3!$B$2:$E$312,2,FALSE)</f>
        <v>#N/A</v>
      </c>
      <c r="D528" s="6" t="str">
        <f>VLOOKUP(B528,Sheet3!$B$2:$E$312,3,)</f>
        <v>#N/A</v>
      </c>
      <c r="E528" s="8" t="str">
        <f>VLOOKUP(B528,Sheet3!$B$2:$E$312,4,)</f>
        <v>#N/A</v>
      </c>
      <c r="F528" s="8"/>
      <c r="G528" s="8"/>
      <c r="H528" s="8"/>
    </row>
    <row r="529" ht="15.75" customHeight="1">
      <c r="A529" s="6"/>
      <c r="B529" s="6"/>
      <c r="C529" s="6" t="str">
        <f>VLOOKUP(B529,Sheet3!$B$2:$E$312,2,FALSE)</f>
        <v>#N/A</v>
      </c>
      <c r="D529" s="6" t="str">
        <f>VLOOKUP(B529,Sheet3!$B$2:$E$312,3,)</f>
        <v>#N/A</v>
      </c>
      <c r="E529" s="8" t="str">
        <f>VLOOKUP(B529,Sheet3!$B$2:$E$312,4,)</f>
        <v>#N/A</v>
      </c>
      <c r="F529" s="8"/>
      <c r="G529" s="8"/>
      <c r="H529" s="8"/>
    </row>
    <row r="530" ht="15.75" customHeight="1">
      <c r="A530" s="6"/>
      <c r="B530" s="6"/>
      <c r="C530" s="6" t="str">
        <f>VLOOKUP(B530,Sheet3!$B$2:$E$312,2,FALSE)</f>
        <v>#N/A</v>
      </c>
      <c r="D530" s="6" t="str">
        <f>VLOOKUP(B530,Sheet3!$B$2:$E$312,3,)</f>
        <v>#N/A</v>
      </c>
      <c r="E530" s="8" t="str">
        <f>VLOOKUP(B530,Sheet3!$B$2:$E$312,4,)</f>
        <v>#N/A</v>
      </c>
      <c r="F530" s="8"/>
      <c r="G530" s="8"/>
      <c r="H530" s="8"/>
    </row>
    <row r="531" ht="15.75" customHeight="1">
      <c r="A531" s="6"/>
      <c r="B531" s="6"/>
      <c r="C531" s="6" t="str">
        <f>VLOOKUP(B531,Sheet3!$B$2:$E$312,2,FALSE)</f>
        <v>#N/A</v>
      </c>
      <c r="D531" s="6" t="str">
        <f>VLOOKUP(B531,Sheet3!$B$2:$E$312,3,)</f>
        <v>#N/A</v>
      </c>
      <c r="E531" s="8" t="str">
        <f>VLOOKUP(B531,Sheet3!$B$2:$E$312,4,)</f>
        <v>#N/A</v>
      </c>
      <c r="F531" s="8"/>
      <c r="G531" s="8"/>
      <c r="H531" s="8"/>
    </row>
    <row r="532" ht="15.75" customHeight="1">
      <c r="A532" s="6"/>
      <c r="B532" s="6"/>
      <c r="C532" s="6" t="str">
        <f>VLOOKUP(B532,Sheet3!$B$2:$E$312,2,FALSE)</f>
        <v>#N/A</v>
      </c>
      <c r="D532" s="6" t="str">
        <f>VLOOKUP(B532,Sheet3!$B$2:$E$312,3,)</f>
        <v>#N/A</v>
      </c>
      <c r="E532" s="8" t="str">
        <f>VLOOKUP(B532,Sheet3!$B$2:$E$312,4,)</f>
        <v>#N/A</v>
      </c>
      <c r="F532" s="8"/>
      <c r="G532" s="8"/>
      <c r="H532" s="8"/>
    </row>
    <row r="533" ht="15.75" customHeight="1">
      <c r="A533" s="6"/>
      <c r="B533" s="6"/>
      <c r="C533" s="6" t="str">
        <f>VLOOKUP(B533,Sheet3!$B$2:$E$312,2,FALSE)</f>
        <v>#N/A</v>
      </c>
      <c r="D533" s="6" t="str">
        <f>VLOOKUP(B533,Sheet3!$B$2:$E$312,3,)</f>
        <v>#N/A</v>
      </c>
      <c r="E533" s="8" t="str">
        <f>VLOOKUP(B533,Sheet3!$B$2:$E$312,4,)</f>
        <v>#N/A</v>
      </c>
      <c r="F533" s="8"/>
      <c r="G533" s="8"/>
      <c r="H533" s="8"/>
    </row>
    <row r="534" ht="15.75" customHeight="1">
      <c r="A534" s="6"/>
      <c r="B534" s="6"/>
      <c r="C534" s="6" t="str">
        <f>VLOOKUP(B534,Sheet3!$B$2:$E$312,2,FALSE)</f>
        <v>#N/A</v>
      </c>
      <c r="D534" s="6" t="str">
        <f>VLOOKUP(B534,Sheet3!$B$2:$E$312,3,)</f>
        <v>#N/A</v>
      </c>
      <c r="E534" s="8" t="str">
        <f>VLOOKUP(B534,Sheet3!$B$2:$E$312,4,)</f>
        <v>#N/A</v>
      </c>
      <c r="F534" s="8"/>
      <c r="G534" s="8"/>
      <c r="H534" s="8"/>
    </row>
    <row r="535" ht="15.75" customHeight="1">
      <c r="A535" s="6"/>
      <c r="B535" s="6"/>
      <c r="C535" s="6" t="str">
        <f>VLOOKUP(B535,Sheet3!$B$2:$E$312,2,FALSE)</f>
        <v>#N/A</v>
      </c>
      <c r="D535" s="6" t="str">
        <f>VLOOKUP(B535,Sheet3!$B$2:$E$312,3,)</f>
        <v>#N/A</v>
      </c>
      <c r="E535" s="8" t="str">
        <f>VLOOKUP(B535,Sheet3!$B$2:$E$312,4,)</f>
        <v>#N/A</v>
      </c>
      <c r="F535" s="8"/>
      <c r="G535" s="8"/>
      <c r="H535" s="8"/>
    </row>
    <row r="536" ht="15.75" customHeight="1">
      <c r="A536" s="6"/>
      <c r="B536" s="6"/>
      <c r="C536" s="6" t="str">
        <f>VLOOKUP(B536,Sheet3!$B$2:$E$312,2,FALSE)</f>
        <v>#N/A</v>
      </c>
      <c r="D536" s="6" t="str">
        <f>VLOOKUP(B536,Sheet3!$B$2:$E$312,3,)</f>
        <v>#N/A</v>
      </c>
      <c r="E536" s="8" t="str">
        <f>VLOOKUP(B536,Sheet3!$B$2:$E$312,4,)</f>
        <v>#N/A</v>
      </c>
      <c r="F536" s="8"/>
      <c r="G536" s="8"/>
      <c r="H536" s="8"/>
    </row>
    <row r="537" ht="15.75" customHeight="1">
      <c r="A537" s="6"/>
      <c r="B537" s="6"/>
      <c r="C537" s="6" t="str">
        <f>VLOOKUP(B537,Sheet3!$B$2:$E$312,2,FALSE)</f>
        <v>#N/A</v>
      </c>
      <c r="D537" s="6" t="str">
        <f>VLOOKUP(B537,Sheet3!$B$2:$E$312,3,)</f>
        <v>#N/A</v>
      </c>
      <c r="E537" s="8" t="str">
        <f>VLOOKUP(B537,Sheet3!$B$2:$E$312,4,)</f>
        <v>#N/A</v>
      </c>
      <c r="F537" s="8"/>
      <c r="G537" s="8"/>
      <c r="H537" s="8"/>
    </row>
    <row r="538" ht="15.75" customHeight="1">
      <c r="A538" s="6"/>
      <c r="B538" s="6"/>
      <c r="C538" s="6" t="str">
        <f>VLOOKUP(B538,Sheet3!$B$2:$E$312,2,FALSE)</f>
        <v>#N/A</v>
      </c>
      <c r="D538" s="6" t="str">
        <f>VLOOKUP(B538,Sheet3!$B$2:$E$312,3,)</f>
        <v>#N/A</v>
      </c>
      <c r="E538" s="8" t="str">
        <f>VLOOKUP(B538,Sheet3!$B$2:$E$312,4,)</f>
        <v>#N/A</v>
      </c>
      <c r="F538" s="8"/>
      <c r="G538" s="8"/>
      <c r="H538" s="8"/>
    </row>
    <row r="539" ht="15.75" customHeight="1">
      <c r="A539" s="6"/>
      <c r="B539" s="6"/>
      <c r="C539" s="6" t="str">
        <f>VLOOKUP(B539,Sheet3!$B$2:$E$312,2,FALSE)</f>
        <v>#N/A</v>
      </c>
      <c r="D539" s="6" t="str">
        <f>VLOOKUP(B539,Sheet3!$B$2:$E$312,3,)</f>
        <v>#N/A</v>
      </c>
      <c r="E539" s="8" t="str">
        <f>VLOOKUP(B539,Sheet3!$B$2:$E$312,4,)</f>
        <v>#N/A</v>
      </c>
      <c r="F539" s="8"/>
      <c r="G539" s="8"/>
      <c r="H539" s="8"/>
    </row>
    <row r="540" ht="15.75" customHeight="1">
      <c r="A540" s="6"/>
      <c r="B540" s="6"/>
      <c r="C540" s="6" t="str">
        <f>VLOOKUP(B540,Sheet3!$B$2:$E$312,2,FALSE)</f>
        <v>#N/A</v>
      </c>
      <c r="D540" s="6" t="str">
        <f>VLOOKUP(B540,Sheet3!$B$2:$E$312,3,)</f>
        <v>#N/A</v>
      </c>
      <c r="E540" s="8" t="str">
        <f>VLOOKUP(B540,Sheet3!$B$2:$E$312,4,)</f>
        <v>#N/A</v>
      </c>
      <c r="F540" s="8"/>
      <c r="G540" s="8"/>
      <c r="H540" s="8"/>
    </row>
    <row r="541" ht="15.75" customHeight="1">
      <c r="A541" s="6"/>
      <c r="B541" s="6"/>
      <c r="C541" s="6" t="str">
        <f>VLOOKUP(B541,Sheet3!$B$2:$E$312,2,FALSE)</f>
        <v>#N/A</v>
      </c>
      <c r="D541" s="6" t="str">
        <f>VLOOKUP(B541,Sheet3!$B$2:$E$312,3,)</f>
        <v>#N/A</v>
      </c>
      <c r="E541" s="8" t="str">
        <f>VLOOKUP(B541,Sheet3!$B$2:$E$312,4,)</f>
        <v>#N/A</v>
      </c>
      <c r="F541" s="8"/>
      <c r="G541" s="8"/>
      <c r="H541" s="8"/>
    </row>
    <row r="542" ht="15.75" customHeight="1">
      <c r="B542" s="16"/>
      <c r="C542" s="16" t="str">
        <f>VLOOKUP(B542,Sheet3!$B$2:$E$312,2,FALSE)</f>
        <v>#N/A</v>
      </c>
      <c r="D542" s="16" t="str">
        <f>VLOOKUP(B542,Sheet3!$B$2:$E$312,3,)</f>
        <v>#N/A</v>
      </c>
      <c r="E542" s="8" t="str">
        <f>VLOOKUP(B542,Sheet3!$B$2:$E$312,4,)</f>
        <v>#N/A</v>
      </c>
      <c r="F542" s="29"/>
      <c r="G542" s="29"/>
      <c r="H542" s="29"/>
    </row>
    <row r="543" ht="15.75" customHeight="1">
      <c r="B543" s="16"/>
      <c r="C543" s="16" t="str">
        <f>VLOOKUP(B543,Sheet3!$B$2:$E$312,2,FALSE)</f>
        <v>#N/A</v>
      </c>
      <c r="D543" s="16" t="str">
        <f>VLOOKUP(B543,Sheet3!$B$2:$E$312,3,)</f>
        <v>#N/A</v>
      </c>
      <c r="E543" s="8" t="str">
        <f>VLOOKUP(B543,Sheet3!$B$2:$E$312,4,)</f>
        <v>#N/A</v>
      </c>
      <c r="F543" s="29"/>
      <c r="G543" s="29"/>
      <c r="H543" s="29"/>
    </row>
    <row r="544" ht="15.75" customHeight="1">
      <c r="B544" s="16"/>
      <c r="C544" s="16" t="str">
        <f>VLOOKUP(B544,Sheet3!$B$2:$E$312,2,FALSE)</f>
        <v>#N/A</v>
      </c>
      <c r="D544" s="16" t="str">
        <f>VLOOKUP(B544,Sheet3!$B$2:$E$312,3,)</f>
        <v>#N/A</v>
      </c>
      <c r="E544" s="8" t="str">
        <f>VLOOKUP(B544,Sheet3!$B$2:$E$312,4,)</f>
        <v>#N/A</v>
      </c>
      <c r="F544" s="29"/>
      <c r="G544" s="29"/>
      <c r="H544" s="29"/>
    </row>
    <row r="545" ht="15.75" customHeight="1">
      <c r="B545" s="16"/>
      <c r="C545" s="16" t="str">
        <f>VLOOKUP(B545,Sheet3!$B$2:$E$312,2,FALSE)</f>
        <v>#N/A</v>
      </c>
      <c r="D545" s="16" t="str">
        <f>VLOOKUP(B545,Sheet3!$B$2:$E$312,3,)</f>
        <v>#N/A</v>
      </c>
      <c r="E545" s="8" t="str">
        <f>VLOOKUP(B545,Sheet3!$B$2:$E$312,4,)</f>
        <v>#N/A</v>
      </c>
      <c r="F545" s="29"/>
      <c r="G545" s="29"/>
      <c r="H545" s="29"/>
    </row>
    <row r="546" ht="15.75" customHeight="1">
      <c r="B546" s="16"/>
      <c r="C546" s="16" t="str">
        <f>VLOOKUP(B546,Sheet3!$B$2:$E$312,2,FALSE)</f>
        <v>#N/A</v>
      </c>
      <c r="D546" s="16" t="str">
        <f>VLOOKUP(B546,Sheet3!$B$2:$E$312,3,)</f>
        <v>#N/A</v>
      </c>
      <c r="E546" s="8" t="str">
        <f>VLOOKUP(B546,Sheet3!$B$2:$E$312,4,)</f>
        <v>#N/A</v>
      </c>
      <c r="F546" s="29"/>
      <c r="G546" s="29"/>
      <c r="H546" s="29"/>
    </row>
    <row r="547" ht="15.75" customHeight="1">
      <c r="B547" s="16"/>
      <c r="C547" s="16" t="str">
        <f>VLOOKUP(B547,Sheet3!$B$2:$E$312,2,FALSE)</f>
        <v>#N/A</v>
      </c>
      <c r="D547" s="16" t="str">
        <f>VLOOKUP(B547,Sheet3!$B$2:$E$312,3,)</f>
        <v>#N/A</v>
      </c>
      <c r="E547" s="8" t="str">
        <f>VLOOKUP(B547,Sheet3!$B$2:$E$312,4,)</f>
        <v>#N/A</v>
      </c>
      <c r="F547" s="29"/>
      <c r="G547" s="29"/>
      <c r="H547" s="29"/>
    </row>
    <row r="548" ht="15.75" customHeight="1">
      <c r="B548" s="16"/>
      <c r="C548" s="16" t="str">
        <f>VLOOKUP(B548,Sheet3!$B$2:$E$312,2,FALSE)</f>
        <v>#N/A</v>
      </c>
      <c r="D548" s="16" t="str">
        <f>VLOOKUP(B548,Sheet3!$B$2:$E$312,3,)</f>
        <v>#N/A</v>
      </c>
      <c r="E548" s="8" t="str">
        <f>VLOOKUP(B548,Sheet3!$B$2:$E$312,4,)</f>
        <v>#N/A</v>
      </c>
      <c r="F548" s="29"/>
      <c r="G548" s="29"/>
      <c r="H548" s="29"/>
    </row>
    <row r="549" ht="15.75" customHeight="1">
      <c r="B549" s="16"/>
      <c r="C549" s="16" t="str">
        <f>VLOOKUP(B549,Sheet3!$B$2:$E$312,2,FALSE)</f>
        <v>#N/A</v>
      </c>
      <c r="D549" s="16" t="str">
        <f>VLOOKUP(B549,Sheet3!$B$2:$E$312,3,)</f>
        <v>#N/A</v>
      </c>
      <c r="E549" s="8" t="str">
        <f>VLOOKUP(B549,Sheet3!$B$2:$E$312,4,)</f>
        <v>#N/A</v>
      </c>
      <c r="F549" s="29"/>
      <c r="G549" s="29"/>
      <c r="H549" s="29"/>
    </row>
    <row r="550" ht="15.75" customHeight="1">
      <c r="B550" s="16"/>
      <c r="C550" s="16" t="str">
        <f>VLOOKUP(B550,Sheet3!$B$2:$E$312,2,FALSE)</f>
        <v>#N/A</v>
      </c>
      <c r="D550" s="16" t="str">
        <f>VLOOKUP(B550,Sheet3!$B$2:$E$312,3,)</f>
        <v>#N/A</v>
      </c>
      <c r="E550" s="8" t="str">
        <f>VLOOKUP(B550,Sheet3!$B$2:$E$312,4,)</f>
        <v>#N/A</v>
      </c>
      <c r="F550" s="29"/>
      <c r="G550" s="29"/>
      <c r="H550" s="29"/>
    </row>
    <row r="551" ht="15.75" customHeight="1">
      <c r="B551" s="16"/>
      <c r="C551" s="16" t="str">
        <f>VLOOKUP(B551,Sheet3!$B$2:$E$312,2,FALSE)</f>
        <v>#N/A</v>
      </c>
      <c r="D551" s="16" t="str">
        <f>VLOOKUP(B551,Sheet3!$B$2:$E$312,3,)</f>
        <v>#N/A</v>
      </c>
      <c r="E551" s="8" t="str">
        <f>VLOOKUP(B551,Sheet3!$B$2:$E$312,4,)</f>
        <v>#N/A</v>
      </c>
      <c r="F551" s="29"/>
      <c r="G551" s="29"/>
      <c r="H551" s="29"/>
    </row>
    <row r="552" ht="15.75" customHeight="1">
      <c r="B552" s="16"/>
      <c r="C552" s="16" t="str">
        <f>VLOOKUP(B552,Sheet3!$B$2:$E$312,2,FALSE)</f>
        <v>#N/A</v>
      </c>
      <c r="D552" s="16" t="str">
        <f>VLOOKUP(B552,Sheet3!$B$2:$E$312,3,)</f>
        <v>#N/A</v>
      </c>
      <c r="E552" s="8" t="str">
        <f>VLOOKUP(B552,Sheet3!$B$2:$E$312,4,)</f>
        <v>#N/A</v>
      </c>
      <c r="F552" s="29"/>
      <c r="G552" s="29"/>
      <c r="H552" s="29"/>
    </row>
    <row r="553" ht="15.75" customHeight="1">
      <c r="B553" s="16"/>
      <c r="C553" s="16" t="str">
        <f>VLOOKUP(B553,Sheet3!$B$2:$E$312,2,FALSE)</f>
        <v>#N/A</v>
      </c>
      <c r="D553" s="16" t="str">
        <f>VLOOKUP(B553,Sheet3!$B$2:$E$312,3,)</f>
        <v>#N/A</v>
      </c>
      <c r="E553" s="8" t="str">
        <f>VLOOKUP(B553,Sheet3!$B$2:$E$312,4,)</f>
        <v>#N/A</v>
      </c>
      <c r="F553" s="29"/>
      <c r="G553" s="29"/>
      <c r="H553" s="29"/>
    </row>
    <row r="554" ht="15.75" customHeight="1">
      <c r="B554" s="16"/>
      <c r="C554" s="16" t="str">
        <f>VLOOKUP(B554,Sheet3!$B$2:$E$312,2,FALSE)</f>
        <v>#N/A</v>
      </c>
      <c r="D554" s="16" t="str">
        <f>VLOOKUP(B554,Sheet3!$B$2:$E$312,3,)</f>
        <v>#N/A</v>
      </c>
      <c r="E554" s="8" t="str">
        <f>VLOOKUP(B554,Sheet3!$B$2:$E$312,4,)</f>
        <v>#N/A</v>
      </c>
      <c r="F554" s="29"/>
      <c r="G554" s="29"/>
      <c r="H554" s="29"/>
    </row>
    <row r="555" ht="15.75" customHeight="1">
      <c r="B555" s="16"/>
      <c r="C555" s="16" t="str">
        <f>VLOOKUP(B555,Sheet3!$B$2:$E$312,2,FALSE)</f>
        <v>#N/A</v>
      </c>
      <c r="D555" s="16" t="str">
        <f>VLOOKUP(B555,Sheet3!$B$2:$E$312,3,)</f>
        <v>#N/A</v>
      </c>
      <c r="E555" s="8" t="str">
        <f>VLOOKUP(B555,Sheet3!$B$2:$E$312,4,)</f>
        <v>#N/A</v>
      </c>
      <c r="F555" s="29"/>
      <c r="G555" s="29"/>
      <c r="H555" s="29"/>
    </row>
    <row r="556" ht="15.75" customHeight="1">
      <c r="B556" s="16"/>
      <c r="C556" s="16" t="str">
        <f>VLOOKUP(B556,Sheet3!$B$2:$E$312,2,FALSE)</f>
        <v>#N/A</v>
      </c>
      <c r="D556" s="16" t="str">
        <f>VLOOKUP(B556,Sheet3!$B$2:$E$312,3,)</f>
        <v>#N/A</v>
      </c>
      <c r="E556" s="8" t="str">
        <f>VLOOKUP(B556,Sheet3!$B$2:$E$312,4,)</f>
        <v>#N/A</v>
      </c>
      <c r="F556" s="29"/>
      <c r="G556" s="29"/>
      <c r="H556" s="29"/>
    </row>
    <row r="557" ht="15.75" customHeight="1">
      <c r="B557" s="16"/>
      <c r="C557" s="16" t="str">
        <f>VLOOKUP(B557,Sheet3!$B$2:$E$312,2,FALSE)</f>
        <v>#N/A</v>
      </c>
      <c r="D557" s="16" t="str">
        <f>VLOOKUP(B557,Sheet3!$B$2:$E$312,3,)</f>
        <v>#N/A</v>
      </c>
      <c r="E557" s="8" t="str">
        <f>VLOOKUP(B557,Sheet3!$B$2:$E$312,4,)</f>
        <v>#N/A</v>
      </c>
      <c r="F557" s="29"/>
      <c r="G557" s="29"/>
      <c r="H557" s="29"/>
    </row>
    <row r="558" ht="15.75" customHeight="1">
      <c r="B558" s="16"/>
      <c r="C558" s="16" t="str">
        <f>VLOOKUP(B558,Sheet3!$B$2:$E$312,2,FALSE)</f>
        <v>#N/A</v>
      </c>
      <c r="D558" s="16" t="str">
        <f>VLOOKUP(B558,Sheet3!$B$2:$E$312,3,)</f>
        <v>#N/A</v>
      </c>
      <c r="E558" s="8" t="str">
        <f>VLOOKUP(B558,Sheet3!$B$2:$E$312,4,)</f>
        <v>#N/A</v>
      </c>
      <c r="F558" s="29"/>
      <c r="G558" s="29"/>
      <c r="H558" s="29"/>
    </row>
    <row r="559" ht="15.75" customHeight="1">
      <c r="B559" s="16"/>
      <c r="C559" s="16" t="str">
        <f>VLOOKUP(B559,Sheet3!$B$2:$E$312,2,FALSE)</f>
        <v>#N/A</v>
      </c>
      <c r="D559" s="16" t="str">
        <f>VLOOKUP(B559,Sheet3!$B$2:$E$312,3,)</f>
        <v>#N/A</v>
      </c>
      <c r="E559" s="8" t="str">
        <f>VLOOKUP(B559,Sheet3!$B$2:$E$312,4,)</f>
        <v>#N/A</v>
      </c>
      <c r="F559" s="29"/>
      <c r="G559" s="29"/>
      <c r="H559" s="29"/>
    </row>
    <row r="560" ht="15.75" customHeight="1">
      <c r="B560" s="16"/>
      <c r="C560" s="16" t="str">
        <f>VLOOKUP(B560,Sheet3!$B$2:$E$312,2,FALSE)</f>
        <v>#N/A</v>
      </c>
      <c r="D560" s="16" t="str">
        <f>VLOOKUP(B560,Sheet3!$B$2:$E$312,3,)</f>
        <v>#N/A</v>
      </c>
      <c r="E560" s="8" t="str">
        <f>VLOOKUP(B560,Sheet3!$B$2:$E$312,4,)</f>
        <v>#N/A</v>
      </c>
      <c r="F560" s="29"/>
      <c r="G560" s="29"/>
      <c r="H560" s="29"/>
    </row>
    <row r="561" ht="15.75" customHeight="1">
      <c r="B561" s="16"/>
      <c r="C561" s="16" t="str">
        <f>VLOOKUP(B561,Sheet3!$B$2:$E$312,2,FALSE)</f>
        <v>#N/A</v>
      </c>
      <c r="D561" s="16" t="str">
        <f>VLOOKUP(B561,Sheet3!$B$2:$E$312,3,)</f>
        <v>#N/A</v>
      </c>
      <c r="E561" s="8" t="str">
        <f>VLOOKUP(B561,Sheet3!$B$2:$E$312,4,)</f>
        <v>#N/A</v>
      </c>
      <c r="F561" s="29"/>
      <c r="G561" s="29"/>
      <c r="H561" s="29"/>
    </row>
    <row r="562" ht="15.75" customHeight="1">
      <c r="B562" s="16"/>
      <c r="C562" s="16" t="str">
        <f>VLOOKUP(B562,Sheet3!$B$2:$E$312,2,FALSE)</f>
        <v>#N/A</v>
      </c>
      <c r="D562" s="16" t="str">
        <f>VLOOKUP(B562,Sheet3!$B$2:$E$312,3,)</f>
        <v>#N/A</v>
      </c>
      <c r="E562" s="8" t="str">
        <f>VLOOKUP(B562,Sheet3!$B$2:$E$312,4,)</f>
        <v>#N/A</v>
      </c>
      <c r="F562" s="29"/>
      <c r="G562" s="29"/>
      <c r="H562" s="29"/>
    </row>
    <row r="563" ht="15.75" customHeight="1">
      <c r="B563" s="16"/>
      <c r="C563" s="16" t="str">
        <f>VLOOKUP(B563,Sheet3!$B$2:$E$312,2,FALSE)</f>
        <v>#N/A</v>
      </c>
      <c r="D563" s="16" t="str">
        <f>VLOOKUP(B563,Sheet3!$B$2:$E$312,3,)</f>
        <v>#N/A</v>
      </c>
      <c r="E563" s="8" t="str">
        <f>VLOOKUP(B563,Sheet3!$B$2:$E$312,4,)</f>
        <v>#N/A</v>
      </c>
      <c r="F563" s="29"/>
      <c r="G563" s="29"/>
      <c r="H563" s="29"/>
    </row>
    <row r="564" ht="15.75" customHeight="1">
      <c r="B564" s="16"/>
      <c r="C564" s="16" t="str">
        <f>VLOOKUP(B564,Sheet3!$B$2:$E$312,2,FALSE)</f>
        <v>#N/A</v>
      </c>
      <c r="D564" s="16" t="str">
        <f>VLOOKUP(B564,Sheet3!$B$2:$E$312,3,)</f>
        <v>#N/A</v>
      </c>
      <c r="E564" s="8" t="str">
        <f>VLOOKUP(B564,Sheet3!$B$2:$E$312,4,)</f>
        <v>#N/A</v>
      </c>
      <c r="F564" s="29"/>
      <c r="G564" s="29"/>
      <c r="H564" s="29"/>
    </row>
    <row r="565" ht="15.75" customHeight="1">
      <c r="B565" s="16"/>
      <c r="C565" s="16" t="str">
        <f>VLOOKUP(B565,Sheet3!$B$2:$E$312,2,FALSE)</f>
        <v>#N/A</v>
      </c>
      <c r="D565" s="16" t="str">
        <f>VLOOKUP(B565,Sheet3!$B$2:$E$312,3,)</f>
        <v>#N/A</v>
      </c>
      <c r="E565" s="8" t="str">
        <f>VLOOKUP(B565,Sheet3!$B$2:$E$312,4,)</f>
        <v>#N/A</v>
      </c>
      <c r="F565" s="29"/>
      <c r="G565" s="29"/>
      <c r="H565" s="29"/>
    </row>
    <row r="566" ht="15.75" customHeight="1">
      <c r="B566" s="16"/>
      <c r="C566" s="16" t="str">
        <f>VLOOKUP(B566,Sheet3!$B$2:$E$312,2,FALSE)</f>
        <v>#N/A</v>
      </c>
      <c r="D566" s="16" t="str">
        <f>VLOOKUP(B566,Sheet3!$B$2:$E$312,3,)</f>
        <v>#N/A</v>
      </c>
      <c r="E566" s="8" t="str">
        <f>VLOOKUP(B566,Sheet3!$B$2:$E$312,4,)</f>
        <v>#N/A</v>
      </c>
      <c r="F566" s="29"/>
      <c r="G566" s="29"/>
      <c r="H566" s="29"/>
    </row>
    <row r="567" ht="15.75" customHeight="1">
      <c r="B567" s="16"/>
      <c r="C567" s="16" t="str">
        <f>VLOOKUP(B567,Sheet3!$B$2:$E$312,2,FALSE)</f>
        <v>#N/A</v>
      </c>
      <c r="D567" s="16" t="str">
        <f>VLOOKUP(B567,Sheet3!$B$2:$E$312,3,)</f>
        <v>#N/A</v>
      </c>
      <c r="E567" s="29" t="str">
        <f>VLOOKUP(B567,Sheet3!$B$2:$E$312,4,)</f>
        <v>#N/A</v>
      </c>
      <c r="F567" s="29"/>
      <c r="G567" s="29"/>
      <c r="H567" s="29"/>
    </row>
    <row r="568" ht="15.75" customHeight="1">
      <c r="B568" s="16"/>
      <c r="C568" s="16" t="str">
        <f>VLOOKUP(B568,Sheet3!$B$2:$E$312,2,FALSE)</f>
        <v>#N/A</v>
      </c>
      <c r="D568" s="16" t="str">
        <f>VLOOKUP(B568,Sheet3!$B$2:$E$312,3,)</f>
        <v>#N/A</v>
      </c>
      <c r="E568" s="29" t="str">
        <f>VLOOKUP(B568,Sheet3!$B$2:$E$312,4,)</f>
        <v>#N/A</v>
      </c>
      <c r="F568" s="29"/>
      <c r="G568" s="29"/>
      <c r="H568" s="29"/>
    </row>
    <row r="569" ht="15.75" customHeight="1">
      <c r="B569" s="16"/>
      <c r="C569" s="16" t="str">
        <f>VLOOKUP(B569,Sheet3!$B$2:$E$312,2,FALSE)</f>
        <v>#N/A</v>
      </c>
      <c r="D569" s="16" t="str">
        <f>VLOOKUP(B569,Sheet3!$B$2:$E$312,3,)</f>
        <v>#N/A</v>
      </c>
      <c r="E569" s="29" t="str">
        <f>VLOOKUP(B569,Sheet3!$B$2:$E$312,4,)</f>
        <v>#N/A</v>
      </c>
      <c r="F569" s="29"/>
      <c r="G569" s="29"/>
      <c r="H569" s="29"/>
    </row>
    <row r="570" ht="15.75" customHeight="1">
      <c r="B570" s="16"/>
      <c r="C570" s="16" t="str">
        <f>VLOOKUP(B570,Sheet3!$B$2:$E$312,2,FALSE)</f>
        <v>#N/A</v>
      </c>
      <c r="D570" s="16" t="str">
        <f>VLOOKUP(B570,Sheet3!$B$2:$E$312,3,)</f>
        <v>#N/A</v>
      </c>
      <c r="E570" s="29" t="str">
        <f>VLOOKUP(B570,Sheet3!$B$2:$E$312,4,)</f>
        <v>#N/A</v>
      </c>
      <c r="F570" s="29"/>
      <c r="G570" s="29"/>
      <c r="H570" s="29"/>
    </row>
    <row r="571" ht="15.75" customHeight="1">
      <c r="B571" s="16"/>
      <c r="C571" s="16" t="str">
        <f>VLOOKUP(B571,Sheet3!$B$2:$E$312,2,FALSE)</f>
        <v>#N/A</v>
      </c>
      <c r="D571" s="16" t="str">
        <f>VLOOKUP(B571,Sheet3!$B$2:$E$312,3,)</f>
        <v>#N/A</v>
      </c>
      <c r="E571" s="29" t="str">
        <f>VLOOKUP(B571,Sheet3!$B$2:$E$312,4,)</f>
        <v>#N/A</v>
      </c>
      <c r="F571" s="29"/>
      <c r="G571" s="29"/>
      <c r="H571" s="29"/>
    </row>
    <row r="572" ht="15.75" customHeight="1">
      <c r="B572" s="16"/>
      <c r="C572" s="16" t="str">
        <f>VLOOKUP(B572,Sheet3!$B$2:$E$312,2,FALSE)</f>
        <v>#N/A</v>
      </c>
      <c r="D572" s="16" t="str">
        <f>VLOOKUP(B572,Sheet3!$B$2:$E$312,3,)</f>
        <v>#N/A</v>
      </c>
      <c r="E572" s="29" t="str">
        <f>VLOOKUP(B572,Sheet3!$B$2:$E$312,4,)</f>
        <v>#N/A</v>
      </c>
      <c r="F572" s="29"/>
      <c r="G572" s="29"/>
      <c r="H572" s="29"/>
    </row>
    <row r="573" ht="15.75" customHeight="1">
      <c r="B573" s="16"/>
      <c r="C573" s="16" t="str">
        <f>VLOOKUP(B573,Sheet3!$B$2:$E$312,2,FALSE)</f>
        <v>#N/A</v>
      </c>
      <c r="D573" s="16" t="str">
        <f>VLOOKUP(B573,Sheet3!$B$2:$E$312,3,)</f>
        <v>#N/A</v>
      </c>
      <c r="E573" s="29" t="str">
        <f>VLOOKUP(B573,Sheet3!$B$2:$E$312,4,)</f>
        <v>#N/A</v>
      </c>
      <c r="F573" s="29"/>
      <c r="G573" s="29"/>
      <c r="H573" s="29"/>
    </row>
    <row r="574" ht="15.75" customHeight="1">
      <c r="B574" s="16"/>
      <c r="C574" s="16" t="str">
        <f>VLOOKUP(B574,Sheet3!$B$2:$E$312,2,FALSE)</f>
        <v>#N/A</v>
      </c>
      <c r="D574" s="16" t="str">
        <f>VLOOKUP(B574,Sheet3!$B$2:$E$312,3,)</f>
        <v>#N/A</v>
      </c>
      <c r="E574" s="29" t="str">
        <f>VLOOKUP(B574,Sheet3!$B$2:$E$312,4,)</f>
        <v>#N/A</v>
      </c>
      <c r="F574" s="29"/>
      <c r="G574" s="29"/>
      <c r="H574" s="29"/>
    </row>
    <row r="575" ht="15.75" customHeight="1">
      <c r="B575" s="16"/>
      <c r="C575" s="16" t="str">
        <f>VLOOKUP(B575,Sheet3!$B$2:$E$312,2,FALSE)</f>
        <v>#N/A</v>
      </c>
      <c r="D575" s="16" t="str">
        <f>VLOOKUP(B575,Sheet3!$B$2:$E$312,3,)</f>
        <v>#N/A</v>
      </c>
      <c r="E575" s="29" t="str">
        <f>VLOOKUP(B575,Sheet3!$B$2:$E$312,4,)</f>
        <v>#N/A</v>
      </c>
      <c r="F575" s="29"/>
      <c r="G575" s="29"/>
      <c r="H575" s="29"/>
    </row>
    <row r="576" ht="15.75" customHeight="1">
      <c r="B576" s="16"/>
      <c r="C576" s="16" t="str">
        <f>VLOOKUP(B576,Sheet3!$B$2:$E$312,2,FALSE)</f>
        <v>#N/A</v>
      </c>
      <c r="D576" s="16" t="str">
        <f>VLOOKUP(B576,Sheet3!$B$2:$E$312,3,)</f>
        <v>#N/A</v>
      </c>
      <c r="E576" s="29" t="str">
        <f>VLOOKUP(B576,Sheet3!$B$2:$E$312,4,)</f>
        <v>#N/A</v>
      </c>
      <c r="F576" s="29"/>
      <c r="G576" s="29"/>
      <c r="H576" s="29"/>
    </row>
    <row r="577" ht="15.75" customHeight="1">
      <c r="B577" s="16"/>
      <c r="C577" s="16" t="str">
        <f>VLOOKUP(B577,Sheet3!$B$2:$E$312,2,FALSE)</f>
        <v>#N/A</v>
      </c>
      <c r="D577" s="16" t="str">
        <f>VLOOKUP(B577,Sheet3!$B$2:$E$312,3,)</f>
        <v>#N/A</v>
      </c>
      <c r="E577" s="29" t="str">
        <f>VLOOKUP(B577,Sheet3!$B$2:$E$312,4,)</f>
        <v>#N/A</v>
      </c>
      <c r="F577" s="29"/>
      <c r="G577" s="29"/>
      <c r="H577" s="29"/>
    </row>
    <row r="578" ht="15.75" customHeight="1">
      <c r="B578" s="16"/>
      <c r="C578" s="16" t="str">
        <f>VLOOKUP(B578,Sheet3!$B$2:$E$312,2,FALSE)</f>
        <v>#N/A</v>
      </c>
      <c r="D578" s="16" t="str">
        <f>VLOOKUP(B578,Sheet3!$B$2:$E$312,3,)</f>
        <v>#N/A</v>
      </c>
      <c r="E578" s="29" t="str">
        <f>VLOOKUP(B578,Sheet3!$B$2:$E$312,4,)</f>
        <v>#N/A</v>
      </c>
      <c r="F578" s="29"/>
      <c r="G578" s="29"/>
      <c r="H578" s="29"/>
    </row>
    <row r="579" ht="15.75" customHeight="1">
      <c r="B579" s="16"/>
      <c r="C579" s="16" t="str">
        <f>VLOOKUP(B579,Sheet3!$B$2:$E$312,2,FALSE)</f>
        <v>#N/A</v>
      </c>
      <c r="D579" s="16" t="str">
        <f>VLOOKUP(B579,Sheet3!$B$2:$E$312,3,)</f>
        <v>#N/A</v>
      </c>
      <c r="E579" s="29" t="str">
        <f>VLOOKUP(B579,Sheet3!$B$2:$E$312,4,)</f>
        <v>#N/A</v>
      </c>
      <c r="F579" s="29"/>
      <c r="G579" s="29"/>
      <c r="H579" s="29"/>
    </row>
    <row r="580" ht="15.75" customHeight="1">
      <c r="B580" s="16"/>
      <c r="C580" s="16" t="str">
        <f>VLOOKUP(B580,Sheet3!$B$2:$E$312,2,FALSE)</f>
        <v>#N/A</v>
      </c>
      <c r="D580" s="16" t="str">
        <f>VLOOKUP(B580,Sheet3!$B$2:$E$312,3,)</f>
        <v>#N/A</v>
      </c>
      <c r="E580" s="29" t="str">
        <f>VLOOKUP(B580,Sheet3!$B$2:$E$312,4,)</f>
        <v>#N/A</v>
      </c>
      <c r="F580" s="29"/>
      <c r="G580" s="29"/>
      <c r="H580" s="29"/>
    </row>
    <row r="581" ht="15.75" customHeight="1">
      <c r="B581" s="16"/>
      <c r="C581" s="16" t="str">
        <f>VLOOKUP(B581,Sheet3!$B$2:$E$312,2,FALSE)</f>
        <v>#N/A</v>
      </c>
      <c r="D581" s="16" t="str">
        <f>VLOOKUP(B581,Sheet3!$B$2:$E$312,3,)</f>
        <v>#N/A</v>
      </c>
      <c r="E581" s="29" t="str">
        <f>VLOOKUP(B581,Sheet3!$B$2:$E$312,4,)</f>
        <v>#N/A</v>
      </c>
      <c r="F581" s="29"/>
      <c r="G581" s="29"/>
      <c r="H581" s="29"/>
    </row>
    <row r="582" ht="15.75" customHeight="1">
      <c r="B582" s="16"/>
      <c r="C582" s="16" t="str">
        <f>VLOOKUP(B582,Sheet3!$B$2:$E$312,2,FALSE)</f>
        <v>#N/A</v>
      </c>
      <c r="D582" s="16" t="str">
        <f>VLOOKUP(B582,Sheet3!$B$2:$E$312,3,)</f>
        <v>#N/A</v>
      </c>
      <c r="E582" s="29" t="str">
        <f>VLOOKUP(B582,Sheet3!$B$2:$E$312,4,)</f>
        <v>#N/A</v>
      </c>
      <c r="F582" s="29"/>
      <c r="G582" s="29"/>
      <c r="H582" s="29"/>
    </row>
    <row r="583" ht="15.75" customHeight="1">
      <c r="B583" s="16"/>
      <c r="C583" s="16" t="str">
        <f>VLOOKUP(B583,Sheet3!$B$2:$E$312,2,FALSE)</f>
        <v>#N/A</v>
      </c>
      <c r="D583" s="16" t="str">
        <f>VLOOKUP(B583,Sheet3!$B$2:$E$312,3,)</f>
        <v>#N/A</v>
      </c>
      <c r="E583" s="29" t="str">
        <f>VLOOKUP(B583,Sheet3!$B$2:$E$312,4,)</f>
        <v>#N/A</v>
      </c>
      <c r="F583" s="29"/>
      <c r="G583" s="29"/>
      <c r="H583" s="29"/>
    </row>
    <row r="584" ht="15.75" customHeight="1">
      <c r="B584" s="16"/>
      <c r="C584" s="16" t="str">
        <f>VLOOKUP(B584,Sheet3!$B$2:$E$312,2,FALSE)</f>
        <v>#N/A</v>
      </c>
      <c r="D584" s="16" t="str">
        <f>VLOOKUP(B584,Sheet3!$B$2:$E$312,3,)</f>
        <v>#N/A</v>
      </c>
      <c r="E584" s="29" t="str">
        <f>VLOOKUP(B584,Sheet3!$B$2:$E$312,4,)</f>
        <v>#N/A</v>
      </c>
      <c r="F584" s="29"/>
      <c r="G584" s="29"/>
      <c r="H584" s="29"/>
    </row>
    <row r="585" ht="15.75" customHeight="1">
      <c r="B585" s="16"/>
      <c r="C585" s="16" t="str">
        <f>VLOOKUP(B585,Sheet3!$B$2:$E$312,2,FALSE)</f>
        <v>#N/A</v>
      </c>
      <c r="D585" s="16" t="str">
        <f>VLOOKUP(B585,Sheet3!$B$2:$E$312,3,)</f>
        <v>#N/A</v>
      </c>
      <c r="E585" s="29" t="str">
        <f>VLOOKUP(B585,Sheet3!$B$2:$E$312,4,)</f>
        <v>#N/A</v>
      </c>
      <c r="F585" s="29"/>
      <c r="G585" s="29"/>
      <c r="H585" s="29"/>
    </row>
    <row r="586" ht="15.75" customHeight="1">
      <c r="B586" s="16"/>
      <c r="C586" s="16" t="str">
        <f>VLOOKUP(B586,Sheet3!$B$2:$E$312,2,FALSE)</f>
        <v>#N/A</v>
      </c>
      <c r="D586" s="16" t="str">
        <f>VLOOKUP(B586,Sheet3!$B$2:$E$312,3,)</f>
        <v>#N/A</v>
      </c>
      <c r="E586" s="29" t="str">
        <f>VLOOKUP(B586,Sheet3!$B$2:$E$312,4,)</f>
        <v>#N/A</v>
      </c>
      <c r="F586" s="29"/>
      <c r="G586" s="29"/>
      <c r="H586" s="29"/>
    </row>
    <row r="587" ht="15.75" customHeight="1">
      <c r="B587" s="16"/>
      <c r="C587" s="16" t="str">
        <f>VLOOKUP(B587,Sheet3!$B$2:$E$312,2,FALSE)</f>
        <v>#N/A</v>
      </c>
      <c r="D587" s="16" t="str">
        <f>VLOOKUP(B587,Sheet3!$B$2:$E$312,3,)</f>
        <v>#N/A</v>
      </c>
      <c r="E587" s="29" t="str">
        <f>VLOOKUP(B587,Sheet3!$B$2:$E$312,4,)</f>
        <v>#N/A</v>
      </c>
      <c r="F587" s="29"/>
      <c r="G587" s="29"/>
      <c r="H587" s="29"/>
    </row>
    <row r="588" ht="15.75" customHeight="1">
      <c r="B588" s="16"/>
      <c r="C588" s="16" t="str">
        <f>VLOOKUP(B588,Sheet3!$B$2:$E$312,2,FALSE)</f>
        <v>#N/A</v>
      </c>
      <c r="D588" s="16" t="str">
        <f>VLOOKUP(B588,Sheet3!$B$2:$E$312,3,)</f>
        <v>#N/A</v>
      </c>
      <c r="E588" s="29" t="str">
        <f>VLOOKUP(B588,Sheet3!$B$2:$E$312,4,)</f>
        <v>#N/A</v>
      </c>
      <c r="F588" s="29"/>
      <c r="G588" s="29"/>
      <c r="H588" s="29"/>
    </row>
    <row r="589" ht="15.75" customHeight="1">
      <c r="B589" s="16"/>
      <c r="C589" s="16" t="str">
        <f>VLOOKUP(B589,Sheet3!$B$2:$E$312,2,FALSE)</f>
        <v>#N/A</v>
      </c>
      <c r="D589" s="16" t="str">
        <f>VLOOKUP(B589,Sheet3!$B$2:$E$312,3,)</f>
        <v>#N/A</v>
      </c>
      <c r="E589" s="29" t="str">
        <f>VLOOKUP(B589,Sheet3!$B$2:$E$312,4,)</f>
        <v>#N/A</v>
      </c>
      <c r="F589" s="29"/>
      <c r="G589" s="29"/>
      <c r="H589" s="29"/>
    </row>
    <row r="590" ht="15.75" customHeight="1">
      <c r="B590" s="16"/>
      <c r="C590" s="16" t="str">
        <f>VLOOKUP(B590,Sheet3!$B$2:$E$312,2,FALSE)</f>
        <v>#N/A</v>
      </c>
      <c r="D590" s="16" t="str">
        <f>VLOOKUP(B590,Sheet3!$B$2:$E$312,3,)</f>
        <v>#N/A</v>
      </c>
      <c r="E590" s="29" t="str">
        <f>VLOOKUP(B590,Sheet3!$B$2:$E$312,4,)</f>
        <v>#N/A</v>
      </c>
      <c r="F590" s="29"/>
      <c r="G590" s="29"/>
      <c r="H590" s="29"/>
    </row>
    <row r="591" ht="15.75" customHeight="1">
      <c r="B591" s="16"/>
      <c r="C591" s="16" t="str">
        <f>VLOOKUP(B591,Sheet3!$B$2:$E$312,2,FALSE)</f>
        <v>#N/A</v>
      </c>
      <c r="D591" s="16" t="str">
        <f>VLOOKUP(B591,Sheet3!$B$2:$E$312,3,)</f>
        <v>#N/A</v>
      </c>
      <c r="E591" s="29" t="str">
        <f>VLOOKUP(B591,Sheet3!$B$2:$E$312,4,)</f>
        <v>#N/A</v>
      </c>
      <c r="F591" s="29"/>
      <c r="G591" s="29"/>
      <c r="H591" s="29"/>
    </row>
    <row r="592" ht="15.75" customHeight="1">
      <c r="B592" s="16"/>
      <c r="C592" s="16" t="str">
        <f>VLOOKUP(B592,Sheet3!$B$2:$E$312,2,FALSE)</f>
        <v>#N/A</v>
      </c>
      <c r="D592" s="16" t="str">
        <f>VLOOKUP(B592,Sheet3!$B$2:$E$312,3,)</f>
        <v>#N/A</v>
      </c>
      <c r="E592" s="29" t="str">
        <f>VLOOKUP(B592,Sheet3!$B$2:$E$312,4,)</f>
        <v>#N/A</v>
      </c>
      <c r="F592" s="29"/>
      <c r="G592" s="29"/>
      <c r="H592" s="29"/>
    </row>
    <row r="593" ht="15.75" customHeight="1">
      <c r="B593" s="16"/>
      <c r="C593" s="16" t="str">
        <f>VLOOKUP(B593,Sheet3!$B$2:$E$312,2,FALSE)</f>
        <v>#N/A</v>
      </c>
      <c r="D593" s="16" t="str">
        <f>VLOOKUP(B593,Sheet3!$B$2:$E$312,3,)</f>
        <v>#N/A</v>
      </c>
      <c r="E593" s="29" t="str">
        <f>VLOOKUP(B593,Sheet3!$B$2:$E$312,4,)</f>
        <v>#N/A</v>
      </c>
      <c r="F593" s="29"/>
      <c r="G593" s="29"/>
      <c r="H593" s="29"/>
    </row>
    <row r="594" ht="15.75" customHeight="1">
      <c r="B594" s="16"/>
      <c r="C594" s="16" t="str">
        <f>VLOOKUP(B594,Sheet3!$B$2:$E$312,2,FALSE)</f>
        <v>#N/A</v>
      </c>
      <c r="D594" s="16" t="str">
        <f>VLOOKUP(B594,Sheet3!$B$2:$E$312,3,)</f>
        <v>#N/A</v>
      </c>
      <c r="E594" s="29" t="str">
        <f>VLOOKUP(B594,Sheet3!$B$2:$E$312,4,)</f>
        <v>#N/A</v>
      </c>
      <c r="F594" s="29"/>
      <c r="G594" s="29"/>
      <c r="H594" s="29"/>
    </row>
    <row r="595" ht="15.75" customHeight="1">
      <c r="B595" s="16"/>
      <c r="C595" s="16" t="str">
        <f>VLOOKUP(B595,Sheet3!$B$2:$E$312,2,FALSE)</f>
        <v>#N/A</v>
      </c>
      <c r="D595" s="16" t="str">
        <f>VLOOKUP(B595,Sheet3!$B$2:$E$312,3,)</f>
        <v>#N/A</v>
      </c>
      <c r="E595" s="29" t="str">
        <f>VLOOKUP(B595,Sheet3!$B$2:$E$312,4,)</f>
        <v>#N/A</v>
      </c>
      <c r="F595" s="29"/>
      <c r="G595" s="29"/>
      <c r="H595" s="29"/>
    </row>
    <row r="596" ht="15.75" customHeight="1">
      <c r="B596" s="16"/>
      <c r="C596" s="16" t="str">
        <f>VLOOKUP(B596,Sheet3!$B$2:$E$312,2,FALSE)</f>
        <v>#N/A</v>
      </c>
      <c r="D596" s="16" t="str">
        <f>VLOOKUP(B596,Sheet3!$B$2:$E$312,3,)</f>
        <v>#N/A</v>
      </c>
      <c r="E596" s="29" t="str">
        <f>VLOOKUP(B596,Sheet3!$B$2:$E$312,4,)</f>
        <v>#N/A</v>
      </c>
      <c r="F596" s="29"/>
      <c r="G596" s="29"/>
      <c r="H596" s="29"/>
    </row>
    <row r="597" ht="15.75" customHeight="1">
      <c r="B597" s="16"/>
      <c r="C597" s="16" t="str">
        <f>VLOOKUP(B597,Sheet3!$B$2:$E$312,2,FALSE)</f>
        <v>#N/A</v>
      </c>
      <c r="D597" s="16" t="str">
        <f>VLOOKUP(B597,Sheet3!$B$2:$E$312,3,)</f>
        <v>#N/A</v>
      </c>
      <c r="E597" s="29" t="str">
        <f>VLOOKUP(B597,Sheet3!$B$2:$E$312,4,)</f>
        <v>#N/A</v>
      </c>
      <c r="F597" s="29"/>
      <c r="G597" s="29"/>
      <c r="H597" s="29"/>
    </row>
    <row r="598" ht="15.75" customHeight="1">
      <c r="B598" s="16"/>
      <c r="C598" s="16" t="str">
        <f>VLOOKUP(B598,Sheet3!$B$2:$E$312,2,FALSE)</f>
        <v>#N/A</v>
      </c>
      <c r="D598" s="16" t="str">
        <f>VLOOKUP(B598,Sheet3!$B$2:$E$312,3,)</f>
        <v>#N/A</v>
      </c>
      <c r="E598" s="29" t="str">
        <f>VLOOKUP(B598,Sheet3!$B$2:$E$312,4,)</f>
        <v>#N/A</v>
      </c>
      <c r="F598" s="29"/>
      <c r="G598" s="29"/>
      <c r="H598" s="29"/>
    </row>
    <row r="599" ht="15.75" customHeight="1">
      <c r="B599" s="16"/>
      <c r="C599" s="16" t="str">
        <f>VLOOKUP(B599,Sheet3!$B$2:$E$312,2,FALSE)</f>
        <v>#N/A</v>
      </c>
      <c r="D599" s="16" t="str">
        <f>VLOOKUP(B599,Sheet3!$B$2:$E$312,3,)</f>
        <v>#N/A</v>
      </c>
      <c r="E599" s="29" t="str">
        <f>VLOOKUP(B599,Sheet3!$B$2:$E$312,4,)</f>
        <v>#N/A</v>
      </c>
      <c r="F599" s="29"/>
      <c r="G599" s="29"/>
      <c r="H599" s="29"/>
    </row>
    <row r="600" ht="15.75" customHeight="1">
      <c r="B600" s="16"/>
      <c r="C600" s="16" t="str">
        <f>VLOOKUP(B600,Sheet3!$B$2:$E$312,2,FALSE)</f>
        <v>#N/A</v>
      </c>
      <c r="D600" s="16" t="str">
        <f>VLOOKUP(B600,Sheet3!$B$2:$E$312,3,)</f>
        <v>#N/A</v>
      </c>
      <c r="E600" s="29" t="str">
        <f>VLOOKUP(B600,Sheet3!$B$2:$E$312,4,)</f>
        <v>#N/A</v>
      </c>
      <c r="F600" s="29"/>
      <c r="G600" s="29"/>
      <c r="H600" s="29"/>
    </row>
    <row r="601" ht="15.75" customHeight="1">
      <c r="B601" s="16"/>
      <c r="C601" s="16" t="str">
        <f>VLOOKUP(B601,Sheet3!$B$2:$E$312,2,FALSE)</f>
        <v>#N/A</v>
      </c>
      <c r="D601" s="16" t="str">
        <f>VLOOKUP(B601,Sheet3!$B$2:$E$312,3,)</f>
        <v>#N/A</v>
      </c>
      <c r="E601" s="29" t="str">
        <f>VLOOKUP(B601,Sheet3!$B$2:$E$312,4,)</f>
        <v>#N/A</v>
      </c>
      <c r="F601" s="29"/>
      <c r="G601" s="29"/>
      <c r="H601" s="29"/>
    </row>
    <row r="602" ht="15.75" customHeight="1">
      <c r="B602" s="16"/>
      <c r="C602" s="16" t="str">
        <f>VLOOKUP(B602,Sheet3!$B$2:$E$312,2,FALSE)</f>
        <v>#N/A</v>
      </c>
      <c r="D602" s="16" t="str">
        <f>VLOOKUP(B602,Sheet3!$B$2:$E$312,3,)</f>
        <v>#N/A</v>
      </c>
      <c r="E602" s="29" t="str">
        <f>VLOOKUP(B602,Sheet3!$B$2:$E$312,4,)</f>
        <v>#N/A</v>
      </c>
      <c r="F602" s="29"/>
      <c r="G602" s="29"/>
      <c r="H602" s="29"/>
    </row>
    <row r="603" ht="15.75" customHeight="1">
      <c r="B603" s="16"/>
      <c r="C603" s="16" t="str">
        <f>VLOOKUP(B603,Sheet3!$B$2:$E$312,2,FALSE)</f>
        <v>#N/A</v>
      </c>
      <c r="D603" s="16" t="str">
        <f>VLOOKUP(B603,Sheet3!$B$2:$E$312,3,)</f>
        <v>#N/A</v>
      </c>
      <c r="E603" s="29" t="str">
        <f>VLOOKUP(B603,Sheet3!$B$2:$E$312,4,)</f>
        <v>#N/A</v>
      </c>
      <c r="F603" s="29"/>
      <c r="G603" s="29"/>
      <c r="H603" s="29"/>
    </row>
    <row r="604" ht="15.75" customHeight="1">
      <c r="B604" s="16"/>
      <c r="C604" s="16" t="str">
        <f>VLOOKUP(B604,Sheet3!$B$2:$E$312,2,FALSE)</f>
        <v>#N/A</v>
      </c>
      <c r="D604" s="16" t="str">
        <f>VLOOKUP(B604,Sheet3!$B$2:$E$312,3,)</f>
        <v>#N/A</v>
      </c>
      <c r="E604" s="29" t="str">
        <f>VLOOKUP(B604,Sheet3!$B$2:$E$312,4,)</f>
        <v>#N/A</v>
      </c>
      <c r="F604" s="29"/>
      <c r="G604" s="29"/>
      <c r="H604" s="29"/>
    </row>
    <row r="605" ht="15.75" customHeight="1">
      <c r="B605" s="16"/>
      <c r="C605" s="16" t="str">
        <f>VLOOKUP(B605,Sheet3!$B$2:$E$312,2,FALSE)</f>
        <v>#N/A</v>
      </c>
      <c r="D605" s="16" t="str">
        <f>VLOOKUP(B605,Sheet3!$B$2:$E$312,3,)</f>
        <v>#N/A</v>
      </c>
      <c r="E605" s="29" t="str">
        <f>VLOOKUP(B605,Sheet3!$B$2:$E$312,4,)</f>
        <v>#N/A</v>
      </c>
      <c r="F605" s="29"/>
      <c r="G605" s="29"/>
      <c r="H605" s="29"/>
    </row>
    <row r="606" ht="15.75" customHeight="1">
      <c r="B606" s="16"/>
      <c r="C606" s="16" t="str">
        <f>VLOOKUP(B606,Sheet3!$B$2:$E$312,2,FALSE)</f>
        <v>#N/A</v>
      </c>
      <c r="D606" s="16" t="str">
        <f>VLOOKUP(B606,Sheet3!$B$2:$E$312,3,)</f>
        <v>#N/A</v>
      </c>
      <c r="E606" s="29" t="str">
        <f>VLOOKUP(B606,Sheet3!$B$2:$E$312,4,)</f>
        <v>#N/A</v>
      </c>
      <c r="F606" s="29"/>
      <c r="G606" s="29"/>
      <c r="H606" s="29"/>
    </row>
    <row r="607" ht="15.75" customHeight="1">
      <c r="B607" s="16"/>
      <c r="C607" s="16" t="str">
        <f>VLOOKUP(B607,Sheet3!$B$2:$E$312,2,FALSE)</f>
        <v>#N/A</v>
      </c>
      <c r="D607" s="16" t="str">
        <f>VLOOKUP(B607,Sheet3!$B$2:$E$312,3,)</f>
        <v>#N/A</v>
      </c>
      <c r="E607" s="29" t="str">
        <f>VLOOKUP(B607,Sheet3!$B$2:$E$312,4,)</f>
        <v>#N/A</v>
      </c>
      <c r="F607" s="29"/>
      <c r="G607" s="29"/>
      <c r="H607" s="29"/>
    </row>
    <row r="608" ht="15.75" customHeight="1">
      <c r="B608" s="16"/>
      <c r="C608" s="16" t="str">
        <f>VLOOKUP(B608,Sheet3!$B$2:$E$312,2,FALSE)</f>
        <v>#N/A</v>
      </c>
      <c r="D608" s="16" t="str">
        <f>VLOOKUP(B608,Sheet3!$B$2:$E$312,3,)</f>
        <v>#N/A</v>
      </c>
      <c r="E608" s="29" t="str">
        <f>VLOOKUP(B608,Sheet3!$B$2:$E$312,4,)</f>
        <v>#N/A</v>
      </c>
      <c r="F608" s="29"/>
      <c r="G608" s="29"/>
      <c r="H608" s="29"/>
    </row>
    <row r="609" ht="15.75" customHeight="1">
      <c r="B609" s="16"/>
      <c r="C609" s="16" t="str">
        <f>VLOOKUP(B609,Sheet3!$B$2:$E$312,2,FALSE)</f>
        <v>#N/A</v>
      </c>
      <c r="D609" s="16" t="str">
        <f>VLOOKUP(B609,Sheet3!$B$2:$E$312,3,)</f>
        <v>#N/A</v>
      </c>
      <c r="E609" s="29" t="str">
        <f>VLOOKUP(B609,Sheet3!$B$2:$E$312,4,)</f>
        <v>#N/A</v>
      </c>
      <c r="F609" s="29"/>
      <c r="G609" s="29"/>
      <c r="H609" s="29"/>
    </row>
    <row r="610" ht="15.75" customHeight="1">
      <c r="B610" s="16"/>
      <c r="C610" s="16" t="str">
        <f>VLOOKUP(B610,Sheet3!$B$2:$E$312,2,FALSE)</f>
        <v>#N/A</v>
      </c>
      <c r="D610" s="16" t="str">
        <f>VLOOKUP(B610,Sheet3!$B$2:$E$312,3,)</f>
        <v>#N/A</v>
      </c>
      <c r="E610" s="29" t="str">
        <f>VLOOKUP(B610,Sheet3!$B$2:$E$312,4,)</f>
        <v>#N/A</v>
      </c>
      <c r="F610" s="29"/>
      <c r="G610" s="29"/>
      <c r="H610" s="29"/>
    </row>
    <row r="611" ht="15.75" customHeight="1">
      <c r="B611" s="16"/>
      <c r="C611" s="16" t="str">
        <f>VLOOKUP(B611,Sheet3!$B$2:$E$312,2,FALSE)</f>
        <v>#N/A</v>
      </c>
      <c r="D611" s="16" t="str">
        <f>VLOOKUP(B611,Sheet3!$B$2:$E$312,3,)</f>
        <v>#N/A</v>
      </c>
      <c r="E611" s="29" t="str">
        <f>VLOOKUP(B611,Sheet3!$B$2:$E$312,4,)</f>
        <v>#N/A</v>
      </c>
      <c r="F611" s="29"/>
      <c r="G611" s="29"/>
      <c r="H611" s="29"/>
    </row>
    <row r="612" ht="15.75" customHeight="1">
      <c r="B612" s="16"/>
      <c r="C612" s="16" t="str">
        <f>VLOOKUP(B612,Sheet3!$B$2:$E$312,2,FALSE)</f>
        <v>#N/A</v>
      </c>
      <c r="D612" s="16" t="str">
        <f>VLOOKUP(B612,Sheet3!$B$2:$E$312,3,)</f>
        <v>#N/A</v>
      </c>
      <c r="E612" s="29" t="str">
        <f>VLOOKUP(B612,Sheet3!$B$2:$E$312,4,)</f>
        <v>#N/A</v>
      </c>
      <c r="F612" s="29"/>
      <c r="G612" s="29"/>
      <c r="H612" s="29"/>
    </row>
    <row r="613" ht="15.75" customHeight="1">
      <c r="B613" s="16"/>
      <c r="C613" s="16" t="str">
        <f>VLOOKUP(B613,Sheet3!$B$2:$E$312,2,FALSE)</f>
        <v>#N/A</v>
      </c>
      <c r="D613" s="16" t="str">
        <f>VLOOKUP(B613,Sheet3!$B$2:$E$312,3,)</f>
        <v>#N/A</v>
      </c>
      <c r="E613" s="29" t="str">
        <f>VLOOKUP(B613,Sheet3!$B$2:$E$312,4,)</f>
        <v>#N/A</v>
      </c>
      <c r="F613" s="29"/>
      <c r="G613" s="29"/>
      <c r="H613" s="29"/>
    </row>
    <row r="614" ht="15.75" customHeight="1">
      <c r="B614" s="16"/>
      <c r="C614" s="16" t="str">
        <f>VLOOKUP(B614,Sheet3!$B$2:$E$312,2,FALSE)</f>
        <v>#N/A</v>
      </c>
      <c r="D614" s="16" t="str">
        <f>VLOOKUP(B614,Sheet3!$B$2:$E$312,3,)</f>
        <v>#N/A</v>
      </c>
      <c r="E614" s="29" t="str">
        <f>VLOOKUP(B614,Sheet3!$B$2:$E$312,4,)</f>
        <v>#N/A</v>
      </c>
      <c r="F614" s="29"/>
      <c r="G614" s="29"/>
      <c r="H614" s="29"/>
    </row>
    <row r="615" ht="15.75" customHeight="1">
      <c r="B615" s="16"/>
      <c r="C615" s="16" t="str">
        <f>VLOOKUP(B615,Sheet3!$B$2:$E$312,2,FALSE)</f>
        <v>#N/A</v>
      </c>
      <c r="D615" s="16" t="str">
        <f>VLOOKUP(B615,Sheet3!$B$2:$E$312,3,)</f>
        <v>#N/A</v>
      </c>
      <c r="E615" s="29" t="str">
        <f>VLOOKUP(B615,Sheet3!$B$2:$E$312,4,)</f>
        <v>#N/A</v>
      </c>
      <c r="F615" s="29"/>
      <c r="G615" s="29"/>
      <c r="H615" s="29"/>
    </row>
    <row r="616" ht="15.75" customHeight="1">
      <c r="B616" s="16"/>
      <c r="C616" s="16" t="str">
        <f>VLOOKUP(B616,Sheet3!$B$2:$E$312,2,FALSE)</f>
        <v>#N/A</v>
      </c>
      <c r="D616" s="16" t="str">
        <f>VLOOKUP(B616,Sheet3!$B$2:$E$312,3,)</f>
        <v>#N/A</v>
      </c>
      <c r="E616" s="29" t="str">
        <f>VLOOKUP(B616,Sheet3!$B$2:$E$312,4,)</f>
        <v>#N/A</v>
      </c>
      <c r="F616" s="29"/>
      <c r="G616" s="29"/>
      <c r="H616" s="29"/>
    </row>
    <row r="617" ht="15.75" customHeight="1">
      <c r="B617" s="16"/>
      <c r="C617" s="16" t="str">
        <f>VLOOKUP(B617,Sheet3!$B$2:$E$312,2,FALSE)</f>
        <v>#N/A</v>
      </c>
      <c r="D617" s="16" t="str">
        <f>VLOOKUP(B617,Sheet3!$B$2:$E$312,3,)</f>
        <v>#N/A</v>
      </c>
      <c r="E617" s="29" t="str">
        <f>VLOOKUP(B617,Sheet3!$B$2:$E$312,4,)</f>
        <v>#N/A</v>
      </c>
      <c r="F617" s="29"/>
      <c r="G617" s="29"/>
      <c r="H617" s="29"/>
    </row>
    <row r="618" ht="15.75" customHeight="1">
      <c r="B618" s="16"/>
      <c r="C618" s="16" t="str">
        <f>VLOOKUP(B618,Sheet3!$B$2:$E$312,2,FALSE)</f>
        <v>#N/A</v>
      </c>
      <c r="D618" s="16" t="str">
        <f>VLOOKUP(B618,Sheet3!$B$2:$E$312,3,)</f>
        <v>#N/A</v>
      </c>
      <c r="E618" s="29" t="str">
        <f>VLOOKUP(B618,Sheet3!$B$2:$E$312,4,)</f>
        <v>#N/A</v>
      </c>
      <c r="F618" s="29"/>
      <c r="G618" s="29"/>
      <c r="H618" s="29"/>
    </row>
    <row r="619" ht="15.75" customHeight="1">
      <c r="B619" s="16"/>
      <c r="C619" s="16" t="str">
        <f>VLOOKUP(B619,Sheet3!$B$2:$E$312,2,FALSE)</f>
        <v>#N/A</v>
      </c>
      <c r="D619" s="16" t="str">
        <f>VLOOKUP(B619,Sheet3!$B$2:$E$312,3,)</f>
        <v>#N/A</v>
      </c>
      <c r="E619" s="29" t="str">
        <f>VLOOKUP(B619,Sheet3!$B$2:$E$312,4,)</f>
        <v>#N/A</v>
      </c>
      <c r="F619" s="29"/>
      <c r="G619" s="29"/>
      <c r="H619" s="29"/>
    </row>
    <row r="620" ht="15.75" customHeight="1">
      <c r="B620" s="16"/>
      <c r="C620" s="16" t="str">
        <f>VLOOKUP(B620,Sheet3!$B$2:$E$312,2,FALSE)</f>
        <v>#N/A</v>
      </c>
      <c r="D620" s="16" t="str">
        <f>VLOOKUP(B620,Sheet3!$B$2:$E$312,3,)</f>
        <v>#N/A</v>
      </c>
      <c r="E620" s="29" t="str">
        <f>VLOOKUP(B620,Sheet3!$B$2:$E$312,4,)</f>
        <v>#N/A</v>
      </c>
      <c r="F620" s="29"/>
      <c r="G620" s="29"/>
      <c r="H620" s="29"/>
    </row>
    <row r="621" ht="15.75" customHeight="1">
      <c r="B621" s="16"/>
      <c r="C621" s="16" t="str">
        <f>VLOOKUP(B621,Sheet3!$B$2:$E$312,2,FALSE)</f>
        <v>#N/A</v>
      </c>
      <c r="D621" s="16" t="str">
        <f>VLOOKUP(B621,Sheet3!$B$2:$E$312,3,)</f>
        <v>#N/A</v>
      </c>
      <c r="E621" s="29" t="str">
        <f>VLOOKUP(B621,Sheet3!$B$2:$E$312,4,)</f>
        <v>#N/A</v>
      </c>
      <c r="F621" s="29"/>
      <c r="G621" s="29"/>
      <c r="H621" s="29"/>
    </row>
    <row r="622" ht="15.75" customHeight="1">
      <c r="B622" s="16"/>
      <c r="C622" s="16" t="str">
        <f>VLOOKUP(B622,Sheet3!$B$2:$E$312,2,FALSE)</f>
        <v>#N/A</v>
      </c>
      <c r="D622" s="16" t="str">
        <f>VLOOKUP(B622,Sheet3!$B$2:$E$312,3,)</f>
        <v>#N/A</v>
      </c>
      <c r="E622" s="29" t="str">
        <f>VLOOKUP(B622,Sheet3!$B$2:$E$312,4,)</f>
        <v>#N/A</v>
      </c>
      <c r="F622" s="29"/>
      <c r="G622" s="29"/>
      <c r="H622" s="29"/>
    </row>
    <row r="623" ht="15.75" customHeight="1">
      <c r="B623" s="16"/>
      <c r="C623" s="16" t="str">
        <f>VLOOKUP(B623,Sheet3!$B$2:$E$312,2,FALSE)</f>
        <v>#N/A</v>
      </c>
      <c r="D623" s="16" t="str">
        <f>VLOOKUP(B623,Sheet3!$B$2:$E$312,3,)</f>
        <v>#N/A</v>
      </c>
      <c r="E623" s="29" t="str">
        <f>VLOOKUP(B623,Sheet3!$B$2:$E$312,4,)</f>
        <v>#N/A</v>
      </c>
      <c r="F623" s="29"/>
      <c r="G623" s="29"/>
      <c r="H623" s="29"/>
    </row>
    <row r="624" ht="15.75" customHeight="1">
      <c r="B624" s="16"/>
      <c r="C624" s="16" t="str">
        <f>VLOOKUP(B624,Sheet3!$B$2:$E$312,2,FALSE)</f>
        <v>#N/A</v>
      </c>
      <c r="D624" s="16" t="str">
        <f>VLOOKUP(B624,Sheet3!$B$2:$E$312,3,)</f>
        <v>#N/A</v>
      </c>
      <c r="E624" s="29" t="str">
        <f>VLOOKUP(B624,Sheet3!$B$2:$E$312,4,)</f>
        <v>#N/A</v>
      </c>
      <c r="F624" s="29"/>
      <c r="G624" s="29"/>
      <c r="H624" s="29"/>
    </row>
    <row r="625" ht="15.75" customHeight="1">
      <c r="B625" s="16"/>
      <c r="C625" s="16" t="str">
        <f>VLOOKUP(B625,Sheet3!$B$2:$E$312,2,FALSE)</f>
        <v>#N/A</v>
      </c>
      <c r="D625" s="16" t="str">
        <f>VLOOKUP(B625,Sheet3!$B$2:$E$312,3,)</f>
        <v>#N/A</v>
      </c>
      <c r="E625" s="29" t="str">
        <f>VLOOKUP(B625,Sheet3!$B$2:$E$312,4,)</f>
        <v>#N/A</v>
      </c>
      <c r="F625" s="29"/>
      <c r="G625" s="29"/>
      <c r="H625" s="29"/>
    </row>
    <row r="626" ht="15.75" customHeight="1">
      <c r="B626" s="16"/>
      <c r="C626" s="16" t="str">
        <f>VLOOKUP(B626,Sheet3!$B$2:$E$312,2,FALSE)</f>
        <v>#N/A</v>
      </c>
      <c r="D626" s="16" t="str">
        <f>VLOOKUP(B626,Sheet3!$B$2:$E$312,3,)</f>
        <v>#N/A</v>
      </c>
      <c r="E626" s="29" t="str">
        <f>VLOOKUP(B626,Sheet3!$B$2:$E$312,4,)</f>
        <v>#N/A</v>
      </c>
      <c r="F626" s="29"/>
      <c r="G626" s="29"/>
      <c r="H626" s="29"/>
    </row>
    <row r="627" ht="15.75" customHeight="1">
      <c r="B627" s="16"/>
      <c r="C627" s="16" t="str">
        <f>VLOOKUP(B627,Sheet3!$B$2:$E$312,2,FALSE)</f>
        <v>#N/A</v>
      </c>
      <c r="D627" s="16" t="str">
        <f>VLOOKUP(B627,Sheet3!$B$2:$E$312,3,)</f>
        <v>#N/A</v>
      </c>
      <c r="E627" s="29" t="str">
        <f>VLOOKUP(B627,Sheet3!$B$2:$E$312,4,)</f>
        <v>#N/A</v>
      </c>
      <c r="F627" s="29"/>
      <c r="G627" s="29"/>
      <c r="H627" s="29"/>
    </row>
    <row r="628" ht="15.75" customHeight="1">
      <c r="B628" s="16"/>
      <c r="C628" s="16" t="str">
        <f>VLOOKUP(B628,Sheet3!$B$2:$E$312,2,FALSE)</f>
        <v>#N/A</v>
      </c>
      <c r="D628" s="16" t="str">
        <f>VLOOKUP(B628,Sheet3!$B$2:$E$312,3,)</f>
        <v>#N/A</v>
      </c>
      <c r="E628" s="29" t="str">
        <f>VLOOKUP(B628,Sheet3!$B$2:$E$312,4,)</f>
        <v>#N/A</v>
      </c>
      <c r="F628" s="29"/>
      <c r="G628" s="29"/>
      <c r="H628" s="29"/>
    </row>
    <row r="629" ht="15.75" customHeight="1">
      <c r="B629" s="16"/>
      <c r="C629" s="16" t="str">
        <f>VLOOKUP(B629,Sheet3!$B$2:$E$312,2,FALSE)</f>
        <v>#N/A</v>
      </c>
      <c r="D629" s="16" t="str">
        <f>VLOOKUP(B629,Sheet3!$B$2:$E$312,3,)</f>
        <v>#N/A</v>
      </c>
      <c r="E629" s="29" t="str">
        <f>VLOOKUP(B629,Sheet3!$B$2:$E$312,4,)</f>
        <v>#N/A</v>
      </c>
      <c r="F629" s="29"/>
      <c r="G629" s="29"/>
      <c r="H629" s="29"/>
    </row>
    <row r="630" ht="15.75" customHeight="1">
      <c r="B630" s="16"/>
      <c r="C630" s="16" t="str">
        <f>VLOOKUP(B630,Sheet3!$B$2:$E$312,2,FALSE)</f>
        <v>#N/A</v>
      </c>
      <c r="D630" s="16" t="str">
        <f>VLOOKUP(B630,Sheet3!$B$2:$E$312,3,)</f>
        <v>#N/A</v>
      </c>
      <c r="E630" s="29" t="str">
        <f>VLOOKUP(B630,Sheet3!$B$2:$E$312,4,)</f>
        <v>#N/A</v>
      </c>
      <c r="F630" s="29"/>
      <c r="G630" s="29"/>
      <c r="H630" s="29"/>
    </row>
    <row r="631" ht="15.75" customHeight="1">
      <c r="B631" s="16"/>
      <c r="C631" s="16" t="str">
        <f>VLOOKUP(B631,Sheet3!$B$2:$E$312,2,FALSE)</f>
        <v>#N/A</v>
      </c>
      <c r="D631" s="16" t="str">
        <f>VLOOKUP(B631,Sheet3!$B$2:$E$312,3,)</f>
        <v>#N/A</v>
      </c>
      <c r="E631" s="29" t="str">
        <f>VLOOKUP(B631,Sheet3!$B$2:$E$312,4,)</f>
        <v>#N/A</v>
      </c>
      <c r="F631" s="29"/>
      <c r="G631" s="29"/>
      <c r="H631" s="29"/>
    </row>
    <row r="632" ht="15.75" customHeight="1">
      <c r="B632" s="16"/>
      <c r="C632" s="16" t="str">
        <f>VLOOKUP(B632,Sheet3!$B$2:$E$312,2,FALSE)</f>
        <v>#N/A</v>
      </c>
      <c r="D632" s="16" t="str">
        <f>VLOOKUP(B632,Sheet3!$B$2:$E$312,3,)</f>
        <v>#N/A</v>
      </c>
      <c r="E632" s="29" t="str">
        <f>VLOOKUP(B632,Sheet3!$B$2:$E$312,4,)</f>
        <v>#N/A</v>
      </c>
      <c r="F632" s="29"/>
      <c r="G632" s="29"/>
      <c r="H632" s="29"/>
    </row>
    <row r="633" ht="15.75" customHeight="1">
      <c r="B633" s="16"/>
      <c r="C633" s="16" t="str">
        <f>VLOOKUP(B633,Sheet3!$B$2:$E$312,2,FALSE)</f>
        <v>#N/A</v>
      </c>
      <c r="D633" s="16" t="str">
        <f>VLOOKUP(B633,Sheet3!$B$2:$E$312,3,)</f>
        <v>#N/A</v>
      </c>
      <c r="E633" s="29" t="str">
        <f>VLOOKUP(B633,Sheet3!$B$2:$E$312,4,)</f>
        <v>#N/A</v>
      </c>
      <c r="F633" s="29"/>
      <c r="G633" s="29"/>
      <c r="H633" s="29"/>
    </row>
    <row r="634" ht="15.75" customHeight="1">
      <c r="B634" s="16"/>
      <c r="C634" s="16" t="str">
        <f>VLOOKUP(B634,Sheet3!$B$2:$E$312,2,FALSE)</f>
        <v>#N/A</v>
      </c>
      <c r="D634" s="16" t="str">
        <f>VLOOKUP(B634,Sheet3!$B$2:$E$312,3,)</f>
        <v>#N/A</v>
      </c>
      <c r="E634" s="29" t="str">
        <f>VLOOKUP(B634,Sheet3!$B$2:$E$312,4,)</f>
        <v>#N/A</v>
      </c>
      <c r="F634" s="29"/>
      <c r="G634" s="29"/>
      <c r="H634" s="29"/>
    </row>
    <row r="635" ht="15.75" customHeight="1">
      <c r="B635" s="16"/>
      <c r="C635" s="16" t="str">
        <f>VLOOKUP(B635,Sheet3!$B$2:$E$312,2,FALSE)</f>
        <v>#N/A</v>
      </c>
      <c r="D635" s="16" t="str">
        <f>VLOOKUP(B635,Sheet3!$B$2:$E$312,3,)</f>
        <v>#N/A</v>
      </c>
      <c r="E635" s="29" t="str">
        <f>VLOOKUP(B635,Sheet3!$B$2:$E$312,4,)</f>
        <v>#N/A</v>
      </c>
      <c r="F635" s="29"/>
      <c r="G635" s="29"/>
      <c r="H635" s="29"/>
    </row>
    <row r="636" ht="15.75" customHeight="1">
      <c r="B636" s="16"/>
      <c r="C636" s="16" t="str">
        <f>VLOOKUP(B636,Sheet3!$B$2:$E$312,2,FALSE)</f>
        <v>#N/A</v>
      </c>
      <c r="D636" s="16" t="str">
        <f>VLOOKUP(B636,Sheet3!$B$2:$E$312,3,)</f>
        <v>#N/A</v>
      </c>
      <c r="E636" s="29" t="str">
        <f>VLOOKUP(B636,Sheet3!$B$2:$E$312,4,)</f>
        <v>#N/A</v>
      </c>
      <c r="F636" s="29"/>
      <c r="G636" s="29"/>
      <c r="H636" s="29"/>
    </row>
    <row r="637" ht="15.75" customHeight="1">
      <c r="B637" s="16"/>
      <c r="C637" s="16" t="str">
        <f>VLOOKUP(B637,Sheet3!$B$2:$E$312,2,FALSE)</f>
        <v>#N/A</v>
      </c>
      <c r="D637" s="16" t="str">
        <f>VLOOKUP(B637,Sheet3!$B$2:$E$312,3,)</f>
        <v>#N/A</v>
      </c>
      <c r="E637" s="29" t="str">
        <f>VLOOKUP(B637,Sheet3!$B$2:$E$312,4,)</f>
        <v>#N/A</v>
      </c>
      <c r="F637" s="29"/>
      <c r="G637" s="29"/>
      <c r="H637" s="29"/>
    </row>
    <row r="638" ht="15.75" customHeight="1">
      <c r="B638" s="16"/>
      <c r="C638" s="16" t="str">
        <f>VLOOKUP(B638,Sheet3!$B$2:$E$312,2,FALSE)</f>
        <v>#N/A</v>
      </c>
      <c r="D638" s="16" t="str">
        <f>VLOOKUP(B638,Sheet3!$B$2:$E$312,3,)</f>
        <v>#N/A</v>
      </c>
      <c r="E638" s="29" t="str">
        <f>VLOOKUP(B638,Sheet3!$B$2:$E$312,4,)</f>
        <v>#N/A</v>
      </c>
      <c r="F638" s="29"/>
      <c r="G638" s="29"/>
      <c r="H638" s="29"/>
    </row>
    <row r="639" ht="15.75" customHeight="1">
      <c r="B639" s="16"/>
      <c r="C639" s="16" t="str">
        <f>VLOOKUP(B639,Sheet3!$B$2:$E$312,2,FALSE)</f>
        <v>#N/A</v>
      </c>
      <c r="D639" s="16" t="str">
        <f>VLOOKUP(B639,Sheet3!$B$2:$E$312,3,)</f>
        <v>#N/A</v>
      </c>
      <c r="E639" s="29" t="str">
        <f>VLOOKUP(B639,Sheet3!$B$2:$E$312,4,)</f>
        <v>#N/A</v>
      </c>
      <c r="F639" s="29"/>
      <c r="G639" s="29"/>
      <c r="H639" s="29"/>
    </row>
    <row r="640" ht="15.75" customHeight="1">
      <c r="B640" s="16"/>
      <c r="C640" s="16" t="str">
        <f>VLOOKUP(B640,Sheet3!$B$2:$E$312,2,FALSE)</f>
        <v>#N/A</v>
      </c>
      <c r="D640" s="16" t="str">
        <f>VLOOKUP(B640,Sheet3!$B$2:$E$312,3,)</f>
        <v>#N/A</v>
      </c>
      <c r="E640" s="29" t="str">
        <f>VLOOKUP(B640,Sheet3!$B$2:$E$312,4,)</f>
        <v>#N/A</v>
      </c>
      <c r="F640" s="29"/>
      <c r="G640" s="29"/>
      <c r="H640" s="29"/>
    </row>
    <row r="641" ht="15.75" customHeight="1">
      <c r="B641" s="16"/>
      <c r="C641" s="16" t="str">
        <f>VLOOKUP(B641,Sheet3!$B$2:$E$312,2,FALSE)</f>
        <v>#N/A</v>
      </c>
      <c r="D641" s="16" t="str">
        <f>VLOOKUP(B641,Sheet3!$B$2:$E$312,3,)</f>
        <v>#N/A</v>
      </c>
      <c r="E641" s="29" t="str">
        <f>VLOOKUP(B641,Sheet3!$B$2:$E$312,4,)</f>
        <v>#N/A</v>
      </c>
      <c r="F641" s="29"/>
      <c r="G641" s="29"/>
      <c r="H641" s="29"/>
    </row>
    <row r="642" ht="15.75" customHeight="1">
      <c r="B642" s="16"/>
      <c r="C642" s="16" t="str">
        <f>VLOOKUP(B642,Sheet3!$B$2:$E$312,2,FALSE)</f>
        <v>#N/A</v>
      </c>
      <c r="D642" s="16" t="str">
        <f>VLOOKUP(B642,Sheet3!$B$2:$E$312,3,)</f>
        <v>#N/A</v>
      </c>
      <c r="E642" s="29" t="str">
        <f>VLOOKUP(B642,Sheet3!$B$2:$E$312,4,)</f>
        <v>#N/A</v>
      </c>
      <c r="F642" s="29"/>
      <c r="G642" s="29"/>
      <c r="H642" s="29"/>
    </row>
    <row r="643" ht="15.75" customHeight="1">
      <c r="B643" s="16"/>
      <c r="C643" s="16" t="str">
        <f>VLOOKUP(B643,Sheet3!$B$2:$E$312,2,FALSE)</f>
        <v>#N/A</v>
      </c>
      <c r="D643" s="16" t="str">
        <f>VLOOKUP(B643,Sheet3!$B$2:$E$312,3,)</f>
        <v>#N/A</v>
      </c>
      <c r="E643" s="29" t="str">
        <f>VLOOKUP(B643,Sheet3!$B$2:$E$312,4,)</f>
        <v>#N/A</v>
      </c>
      <c r="F643" s="29"/>
      <c r="G643" s="29"/>
      <c r="H643" s="29"/>
    </row>
    <row r="644" ht="15.75" customHeight="1">
      <c r="B644" s="16"/>
      <c r="C644" s="16" t="str">
        <f>VLOOKUP(B644,Sheet3!$B$2:$E$312,2,FALSE)</f>
        <v>#N/A</v>
      </c>
      <c r="D644" s="16" t="str">
        <f>VLOOKUP(B644,Sheet3!$B$2:$E$312,3,)</f>
        <v>#N/A</v>
      </c>
      <c r="E644" s="29" t="str">
        <f>VLOOKUP(B644,Sheet3!$B$2:$E$312,4,)</f>
        <v>#N/A</v>
      </c>
      <c r="F644" s="29"/>
      <c r="G644" s="29"/>
      <c r="H644" s="29"/>
    </row>
    <row r="645" ht="15.75" customHeight="1">
      <c r="B645" s="16"/>
      <c r="C645" s="16" t="str">
        <f>VLOOKUP(B645,Sheet3!$B$2:$E$312,2,FALSE)</f>
        <v>#N/A</v>
      </c>
      <c r="D645" s="16" t="str">
        <f>VLOOKUP(B645,Sheet3!$B$2:$E$312,3,)</f>
        <v>#N/A</v>
      </c>
      <c r="E645" s="29" t="str">
        <f>VLOOKUP(B645,Sheet3!$B$2:$E$312,4,)</f>
        <v>#N/A</v>
      </c>
      <c r="F645" s="29"/>
      <c r="G645" s="29"/>
      <c r="H645" s="29"/>
    </row>
    <row r="646" ht="15.75" customHeight="1">
      <c r="B646" s="16"/>
      <c r="C646" s="16" t="str">
        <f>VLOOKUP(B646,Sheet3!$B$2:$E$312,2,FALSE)</f>
        <v>#N/A</v>
      </c>
      <c r="D646" s="16" t="str">
        <f>VLOOKUP(B646,Sheet3!$B$2:$E$312,3,)</f>
        <v>#N/A</v>
      </c>
      <c r="E646" s="29" t="str">
        <f>VLOOKUP(B646,Sheet3!$B$2:$E$312,4,)</f>
        <v>#N/A</v>
      </c>
      <c r="F646" s="29"/>
      <c r="G646" s="29"/>
      <c r="H646" s="29"/>
    </row>
    <row r="647" ht="15.75" customHeight="1">
      <c r="B647" s="16"/>
      <c r="C647" s="16" t="str">
        <f>VLOOKUP(B647,Sheet3!$B$2:$E$312,2,FALSE)</f>
        <v>#N/A</v>
      </c>
      <c r="D647" s="16" t="str">
        <f>VLOOKUP(B647,Sheet3!$B$2:$E$312,3,)</f>
        <v>#N/A</v>
      </c>
      <c r="E647" s="29" t="str">
        <f>VLOOKUP(B647,Sheet3!$B$2:$E$312,4,)</f>
        <v>#N/A</v>
      </c>
      <c r="F647" s="29"/>
      <c r="G647" s="29"/>
      <c r="H647" s="29"/>
    </row>
    <row r="648" ht="15.75" customHeight="1">
      <c r="B648" s="16"/>
      <c r="C648" s="16" t="str">
        <f>VLOOKUP(B648,Sheet3!$B$2:$E$312,2,FALSE)</f>
        <v>#N/A</v>
      </c>
      <c r="D648" s="16" t="str">
        <f>VLOOKUP(B648,Sheet3!$B$2:$E$312,3,)</f>
        <v>#N/A</v>
      </c>
      <c r="E648" s="29" t="str">
        <f>VLOOKUP(B648,Sheet3!$B$2:$E$312,4,)</f>
        <v>#N/A</v>
      </c>
      <c r="F648" s="29"/>
      <c r="G648" s="29"/>
      <c r="H648" s="29"/>
    </row>
    <row r="649" ht="15.75" customHeight="1">
      <c r="B649" s="16"/>
      <c r="C649" s="16" t="str">
        <f>VLOOKUP(B649,Sheet3!$B$2:$E$312,2,FALSE)</f>
        <v>#N/A</v>
      </c>
      <c r="D649" s="16" t="str">
        <f>VLOOKUP(B649,Sheet3!$B$2:$E$312,3,)</f>
        <v>#N/A</v>
      </c>
      <c r="E649" s="29" t="str">
        <f>VLOOKUP(B649,Sheet3!$B$2:$E$312,4,)</f>
        <v>#N/A</v>
      </c>
      <c r="F649" s="29"/>
      <c r="G649" s="29"/>
      <c r="H649" s="29"/>
    </row>
    <row r="650" ht="15.75" customHeight="1">
      <c r="B650" s="16"/>
      <c r="C650" s="16" t="str">
        <f>VLOOKUP(B650,Sheet3!$B$2:$E$312,2,FALSE)</f>
        <v>#N/A</v>
      </c>
      <c r="D650" s="16" t="str">
        <f>VLOOKUP(B650,Sheet3!$B$2:$E$312,3,)</f>
        <v>#N/A</v>
      </c>
      <c r="E650" s="29" t="str">
        <f>VLOOKUP(B650,Sheet3!$B$2:$E$312,4,)</f>
        <v>#N/A</v>
      </c>
      <c r="F650" s="29"/>
      <c r="G650" s="29"/>
      <c r="H650" s="29"/>
    </row>
    <row r="651" ht="15.75" customHeight="1">
      <c r="B651" s="16"/>
      <c r="C651" s="16" t="str">
        <f>VLOOKUP(B651,Sheet3!$B$2:$E$312,2,FALSE)</f>
        <v>#N/A</v>
      </c>
      <c r="D651" s="16" t="str">
        <f>VLOOKUP(B651,Sheet3!$B$2:$E$312,3,)</f>
        <v>#N/A</v>
      </c>
      <c r="E651" s="29" t="str">
        <f>VLOOKUP(B651,Sheet3!$B$2:$E$312,4,)</f>
        <v>#N/A</v>
      </c>
      <c r="F651" s="29"/>
      <c r="G651" s="29"/>
      <c r="H651" s="29"/>
    </row>
    <row r="652" ht="15.75" customHeight="1">
      <c r="B652" s="16"/>
      <c r="C652" s="16" t="str">
        <f>VLOOKUP(B652,Sheet3!$B$2:$E$312,2,FALSE)</f>
        <v>#N/A</v>
      </c>
      <c r="D652" s="16" t="str">
        <f>VLOOKUP(B652,Sheet3!$B$2:$E$312,3,)</f>
        <v>#N/A</v>
      </c>
      <c r="E652" s="29" t="str">
        <f>VLOOKUP(B652,Sheet3!$B$2:$E$312,4,)</f>
        <v>#N/A</v>
      </c>
      <c r="F652" s="29"/>
      <c r="G652" s="29"/>
      <c r="H652" s="29"/>
    </row>
    <row r="653" ht="15.75" customHeight="1">
      <c r="B653" s="16"/>
      <c r="C653" s="16" t="str">
        <f>VLOOKUP(B653,Sheet3!$B$2:$E$312,2,FALSE)</f>
        <v>#N/A</v>
      </c>
      <c r="D653" s="16" t="str">
        <f>VLOOKUP(B653,Sheet3!$B$2:$E$312,3,)</f>
        <v>#N/A</v>
      </c>
      <c r="E653" s="29" t="str">
        <f>VLOOKUP(B653,Sheet3!$B$2:$E$312,4,)</f>
        <v>#N/A</v>
      </c>
      <c r="F653" s="29"/>
      <c r="G653" s="29"/>
      <c r="H653" s="29"/>
    </row>
    <row r="654" ht="15.75" customHeight="1">
      <c r="B654" s="16"/>
      <c r="C654" s="16" t="str">
        <f>VLOOKUP(B654,Sheet3!$B$2:$E$312,2,FALSE)</f>
        <v>#N/A</v>
      </c>
      <c r="D654" s="16" t="str">
        <f>VLOOKUP(B654,Sheet3!$B$2:$E$312,3,)</f>
        <v>#N/A</v>
      </c>
      <c r="E654" s="29" t="str">
        <f>VLOOKUP(B654,Sheet3!$B$2:$E$312,4,)</f>
        <v>#N/A</v>
      </c>
      <c r="F654" s="29"/>
      <c r="G654" s="29"/>
      <c r="H654" s="29"/>
    </row>
    <row r="655" ht="15.75" customHeight="1">
      <c r="B655" s="16"/>
      <c r="C655" s="16" t="str">
        <f>VLOOKUP(B655,Sheet3!$B$2:$E$312,2,FALSE)</f>
        <v>#N/A</v>
      </c>
      <c r="D655" s="16" t="str">
        <f>VLOOKUP(B655,Sheet3!$B$2:$E$312,3,)</f>
        <v>#N/A</v>
      </c>
      <c r="E655" s="29" t="str">
        <f>VLOOKUP(B655,Sheet3!$B$2:$E$312,4,)</f>
        <v>#N/A</v>
      </c>
      <c r="F655" s="29"/>
      <c r="G655" s="29"/>
      <c r="H655" s="29"/>
    </row>
    <row r="656" ht="15.75" customHeight="1">
      <c r="B656" s="16"/>
      <c r="C656" s="16" t="str">
        <f>VLOOKUP(B656,Sheet3!$B$2:$E$312,2,FALSE)</f>
        <v>#N/A</v>
      </c>
      <c r="D656" s="16" t="str">
        <f>VLOOKUP(B656,Sheet3!$B$2:$E$312,3,)</f>
        <v>#N/A</v>
      </c>
      <c r="E656" s="29" t="str">
        <f>VLOOKUP(B656,Sheet3!$B$2:$E$312,4,)</f>
        <v>#N/A</v>
      </c>
      <c r="F656" s="29"/>
      <c r="G656" s="29"/>
      <c r="H656" s="29"/>
    </row>
    <row r="657" ht="15.75" customHeight="1">
      <c r="B657" s="16"/>
      <c r="C657" s="16" t="str">
        <f>VLOOKUP(B657,Sheet3!$B$2:$E$312,2,FALSE)</f>
        <v>#N/A</v>
      </c>
      <c r="D657" s="16" t="str">
        <f>VLOOKUP(B657,Sheet3!$B$2:$E$312,3,)</f>
        <v>#N/A</v>
      </c>
      <c r="E657" s="29" t="str">
        <f>VLOOKUP(B657,Sheet3!$B$2:$E$312,4,)</f>
        <v>#N/A</v>
      </c>
      <c r="F657" s="29"/>
      <c r="G657" s="29"/>
      <c r="H657" s="29"/>
    </row>
    <row r="658" ht="15.75" customHeight="1">
      <c r="B658" s="16"/>
      <c r="C658" s="16" t="str">
        <f>VLOOKUP(B658,Sheet3!$B$2:$E$312,2,FALSE)</f>
        <v>#N/A</v>
      </c>
      <c r="D658" s="16" t="str">
        <f>VLOOKUP(B658,Sheet3!$B$2:$E$312,3,)</f>
        <v>#N/A</v>
      </c>
      <c r="E658" s="29" t="str">
        <f>VLOOKUP(B658,Sheet3!$B$2:$E$312,4,)</f>
        <v>#N/A</v>
      </c>
      <c r="F658" s="29"/>
      <c r="G658" s="29"/>
      <c r="H658" s="29"/>
    </row>
    <row r="659" ht="15.75" customHeight="1">
      <c r="B659" s="16"/>
      <c r="C659" s="16" t="str">
        <f>VLOOKUP(B659,Sheet3!$B$2:$E$312,2,FALSE)</f>
        <v>#N/A</v>
      </c>
      <c r="D659" s="16" t="str">
        <f>VLOOKUP(B659,Sheet3!$B$2:$E$312,3,)</f>
        <v>#N/A</v>
      </c>
      <c r="E659" s="29" t="str">
        <f>VLOOKUP(B659,Sheet3!$B$2:$E$312,4,)</f>
        <v>#N/A</v>
      </c>
      <c r="F659" s="29"/>
      <c r="G659" s="29"/>
      <c r="H659" s="29"/>
    </row>
    <row r="660" ht="15.75" customHeight="1">
      <c r="B660" s="16"/>
      <c r="C660" s="16" t="str">
        <f>VLOOKUP(B660,Sheet3!$B$2:$E$312,2,FALSE)</f>
        <v>#N/A</v>
      </c>
      <c r="D660" s="16" t="str">
        <f>VLOOKUP(B660,Sheet3!$B$2:$E$312,3,)</f>
        <v>#N/A</v>
      </c>
      <c r="E660" s="29" t="str">
        <f>VLOOKUP(B660,Sheet3!$B$2:$E$312,4,)</f>
        <v>#N/A</v>
      </c>
      <c r="F660" s="29"/>
      <c r="G660" s="29"/>
      <c r="H660" s="29"/>
    </row>
    <row r="661" ht="15.75" customHeight="1">
      <c r="B661" s="16"/>
      <c r="C661" s="16" t="str">
        <f>VLOOKUP(B661,Sheet3!$B$2:$E$312,2,FALSE)</f>
        <v>#N/A</v>
      </c>
      <c r="D661" s="16" t="str">
        <f>VLOOKUP(B661,Sheet3!$B$2:$E$312,3,)</f>
        <v>#N/A</v>
      </c>
      <c r="E661" s="29" t="str">
        <f>VLOOKUP(B661,Sheet3!$B$2:$E$312,4,)</f>
        <v>#N/A</v>
      </c>
      <c r="F661" s="29"/>
      <c r="G661" s="29"/>
      <c r="H661" s="29"/>
    </row>
    <row r="662" ht="15.75" customHeight="1">
      <c r="B662" s="16"/>
      <c r="C662" s="16" t="str">
        <f>VLOOKUP(B662,Sheet3!$B$2:$E$312,2,FALSE)</f>
        <v>#N/A</v>
      </c>
      <c r="D662" s="16" t="str">
        <f>VLOOKUP(B662,Sheet3!$B$2:$E$312,3,)</f>
        <v>#N/A</v>
      </c>
      <c r="E662" s="29" t="str">
        <f>VLOOKUP(B662,Sheet3!$B$2:$E$312,4,)</f>
        <v>#N/A</v>
      </c>
      <c r="F662" s="29"/>
      <c r="G662" s="29"/>
      <c r="H662" s="29"/>
    </row>
    <row r="663" ht="15.75" customHeight="1">
      <c r="B663" s="16"/>
      <c r="C663" s="16" t="str">
        <f>VLOOKUP(B663,Sheet3!$B$2:$E$312,2,FALSE)</f>
        <v>#N/A</v>
      </c>
      <c r="D663" s="16" t="str">
        <f>VLOOKUP(B663,Sheet3!$B$2:$E$312,3,)</f>
        <v>#N/A</v>
      </c>
      <c r="E663" s="29" t="str">
        <f>VLOOKUP(B663,Sheet3!$B$2:$E$312,4,)</f>
        <v>#N/A</v>
      </c>
      <c r="F663" s="29"/>
      <c r="G663" s="29"/>
      <c r="H663" s="29"/>
    </row>
    <row r="664" ht="15.75" customHeight="1">
      <c r="B664" s="16"/>
      <c r="C664" s="16" t="str">
        <f>VLOOKUP(B664,Sheet3!$B$2:$E$312,2,FALSE)</f>
        <v>#N/A</v>
      </c>
      <c r="D664" s="16" t="str">
        <f>VLOOKUP(B664,Sheet3!$B$2:$E$312,3,)</f>
        <v>#N/A</v>
      </c>
      <c r="E664" s="29" t="str">
        <f>VLOOKUP(B664,Sheet3!$B$2:$E$312,4,)</f>
        <v>#N/A</v>
      </c>
      <c r="F664" s="29"/>
      <c r="G664" s="29"/>
      <c r="H664" s="29"/>
    </row>
    <row r="665" ht="15.75" customHeight="1">
      <c r="B665" s="16"/>
      <c r="C665" s="16" t="str">
        <f>VLOOKUP(B665,Sheet3!$B$2:$E$312,2,FALSE)</f>
        <v>#N/A</v>
      </c>
      <c r="D665" s="16" t="str">
        <f>VLOOKUP(B665,Sheet3!$B$2:$E$312,3,)</f>
        <v>#N/A</v>
      </c>
      <c r="E665" s="29" t="str">
        <f>VLOOKUP(B665,Sheet3!$B$2:$E$312,4,)</f>
        <v>#N/A</v>
      </c>
      <c r="F665" s="29"/>
      <c r="G665" s="29"/>
      <c r="H665" s="29"/>
    </row>
    <row r="666" ht="15.75" customHeight="1">
      <c r="B666" s="16"/>
      <c r="C666" s="16" t="str">
        <f>VLOOKUP(B666,Sheet3!$B$2:$E$312,2,FALSE)</f>
        <v>#N/A</v>
      </c>
      <c r="D666" s="16" t="str">
        <f>VLOOKUP(B666,Sheet3!$B$2:$E$312,3,)</f>
        <v>#N/A</v>
      </c>
      <c r="E666" s="29" t="str">
        <f>VLOOKUP(B666,Sheet3!$B$2:$E$312,4,)</f>
        <v>#N/A</v>
      </c>
      <c r="F666" s="29"/>
      <c r="G666" s="29"/>
      <c r="H666" s="29"/>
    </row>
    <row r="667" ht="15.75" customHeight="1">
      <c r="B667" s="16"/>
      <c r="C667" s="16" t="str">
        <f>VLOOKUP(B667,Sheet3!$B$2:$E$312,2,FALSE)</f>
        <v>#N/A</v>
      </c>
      <c r="D667" s="16" t="str">
        <f>VLOOKUP(B667,Sheet3!$B$2:$E$312,3,)</f>
        <v>#N/A</v>
      </c>
      <c r="E667" s="29" t="str">
        <f>VLOOKUP(B667,Sheet3!$B$2:$E$312,4,)</f>
        <v>#N/A</v>
      </c>
      <c r="F667" s="29"/>
      <c r="G667" s="29"/>
      <c r="H667" s="29"/>
    </row>
    <row r="668" ht="15.75" customHeight="1">
      <c r="B668" s="16"/>
      <c r="C668" s="16" t="str">
        <f>VLOOKUP(B668,Sheet3!$B$2:$E$312,2,FALSE)</f>
        <v>#N/A</v>
      </c>
      <c r="D668" s="16" t="str">
        <f>VLOOKUP(B668,Sheet3!$B$2:$E$312,3,)</f>
        <v>#N/A</v>
      </c>
      <c r="E668" s="29" t="str">
        <f>VLOOKUP(B668,Sheet3!$B$2:$E$312,4,)</f>
        <v>#N/A</v>
      </c>
      <c r="F668" s="29"/>
      <c r="G668" s="29"/>
      <c r="H668" s="29"/>
    </row>
    <row r="669" ht="15.75" customHeight="1">
      <c r="B669" s="16"/>
      <c r="C669" s="16" t="str">
        <f>VLOOKUP(B669,Sheet3!$B$2:$E$312,2,FALSE)</f>
        <v>#N/A</v>
      </c>
      <c r="D669" s="16" t="str">
        <f>VLOOKUP(B669,Sheet3!$B$2:$E$312,3,)</f>
        <v>#N/A</v>
      </c>
      <c r="E669" s="29" t="str">
        <f>VLOOKUP(B669,Sheet3!$B$2:$E$312,4,)</f>
        <v>#N/A</v>
      </c>
      <c r="F669" s="29"/>
      <c r="G669" s="29"/>
      <c r="H669" s="29"/>
    </row>
    <row r="670" ht="15.75" customHeight="1">
      <c r="B670" s="16"/>
      <c r="C670" s="16" t="str">
        <f>VLOOKUP(B670,Sheet3!$B$2:$E$312,2,FALSE)</f>
        <v>#N/A</v>
      </c>
      <c r="D670" s="16" t="str">
        <f>VLOOKUP(B670,Sheet3!$B$2:$E$312,3,)</f>
        <v>#N/A</v>
      </c>
      <c r="E670" s="29" t="str">
        <f>VLOOKUP(B670,Sheet3!$B$2:$E$312,4,)</f>
        <v>#N/A</v>
      </c>
      <c r="F670" s="29"/>
      <c r="G670" s="29"/>
      <c r="H670" s="29"/>
    </row>
    <row r="671" ht="15.75" customHeight="1">
      <c r="B671" s="16"/>
      <c r="C671" s="16" t="str">
        <f>VLOOKUP(B671,Sheet3!$B$2:$E$312,2,FALSE)</f>
        <v>#N/A</v>
      </c>
      <c r="D671" s="16" t="str">
        <f>VLOOKUP(B671,Sheet3!$B$2:$E$312,3,)</f>
        <v>#N/A</v>
      </c>
      <c r="E671" s="29" t="str">
        <f>VLOOKUP(B671,Sheet3!$B$2:$E$312,4,)</f>
        <v>#N/A</v>
      </c>
      <c r="F671" s="29"/>
      <c r="G671" s="29"/>
      <c r="H671" s="29"/>
    </row>
    <row r="672" ht="15.75" customHeight="1">
      <c r="B672" s="16"/>
      <c r="C672" s="16" t="str">
        <f>VLOOKUP(B672,Sheet3!$B$2:$E$312,2,FALSE)</f>
        <v>#N/A</v>
      </c>
      <c r="D672" s="16" t="str">
        <f>VLOOKUP(B672,Sheet3!$B$2:$E$312,3,)</f>
        <v>#N/A</v>
      </c>
      <c r="E672" s="29" t="str">
        <f>VLOOKUP(B672,Sheet3!$B$2:$E$312,4,)</f>
        <v>#N/A</v>
      </c>
      <c r="F672" s="29"/>
      <c r="G672" s="29"/>
      <c r="H672" s="29"/>
    </row>
    <row r="673" ht="15.75" customHeight="1">
      <c r="B673" s="16"/>
      <c r="C673" s="16" t="str">
        <f>VLOOKUP(B673,Sheet3!$B$2:$E$312,2,FALSE)</f>
        <v>#N/A</v>
      </c>
      <c r="D673" s="16" t="str">
        <f>VLOOKUP(B673,Sheet3!$B$2:$E$312,3,)</f>
        <v>#N/A</v>
      </c>
      <c r="E673" s="29" t="str">
        <f>VLOOKUP(B673,Sheet3!$B$2:$E$312,4,)</f>
        <v>#N/A</v>
      </c>
      <c r="F673" s="29"/>
      <c r="G673" s="29"/>
      <c r="H673" s="29"/>
    </row>
    <row r="674" ht="15.75" customHeight="1">
      <c r="B674" s="16"/>
      <c r="C674" s="16" t="str">
        <f>VLOOKUP(B674,Sheet3!$B$2:$E$312,2,FALSE)</f>
        <v>#N/A</v>
      </c>
      <c r="D674" s="16" t="str">
        <f>VLOOKUP(B674,Sheet3!$B$2:$E$312,3,)</f>
        <v>#N/A</v>
      </c>
      <c r="E674" s="29" t="str">
        <f>VLOOKUP(B674,Sheet3!$B$2:$E$312,4,)</f>
        <v>#N/A</v>
      </c>
      <c r="F674" s="29"/>
      <c r="G674" s="29"/>
      <c r="H674" s="29"/>
    </row>
    <row r="675" ht="15.75" customHeight="1">
      <c r="B675" s="16"/>
      <c r="C675" s="16" t="str">
        <f>VLOOKUP(B675,Sheet3!$B$2:$E$312,2,FALSE)</f>
        <v>#N/A</v>
      </c>
      <c r="D675" s="16" t="str">
        <f>VLOOKUP(B675,Sheet3!$B$2:$E$312,3,)</f>
        <v>#N/A</v>
      </c>
      <c r="E675" s="29" t="str">
        <f>VLOOKUP(B675,Sheet3!$B$2:$E$312,4,)</f>
        <v>#N/A</v>
      </c>
      <c r="F675" s="29"/>
      <c r="G675" s="29"/>
      <c r="H675" s="29"/>
    </row>
    <row r="676" ht="15.75" customHeight="1">
      <c r="B676" s="16"/>
      <c r="C676" s="16" t="str">
        <f>VLOOKUP(B676,Sheet3!$B$2:$E$312,2,FALSE)</f>
        <v>#N/A</v>
      </c>
      <c r="D676" s="16" t="str">
        <f>VLOOKUP(B676,Sheet3!$B$2:$E$312,3,)</f>
        <v>#N/A</v>
      </c>
      <c r="E676" s="29" t="str">
        <f>VLOOKUP(B676,Sheet3!$B$2:$E$312,4,)</f>
        <v>#N/A</v>
      </c>
      <c r="F676" s="29"/>
      <c r="G676" s="29"/>
      <c r="H676" s="29"/>
    </row>
    <row r="677" ht="15.75" customHeight="1">
      <c r="B677" s="16"/>
      <c r="C677" s="16" t="str">
        <f>VLOOKUP(B677,Sheet3!$B$2:$E$312,2,FALSE)</f>
        <v>#N/A</v>
      </c>
      <c r="D677" s="16" t="str">
        <f>VLOOKUP(B677,Sheet3!$B$2:$E$312,3,)</f>
        <v>#N/A</v>
      </c>
      <c r="E677" s="29" t="str">
        <f>VLOOKUP(B677,Sheet3!$B$2:$E$312,4,)</f>
        <v>#N/A</v>
      </c>
      <c r="F677" s="29"/>
      <c r="G677" s="29"/>
      <c r="H677" s="29"/>
    </row>
    <row r="678" ht="15.75" customHeight="1">
      <c r="B678" s="16"/>
      <c r="C678" s="16" t="str">
        <f>VLOOKUP(B678,Sheet3!$B$2:$E$312,2,FALSE)</f>
        <v>#N/A</v>
      </c>
      <c r="D678" s="16" t="str">
        <f>VLOOKUP(B678,Sheet3!$B$2:$E$312,3,)</f>
        <v>#N/A</v>
      </c>
      <c r="E678" s="29" t="str">
        <f>VLOOKUP(B678,Sheet3!$B$2:$E$312,4,)</f>
        <v>#N/A</v>
      </c>
      <c r="F678" s="29"/>
      <c r="G678" s="29"/>
      <c r="H678" s="29"/>
    </row>
    <row r="679" ht="15.75" customHeight="1">
      <c r="B679" s="16"/>
      <c r="C679" s="16" t="str">
        <f>VLOOKUP(B679,Sheet3!$B$2:$E$312,2,FALSE)</f>
        <v>#N/A</v>
      </c>
      <c r="D679" s="16" t="str">
        <f>VLOOKUP(B679,Sheet3!$B$2:$E$312,3,)</f>
        <v>#N/A</v>
      </c>
      <c r="E679" s="29" t="str">
        <f>VLOOKUP(B679,Sheet3!$B$2:$E$312,4,)</f>
        <v>#N/A</v>
      </c>
      <c r="F679" s="29"/>
      <c r="G679" s="29"/>
      <c r="H679" s="29"/>
    </row>
    <row r="680" ht="15.75" customHeight="1">
      <c r="B680" s="16"/>
      <c r="C680" s="16" t="str">
        <f>VLOOKUP(B680,Sheet3!$B$2:$E$312,2,FALSE)</f>
        <v>#N/A</v>
      </c>
      <c r="D680" s="16" t="str">
        <f>VLOOKUP(B680,Sheet3!$B$2:$E$312,3,)</f>
        <v>#N/A</v>
      </c>
      <c r="E680" s="29" t="str">
        <f>VLOOKUP(B680,Sheet3!$B$2:$E$312,4,)</f>
        <v>#N/A</v>
      </c>
      <c r="F680" s="29"/>
      <c r="G680" s="29"/>
      <c r="H680" s="29"/>
    </row>
    <row r="681" ht="15.75" customHeight="1">
      <c r="B681" s="16"/>
      <c r="C681" s="16" t="str">
        <f>VLOOKUP(B681,Sheet3!$B$2:$E$312,2,FALSE)</f>
        <v>#N/A</v>
      </c>
      <c r="D681" s="16" t="str">
        <f>VLOOKUP(B681,Sheet3!$B$2:$E$312,3,)</f>
        <v>#N/A</v>
      </c>
      <c r="E681" s="29" t="str">
        <f>VLOOKUP(B681,Sheet3!$B$2:$E$312,4,)</f>
        <v>#N/A</v>
      </c>
      <c r="F681" s="29"/>
      <c r="G681" s="29"/>
      <c r="H681" s="29"/>
    </row>
    <row r="682" ht="15.75" customHeight="1">
      <c r="B682" s="16"/>
      <c r="C682" s="16" t="str">
        <f>VLOOKUP(B682,Sheet3!$B$2:$E$312,2,FALSE)</f>
        <v>#N/A</v>
      </c>
      <c r="D682" s="16" t="str">
        <f>VLOOKUP(B682,Sheet3!$B$2:$E$312,3,)</f>
        <v>#N/A</v>
      </c>
      <c r="E682" s="29" t="str">
        <f>VLOOKUP(B682,Sheet3!$B$2:$E$312,4,)</f>
        <v>#N/A</v>
      </c>
      <c r="F682" s="29"/>
      <c r="G682" s="29"/>
      <c r="H682" s="29"/>
    </row>
    <row r="683" ht="15.75" customHeight="1">
      <c r="B683" s="16"/>
      <c r="C683" s="16" t="str">
        <f>VLOOKUP(B683,Sheet3!$B$2:$E$312,2,FALSE)</f>
        <v>#N/A</v>
      </c>
      <c r="D683" s="16" t="str">
        <f>VLOOKUP(B683,Sheet3!$B$2:$E$312,3,)</f>
        <v>#N/A</v>
      </c>
      <c r="E683" s="29" t="str">
        <f>VLOOKUP(B683,Sheet3!$B$2:$E$312,4,)</f>
        <v>#N/A</v>
      </c>
      <c r="F683" s="29"/>
      <c r="G683" s="29"/>
      <c r="H683" s="29"/>
    </row>
    <row r="684" ht="15.75" customHeight="1">
      <c r="B684" s="16"/>
      <c r="C684" s="16" t="str">
        <f>VLOOKUP(B684,Sheet3!$B$2:$E$312,2,FALSE)</f>
        <v>#N/A</v>
      </c>
      <c r="D684" s="16" t="str">
        <f>VLOOKUP(B684,Sheet3!$B$2:$E$312,3,)</f>
        <v>#N/A</v>
      </c>
      <c r="E684" s="29" t="str">
        <f>VLOOKUP(B684,Sheet3!$B$2:$E$312,4,)</f>
        <v>#N/A</v>
      </c>
      <c r="F684" s="29"/>
      <c r="G684" s="29"/>
      <c r="H684" s="29"/>
    </row>
    <row r="685" ht="15.75" customHeight="1">
      <c r="B685" s="16"/>
      <c r="C685" s="16" t="str">
        <f>VLOOKUP(B685,Sheet3!$B$2:$E$312,2,FALSE)</f>
        <v>#N/A</v>
      </c>
      <c r="D685" s="16" t="str">
        <f>VLOOKUP(B685,Sheet3!$B$2:$E$312,3,)</f>
        <v>#N/A</v>
      </c>
      <c r="E685" s="29" t="str">
        <f>VLOOKUP(B685,Sheet3!$B$2:$E$312,4,)</f>
        <v>#N/A</v>
      </c>
      <c r="F685" s="29"/>
      <c r="G685" s="29"/>
      <c r="H685" s="29"/>
    </row>
    <row r="686" ht="15.75" customHeight="1">
      <c r="B686" s="16"/>
      <c r="C686" s="16" t="str">
        <f>VLOOKUP(B686,Sheet3!$B$2:$E$312,2,FALSE)</f>
        <v>#N/A</v>
      </c>
      <c r="D686" s="16" t="str">
        <f>VLOOKUP(B686,Sheet3!$B$2:$E$312,3,)</f>
        <v>#N/A</v>
      </c>
      <c r="E686" s="29" t="str">
        <f>VLOOKUP(B686,Sheet3!$B$2:$E$312,4,)</f>
        <v>#N/A</v>
      </c>
      <c r="F686" s="29"/>
      <c r="G686" s="29"/>
      <c r="H686" s="29"/>
    </row>
    <row r="687" ht="15.75" customHeight="1">
      <c r="B687" s="16"/>
      <c r="C687" s="16" t="str">
        <f>VLOOKUP(B687,Sheet3!$B$2:$E$312,2,FALSE)</f>
        <v>#N/A</v>
      </c>
      <c r="D687" s="16" t="str">
        <f>VLOOKUP(B687,Sheet3!$B$2:$E$312,3,)</f>
        <v>#N/A</v>
      </c>
      <c r="E687" s="29" t="str">
        <f>VLOOKUP(B687,Sheet3!$B$2:$E$312,4,)</f>
        <v>#N/A</v>
      </c>
      <c r="F687" s="29"/>
      <c r="G687" s="29"/>
      <c r="H687" s="29"/>
    </row>
    <row r="688" ht="15.75" customHeight="1">
      <c r="B688" s="16"/>
      <c r="C688" s="16" t="str">
        <f>VLOOKUP(B688,Sheet3!$B$2:$E$312,2,FALSE)</f>
        <v>#N/A</v>
      </c>
      <c r="D688" s="16" t="str">
        <f>VLOOKUP(B688,Sheet3!$B$2:$E$312,3,)</f>
        <v>#N/A</v>
      </c>
      <c r="E688" s="29" t="str">
        <f>VLOOKUP(B688,Sheet3!$B$2:$E$312,4,)</f>
        <v>#N/A</v>
      </c>
      <c r="F688" s="29"/>
      <c r="G688" s="29"/>
      <c r="H688" s="29"/>
    </row>
    <row r="689" ht="15.75" customHeight="1">
      <c r="B689" s="16"/>
      <c r="C689" s="16" t="str">
        <f>VLOOKUP(B689,Sheet3!$B$2:$E$312,2,FALSE)</f>
        <v>#N/A</v>
      </c>
      <c r="D689" s="16" t="str">
        <f>VLOOKUP(B689,Sheet3!$B$2:$E$312,3,)</f>
        <v>#N/A</v>
      </c>
      <c r="E689" s="29" t="str">
        <f>VLOOKUP(B689,Sheet3!$B$2:$E$312,4,)</f>
        <v>#N/A</v>
      </c>
      <c r="F689" s="29"/>
      <c r="G689" s="29"/>
      <c r="H689" s="29"/>
    </row>
    <row r="690" ht="15.75" customHeight="1">
      <c r="B690" s="16"/>
      <c r="C690" s="16" t="str">
        <f>VLOOKUP(B690,Sheet3!$B$2:$E$312,2,FALSE)</f>
        <v>#N/A</v>
      </c>
      <c r="D690" s="16" t="str">
        <f>VLOOKUP(B690,Sheet3!$B$2:$E$312,3,)</f>
        <v>#N/A</v>
      </c>
      <c r="E690" s="29" t="str">
        <f>VLOOKUP(B690,Sheet3!$B$2:$E$312,4,)</f>
        <v>#N/A</v>
      </c>
      <c r="F690" s="29"/>
      <c r="G690" s="29"/>
      <c r="H690" s="29"/>
    </row>
    <row r="691" ht="15.75" customHeight="1">
      <c r="B691" s="16"/>
      <c r="C691" s="16" t="str">
        <f>VLOOKUP(B691,Sheet3!$B$2:$E$312,2,FALSE)</f>
        <v>#N/A</v>
      </c>
      <c r="D691" s="16" t="str">
        <f>VLOOKUP(B691,Sheet3!$B$2:$E$312,3,)</f>
        <v>#N/A</v>
      </c>
      <c r="E691" s="29" t="str">
        <f>VLOOKUP(B691,Sheet3!$B$2:$E$312,4,)</f>
        <v>#N/A</v>
      </c>
      <c r="F691" s="29"/>
      <c r="G691" s="29"/>
      <c r="H691" s="29"/>
    </row>
    <row r="692" ht="15.75" customHeight="1">
      <c r="B692" s="16"/>
      <c r="C692" s="16" t="str">
        <f>VLOOKUP(B692,Sheet3!$B$2:$E$312,2,FALSE)</f>
        <v>#N/A</v>
      </c>
      <c r="D692" s="16" t="str">
        <f>VLOOKUP(B692,Sheet3!$B$2:$E$312,3,)</f>
        <v>#N/A</v>
      </c>
      <c r="E692" s="29" t="str">
        <f>VLOOKUP(B692,Sheet3!$B$2:$E$312,4,)</f>
        <v>#N/A</v>
      </c>
      <c r="F692" s="29"/>
      <c r="G692" s="29"/>
      <c r="H692" s="29"/>
    </row>
    <row r="693" ht="15.75" customHeight="1">
      <c r="B693" s="16"/>
      <c r="C693" s="16" t="str">
        <f>VLOOKUP(B693,Sheet3!$B$2:$E$312,2,FALSE)</f>
        <v>#N/A</v>
      </c>
      <c r="D693" s="16" t="str">
        <f>VLOOKUP(B693,Sheet3!$B$2:$E$312,3,)</f>
        <v>#N/A</v>
      </c>
      <c r="E693" s="29" t="str">
        <f>VLOOKUP(B693,Sheet3!$B$2:$E$312,4,)</f>
        <v>#N/A</v>
      </c>
      <c r="F693" s="29"/>
      <c r="G693" s="29"/>
      <c r="H693" s="29"/>
    </row>
    <row r="694" ht="15.75" customHeight="1">
      <c r="B694" s="16"/>
      <c r="C694" s="16" t="str">
        <f>VLOOKUP(B694,Sheet3!$B$2:$E$312,2,FALSE)</f>
        <v>#N/A</v>
      </c>
      <c r="D694" s="16" t="str">
        <f>VLOOKUP(B694,Sheet3!$B$2:$E$312,3,)</f>
        <v>#N/A</v>
      </c>
      <c r="E694" s="29" t="str">
        <f>VLOOKUP(B694,Sheet3!$B$2:$E$312,4,)</f>
        <v>#N/A</v>
      </c>
      <c r="F694" s="29"/>
      <c r="G694" s="29"/>
      <c r="H694" s="29"/>
    </row>
    <row r="695" ht="15.75" customHeight="1">
      <c r="B695" s="16"/>
      <c r="C695" s="16" t="str">
        <f>VLOOKUP(B695,Sheet3!$B$2:$E$312,2,FALSE)</f>
        <v>#N/A</v>
      </c>
      <c r="D695" s="16" t="str">
        <f>VLOOKUP(B695,Sheet3!$B$2:$E$312,3,)</f>
        <v>#N/A</v>
      </c>
      <c r="E695" s="29" t="str">
        <f>VLOOKUP(B695,Sheet3!$B$2:$E$312,4,)</f>
        <v>#N/A</v>
      </c>
      <c r="F695" s="29"/>
      <c r="G695" s="29"/>
      <c r="H695" s="29"/>
    </row>
    <row r="696" ht="15.75" customHeight="1">
      <c r="B696" s="16"/>
      <c r="C696" s="16" t="str">
        <f>VLOOKUP(B696,Sheet3!$B$2:$E$312,2,FALSE)</f>
        <v>#N/A</v>
      </c>
      <c r="D696" s="16" t="str">
        <f>VLOOKUP(B696,Sheet3!$B$2:$E$312,3,)</f>
        <v>#N/A</v>
      </c>
      <c r="E696" s="29" t="str">
        <f>VLOOKUP(B696,Sheet3!$B$2:$E$312,4,)</f>
        <v>#N/A</v>
      </c>
      <c r="F696" s="29"/>
      <c r="G696" s="29"/>
      <c r="H696" s="29"/>
    </row>
    <row r="697" ht="15.75" customHeight="1">
      <c r="B697" s="16"/>
      <c r="C697" s="16" t="str">
        <f>VLOOKUP(B697,Sheet3!$B$2:$E$312,2,FALSE)</f>
        <v>#N/A</v>
      </c>
      <c r="D697" s="16" t="str">
        <f>VLOOKUP(B697,Sheet3!$B$2:$E$312,3,)</f>
        <v>#N/A</v>
      </c>
      <c r="E697" s="29" t="str">
        <f>VLOOKUP(B697,Sheet3!$B$2:$E$312,4,)</f>
        <v>#N/A</v>
      </c>
      <c r="F697" s="29"/>
      <c r="G697" s="29"/>
      <c r="H697" s="29"/>
    </row>
    <row r="698" ht="15.75" customHeight="1">
      <c r="B698" s="16"/>
      <c r="C698" s="16" t="str">
        <f>VLOOKUP(B698,Sheet3!$B$2:$E$312,2,FALSE)</f>
        <v>#N/A</v>
      </c>
      <c r="D698" s="16" t="str">
        <f>VLOOKUP(B698,Sheet3!$B$2:$E$312,3,)</f>
        <v>#N/A</v>
      </c>
      <c r="E698" s="29" t="str">
        <f>VLOOKUP(B698,Sheet3!$B$2:$E$312,4,)</f>
        <v>#N/A</v>
      </c>
      <c r="F698" s="29"/>
      <c r="G698" s="29"/>
      <c r="H698" s="29"/>
    </row>
    <row r="699" ht="15.75" customHeight="1">
      <c r="B699" s="16"/>
      <c r="C699" s="16" t="str">
        <f>VLOOKUP(B699,Sheet3!$B$2:$E$312,2,FALSE)</f>
        <v>#N/A</v>
      </c>
      <c r="D699" s="16" t="str">
        <f>VLOOKUP(B699,Sheet3!$B$2:$E$312,3,)</f>
        <v>#N/A</v>
      </c>
      <c r="E699" s="29" t="str">
        <f>VLOOKUP(B699,Sheet3!$B$2:$E$312,4,)</f>
        <v>#N/A</v>
      </c>
      <c r="F699" s="29"/>
      <c r="G699" s="29"/>
      <c r="H699" s="29"/>
    </row>
    <row r="700" ht="15.75" customHeight="1">
      <c r="B700" s="16"/>
      <c r="C700" s="16" t="str">
        <f>VLOOKUP(B700,Sheet3!$B$2:$E$312,2,FALSE)</f>
        <v>#N/A</v>
      </c>
      <c r="D700" s="16" t="str">
        <f>VLOOKUP(B700,Sheet3!$B$2:$E$312,3,)</f>
        <v>#N/A</v>
      </c>
      <c r="E700" s="29" t="str">
        <f>VLOOKUP(B700,Sheet3!$B$2:$E$312,4,)</f>
        <v>#N/A</v>
      </c>
      <c r="F700" s="29"/>
      <c r="G700" s="29"/>
      <c r="H700" s="29"/>
    </row>
    <row r="701" ht="15.75" customHeight="1">
      <c r="B701" s="16"/>
      <c r="C701" s="16" t="str">
        <f>VLOOKUP(B701,Sheet3!$B$2:$E$312,2,FALSE)</f>
        <v>#N/A</v>
      </c>
      <c r="D701" s="16" t="str">
        <f>VLOOKUP(B701,Sheet3!$B$2:$E$312,3,)</f>
        <v>#N/A</v>
      </c>
      <c r="E701" s="29" t="str">
        <f>VLOOKUP(B701,Sheet3!$B$2:$E$312,4,)</f>
        <v>#N/A</v>
      </c>
      <c r="F701" s="29"/>
      <c r="G701" s="29"/>
      <c r="H701" s="29"/>
    </row>
    <row r="702" ht="15.75" customHeight="1">
      <c r="B702" s="16"/>
      <c r="C702" s="16" t="str">
        <f>VLOOKUP(B702,Sheet3!$B$2:$E$312,2,FALSE)</f>
        <v>#N/A</v>
      </c>
      <c r="D702" s="16" t="str">
        <f>VLOOKUP(B702,Sheet3!$B$2:$E$312,3,)</f>
        <v>#N/A</v>
      </c>
      <c r="E702" s="29" t="str">
        <f>VLOOKUP(B702,Sheet3!$B$2:$E$312,4,)</f>
        <v>#N/A</v>
      </c>
      <c r="F702" s="29"/>
      <c r="G702" s="29"/>
      <c r="H702" s="29"/>
    </row>
    <row r="703" ht="15.75" customHeight="1">
      <c r="B703" s="16"/>
      <c r="C703" s="16" t="str">
        <f>VLOOKUP(B703,Sheet3!$B$2:$E$312,2,FALSE)</f>
        <v>#N/A</v>
      </c>
      <c r="D703" s="16" t="str">
        <f>VLOOKUP(B703,Sheet3!$B$2:$E$312,3,)</f>
        <v>#N/A</v>
      </c>
      <c r="E703" s="29" t="str">
        <f>VLOOKUP(B703,Sheet3!$B$2:$E$312,4,)</f>
        <v>#N/A</v>
      </c>
      <c r="F703" s="29"/>
      <c r="G703" s="29"/>
      <c r="H703" s="29"/>
    </row>
    <row r="704" ht="15.75" customHeight="1">
      <c r="B704" s="16"/>
      <c r="C704" s="16" t="str">
        <f>VLOOKUP(B704,Sheet3!$B$2:$E$312,2,FALSE)</f>
        <v>#N/A</v>
      </c>
      <c r="D704" s="16" t="str">
        <f>VLOOKUP(B704,Sheet3!$B$2:$E$312,3,)</f>
        <v>#N/A</v>
      </c>
      <c r="E704" s="29" t="str">
        <f>VLOOKUP(B704,Sheet3!$B$2:$E$312,4,)</f>
        <v>#N/A</v>
      </c>
      <c r="F704" s="29"/>
      <c r="G704" s="29"/>
      <c r="H704" s="29"/>
    </row>
    <row r="705" ht="15.75" customHeight="1">
      <c r="B705" s="16"/>
      <c r="C705" s="16" t="str">
        <f>VLOOKUP(B705,Sheet3!$B$2:$E$312,2,FALSE)</f>
        <v>#N/A</v>
      </c>
      <c r="D705" s="16" t="str">
        <f>VLOOKUP(B705,Sheet3!$B$2:$E$312,3,)</f>
        <v>#N/A</v>
      </c>
      <c r="E705" s="29" t="str">
        <f>VLOOKUP(B705,Sheet3!$B$2:$E$312,4,)</f>
        <v>#N/A</v>
      </c>
      <c r="F705" s="29"/>
      <c r="G705" s="29"/>
      <c r="H705" s="29"/>
    </row>
    <row r="706" ht="15.75" customHeight="1">
      <c r="B706" s="16"/>
      <c r="C706" s="16" t="str">
        <f>VLOOKUP(B706,Sheet3!$B$2:$E$312,2,FALSE)</f>
        <v>#N/A</v>
      </c>
      <c r="D706" s="16" t="str">
        <f>VLOOKUP(B706,Sheet3!$B$2:$E$312,3,)</f>
        <v>#N/A</v>
      </c>
      <c r="E706" s="29" t="str">
        <f>VLOOKUP(B706,Sheet3!$B$2:$E$312,4,)</f>
        <v>#N/A</v>
      </c>
      <c r="F706" s="29"/>
      <c r="G706" s="29"/>
      <c r="H706" s="29"/>
    </row>
    <row r="707" ht="15.75" customHeight="1">
      <c r="B707" s="16"/>
      <c r="C707" s="16" t="str">
        <f>VLOOKUP(B707,Sheet3!$B$2:$E$312,2,FALSE)</f>
        <v>#N/A</v>
      </c>
      <c r="D707" s="16" t="str">
        <f>VLOOKUP(B707,Sheet3!$B$2:$E$312,3,)</f>
        <v>#N/A</v>
      </c>
      <c r="E707" s="29" t="str">
        <f>VLOOKUP(B707,Sheet3!$B$2:$E$312,4,)</f>
        <v>#N/A</v>
      </c>
      <c r="F707" s="29"/>
      <c r="G707" s="29"/>
      <c r="H707" s="29"/>
    </row>
    <row r="708" ht="15.75" customHeight="1">
      <c r="B708" s="16"/>
      <c r="C708" s="16" t="str">
        <f>VLOOKUP(B708,Sheet3!$B$2:$E$312,2,FALSE)</f>
        <v>#N/A</v>
      </c>
      <c r="D708" s="16" t="str">
        <f>VLOOKUP(B708,Sheet3!$B$2:$E$312,3,)</f>
        <v>#N/A</v>
      </c>
      <c r="E708" s="29" t="str">
        <f>VLOOKUP(B708,Sheet3!$B$2:$E$312,4,)</f>
        <v>#N/A</v>
      </c>
      <c r="F708" s="29"/>
      <c r="G708" s="29"/>
      <c r="H708" s="29"/>
    </row>
    <row r="709" ht="15.75" customHeight="1">
      <c r="B709" s="16"/>
      <c r="C709" s="16" t="str">
        <f>VLOOKUP(B709,Sheet3!$B$2:$E$312,2,FALSE)</f>
        <v>#N/A</v>
      </c>
      <c r="D709" s="16" t="str">
        <f>VLOOKUP(B709,Sheet3!$B$2:$E$312,3,)</f>
        <v>#N/A</v>
      </c>
      <c r="E709" s="29" t="str">
        <f>VLOOKUP(B709,Sheet3!$B$2:$E$312,4,)</f>
        <v>#N/A</v>
      </c>
      <c r="F709" s="29"/>
      <c r="G709" s="29"/>
      <c r="H709" s="29"/>
    </row>
    <row r="710" ht="15.75" customHeight="1">
      <c r="B710" s="16"/>
      <c r="C710" s="16" t="str">
        <f>VLOOKUP(B710,Sheet3!$B$2:$E$312,2,FALSE)</f>
        <v>#N/A</v>
      </c>
      <c r="D710" s="16" t="str">
        <f>VLOOKUP(B710,Sheet3!$B$2:$E$312,3,)</f>
        <v>#N/A</v>
      </c>
      <c r="E710" s="29" t="str">
        <f>VLOOKUP(B710,Sheet3!$B$2:$E$312,4,)</f>
        <v>#N/A</v>
      </c>
      <c r="F710" s="29"/>
      <c r="G710" s="29"/>
      <c r="H710" s="29"/>
    </row>
    <row r="711" ht="15.75" customHeight="1">
      <c r="B711" s="16"/>
      <c r="C711" s="16" t="str">
        <f>VLOOKUP(B711,Sheet3!$B$2:$E$312,2,FALSE)</f>
        <v>#N/A</v>
      </c>
      <c r="D711" s="16" t="str">
        <f>VLOOKUP(B711,Sheet3!$B$2:$E$312,3,)</f>
        <v>#N/A</v>
      </c>
      <c r="E711" s="29" t="str">
        <f>VLOOKUP(B711,Sheet3!$B$2:$E$312,4,)</f>
        <v>#N/A</v>
      </c>
      <c r="F711" s="29"/>
      <c r="G711" s="29"/>
      <c r="H711" s="29"/>
    </row>
    <row r="712" ht="15.75" customHeight="1">
      <c r="B712" s="16"/>
      <c r="C712" s="16" t="str">
        <f>VLOOKUP(B712,Sheet3!$B$2:$E$312,2,FALSE)</f>
        <v>#N/A</v>
      </c>
      <c r="D712" s="16" t="str">
        <f>VLOOKUP(B712,Sheet3!$B$2:$E$312,3,)</f>
        <v>#N/A</v>
      </c>
      <c r="E712" s="29" t="str">
        <f>VLOOKUP(B712,Sheet3!$B$2:$E$312,4,)</f>
        <v>#N/A</v>
      </c>
      <c r="F712" s="29"/>
      <c r="G712" s="29"/>
      <c r="H712" s="29"/>
    </row>
    <row r="713" ht="15.75" customHeight="1">
      <c r="B713" s="16"/>
      <c r="C713" s="16" t="str">
        <f>VLOOKUP(B713,Sheet3!$B$2:$E$312,2,FALSE)</f>
        <v>#N/A</v>
      </c>
      <c r="D713" s="16" t="str">
        <f>VLOOKUP(B713,Sheet3!$B$2:$E$312,3,)</f>
        <v>#N/A</v>
      </c>
      <c r="E713" s="29" t="str">
        <f>VLOOKUP(B713,Sheet3!$B$2:$E$312,4,)</f>
        <v>#N/A</v>
      </c>
      <c r="F713" s="29"/>
      <c r="G713" s="29"/>
      <c r="H713" s="29"/>
    </row>
    <row r="714" ht="15.75" customHeight="1">
      <c r="B714" s="16"/>
      <c r="C714" s="16" t="str">
        <f>VLOOKUP(B714,Sheet3!$B$2:$E$312,2,FALSE)</f>
        <v>#N/A</v>
      </c>
      <c r="D714" s="16" t="str">
        <f>VLOOKUP(B714,Sheet3!$B$2:$E$312,3,)</f>
        <v>#N/A</v>
      </c>
      <c r="E714" s="29" t="str">
        <f>VLOOKUP(B714,Sheet3!$B$2:$E$312,4,)</f>
        <v>#N/A</v>
      </c>
      <c r="F714" s="29"/>
      <c r="G714" s="29"/>
      <c r="H714" s="29"/>
    </row>
    <row r="715" ht="15.75" customHeight="1">
      <c r="B715" s="16"/>
      <c r="C715" s="16" t="str">
        <f>VLOOKUP(B715,Sheet3!$B$2:$E$312,2,FALSE)</f>
        <v>#N/A</v>
      </c>
      <c r="D715" s="16" t="str">
        <f>VLOOKUP(B715,Sheet3!$B$2:$E$312,3,)</f>
        <v>#N/A</v>
      </c>
      <c r="E715" s="29" t="str">
        <f>VLOOKUP(B715,Sheet3!$B$2:$E$312,4,)</f>
        <v>#N/A</v>
      </c>
      <c r="F715" s="29"/>
      <c r="G715" s="29"/>
      <c r="H715" s="29"/>
    </row>
    <row r="716" ht="15.75" customHeight="1">
      <c r="B716" s="16"/>
      <c r="C716" s="16" t="str">
        <f>VLOOKUP(B716,Sheet3!$B$2:$E$312,2,FALSE)</f>
        <v>#N/A</v>
      </c>
      <c r="D716" s="16" t="str">
        <f>VLOOKUP(B716,Sheet3!$B$2:$E$312,3,)</f>
        <v>#N/A</v>
      </c>
      <c r="E716" s="29" t="str">
        <f>VLOOKUP(B716,Sheet3!$B$2:$E$312,4,)</f>
        <v>#N/A</v>
      </c>
      <c r="F716" s="29"/>
      <c r="G716" s="29"/>
      <c r="H716" s="29"/>
    </row>
    <row r="717" ht="15.75" customHeight="1">
      <c r="B717" s="16"/>
      <c r="C717" s="16" t="str">
        <f>VLOOKUP(B717,Sheet3!$B$2:$E$312,2,FALSE)</f>
        <v>#N/A</v>
      </c>
      <c r="D717" s="16" t="str">
        <f>VLOOKUP(B717,Sheet3!$B$2:$E$312,3,)</f>
        <v>#N/A</v>
      </c>
      <c r="E717" s="29" t="str">
        <f>VLOOKUP(B717,Sheet3!$B$2:$E$312,4,)</f>
        <v>#N/A</v>
      </c>
      <c r="F717" s="29"/>
      <c r="G717" s="29"/>
      <c r="H717" s="29"/>
    </row>
    <row r="718" ht="15.75" customHeight="1">
      <c r="B718" s="16"/>
      <c r="C718" s="16" t="str">
        <f>VLOOKUP(B718,Sheet3!$B$2:$E$312,2,FALSE)</f>
        <v>#N/A</v>
      </c>
      <c r="D718" s="16" t="str">
        <f>VLOOKUP(B718,Sheet3!$B$2:$E$312,3,)</f>
        <v>#N/A</v>
      </c>
      <c r="E718" s="29" t="str">
        <f>VLOOKUP(B718,Sheet3!$B$2:$E$312,4,)</f>
        <v>#N/A</v>
      </c>
      <c r="F718" s="29"/>
      <c r="G718" s="29"/>
      <c r="H718" s="29"/>
    </row>
    <row r="719" ht="15.75" customHeight="1">
      <c r="B719" s="16"/>
      <c r="C719" s="16" t="str">
        <f>VLOOKUP(B719,Sheet3!$B$2:$E$312,2,FALSE)</f>
        <v>#N/A</v>
      </c>
      <c r="D719" s="16" t="str">
        <f>VLOOKUP(B719,Sheet3!$B$2:$E$312,3,)</f>
        <v>#N/A</v>
      </c>
      <c r="E719" s="29" t="str">
        <f>VLOOKUP(B719,Sheet3!$B$2:$E$312,4,)</f>
        <v>#N/A</v>
      </c>
      <c r="F719" s="29"/>
      <c r="G719" s="29"/>
      <c r="H719" s="29"/>
    </row>
    <row r="720" ht="15.75" customHeight="1">
      <c r="B720" s="16"/>
      <c r="C720" s="16" t="str">
        <f>VLOOKUP(B720,Sheet3!$B$2:$E$312,2,FALSE)</f>
        <v>#N/A</v>
      </c>
      <c r="D720" s="16" t="str">
        <f>VLOOKUP(B720,Sheet3!$B$2:$E$312,3,)</f>
        <v>#N/A</v>
      </c>
      <c r="E720" s="29" t="str">
        <f>VLOOKUP(B720,Sheet3!$B$2:$E$312,4,)</f>
        <v>#N/A</v>
      </c>
      <c r="F720" s="29"/>
      <c r="G720" s="29"/>
      <c r="H720" s="29"/>
    </row>
    <row r="721" ht="15.75" customHeight="1">
      <c r="B721" s="16"/>
      <c r="C721" s="16" t="str">
        <f>VLOOKUP(B721,Sheet3!$B$2:$E$312,2,FALSE)</f>
        <v>#N/A</v>
      </c>
      <c r="D721" s="16" t="str">
        <f>VLOOKUP(B721,Sheet3!$B$2:$E$312,3,)</f>
        <v>#N/A</v>
      </c>
      <c r="E721" s="29" t="str">
        <f>VLOOKUP(B721,Sheet3!$B$2:$E$312,4,)</f>
        <v>#N/A</v>
      </c>
      <c r="F721" s="29"/>
      <c r="G721" s="29"/>
      <c r="H721" s="29"/>
    </row>
    <row r="722" ht="15.75" customHeight="1">
      <c r="B722" s="16"/>
      <c r="C722" s="16" t="str">
        <f>VLOOKUP(B722,Sheet3!$B$2:$E$312,2,FALSE)</f>
        <v>#N/A</v>
      </c>
      <c r="D722" s="16" t="str">
        <f>VLOOKUP(B722,Sheet3!$B$2:$E$312,3,)</f>
        <v>#N/A</v>
      </c>
      <c r="E722" s="29" t="str">
        <f>VLOOKUP(B722,Sheet3!$B$2:$E$312,4,)</f>
        <v>#N/A</v>
      </c>
      <c r="F722" s="29"/>
      <c r="G722" s="29"/>
      <c r="H722" s="29"/>
    </row>
    <row r="723" ht="15.75" customHeight="1">
      <c r="B723" s="16"/>
      <c r="C723" s="16" t="str">
        <f>VLOOKUP(B723,Sheet3!$B$2:$E$312,2,FALSE)</f>
        <v>#N/A</v>
      </c>
      <c r="D723" s="16" t="str">
        <f>VLOOKUP(B723,Sheet3!$B$2:$E$312,3,)</f>
        <v>#N/A</v>
      </c>
      <c r="E723" s="29"/>
      <c r="F723" s="29"/>
      <c r="G723" s="29"/>
      <c r="H723" s="29"/>
    </row>
    <row r="724" ht="15.75" customHeight="1">
      <c r="B724" s="16"/>
      <c r="C724" s="16" t="str">
        <f>VLOOKUP(B724,Sheet3!$B$2:$E$312,2,FALSE)</f>
        <v>#N/A</v>
      </c>
      <c r="D724" s="16" t="str">
        <f>VLOOKUP(B724,Sheet3!$B$2:$E$312,3,)</f>
        <v>#N/A</v>
      </c>
      <c r="E724" s="29"/>
      <c r="F724" s="29"/>
      <c r="G724" s="29"/>
      <c r="H724" s="29"/>
    </row>
    <row r="725" ht="15.75" customHeight="1">
      <c r="B725" s="16"/>
      <c r="C725" s="16" t="str">
        <f>VLOOKUP(B725,Sheet3!$B$2:$E$312,2,FALSE)</f>
        <v>#N/A</v>
      </c>
      <c r="D725" s="16" t="str">
        <f>VLOOKUP(B725,Sheet3!$B$2:$E$312,3,)</f>
        <v>#N/A</v>
      </c>
      <c r="E725" s="29"/>
      <c r="F725" s="29"/>
      <c r="G725" s="29"/>
      <c r="H725" s="29"/>
    </row>
    <row r="726" ht="15.75" customHeight="1">
      <c r="B726" s="16"/>
      <c r="C726" s="16" t="str">
        <f>VLOOKUP(B726,Sheet3!$B$2:$E$312,2,FALSE)</f>
        <v>#N/A</v>
      </c>
      <c r="D726" s="16" t="str">
        <f>VLOOKUP(B726,Sheet3!$B$2:$E$312,3,)</f>
        <v>#N/A</v>
      </c>
      <c r="E726" s="29"/>
      <c r="F726" s="29"/>
      <c r="G726" s="29"/>
      <c r="H726" s="29"/>
    </row>
    <row r="727" ht="15.75" customHeight="1">
      <c r="B727" s="16"/>
      <c r="C727" s="16" t="str">
        <f>VLOOKUP(B727,Sheet3!$B$2:$E$312,2,FALSE)</f>
        <v>#N/A</v>
      </c>
      <c r="D727" s="16" t="str">
        <f>VLOOKUP(B727,Sheet3!$B$2:$E$312,3,)</f>
        <v>#N/A</v>
      </c>
      <c r="E727" s="29"/>
      <c r="F727" s="29"/>
      <c r="G727" s="29"/>
      <c r="H727" s="29"/>
    </row>
    <row r="728" ht="15.75" customHeight="1">
      <c r="B728" s="16"/>
      <c r="C728" s="16" t="str">
        <f>VLOOKUP(B728,Sheet3!$B$2:$E$312,2,FALSE)</f>
        <v>#N/A</v>
      </c>
      <c r="D728" s="16" t="str">
        <f>VLOOKUP(B728,Sheet3!$B$2:$E$312,3,)</f>
        <v>#N/A</v>
      </c>
      <c r="E728" s="29"/>
      <c r="F728" s="29"/>
      <c r="G728" s="29"/>
      <c r="H728" s="29"/>
    </row>
    <row r="729" ht="15.75" customHeight="1">
      <c r="B729" s="16"/>
      <c r="C729" s="16" t="str">
        <f>VLOOKUP(B729,Sheet3!$B$2:$E$312,2,FALSE)</f>
        <v>#N/A</v>
      </c>
      <c r="D729" s="16" t="str">
        <f>VLOOKUP(B729,Sheet3!$B$2:$E$312,3,)</f>
        <v>#N/A</v>
      </c>
      <c r="E729" s="29"/>
      <c r="F729" s="29"/>
      <c r="G729" s="29"/>
      <c r="H729" s="29"/>
    </row>
    <row r="730" ht="15.75" customHeight="1">
      <c r="B730" s="16"/>
      <c r="C730" s="16" t="str">
        <f>VLOOKUP(B730,Sheet3!$B$2:$E$312,2,FALSE)</f>
        <v>#N/A</v>
      </c>
      <c r="D730" s="16" t="str">
        <f>VLOOKUP(B730,Sheet3!$B$2:$E$312,3,)</f>
        <v>#N/A</v>
      </c>
      <c r="E730" s="29"/>
      <c r="F730" s="29"/>
      <c r="G730" s="29"/>
      <c r="H730" s="29"/>
    </row>
    <row r="731" ht="15.75" customHeight="1">
      <c r="B731" s="16"/>
      <c r="C731" s="16" t="str">
        <f>VLOOKUP(B731,Sheet3!$B$2:$E$312,2,FALSE)</f>
        <v>#N/A</v>
      </c>
      <c r="E731" s="29"/>
      <c r="F731" s="29"/>
      <c r="G731" s="29"/>
      <c r="H731" s="29"/>
    </row>
    <row r="732" ht="15.75" customHeight="1">
      <c r="B732" s="16"/>
      <c r="C732" s="16" t="str">
        <f>VLOOKUP(B732,Sheet3!$B$2:$E$312,2,FALSE)</f>
        <v>#N/A</v>
      </c>
      <c r="E732" s="29"/>
      <c r="F732" s="29"/>
      <c r="G732" s="29"/>
      <c r="H732" s="29"/>
    </row>
    <row r="733" ht="15.75" customHeight="1">
      <c r="B733" s="16"/>
      <c r="E733" s="29"/>
      <c r="F733" s="29"/>
      <c r="G733" s="29"/>
      <c r="H733" s="29"/>
    </row>
    <row r="734" ht="15.75" customHeight="1">
      <c r="B734" s="16"/>
      <c r="E734" s="29"/>
      <c r="F734" s="29"/>
      <c r="G734" s="29"/>
      <c r="H734" s="29"/>
    </row>
    <row r="735" ht="15.75" customHeight="1">
      <c r="B735" s="16"/>
      <c r="E735" s="29"/>
      <c r="F735" s="29"/>
      <c r="G735" s="29"/>
      <c r="H735" s="29"/>
    </row>
    <row r="736" ht="15.75" customHeight="1">
      <c r="B736" s="16"/>
      <c r="E736" s="29"/>
      <c r="F736" s="29"/>
      <c r="G736" s="29"/>
      <c r="H736" s="29"/>
    </row>
    <row r="737" ht="15.75" customHeight="1">
      <c r="B737" s="16"/>
      <c r="E737" s="29"/>
      <c r="F737" s="29"/>
      <c r="G737" s="29"/>
      <c r="H737" s="29"/>
    </row>
    <row r="738" ht="15.75" customHeight="1">
      <c r="B738" s="16"/>
      <c r="E738" s="29"/>
      <c r="F738" s="29"/>
      <c r="G738" s="29"/>
      <c r="H738" s="29"/>
    </row>
    <row r="739" ht="15.75" customHeight="1">
      <c r="E739" s="29"/>
      <c r="F739" s="29"/>
      <c r="G739" s="29"/>
      <c r="H739" s="29"/>
    </row>
    <row r="740" ht="15.75" customHeight="1">
      <c r="E740" s="29"/>
      <c r="F740" s="29"/>
      <c r="G740" s="29"/>
      <c r="H740" s="29"/>
    </row>
    <row r="741" ht="15.75" customHeight="1">
      <c r="E741" s="29"/>
      <c r="F741" s="29"/>
      <c r="G741" s="29"/>
      <c r="H741" s="29"/>
    </row>
    <row r="742" ht="15.75" customHeight="1">
      <c r="E742" s="29"/>
      <c r="F742" s="29"/>
      <c r="G742" s="29"/>
      <c r="H742" s="29"/>
    </row>
    <row r="743" ht="15.75" customHeight="1">
      <c r="E743" s="29"/>
      <c r="F743" s="29"/>
      <c r="G743" s="29"/>
      <c r="H743" s="29"/>
    </row>
    <row r="744" ht="15.75" customHeight="1">
      <c r="E744" s="29"/>
      <c r="F744" s="29"/>
      <c r="G744" s="29"/>
      <c r="H744" s="29"/>
    </row>
    <row r="745" ht="15.75" customHeight="1">
      <c r="E745" s="29"/>
      <c r="F745" s="29"/>
      <c r="G745" s="29"/>
      <c r="H745" s="29"/>
    </row>
    <row r="746" ht="15.75" customHeight="1">
      <c r="E746" s="29"/>
      <c r="F746" s="29"/>
      <c r="G746" s="29"/>
      <c r="H746" s="29"/>
    </row>
    <row r="747" ht="15.75" customHeight="1">
      <c r="E747" s="29"/>
      <c r="F747" s="29"/>
      <c r="G747" s="29"/>
      <c r="H747" s="29"/>
    </row>
    <row r="748" ht="15.75" customHeight="1">
      <c r="E748" s="29"/>
      <c r="F748" s="29"/>
      <c r="G748" s="29"/>
      <c r="H748" s="29"/>
    </row>
    <row r="749" ht="15.75" customHeight="1">
      <c r="E749" s="29"/>
      <c r="F749" s="29"/>
      <c r="G749" s="29"/>
      <c r="H749" s="29"/>
    </row>
    <row r="750" ht="15.75" customHeight="1">
      <c r="E750" s="29"/>
      <c r="F750" s="29"/>
      <c r="G750" s="29"/>
      <c r="H750" s="29"/>
    </row>
    <row r="751" ht="15.75" customHeight="1">
      <c r="E751" s="29"/>
      <c r="F751" s="29"/>
      <c r="G751" s="29"/>
      <c r="H751" s="29"/>
    </row>
    <row r="752" ht="15.75" customHeight="1">
      <c r="E752" s="29"/>
      <c r="F752" s="29"/>
      <c r="G752" s="29"/>
      <c r="H752" s="29"/>
    </row>
    <row r="753" ht="15.75" customHeight="1">
      <c r="E753" s="29"/>
      <c r="F753" s="29"/>
      <c r="G753" s="29"/>
      <c r="H753" s="29"/>
    </row>
    <row r="754" ht="15.75" customHeight="1">
      <c r="E754" s="29"/>
      <c r="F754" s="29"/>
      <c r="G754" s="29"/>
      <c r="H754" s="29"/>
    </row>
    <row r="755" ht="15.75" customHeight="1">
      <c r="E755" s="29"/>
      <c r="F755" s="29"/>
      <c r="G755" s="29"/>
      <c r="H755" s="29"/>
    </row>
    <row r="756" ht="15.75" customHeight="1">
      <c r="E756" s="29"/>
      <c r="F756" s="29"/>
      <c r="G756" s="29"/>
      <c r="H756" s="29"/>
    </row>
    <row r="757" ht="15.75" customHeight="1">
      <c r="E757" s="29"/>
      <c r="F757" s="29"/>
      <c r="G757" s="29"/>
      <c r="H757" s="29"/>
    </row>
    <row r="758" ht="15.75" customHeight="1">
      <c r="E758" s="29"/>
      <c r="F758" s="29"/>
      <c r="G758" s="29"/>
      <c r="H758" s="29"/>
    </row>
    <row r="759" ht="15.75" customHeight="1">
      <c r="E759" s="29"/>
      <c r="F759" s="29"/>
      <c r="G759" s="29"/>
      <c r="H759" s="29"/>
    </row>
    <row r="760" ht="15.75" customHeight="1">
      <c r="E760" s="29"/>
      <c r="F760" s="29"/>
      <c r="G760" s="29"/>
      <c r="H760" s="29"/>
    </row>
    <row r="761" ht="15.75" customHeight="1">
      <c r="E761" s="29"/>
      <c r="F761" s="29"/>
      <c r="G761" s="29"/>
      <c r="H761" s="29"/>
    </row>
    <row r="762" ht="15.75" customHeight="1">
      <c r="E762" s="29"/>
      <c r="F762" s="29"/>
      <c r="G762" s="29"/>
      <c r="H762" s="29"/>
    </row>
    <row r="763" ht="15.75" customHeight="1">
      <c r="E763" s="29"/>
      <c r="F763" s="29"/>
      <c r="G763" s="29"/>
      <c r="H763" s="29"/>
    </row>
    <row r="764" ht="15.75" customHeight="1">
      <c r="E764" s="29"/>
      <c r="F764" s="29"/>
      <c r="G764" s="29"/>
      <c r="H764" s="29"/>
    </row>
    <row r="765" ht="15.75" customHeight="1">
      <c r="E765" s="29"/>
      <c r="F765" s="29"/>
      <c r="G765" s="29"/>
      <c r="H765" s="29"/>
    </row>
    <row r="766" ht="15.75" customHeight="1">
      <c r="E766" s="29"/>
      <c r="F766" s="29"/>
      <c r="G766" s="29"/>
      <c r="H766" s="29"/>
    </row>
    <row r="767" ht="15.75" customHeight="1">
      <c r="E767" s="29"/>
      <c r="F767" s="29"/>
      <c r="G767" s="29"/>
      <c r="H767" s="29"/>
    </row>
    <row r="768" ht="15.75" customHeight="1">
      <c r="E768" s="29"/>
      <c r="F768" s="29"/>
      <c r="G768" s="29"/>
      <c r="H768" s="29"/>
    </row>
    <row r="769" ht="15.75" customHeight="1">
      <c r="E769" s="29"/>
      <c r="F769" s="29"/>
      <c r="G769" s="29"/>
      <c r="H769" s="29"/>
    </row>
    <row r="770" ht="15.75" customHeight="1">
      <c r="E770" s="29"/>
      <c r="F770" s="29"/>
      <c r="G770" s="29"/>
      <c r="H770" s="29"/>
    </row>
    <row r="771" ht="15.75" customHeight="1">
      <c r="E771" s="29"/>
      <c r="F771" s="29"/>
      <c r="G771" s="29"/>
      <c r="H771" s="29"/>
    </row>
    <row r="772" ht="15.75" customHeight="1">
      <c r="E772" s="29"/>
      <c r="F772" s="29"/>
      <c r="G772" s="29"/>
      <c r="H772" s="29"/>
    </row>
    <row r="773" ht="15.75" customHeight="1">
      <c r="E773" s="29"/>
      <c r="F773" s="29"/>
      <c r="G773" s="29"/>
      <c r="H773" s="29"/>
    </row>
    <row r="774" ht="15.75" customHeight="1">
      <c r="E774" s="29"/>
      <c r="F774" s="29"/>
      <c r="G774" s="29"/>
      <c r="H774" s="29"/>
    </row>
    <row r="775" ht="15.75" customHeight="1">
      <c r="E775" s="29"/>
      <c r="F775" s="29"/>
      <c r="G775" s="29"/>
      <c r="H775" s="29"/>
    </row>
    <row r="776" ht="15.75" customHeight="1">
      <c r="E776" s="29"/>
      <c r="F776" s="29"/>
      <c r="G776" s="29"/>
      <c r="H776" s="29"/>
    </row>
    <row r="777" ht="15.75" customHeight="1">
      <c r="E777" s="29"/>
      <c r="F777" s="29"/>
      <c r="G777" s="29"/>
      <c r="H777" s="29"/>
    </row>
    <row r="778" ht="15.75" customHeight="1">
      <c r="E778" s="29"/>
      <c r="F778" s="29"/>
      <c r="G778" s="29"/>
      <c r="H778" s="29"/>
    </row>
    <row r="779" ht="15.75" customHeight="1">
      <c r="E779" s="29"/>
      <c r="F779" s="29"/>
      <c r="G779" s="29"/>
      <c r="H779" s="29"/>
    </row>
    <row r="780" ht="15.75" customHeight="1">
      <c r="E780" s="29"/>
      <c r="F780" s="29"/>
      <c r="G780" s="29"/>
      <c r="H780" s="29"/>
    </row>
    <row r="781" ht="15.75" customHeight="1">
      <c r="E781" s="29"/>
      <c r="F781" s="29"/>
      <c r="G781" s="29"/>
      <c r="H781" s="29"/>
    </row>
    <row r="782" ht="15.75" customHeight="1">
      <c r="E782" s="29"/>
      <c r="F782" s="29"/>
      <c r="G782" s="29"/>
      <c r="H782" s="29"/>
    </row>
    <row r="783" ht="15.75" customHeight="1">
      <c r="E783" s="29"/>
      <c r="F783" s="29"/>
      <c r="G783" s="29"/>
      <c r="H783" s="29"/>
    </row>
    <row r="784" ht="15.75" customHeight="1">
      <c r="E784" s="29"/>
      <c r="F784" s="29"/>
      <c r="G784" s="29"/>
      <c r="H784" s="29"/>
    </row>
    <row r="785" ht="15.75" customHeight="1">
      <c r="E785" s="29"/>
      <c r="F785" s="29"/>
      <c r="G785" s="29"/>
      <c r="H785" s="29"/>
    </row>
    <row r="786" ht="15.75" customHeight="1">
      <c r="E786" s="29"/>
      <c r="F786" s="29"/>
      <c r="G786" s="29"/>
      <c r="H786" s="29"/>
    </row>
    <row r="787" ht="15.75" customHeight="1">
      <c r="E787" s="29"/>
      <c r="F787" s="29"/>
      <c r="G787" s="29"/>
      <c r="H787" s="29"/>
    </row>
    <row r="788" ht="15.75" customHeight="1">
      <c r="E788" s="29"/>
      <c r="F788" s="29"/>
      <c r="G788" s="29"/>
      <c r="H788" s="29"/>
    </row>
    <row r="789" ht="15.75" customHeight="1">
      <c r="E789" s="29"/>
      <c r="F789" s="29"/>
      <c r="G789" s="29"/>
      <c r="H789" s="29"/>
    </row>
    <row r="790" ht="15.75" customHeight="1">
      <c r="E790" s="29"/>
      <c r="F790" s="29"/>
      <c r="G790" s="29"/>
      <c r="H790" s="29"/>
    </row>
    <row r="791" ht="15.75" customHeight="1">
      <c r="E791" s="29"/>
      <c r="F791" s="29"/>
      <c r="G791" s="29"/>
      <c r="H791" s="29"/>
    </row>
    <row r="792" ht="15.75" customHeight="1">
      <c r="E792" s="29"/>
      <c r="F792" s="29"/>
      <c r="G792" s="29"/>
      <c r="H792" s="29"/>
    </row>
    <row r="793" ht="15.75" customHeight="1">
      <c r="E793" s="29"/>
      <c r="F793" s="29"/>
      <c r="G793" s="29"/>
      <c r="H793" s="29"/>
    </row>
    <row r="794" ht="15.75" customHeight="1">
      <c r="E794" s="29"/>
      <c r="F794" s="29"/>
      <c r="G794" s="29"/>
      <c r="H794" s="29"/>
    </row>
    <row r="795" ht="15.75" customHeight="1">
      <c r="E795" s="29"/>
      <c r="F795" s="29"/>
      <c r="G795" s="29"/>
      <c r="H795" s="29"/>
    </row>
    <row r="796" ht="15.75" customHeight="1">
      <c r="E796" s="29"/>
      <c r="F796" s="29"/>
      <c r="G796" s="29"/>
      <c r="H796" s="29"/>
    </row>
    <row r="797" ht="15.75" customHeight="1">
      <c r="E797" s="29"/>
      <c r="F797" s="29"/>
      <c r="G797" s="29"/>
      <c r="H797" s="29"/>
    </row>
    <row r="798" ht="15.75" customHeight="1">
      <c r="E798" s="29"/>
      <c r="F798" s="29"/>
      <c r="G798" s="29"/>
      <c r="H798" s="29"/>
    </row>
    <row r="799" ht="15.75" customHeight="1">
      <c r="E799" s="29"/>
      <c r="F799" s="29"/>
      <c r="G799" s="29"/>
      <c r="H799" s="29"/>
    </row>
    <row r="800" ht="15.75" customHeight="1">
      <c r="E800" s="29"/>
      <c r="F800" s="29"/>
      <c r="G800" s="29"/>
      <c r="H800" s="29"/>
    </row>
    <row r="801" ht="15.75" customHeight="1">
      <c r="E801" s="29"/>
      <c r="F801" s="29"/>
      <c r="G801" s="29"/>
      <c r="H801" s="29"/>
    </row>
    <row r="802" ht="15.75" customHeight="1">
      <c r="E802" s="29"/>
      <c r="F802" s="29"/>
      <c r="G802" s="29"/>
      <c r="H802" s="29"/>
    </row>
    <row r="803" ht="15.75" customHeight="1">
      <c r="E803" s="29"/>
      <c r="F803" s="29"/>
      <c r="G803" s="29"/>
      <c r="H803" s="29"/>
    </row>
    <row r="804" ht="15.75" customHeight="1">
      <c r="E804" s="29"/>
      <c r="F804" s="29"/>
      <c r="G804" s="29"/>
      <c r="H804" s="29"/>
    </row>
    <row r="805" ht="15.75" customHeight="1">
      <c r="E805" s="29"/>
      <c r="F805" s="29"/>
      <c r="G805" s="29"/>
      <c r="H805" s="29"/>
    </row>
    <row r="806" ht="15.75" customHeight="1">
      <c r="E806" s="29"/>
      <c r="F806" s="29"/>
      <c r="G806" s="29"/>
      <c r="H806" s="29"/>
    </row>
    <row r="807" ht="15.75" customHeight="1">
      <c r="E807" s="29"/>
      <c r="F807" s="29"/>
      <c r="G807" s="29"/>
      <c r="H807" s="29"/>
    </row>
    <row r="808" ht="15.75" customHeight="1">
      <c r="E808" s="29"/>
      <c r="F808" s="29"/>
      <c r="G808" s="29"/>
      <c r="H808" s="29"/>
    </row>
    <row r="809" ht="15.75" customHeight="1">
      <c r="E809" s="29"/>
      <c r="F809" s="29"/>
      <c r="G809" s="29"/>
      <c r="H809" s="29"/>
    </row>
    <row r="810" ht="15.75" customHeight="1">
      <c r="E810" s="29"/>
      <c r="F810" s="29"/>
      <c r="G810" s="29"/>
      <c r="H810" s="29"/>
    </row>
    <row r="811" ht="15.75" customHeight="1">
      <c r="E811" s="29"/>
      <c r="F811" s="29"/>
      <c r="G811" s="29"/>
      <c r="H811" s="29"/>
    </row>
    <row r="812" ht="15.75" customHeight="1">
      <c r="E812" s="29"/>
      <c r="F812" s="29"/>
      <c r="G812" s="29"/>
      <c r="H812" s="29"/>
    </row>
    <row r="813" ht="15.75" customHeight="1">
      <c r="E813" s="29"/>
      <c r="F813" s="29"/>
      <c r="G813" s="29"/>
      <c r="H813" s="29"/>
    </row>
    <row r="814" ht="15.75" customHeight="1">
      <c r="E814" s="29"/>
      <c r="F814" s="29"/>
      <c r="G814" s="29"/>
      <c r="H814" s="29"/>
    </row>
    <row r="815" ht="15.75" customHeight="1">
      <c r="E815" s="29"/>
      <c r="F815" s="29"/>
      <c r="G815" s="29"/>
      <c r="H815" s="29"/>
    </row>
    <row r="816" ht="15.75" customHeight="1">
      <c r="E816" s="29"/>
      <c r="F816" s="29"/>
      <c r="G816" s="29"/>
      <c r="H816" s="29"/>
    </row>
    <row r="817" ht="15.75" customHeight="1">
      <c r="E817" s="29"/>
      <c r="F817" s="29"/>
      <c r="G817" s="29"/>
      <c r="H817" s="29"/>
    </row>
    <row r="818" ht="15.75" customHeight="1">
      <c r="E818" s="29"/>
      <c r="F818" s="29"/>
      <c r="G818" s="29"/>
      <c r="H818" s="29"/>
    </row>
    <row r="819" ht="15.75" customHeight="1">
      <c r="E819" s="29"/>
      <c r="F819" s="29"/>
      <c r="G819" s="29"/>
      <c r="H819" s="29"/>
    </row>
    <row r="820" ht="15.75" customHeight="1">
      <c r="E820" s="29"/>
      <c r="F820" s="29"/>
      <c r="G820" s="29"/>
      <c r="H820" s="29"/>
    </row>
    <row r="821" ht="15.75" customHeight="1">
      <c r="E821" s="29"/>
      <c r="F821" s="29"/>
      <c r="G821" s="29"/>
      <c r="H821" s="29"/>
    </row>
    <row r="822" ht="15.75" customHeight="1">
      <c r="E822" s="29"/>
      <c r="F822" s="29"/>
      <c r="G822" s="29"/>
      <c r="H822" s="29"/>
    </row>
    <row r="823" ht="15.75" customHeight="1">
      <c r="E823" s="29"/>
      <c r="F823" s="29"/>
      <c r="G823" s="29"/>
      <c r="H823" s="29"/>
    </row>
    <row r="824" ht="15.75" customHeight="1">
      <c r="E824" s="29"/>
      <c r="F824" s="29"/>
      <c r="G824" s="29"/>
      <c r="H824" s="29"/>
    </row>
    <row r="825" ht="15.75" customHeight="1">
      <c r="E825" s="29"/>
      <c r="F825" s="29"/>
      <c r="G825" s="29"/>
      <c r="H825" s="29"/>
    </row>
    <row r="826" ht="15.75" customHeight="1">
      <c r="E826" s="29"/>
      <c r="F826" s="29"/>
      <c r="G826" s="29"/>
      <c r="H826" s="29"/>
    </row>
    <row r="827" ht="15.75" customHeight="1">
      <c r="E827" s="29"/>
      <c r="F827" s="29"/>
      <c r="G827" s="29"/>
      <c r="H827" s="29"/>
    </row>
    <row r="828" ht="15.75" customHeight="1">
      <c r="E828" s="29"/>
      <c r="F828" s="29"/>
      <c r="G828" s="29"/>
      <c r="H828" s="29"/>
    </row>
    <row r="829" ht="15.75" customHeight="1">
      <c r="E829" s="29"/>
      <c r="F829" s="29"/>
      <c r="G829" s="29"/>
      <c r="H829" s="29"/>
    </row>
    <row r="830" ht="15.75" customHeight="1">
      <c r="E830" s="29"/>
      <c r="F830" s="29"/>
      <c r="G830" s="29"/>
      <c r="H830" s="29"/>
    </row>
    <row r="831" ht="15.75" customHeight="1">
      <c r="E831" s="29"/>
      <c r="F831" s="29"/>
      <c r="G831" s="29"/>
      <c r="H831" s="29"/>
    </row>
    <row r="832" ht="15.75" customHeight="1">
      <c r="E832" s="29"/>
      <c r="F832" s="29"/>
      <c r="G832" s="29"/>
      <c r="H832" s="29"/>
    </row>
    <row r="833" ht="15.75" customHeight="1">
      <c r="E833" s="29"/>
      <c r="F833" s="29"/>
      <c r="G833" s="29"/>
      <c r="H833" s="29"/>
    </row>
    <row r="834" ht="15.75" customHeight="1">
      <c r="E834" s="29"/>
      <c r="F834" s="29"/>
      <c r="G834" s="29"/>
      <c r="H834" s="29"/>
    </row>
    <row r="835" ht="15.75" customHeight="1">
      <c r="E835" s="29"/>
      <c r="F835" s="29"/>
      <c r="G835" s="29"/>
      <c r="H835" s="29"/>
    </row>
    <row r="836" ht="15.75" customHeight="1">
      <c r="E836" s="29"/>
      <c r="F836" s="29"/>
      <c r="G836" s="29"/>
      <c r="H836" s="29"/>
    </row>
    <row r="837" ht="15.75" customHeight="1">
      <c r="E837" s="29"/>
      <c r="F837" s="29"/>
      <c r="G837" s="29"/>
      <c r="H837" s="29"/>
    </row>
    <row r="838" ht="15.75" customHeight="1">
      <c r="E838" s="29"/>
      <c r="F838" s="29"/>
      <c r="G838" s="29"/>
      <c r="H838" s="29"/>
    </row>
    <row r="839" ht="15.75" customHeight="1">
      <c r="E839" s="29"/>
      <c r="F839" s="29"/>
      <c r="G839" s="29"/>
      <c r="H839" s="29"/>
    </row>
    <row r="840" ht="15.75" customHeight="1">
      <c r="E840" s="29"/>
      <c r="F840" s="29"/>
      <c r="G840" s="29"/>
      <c r="H840" s="29"/>
    </row>
    <row r="841" ht="15.75" customHeight="1">
      <c r="E841" s="29"/>
      <c r="F841" s="29"/>
      <c r="G841" s="29"/>
      <c r="H841" s="29"/>
    </row>
    <row r="842" ht="15.75" customHeight="1">
      <c r="E842" s="29"/>
      <c r="F842" s="29"/>
      <c r="G842" s="29"/>
      <c r="H842" s="29"/>
    </row>
    <row r="843" ht="15.75" customHeight="1">
      <c r="E843" s="29"/>
      <c r="F843" s="29"/>
      <c r="G843" s="29"/>
      <c r="H843" s="29"/>
    </row>
    <row r="844" ht="15.75" customHeight="1">
      <c r="E844" s="29"/>
      <c r="F844" s="29"/>
      <c r="G844" s="29"/>
      <c r="H844" s="29"/>
    </row>
    <row r="845" ht="15.75" customHeight="1">
      <c r="E845" s="29"/>
      <c r="F845" s="29"/>
      <c r="G845" s="29"/>
      <c r="H845" s="29"/>
    </row>
    <row r="846" ht="15.75" customHeight="1">
      <c r="E846" s="29"/>
      <c r="F846" s="29"/>
      <c r="G846" s="29"/>
      <c r="H846" s="29"/>
    </row>
    <row r="847" ht="15.75" customHeight="1">
      <c r="E847" s="29"/>
      <c r="F847" s="29"/>
      <c r="G847" s="29"/>
      <c r="H847" s="29"/>
    </row>
    <row r="848" ht="15.75" customHeight="1">
      <c r="E848" s="29"/>
      <c r="F848" s="29"/>
      <c r="G848" s="29"/>
      <c r="H848" s="29"/>
    </row>
    <row r="849" ht="15.75" customHeight="1">
      <c r="E849" s="29"/>
      <c r="F849" s="29"/>
      <c r="G849" s="29"/>
      <c r="H849" s="29"/>
    </row>
    <row r="850" ht="15.75" customHeight="1">
      <c r="E850" s="29"/>
      <c r="F850" s="29"/>
      <c r="G850" s="29"/>
      <c r="H850" s="29"/>
    </row>
    <row r="851" ht="15.75" customHeight="1">
      <c r="E851" s="29"/>
      <c r="F851" s="29"/>
      <c r="G851" s="29"/>
      <c r="H851" s="29"/>
    </row>
    <row r="852" ht="15.75" customHeight="1">
      <c r="E852" s="29"/>
      <c r="F852" s="29"/>
      <c r="G852" s="29"/>
      <c r="H852" s="29"/>
    </row>
    <row r="853" ht="15.75" customHeight="1">
      <c r="E853" s="29"/>
      <c r="F853" s="29"/>
      <c r="G853" s="29"/>
      <c r="H853" s="29"/>
    </row>
    <row r="854" ht="15.75" customHeight="1">
      <c r="E854" s="29"/>
      <c r="F854" s="29"/>
      <c r="G854" s="29"/>
      <c r="H854" s="29"/>
    </row>
    <row r="855" ht="15.75" customHeight="1">
      <c r="E855" s="29"/>
      <c r="F855" s="29"/>
      <c r="G855" s="29"/>
      <c r="H855" s="29"/>
    </row>
    <row r="856" ht="15.75" customHeight="1">
      <c r="E856" s="29"/>
      <c r="F856" s="29"/>
      <c r="G856" s="29"/>
      <c r="H856" s="29"/>
    </row>
    <row r="857" ht="15.75" customHeight="1">
      <c r="E857" s="29"/>
      <c r="F857" s="29"/>
      <c r="G857" s="29"/>
      <c r="H857" s="29"/>
    </row>
    <row r="858" ht="15.75" customHeight="1">
      <c r="E858" s="29"/>
      <c r="F858" s="29"/>
      <c r="G858" s="29"/>
      <c r="H858" s="29"/>
    </row>
    <row r="859" ht="15.75" customHeight="1">
      <c r="E859" s="29"/>
      <c r="F859" s="29"/>
      <c r="G859" s="29"/>
      <c r="H859" s="29"/>
    </row>
    <row r="860" ht="15.75" customHeight="1">
      <c r="E860" s="29"/>
      <c r="F860" s="29"/>
      <c r="G860" s="29"/>
      <c r="H860" s="29"/>
    </row>
    <row r="861" ht="15.75" customHeight="1">
      <c r="E861" s="29"/>
      <c r="F861" s="29"/>
      <c r="G861" s="29"/>
      <c r="H861" s="29"/>
    </row>
    <row r="862" ht="15.75" customHeight="1">
      <c r="E862" s="29"/>
      <c r="F862" s="29"/>
      <c r="G862" s="29"/>
      <c r="H862" s="29"/>
    </row>
    <row r="863" ht="15.75" customHeight="1">
      <c r="E863" s="29"/>
      <c r="F863" s="29"/>
      <c r="G863" s="29"/>
      <c r="H863" s="29"/>
    </row>
    <row r="864" ht="15.75" customHeight="1">
      <c r="E864" s="29"/>
      <c r="F864" s="29"/>
      <c r="G864" s="29"/>
      <c r="H864" s="29"/>
    </row>
    <row r="865" ht="15.75" customHeight="1">
      <c r="E865" s="29"/>
      <c r="F865" s="29"/>
      <c r="G865" s="29"/>
      <c r="H865" s="29"/>
    </row>
    <row r="866" ht="15.75" customHeight="1">
      <c r="E866" s="29"/>
      <c r="F866" s="29"/>
      <c r="G866" s="29"/>
      <c r="H866" s="29"/>
    </row>
    <row r="867" ht="15.75" customHeight="1">
      <c r="E867" s="29"/>
      <c r="F867" s="29"/>
      <c r="G867" s="29"/>
      <c r="H867" s="29"/>
    </row>
    <row r="868" ht="15.75" customHeight="1">
      <c r="E868" s="29"/>
      <c r="F868" s="29"/>
      <c r="G868" s="29"/>
      <c r="H868" s="29"/>
    </row>
    <row r="869" ht="15.75" customHeight="1">
      <c r="E869" s="29"/>
      <c r="F869" s="29"/>
      <c r="G869" s="29"/>
      <c r="H869" s="29"/>
    </row>
    <row r="870" ht="15.75" customHeight="1">
      <c r="E870" s="29"/>
      <c r="F870" s="29"/>
      <c r="G870" s="29"/>
      <c r="H870" s="29"/>
    </row>
    <row r="871" ht="15.75" customHeight="1">
      <c r="E871" s="29"/>
      <c r="F871" s="29"/>
      <c r="G871" s="29"/>
      <c r="H871" s="29"/>
    </row>
    <row r="872" ht="15.75" customHeight="1">
      <c r="E872" s="29"/>
      <c r="F872" s="29"/>
      <c r="G872" s="29"/>
      <c r="H872" s="29"/>
    </row>
    <row r="873" ht="15.75" customHeight="1">
      <c r="E873" s="29"/>
      <c r="F873" s="29"/>
      <c r="G873" s="29"/>
      <c r="H873" s="29"/>
    </row>
    <row r="874" ht="15.75" customHeight="1">
      <c r="E874" s="29"/>
      <c r="F874" s="29"/>
      <c r="G874" s="29"/>
      <c r="H874" s="29"/>
    </row>
    <row r="875" ht="15.75" customHeight="1">
      <c r="E875" s="29"/>
      <c r="F875" s="29"/>
      <c r="G875" s="29"/>
      <c r="H875" s="29"/>
    </row>
    <row r="876" ht="15.75" customHeight="1">
      <c r="E876" s="29"/>
      <c r="F876" s="29"/>
      <c r="G876" s="29"/>
      <c r="H876" s="29"/>
    </row>
    <row r="877" ht="15.75" customHeight="1">
      <c r="E877" s="29"/>
      <c r="F877" s="29"/>
      <c r="G877" s="29"/>
      <c r="H877" s="29"/>
    </row>
    <row r="878" ht="15.75" customHeight="1">
      <c r="E878" s="29"/>
      <c r="F878" s="29"/>
      <c r="G878" s="29"/>
      <c r="H878" s="29"/>
    </row>
    <row r="879" ht="15.75" customHeight="1">
      <c r="E879" s="29"/>
      <c r="F879" s="29"/>
      <c r="G879" s="29"/>
      <c r="H879" s="29"/>
    </row>
    <row r="880" ht="15.75" customHeight="1">
      <c r="E880" s="29"/>
      <c r="F880" s="29"/>
      <c r="G880" s="29"/>
      <c r="H880" s="29"/>
    </row>
    <row r="881" ht="15.75" customHeight="1">
      <c r="E881" s="29"/>
      <c r="F881" s="29"/>
      <c r="G881" s="29"/>
      <c r="H881" s="29"/>
    </row>
    <row r="882" ht="15.75" customHeight="1">
      <c r="E882" s="29"/>
      <c r="F882" s="29"/>
      <c r="G882" s="29"/>
      <c r="H882" s="29"/>
    </row>
    <row r="883" ht="15.75" customHeight="1">
      <c r="E883" s="29"/>
      <c r="F883" s="29"/>
      <c r="G883" s="29"/>
      <c r="H883" s="29"/>
    </row>
    <row r="884" ht="15.75" customHeight="1">
      <c r="E884" s="29"/>
      <c r="F884" s="29"/>
      <c r="G884" s="29"/>
      <c r="H884" s="29"/>
    </row>
    <row r="885" ht="15.75" customHeight="1">
      <c r="E885" s="29"/>
      <c r="F885" s="29"/>
      <c r="G885" s="29"/>
      <c r="H885" s="29"/>
    </row>
    <row r="886" ht="15.75" customHeight="1">
      <c r="E886" s="29"/>
      <c r="F886" s="29"/>
      <c r="G886" s="29"/>
      <c r="H886" s="29"/>
    </row>
    <row r="887" ht="15.75" customHeight="1">
      <c r="E887" s="29"/>
      <c r="F887" s="29"/>
      <c r="G887" s="29"/>
      <c r="H887" s="29"/>
    </row>
    <row r="888" ht="15.75" customHeight="1">
      <c r="E888" s="29"/>
      <c r="F888" s="29"/>
      <c r="G888" s="29"/>
      <c r="H888" s="29"/>
    </row>
    <row r="889" ht="15.75" customHeight="1">
      <c r="E889" s="29"/>
      <c r="F889" s="29"/>
      <c r="G889" s="29"/>
      <c r="H889" s="29"/>
    </row>
    <row r="890" ht="15.75" customHeight="1">
      <c r="E890" s="29"/>
      <c r="F890" s="29"/>
      <c r="G890" s="29"/>
      <c r="H890" s="29"/>
    </row>
    <row r="891" ht="15.75" customHeight="1">
      <c r="E891" s="29"/>
      <c r="F891" s="29"/>
      <c r="G891" s="29"/>
      <c r="H891" s="29"/>
    </row>
    <row r="892" ht="15.75" customHeight="1">
      <c r="E892" s="29"/>
      <c r="F892" s="29"/>
      <c r="G892" s="29"/>
      <c r="H892" s="29"/>
    </row>
    <row r="893" ht="15.75" customHeight="1">
      <c r="E893" s="29"/>
      <c r="F893" s="29"/>
      <c r="G893" s="29"/>
      <c r="H893" s="29"/>
    </row>
    <row r="894" ht="15.75" customHeight="1">
      <c r="E894" s="29"/>
      <c r="F894" s="29"/>
      <c r="G894" s="29"/>
      <c r="H894" s="29"/>
    </row>
    <row r="895" ht="15.75" customHeight="1">
      <c r="E895" s="29"/>
      <c r="F895" s="29"/>
      <c r="G895" s="29"/>
      <c r="H895" s="29"/>
    </row>
    <row r="896" ht="15.75" customHeight="1">
      <c r="E896" s="29"/>
      <c r="F896" s="29"/>
      <c r="G896" s="29"/>
      <c r="H896" s="29"/>
    </row>
    <row r="897" ht="15.75" customHeight="1">
      <c r="E897" s="29"/>
      <c r="F897" s="29"/>
      <c r="G897" s="29"/>
      <c r="H897" s="29"/>
    </row>
    <row r="898" ht="15.75" customHeight="1">
      <c r="E898" s="29"/>
      <c r="F898" s="29"/>
      <c r="G898" s="29"/>
      <c r="H898" s="29"/>
    </row>
    <row r="899" ht="15.75" customHeight="1">
      <c r="E899" s="29"/>
      <c r="F899" s="29"/>
      <c r="G899" s="29"/>
      <c r="H899" s="29"/>
    </row>
    <row r="900" ht="15.75" customHeight="1">
      <c r="E900" s="29"/>
      <c r="F900" s="29"/>
      <c r="G900" s="29"/>
      <c r="H900" s="29"/>
    </row>
    <row r="901" ht="15.75" customHeight="1">
      <c r="E901" s="29"/>
      <c r="F901" s="29"/>
      <c r="G901" s="29"/>
      <c r="H901" s="29"/>
    </row>
    <row r="902" ht="15.75" customHeight="1">
      <c r="E902" s="29"/>
      <c r="F902" s="29"/>
      <c r="G902" s="29"/>
      <c r="H902" s="29"/>
    </row>
    <row r="903" ht="15.75" customHeight="1">
      <c r="E903" s="29"/>
      <c r="F903" s="29"/>
      <c r="G903" s="29"/>
      <c r="H903" s="29"/>
    </row>
    <row r="904" ht="15.75" customHeight="1">
      <c r="E904" s="29"/>
      <c r="F904" s="29"/>
      <c r="G904" s="29"/>
      <c r="H904" s="29"/>
    </row>
    <row r="905" ht="15.75" customHeight="1">
      <c r="E905" s="29"/>
      <c r="F905" s="29"/>
      <c r="G905" s="29"/>
      <c r="H905" s="29"/>
    </row>
    <row r="906" ht="15.75" customHeight="1">
      <c r="E906" s="29"/>
      <c r="F906" s="29"/>
      <c r="G906" s="29"/>
      <c r="H906" s="29"/>
    </row>
    <row r="907" ht="15.75" customHeight="1">
      <c r="E907" s="29"/>
      <c r="F907" s="29"/>
      <c r="G907" s="29"/>
      <c r="H907" s="29"/>
    </row>
    <row r="908" ht="15.75" customHeight="1">
      <c r="E908" s="29"/>
      <c r="F908" s="29"/>
      <c r="G908" s="29"/>
      <c r="H908" s="29"/>
    </row>
    <row r="909" ht="15.75" customHeight="1">
      <c r="E909" s="29"/>
      <c r="F909" s="29"/>
      <c r="G909" s="29"/>
      <c r="H909" s="29"/>
    </row>
    <row r="910" ht="15.75" customHeight="1">
      <c r="E910" s="29"/>
      <c r="F910" s="29"/>
      <c r="G910" s="29"/>
      <c r="H910" s="29"/>
    </row>
    <row r="911" ht="15.75" customHeight="1">
      <c r="E911" s="29"/>
      <c r="F911" s="29"/>
      <c r="G911" s="29"/>
      <c r="H911" s="29"/>
    </row>
    <row r="912" ht="15.75" customHeight="1">
      <c r="E912" s="29"/>
      <c r="F912" s="29"/>
      <c r="G912" s="29"/>
      <c r="H912" s="29"/>
    </row>
    <row r="913" ht="15.75" customHeight="1">
      <c r="E913" s="29"/>
      <c r="F913" s="29"/>
      <c r="G913" s="29"/>
      <c r="H913" s="29"/>
    </row>
    <row r="914" ht="15.75" customHeight="1">
      <c r="E914" s="29"/>
      <c r="F914" s="29"/>
      <c r="G914" s="29"/>
      <c r="H914" s="29"/>
    </row>
    <row r="915" ht="15.75" customHeight="1">
      <c r="E915" s="29"/>
      <c r="F915" s="29"/>
      <c r="G915" s="29"/>
      <c r="H915" s="29"/>
    </row>
    <row r="916" ht="15.75" customHeight="1">
      <c r="E916" s="29"/>
      <c r="F916" s="29"/>
      <c r="G916" s="29"/>
      <c r="H916" s="29"/>
    </row>
    <row r="917" ht="15.75" customHeight="1">
      <c r="E917" s="29"/>
      <c r="F917" s="29"/>
      <c r="G917" s="29"/>
      <c r="H917" s="29"/>
    </row>
    <row r="918" ht="15.75" customHeight="1">
      <c r="E918" s="29"/>
      <c r="F918" s="29"/>
      <c r="G918" s="29"/>
      <c r="H918" s="29"/>
    </row>
    <row r="919" ht="15.75" customHeight="1">
      <c r="E919" s="29"/>
      <c r="F919" s="29"/>
      <c r="G919" s="29"/>
      <c r="H919" s="29"/>
    </row>
    <row r="920" ht="15.75" customHeight="1">
      <c r="E920" s="29"/>
      <c r="F920" s="29"/>
      <c r="G920" s="29"/>
      <c r="H920" s="29"/>
    </row>
    <row r="921" ht="15.75" customHeight="1">
      <c r="E921" s="29"/>
      <c r="F921" s="29"/>
      <c r="G921" s="29"/>
      <c r="H921" s="29"/>
    </row>
    <row r="922" ht="15.75" customHeight="1">
      <c r="E922" s="29"/>
      <c r="F922" s="29"/>
      <c r="G922" s="29"/>
      <c r="H922" s="29"/>
    </row>
    <row r="923" ht="15.75" customHeight="1">
      <c r="E923" s="29"/>
      <c r="F923" s="29"/>
      <c r="G923" s="29"/>
      <c r="H923" s="29"/>
    </row>
    <row r="924" ht="15.75" customHeight="1">
      <c r="E924" s="29"/>
      <c r="F924" s="29"/>
      <c r="G924" s="29"/>
      <c r="H924" s="29"/>
    </row>
    <row r="925" ht="15.75" customHeight="1">
      <c r="E925" s="29"/>
      <c r="F925" s="29"/>
      <c r="G925" s="29"/>
      <c r="H925" s="29"/>
    </row>
    <row r="926" ht="15.75" customHeight="1">
      <c r="E926" s="29"/>
      <c r="F926" s="29"/>
      <c r="G926" s="29"/>
      <c r="H926" s="29"/>
    </row>
    <row r="927" ht="15.75" customHeight="1">
      <c r="E927" s="29"/>
      <c r="F927" s="29"/>
      <c r="G927" s="29"/>
      <c r="H927" s="29"/>
    </row>
    <row r="928" ht="15.75" customHeight="1">
      <c r="E928" s="29"/>
      <c r="F928" s="29"/>
      <c r="G928" s="29"/>
      <c r="H928" s="29"/>
    </row>
    <row r="929" ht="15.75" customHeight="1">
      <c r="E929" s="29"/>
      <c r="F929" s="29"/>
      <c r="G929" s="29"/>
      <c r="H929" s="29"/>
    </row>
    <row r="930" ht="15.75" customHeight="1">
      <c r="E930" s="29"/>
      <c r="F930" s="29"/>
      <c r="G930" s="29"/>
      <c r="H930" s="29"/>
    </row>
    <row r="931" ht="15.75" customHeight="1">
      <c r="E931" s="29"/>
      <c r="F931" s="29"/>
      <c r="G931" s="29"/>
      <c r="H931" s="29"/>
    </row>
    <row r="932" ht="15.75" customHeight="1">
      <c r="E932" s="29"/>
      <c r="F932" s="29"/>
      <c r="G932" s="29"/>
      <c r="H932" s="29"/>
    </row>
    <row r="933" ht="15.75" customHeight="1">
      <c r="E933" s="29"/>
      <c r="F933" s="29"/>
      <c r="G933" s="29"/>
      <c r="H933" s="29"/>
    </row>
    <row r="934" ht="15.75" customHeight="1">
      <c r="E934" s="29"/>
      <c r="F934" s="29"/>
      <c r="G934" s="29"/>
      <c r="H934" s="29"/>
    </row>
    <row r="935" ht="15.75" customHeight="1">
      <c r="E935" s="29"/>
      <c r="F935" s="29"/>
      <c r="G935" s="29"/>
      <c r="H935" s="29"/>
    </row>
    <row r="936" ht="15.75" customHeight="1">
      <c r="E936" s="29"/>
      <c r="F936" s="29"/>
      <c r="G936" s="29"/>
      <c r="H936" s="29"/>
    </row>
    <row r="937" ht="15.75" customHeight="1">
      <c r="E937" s="29"/>
      <c r="F937" s="29"/>
      <c r="G937" s="29"/>
      <c r="H937" s="29"/>
    </row>
    <row r="938" ht="15.75" customHeight="1">
      <c r="E938" s="29"/>
      <c r="F938" s="29"/>
      <c r="G938" s="29"/>
      <c r="H938" s="29"/>
    </row>
    <row r="939" ht="15.75" customHeight="1">
      <c r="E939" s="29"/>
      <c r="F939" s="29"/>
      <c r="G939" s="29"/>
      <c r="H939" s="29"/>
    </row>
    <row r="940" ht="15.75" customHeight="1">
      <c r="E940" s="29"/>
      <c r="F940" s="29"/>
      <c r="G940" s="29"/>
      <c r="H940" s="29"/>
    </row>
    <row r="941" ht="15.75" customHeight="1">
      <c r="E941" s="29"/>
      <c r="F941" s="29"/>
      <c r="G941" s="29"/>
      <c r="H941" s="29"/>
    </row>
    <row r="942" ht="15.75" customHeight="1">
      <c r="E942" s="29"/>
      <c r="F942" s="29"/>
      <c r="G942" s="29"/>
      <c r="H942" s="29"/>
    </row>
    <row r="943" ht="15.75" customHeight="1">
      <c r="E943" s="29"/>
      <c r="F943" s="29"/>
      <c r="G943" s="29"/>
      <c r="H943" s="29"/>
    </row>
    <row r="944" ht="15.75" customHeight="1">
      <c r="E944" s="29"/>
      <c r="F944" s="29"/>
      <c r="G944" s="29"/>
      <c r="H944" s="29"/>
    </row>
    <row r="945" ht="15.75" customHeight="1">
      <c r="E945" s="29"/>
      <c r="F945" s="29"/>
      <c r="G945" s="29"/>
      <c r="H945" s="29"/>
    </row>
    <row r="946" ht="15.75" customHeight="1">
      <c r="E946" s="29"/>
      <c r="F946" s="29"/>
      <c r="G946" s="29"/>
      <c r="H946" s="29"/>
    </row>
    <row r="947" ht="15.75" customHeight="1">
      <c r="E947" s="29"/>
      <c r="F947" s="29"/>
      <c r="G947" s="29"/>
      <c r="H947" s="29"/>
    </row>
    <row r="948" ht="15.75" customHeight="1">
      <c r="E948" s="29"/>
      <c r="F948" s="29"/>
      <c r="G948" s="29"/>
      <c r="H948" s="29"/>
    </row>
    <row r="949" ht="15.75" customHeight="1">
      <c r="E949" s="29"/>
      <c r="F949" s="29"/>
      <c r="G949" s="29"/>
      <c r="H949" s="29"/>
    </row>
    <row r="950" ht="15.75" customHeight="1">
      <c r="E950" s="29"/>
      <c r="F950" s="29"/>
      <c r="G950" s="29"/>
      <c r="H950" s="29"/>
    </row>
    <row r="951" ht="15.75" customHeight="1">
      <c r="E951" s="29"/>
      <c r="F951" s="29"/>
      <c r="G951" s="29"/>
      <c r="H951" s="29"/>
    </row>
    <row r="952" ht="15.75" customHeight="1">
      <c r="E952" s="29"/>
      <c r="F952" s="29"/>
      <c r="G952" s="29"/>
      <c r="H952" s="29"/>
    </row>
    <row r="953" ht="15.75" customHeight="1">
      <c r="E953" s="29"/>
      <c r="F953" s="29"/>
      <c r="G953" s="29"/>
      <c r="H953" s="29"/>
    </row>
    <row r="954" ht="15.75" customHeight="1">
      <c r="E954" s="29"/>
      <c r="F954" s="29"/>
      <c r="G954" s="29"/>
      <c r="H954" s="29"/>
    </row>
    <row r="955" ht="15.75" customHeight="1">
      <c r="E955" s="29"/>
      <c r="F955" s="29"/>
      <c r="G955" s="29"/>
      <c r="H955" s="29"/>
    </row>
    <row r="956" ht="15.75" customHeight="1">
      <c r="E956" s="29"/>
      <c r="F956" s="29"/>
      <c r="G956" s="29"/>
      <c r="H956" s="29"/>
    </row>
    <row r="957" ht="15.75" customHeight="1">
      <c r="E957" s="29"/>
      <c r="F957" s="29"/>
      <c r="G957" s="29"/>
      <c r="H957" s="29"/>
    </row>
    <row r="958" ht="15.75" customHeight="1">
      <c r="E958" s="29"/>
      <c r="F958" s="29"/>
      <c r="G958" s="29"/>
      <c r="H958" s="29"/>
    </row>
    <row r="959" ht="15.75" customHeight="1">
      <c r="E959" s="29"/>
      <c r="F959" s="29"/>
      <c r="G959" s="29"/>
      <c r="H959" s="29"/>
    </row>
    <row r="960" ht="15.75" customHeight="1">
      <c r="E960" s="29"/>
      <c r="F960" s="29"/>
      <c r="G960" s="29"/>
      <c r="H960" s="29"/>
    </row>
    <row r="961" ht="15.75" customHeight="1">
      <c r="E961" s="29"/>
      <c r="F961" s="29"/>
      <c r="G961" s="29"/>
      <c r="H961" s="29"/>
    </row>
    <row r="962" ht="15.75" customHeight="1">
      <c r="E962" s="29"/>
      <c r="F962" s="29"/>
      <c r="G962" s="29"/>
      <c r="H962" s="29"/>
    </row>
    <row r="963" ht="15.75" customHeight="1">
      <c r="E963" s="29"/>
      <c r="F963" s="29"/>
      <c r="G963" s="29"/>
      <c r="H963" s="29"/>
    </row>
    <row r="964" ht="15.75" customHeight="1">
      <c r="E964" s="29"/>
      <c r="F964" s="29"/>
      <c r="G964" s="29"/>
      <c r="H964" s="29"/>
    </row>
    <row r="965" ht="15.75" customHeight="1">
      <c r="E965" s="29"/>
      <c r="F965" s="29"/>
      <c r="G965" s="29"/>
      <c r="H965" s="29"/>
    </row>
    <row r="966" ht="15.75" customHeight="1">
      <c r="E966" s="29"/>
      <c r="F966" s="29"/>
      <c r="G966" s="29"/>
      <c r="H966" s="29"/>
    </row>
    <row r="967" ht="15.75" customHeight="1">
      <c r="E967" s="29"/>
      <c r="F967" s="29"/>
      <c r="G967" s="29"/>
      <c r="H967" s="29"/>
    </row>
    <row r="968" ht="15.75" customHeight="1">
      <c r="E968" s="29"/>
      <c r="F968" s="29"/>
      <c r="G968" s="29"/>
      <c r="H968" s="29"/>
    </row>
    <row r="969" ht="15.75" customHeight="1">
      <c r="E969" s="29"/>
      <c r="F969" s="29"/>
      <c r="G969" s="29"/>
      <c r="H969" s="29"/>
    </row>
    <row r="970" ht="15.75" customHeight="1">
      <c r="E970" s="29"/>
      <c r="F970" s="29"/>
      <c r="G970" s="29"/>
      <c r="H970" s="29"/>
    </row>
    <row r="971" ht="15.75" customHeight="1">
      <c r="E971" s="29"/>
      <c r="F971" s="29"/>
      <c r="G971" s="29"/>
      <c r="H971" s="29"/>
    </row>
    <row r="972" ht="15.75" customHeight="1">
      <c r="E972" s="29"/>
      <c r="F972" s="29"/>
      <c r="G972" s="29"/>
      <c r="H972" s="29"/>
    </row>
    <row r="973" ht="15.75" customHeight="1">
      <c r="E973" s="29"/>
      <c r="F973" s="29"/>
      <c r="G973" s="29"/>
      <c r="H973" s="29"/>
    </row>
    <row r="974" ht="15.75" customHeight="1">
      <c r="E974" s="29"/>
      <c r="F974" s="29"/>
      <c r="G974" s="29"/>
      <c r="H974" s="29"/>
    </row>
    <row r="975" ht="15.75" customHeight="1">
      <c r="E975" s="29"/>
      <c r="F975" s="29"/>
      <c r="G975" s="29"/>
      <c r="H975" s="29"/>
    </row>
    <row r="976" ht="15.75" customHeight="1">
      <c r="E976" s="29"/>
      <c r="F976" s="29"/>
      <c r="G976" s="29"/>
      <c r="H976" s="29"/>
    </row>
    <row r="977" ht="15.75" customHeight="1">
      <c r="E977" s="29"/>
      <c r="F977" s="29"/>
      <c r="G977" s="29"/>
      <c r="H977" s="29"/>
    </row>
    <row r="978" ht="15.75" customHeight="1">
      <c r="E978" s="29"/>
      <c r="F978" s="29"/>
      <c r="G978" s="29"/>
      <c r="H978" s="29"/>
    </row>
    <row r="979" ht="15.75" customHeight="1">
      <c r="E979" s="29"/>
      <c r="F979" s="29"/>
      <c r="G979" s="29"/>
      <c r="H979" s="29"/>
    </row>
    <row r="980" ht="15.75" customHeight="1">
      <c r="E980" s="29"/>
      <c r="F980" s="29"/>
      <c r="G980" s="29"/>
      <c r="H980" s="29"/>
    </row>
    <row r="981" ht="15.75" customHeight="1">
      <c r="E981" s="29"/>
      <c r="F981" s="29"/>
      <c r="G981" s="29"/>
      <c r="H981" s="29"/>
    </row>
    <row r="982" ht="15.75" customHeight="1">
      <c r="E982" s="29"/>
      <c r="F982" s="29"/>
      <c r="G982" s="29"/>
      <c r="H982" s="29"/>
    </row>
    <row r="983" ht="15.75" customHeight="1">
      <c r="E983" s="29"/>
      <c r="F983" s="29"/>
      <c r="G983" s="29"/>
      <c r="H983" s="29"/>
    </row>
    <row r="984" ht="15.75" customHeight="1">
      <c r="E984" s="29"/>
      <c r="F984" s="29"/>
      <c r="G984" s="29"/>
      <c r="H984" s="29"/>
    </row>
    <row r="985" ht="15.75" customHeight="1">
      <c r="E985" s="29"/>
      <c r="F985" s="29"/>
      <c r="G985" s="29"/>
      <c r="H985" s="29"/>
    </row>
  </sheetData>
  <autoFilter ref="$B$1:$B$985"/>
  <dataValidations>
    <dataValidation type="list" allowBlank="1" showErrorMessage="1" sqref="B38">
      <formula1>'DATA PER 111225'!$B$2:$B$312</formula1>
    </dataValidation>
    <dataValidation type="list" allowBlank="1" showErrorMessage="1" sqref="B2:B37 B39:B188 B190:B205 B207:B259 B261:B738">
      <formula1>'DATA PER 111225'!$B$2:$B$313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2.86"/>
    <col customWidth="1" min="3" max="3" width="13.0"/>
    <col customWidth="1" min="4" max="4" width="27.29"/>
    <col customWidth="1" min="5" max="5" width="13.14"/>
    <col customWidth="1" min="6" max="6" width="11.86"/>
    <col customWidth="1" min="7" max="7" width="21.0"/>
    <col customWidth="1" min="8" max="8" width="16.71"/>
    <col customWidth="1" min="9" max="26" width="8.71"/>
  </cols>
  <sheetData>
    <row r="1">
      <c r="A1" s="1" t="s">
        <v>10</v>
      </c>
      <c r="B1" s="1" t="s">
        <v>2</v>
      </c>
      <c r="C1" s="1" t="s">
        <v>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0">
        <v>46023.0</v>
      </c>
      <c r="B2" s="21" t="s">
        <v>648</v>
      </c>
      <c r="C2" s="6" t="str">
        <f>VLOOKUP(B2,Sheet3!$B$2:$E$312,2,FALSE)</f>
        <v>P004-020</v>
      </c>
      <c r="D2" s="8" t="str">
        <f>VLOOKUP(B2,Sheet3!$B$2:$E$312,3,)</f>
        <v>barang jadi &amp; bahan baku</v>
      </c>
      <c r="E2" s="8" t="str">
        <f>VLOOKUP(B2,Sheet3!$B$2:$E$312,4,)</f>
        <v>GR</v>
      </c>
      <c r="F2" s="22">
        <v>300.0</v>
      </c>
      <c r="G2" s="22" t="s">
        <v>1164</v>
      </c>
      <c r="H2" s="22" t="s">
        <v>1373</v>
      </c>
    </row>
    <row r="3">
      <c r="A3" s="20">
        <v>46023.0</v>
      </c>
      <c r="B3" s="21" t="s">
        <v>596</v>
      </c>
      <c r="C3" s="6" t="str">
        <f>VLOOKUP(B3,Sheet3!$B$2:$E$312,2,FALSE)</f>
        <v>W001-007</v>
      </c>
      <c r="D3" s="8" t="str">
        <f>VLOOKUP(B3,Sheet3!$B$2:$E$312,3,)</f>
        <v>barang jadi</v>
      </c>
      <c r="E3" s="8" t="str">
        <f>VLOOKUP(B3,Sheet3!$B$2:$E$312,4,)</f>
        <v>PORSI</v>
      </c>
      <c r="F3" s="22">
        <v>1.0</v>
      </c>
      <c r="G3" s="22" t="s">
        <v>1376</v>
      </c>
      <c r="H3" s="22" t="s">
        <v>1290</v>
      </c>
    </row>
    <row r="4">
      <c r="A4" s="20">
        <v>46023.0</v>
      </c>
      <c r="B4" s="21" t="s">
        <v>323</v>
      </c>
      <c r="C4" s="6" t="str">
        <f>VLOOKUP(B4,Sheet3!$B$2:$E$312,2,FALSE)</f>
        <v>D001-004</v>
      </c>
      <c r="D4" s="6" t="str">
        <f>VLOOKUP(B4,Sheet3!$B$2:$E$312,3,)</f>
        <v>barang jadi</v>
      </c>
      <c r="E4" s="6" t="str">
        <f>VLOOKUP(B4,Sheet3!$B$2:$E$312,4,)</f>
        <v>PORSI</v>
      </c>
      <c r="F4" s="21">
        <v>2.0</v>
      </c>
      <c r="G4" s="21" t="s">
        <v>1377</v>
      </c>
      <c r="H4" s="21" t="s">
        <v>1290</v>
      </c>
    </row>
    <row r="5">
      <c r="A5" s="20">
        <v>46023.0</v>
      </c>
      <c r="B5" s="21" t="s">
        <v>132</v>
      </c>
      <c r="C5" s="6" t="str">
        <f>VLOOKUP(B5,Sheet3!$B$2:$E$312,2,FALSE)</f>
        <v>B001-057</v>
      </c>
      <c r="D5" s="6" t="str">
        <f>VLOOKUP(B5,Sheet3!$B$2:$E$312,3,)</f>
        <v>bahan baku</v>
      </c>
      <c r="E5" s="6" t="str">
        <f>VLOOKUP(B5,Sheet3!$B$2:$E$312,4,)</f>
        <v>GR</v>
      </c>
      <c r="F5" s="21">
        <v>84.0</v>
      </c>
      <c r="G5" s="21" t="s">
        <v>1164</v>
      </c>
      <c r="H5" s="21" t="s">
        <v>1305</v>
      </c>
    </row>
    <row r="6">
      <c r="A6" s="20">
        <v>46023.0</v>
      </c>
      <c r="B6" s="21" t="s">
        <v>148</v>
      </c>
      <c r="C6" s="6" t="str">
        <f>VLOOKUP(B6,Sheet3!$B$2:$E$312,2,FALSE)</f>
        <v>B001-064</v>
      </c>
      <c r="D6" s="6" t="str">
        <f>VLOOKUP(B6,Sheet3!$B$2:$E$312,3,)</f>
        <v>bahan baku</v>
      </c>
      <c r="E6" s="6" t="str">
        <f>VLOOKUP(B6,Sheet3!$B$2:$E$312,4,)</f>
        <v>GR</v>
      </c>
      <c r="F6" s="21">
        <v>4.0</v>
      </c>
      <c r="G6" s="21" t="s">
        <v>1380</v>
      </c>
      <c r="H6" s="21" t="s">
        <v>1305</v>
      </c>
    </row>
    <row r="7">
      <c r="A7" s="20">
        <v>46023.0</v>
      </c>
      <c r="B7" s="21" t="s">
        <v>632</v>
      </c>
      <c r="C7" s="6" t="str">
        <f>VLOOKUP(B7,Sheet3!$B$2:$E$312,2,FALSE)</f>
        <v>P004-013</v>
      </c>
      <c r="D7" s="6" t="str">
        <f>VLOOKUP(B7,Sheet3!$B$2:$E$312,3,)</f>
        <v>barang jadi &amp; bahan baku</v>
      </c>
      <c r="E7" s="21" t="s">
        <v>20</v>
      </c>
      <c r="F7" s="21">
        <v>8710.0</v>
      </c>
      <c r="G7" s="21" t="s">
        <v>1382</v>
      </c>
      <c r="H7" s="21" t="s">
        <v>1290</v>
      </c>
    </row>
    <row r="8">
      <c r="A8" s="20">
        <v>46023.0</v>
      </c>
      <c r="B8" s="21" t="s">
        <v>632</v>
      </c>
      <c r="C8" s="6" t="str">
        <f>VLOOKUP(B8,Sheet3!$B$2:$E$312,2,FALSE)</f>
        <v>P004-013</v>
      </c>
      <c r="D8" s="6" t="str">
        <f>VLOOKUP(B8,Sheet3!$B$2:$E$312,3,)</f>
        <v>barang jadi &amp; bahan baku</v>
      </c>
      <c r="E8" s="21" t="s">
        <v>20</v>
      </c>
      <c r="F8" s="21">
        <v>3435.0</v>
      </c>
      <c r="G8" s="21" t="s">
        <v>1382</v>
      </c>
      <c r="H8" s="21" t="s">
        <v>1290</v>
      </c>
    </row>
    <row r="9">
      <c r="A9" s="20">
        <v>46023.0</v>
      </c>
      <c r="B9" s="21" t="s">
        <v>360</v>
      </c>
      <c r="C9" s="6" t="str">
        <f>VLOOKUP(B9,Sheet3!$B$2:$E$312,2,FALSE)</f>
        <v>D003-001</v>
      </c>
      <c r="D9" s="6" t="str">
        <f>VLOOKUP(B9,Sheet3!$B$2:$E$312,3,)</f>
        <v>barang jadi</v>
      </c>
      <c r="E9" s="21" t="s">
        <v>78</v>
      </c>
      <c r="F9" s="21">
        <v>2800.0</v>
      </c>
      <c r="G9" s="21" t="s">
        <v>1385</v>
      </c>
      <c r="H9" s="21" t="s">
        <v>1375</v>
      </c>
    </row>
    <row r="10">
      <c r="A10" s="20">
        <v>46024.0</v>
      </c>
      <c r="B10" s="21" t="s">
        <v>150</v>
      </c>
      <c r="C10" s="6" t="str">
        <f>VLOOKUP(B10,Sheet3!$B$2:$E$312,2,FALSE)</f>
        <v>B001-066</v>
      </c>
      <c r="D10" s="6" t="str">
        <f>VLOOKUP(B10,Sheet3!$B$2:$E$312,3,)</f>
        <v>bahan baku</v>
      </c>
      <c r="E10" s="21" t="s">
        <v>25</v>
      </c>
      <c r="F10" s="21">
        <v>1.0</v>
      </c>
      <c r="G10" s="21" t="s">
        <v>1368</v>
      </c>
      <c r="H10" s="21" t="s">
        <v>1386</v>
      </c>
    </row>
    <row r="11">
      <c r="A11" s="20">
        <v>46024.0</v>
      </c>
      <c r="B11" s="21" t="s">
        <v>150</v>
      </c>
      <c r="C11" s="6" t="str">
        <f>VLOOKUP(B11,Sheet3!$B$2:$E$312,2,FALSE)</f>
        <v>B001-066</v>
      </c>
      <c r="D11" s="6" t="str">
        <f>VLOOKUP(B11,Sheet3!$B$2:$E$312,3,)</f>
        <v>bahan baku</v>
      </c>
      <c r="E11" s="6" t="str">
        <f>VLOOKUP(B11,Sheet3!$B$2:$E$312,4,)</f>
        <v>PCS</v>
      </c>
      <c r="F11" s="21">
        <v>1.0</v>
      </c>
      <c r="G11" s="21" t="s">
        <v>1389</v>
      </c>
      <c r="H11" s="21" t="s">
        <v>1225</v>
      </c>
    </row>
    <row r="12">
      <c r="A12" s="20">
        <v>46024.0</v>
      </c>
      <c r="B12" s="21" t="s">
        <v>360</v>
      </c>
      <c r="C12" s="6" t="str">
        <f>VLOOKUP(B12,Sheet3!$B$2:$E$312,2,FALSE)</f>
        <v>D003-001</v>
      </c>
      <c r="D12" s="6" t="str">
        <f>VLOOKUP(B12,Sheet3!$B$2:$E$312,3,)</f>
        <v>barang jadi</v>
      </c>
      <c r="E12" s="21" t="s">
        <v>78</v>
      </c>
      <c r="F12" s="21">
        <v>2500.0</v>
      </c>
      <c r="G12" s="21" t="s">
        <v>1390</v>
      </c>
      <c r="H12" s="21" t="s">
        <v>1375</v>
      </c>
    </row>
    <row r="13">
      <c r="A13" s="20">
        <v>46024.0</v>
      </c>
      <c r="B13" s="21" t="s">
        <v>632</v>
      </c>
      <c r="C13" s="6" t="str">
        <f>VLOOKUP(B13,Sheet3!$B$2:$E$312,2,FALSE)</f>
        <v>P004-013</v>
      </c>
      <c r="D13" s="6" t="str">
        <f>VLOOKUP(B13,Sheet3!$B$2:$E$312,3,)</f>
        <v>barang jadi &amp; bahan baku</v>
      </c>
      <c r="E13" s="21" t="s">
        <v>20</v>
      </c>
      <c r="F13" s="21">
        <v>4195.0</v>
      </c>
      <c r="G13" s="21" t="s">
        <v>1385</v>
      </c>
      <c r="H13" s="21" t="s">
        <v>1290</v>
      </c>
    </row>
    <row r="14">
      <c r="A14" s="20">
        <v>45659.0</v>
      </c>
      <c r="B14" s="21" t="s">
        <v>632</v>
      </c>
      <c r="C14" s="6" t="str">
        <f>VLOOKUP(B14,Sheet3!$B$2:$E$312,2,FALSE)</f>
        <v>P004-013</v>
      </c>
      <c r="D14" s="6" t="str">
        <f>VLOOKUP(B14,Sheet3!$B$2:$E$312,3,)</f>
        <v>barang jadi &amp; bahan baku</v>
      </c>
      <c r="E14" s="21" t="s">
        <v>20</v>
      </c>
      <c r="F14" s="21">
        <v>6050.0</v>
      </c>
      <c r="G14" s="21" t="s">
        <v>1216</v>
      </c>
      <c r="H14" s="21" t="s">
        <v>1290</v>
      </c>
    </row>
    <row r="15">
      <c r="A15" s="20">
        <v>46024.0</v>
      </c>
      <c r="B15" s="21" t="s">
        <v>101</v>
      </c>
      <c r="C15" s="6" t="str">
        <f>VLOOKUP(B15,Sheet3!$B$2:$E$312,2,FALSE)</f>
        <v>B001-043</v>
      </c>
      <c r="D15" s="6" t="str">
        <f>VLOOKUP(B15,Sheet3!$B$2:$E$312,3,)</f>
        <v>bahan baku</v>
      </c>
      <c r="E15" s="6" t="str">
        <f>VLOOKUP(B15,Sheet3!$B$2:$E$312,4,)</f>
        <v>GR</v>
      </c>
      <c r="F15" s="21">
        <v>459.0</v>
      </c>
      <c r="G15" s="21" t="s">
        <v>1164</v>
      </c>
      <c r="H15" s="21" t="s">
        <v>1290</v>
      </c>
    </row>
    <row r="16">
      <c r="A16" s="20">
        <v>46025.0</v>
      </c>
      <c r="B16" s="21" t="s">
        <v>360</v>
      </c>
      <c r="C16" s="6" t="str">
        <f>VLOOKUP(B16,Sheet3!$B$2:$E$312,2,FALSE)</f>
        <v>D003-001</v>
      </c>
      <c r="D16" s="6" t="str">
        <f>VLOOKUP(B16,Sheet3!$B$2:$E$312,3,)</f>
        <v>barang jadi</v>
      </c>
      <c r="E16" s="21" t="s">
        <v>78</v>
      </c>
      <c r="F16" s="21">
        <v>1800.0</v>
      </c>
      <c r="G16" s="21" t="s">
        <v>1390</v>
      </c>
      <c r="H16" s="21" t="s">
        <v>1375</v>
      </c>
    </row>
    <row r="17">
      <c r="A17" s="20">
        <v>46025.0</v>
      </c>
      <c r="B17" s="21" t="s">
        <v>132</v>
      </c>
      <c r="C17" s="6" t="str">
        <f>VLOOKUP(B17,Sheet3!$B$2:$E$312,2,FALSE)</f>
        <v>B001-057</v>
      </c>
      <c r="D17" s="6" t="str">
        <f>VLOOKUP(B17,Sheet3!$B$2:$E$312,3,)</f>
        <v>bahan baku</v>
      </c>
      <c r="E17" s="6" t="str">
        <f>VLOOKUP(B17,Sheet3!$B$2:$E$312,4,)</f>
        <v>GR</v>
      </c>
      <c r="F17" s="21">
        <v>64.0</v>
      </c>
      <c r="G17" s="21" t="s">
        <v>1390</v>
      </c>
      <c r="H17" s="21" t="s">
        <v>1305</v>
      </c>
    </row>
    <row r="18">
      <c r="A18" s="20">
        <v>46025.0</v>
      </c>
      <c r="B18" s="21" t="s">
        <v>23</v>
      </c>
      <c r="C18" s="6" t="str">
        <f>VLOOKUP(B18,Sheet3!$B$2:$E$312,2,FALSE)</f>
        <v>B001-004</v>
      </c>
      <c r="D18" s="6" t="str">
        <f>VLOOKUP(B18,Sheet3!$B$2:$E$312,3,)</f>
        <v>bahan baku</v>
      </c>
      <c r="E18" s="6" t="str">
        <f>VLOOKUP(B18,Sheet3!$B$2:$E$312,4,)</f>
        <v>PCS</v>
      </c>
      <c r="F18" s="21">
        <v>3.0</v>
      </c>
      <c r="G18" s="21" t="s">
        <v>1390</v>
      </c>
      <c r="H18" s="21" t="s">
        <v>1290</v>
      </c>
    </row>
    <row r="19">
      <c r="A19" s="20">
        <v>46025.0</v>
      </c>
      <c r="B19" s="21" t="s">
        <v>632</v>
      </c>
      <c r="C19" s="6" t="str">
        <f>VLOOKUP(B19,Sheet3!$B$2:$E$312,2,FALSE)</f>
        <v>P004-013</v>
      </c>
      <c r="D19" s="6" t="str">
        <f>VLOOKUP(B19,Sheet3!$B$2:$E$312,3,)</f>
        <v>barang jadi &amp; bahan baku</v>
      </c>
      <c r="E19" s="21" t="s">
        <v>20</v>
      </c>
      <c r="F19" s="21">
        <v>4925.0</v>
      </c>
      <c r="G19" s="21" t="s">
        <v>1390</v>
      </c>
      <c r="H19" s="21" t="s">
        <v>1290</v>
      </c>
    </row>
    <row r="20">
      <c r="A20" s="20">
        <v>46026.0</v>
      </c>
      <c r="B20" s="21" t="s">
        <v>632</v>
      </c>
      <c r="C20" s="6" t="str">
        <f>VLOOKUP(B20,Sheet3!$B$2:$E$312,2,FALSE)</f>
        <v>P004-013</v>
      </c>
      <c r="D20" s="6" t="str">
        <f>VLOOKUP(B20,Sheet3!$B$2:$E$312,3,)</f>
        <v>barang jadi &amp; bahan baku</v>
      </c>
      <c r="E20" s="21" t="s">
        <v>20</v>
      </c>
      <c r="F20" s="21">
        <v>3905.0</v>
      </c>
      <c r="G20" s="21" t="s">
        <v>1390</v>
      </c>
      <c r="H20" s="21" t="s">
        <v>1290</v>
      </c>
    </row>
    <row r="21" ht="15.75" customHeight="1">
      <c r="A21" s="20">
        <v>46026.0</v>
      </c>
      <c r="B21" s="21" t="s">
        <v>632</v>
      </c>
      <c r="C21" s="6" t="str">
        <f>VLOOKUP(B21,Sheet3!$B$2:$E$312,2,FALSE)</f>
        <v>P004-013</v>
      </c>
      <c r="D21" s="6" t="str">
        <f>VLOOKUP(B21,Sheet3!$B$2:$E$312,3,)</f>
        <v>barang jadi &amp; bahan baku</v>
      </c>
      <c r="E21" s="21" t="s">
        <v>20</v>
      </c>
      <c r="F21" s="21">
        <v>7500.0</v>
      </c>
      <c r="G21" s="21" t="s">
        <v>1390</v>
      </c>
      <c r="H21" s="21" t="s">
        <v>1290</v>
      </c>
    </row>
    <row r="22" ht="15.75" customHeight="1">
      <c r="A22" s="20">
        <v>46026.0</v>
      </c>
      <c r="B22" s="21" t="s">
        <v>23</v>
      </c>
      <c r="C22" s="6" t="str">
        <f>VLOOKUP(B22,Sheet3!$B$2:$E$312,2,FALSE)</f>
        <v>B001-004</v>
      </c>
      <c r="D22" s="6" t="str">
        <f>VLOOKUP(B22,Sheet3!$B$2:$E$312,3,)</f>
        <v>bahan baku</v>
      </c>
      <c r="E22" s="6" t="str">
        <f>VLOOKUP(B22,Sheet3!$B$2:$E$312,4,)</f>
        <v>PCS</v>
      </c>
      <c r="F22" s="21">
        <v>2.0</v>
      </c>
      <c r="G22" s="21" t="s">
        <v>1390</v>
      </c>
      <c r="H22" s="21" t="s">
        <v>1290</v>
      </c>
    </row>
    <row r="23" ht="15.75" customHeight="1">
      <c r="A23" s="20">
        <v>46027.0</v>
      </c>
      <c r="B23" s="21" t="s">
        <v>23</v>
      </c>
      <c r="C23" s="6" t="str">
        <f>VLOOKUP(B23,Sheet3!$B$2:$E$312,2,FALSE)</f>
        <v>B001-004</v>
      </c>
      <c r="D23" s="6" t="str">
        <f>VLOOKUP(B23,Sheet3!$B$2:$E$312,3,)</f>
        <v>bahan baku</v>
      </c>
      <c r="E23" s="6" t="str">
        <f>VLOOKUP(B23,Sheet3!$B$2:$E$312,4,)</f>
        <v>PCS</v>
      </c>
      <c r="F23" s="21">
        <v>2.0</v>
      </c>
      <c r="G23" s="21" t="s">
        <v>1390</v>
      </c>
      <c r="H23" s="21" t="s">
        <v>1290</v>
      </c>
    </row>
    <row r="24" ht="15.75" customHeight="1">
      <c r="A24" s="20">
        <v>46027.0</v>
      </c>
      <c r="B24" s="21" t="s">
        <v>362</v>
      </c>
      <c r="C24" s="6" t="str">
        <f>VLOOKUP(B24,Sheet3!$B$2:$E$312,2,FALSE)</f>
        <v>D003-003</v>
      </c>
      <c r="D24" s="6" t="str">
        <f>VLOOKUP(B24,Sheet3!$B$2:$E$312,3,)</f>
        <v>barang jadi</v>
      </c>
      <c r="E24" s="21" t="s">
        <v>20</v>
      </c>
      <c r="F24" s="21">
        <v>649.0</v>
      </c>
      <c r="G24" s="21" t="s">
        <v>1398</v>
      </c>
      <c r="H24" s="21" t="s">
        <v>1186</v>
      </c>
    </row>
    <row r="25" ht="15.75" customHeight="1">
      <c r="A25" s="20">
        <v>46027.0</v>
      </c>
      <c r="B25" s="21" t="s">
        <v>360</v>
      </c>
      <c r="C25" s="6" t="str">
        <f>VLOOKUP(B25,Sheet3!$B$2:$E$312,2,FALSE)</f>
        <v>D003-001</v>
      </c>
      <c r="D25" s="6" t="str">
        <f>VLOOKUP(B25,Sheet3!$B$2:$E$312,3,)</f>
        <v>barang jadi</v>
      </c>
      <c r="E25" s="21" t="s">
        <v>78</v>
      </c>
      <c r="F25" s="21">
        <v>2250.0</v>
      </c>
      <c r="G25" s="21" t="s">
        <v>1390</v>
      </c>
      <c r="H25" s="21" t="s">
        <v>1186</v>
      </c>
    </row>
    <row r="26" ht="15.75" customHeight="1">
      <c r="A26" s="20">
        <v>46027.0</v>
      </c>
      <c r="B26" s="21" t="s">
        <v>653</v>
      </c>
      <c r="C26" s="6" t="str">
        <f>VLOOKUP(B26,Sheet3!$B$2:$E$312,2,FALSE)</f>
        <v>P004-022</v>
      </c>
      <c r="D26" s="6" t="str">
        <f>VLOOKUP(B26,Sheet3!$B$2:$E$312,3,)</f>
        <v>barang jadi &amp; bahan baku</v>
      </c>
      <c r="E26" s="21" t="s">
        <v>78</v>
      </c>
      <c r="F26" s="21">
        <v>300.0</v>
      </c>
      <c r="G26" s="21" t="s">
        <v>1390</v>
      </c>
      <c r="H26" s="21" t="s">
        <v>1186</v>
      </c>
    </row>
    <row r="27" ht="15.75" customHeight="1">
      <c r="A27" s="20">
        <v>46027.0</v>
      </c>
      <c r="B27" s="21" t="s">
        <v>362</v>
      </c>
      <c r="C27" s="6" t="str">
        <f>VLOOKUP(B27,Sheet3!$B$2:$E$312,2,FALSE)</f>
        <v>D003-003</v>
      </c>
      <c r="D27" s="6" t="str">
        <f>VLOOKUP(B27,Sheet3!$B$2:$E$312,3,)</f>
        <v>barang jadi</v>
      </c>
      <c r="E27" s="21" t="s">
        <v>78</v>
      </c>
      <c r="F27" s="21">
        <v>2000.0</v>
      </c>
      <c r="G27" s="21" t="s">
        <v>1390</v>
      </c>
      <c r="H27" s="21" t="s">
        <v>1186</v>
      </c>
    </row>
    <row r="28" ht="15.75" customHeight="1">
      <c r="A28" s="20">
        <v>46027.0</v>
      </c>
      <c r="B28" s="21" t="s">
        <v>625</v>
      </c>
      <c r="C28" s="6" t="str">
        <f>VLOOKUP(B28,Sheet3!$B$2:$E$312,2,FALSE)</f>
        <v>P004-011</v>
      </c>
      <c r="D28" s="6" t="str">
        <f>VLOOKUP(B28,Sheet3!$B$2:$E$312,3,)</f>
        <v>barang jadi &amp; bahan baku</v>
      </c>
      <c r="E28" s="6" t="str">
        <f>VLOOKUP(B28,Sheet3!$B$2:$E$312,4,)</f>
        <v>GR</v>
      </c>
      <c r="F28" s="21">
        <v>76.0</v>
      </c>
      <c r="G28" s="21" t="s">
        <v>1164</v>
      </c>
      <c r="H28" s="21" t="s">
        <v>1400</v>
      </c>
    </row>
    <row r="29" ht="15.75" customHeight="1">
      <c r="A29" s="20">
        <v>46027.0</v>
      </c>
      <c r="B29" s="21" t="s">
        <v>634</v>
      </c>
      <c r="C29" s="6" t="str">
        <f>VLOOKUP(B29,Sheet3!$B$2:$E$312,2,FALSE)</f>
        <v>P004-014</v>
      </c>
      <c r="D29" s="6" t="str">
        <f>VLOOKUP(B29,Sheet3!$B$2:$E$312,3,)</f>
        <v>barang jadi &amp; bahan baku</v>
      </c>
      <c r="E29" s="6" t="str">
        <f>VLOOKUP(B29,Sheet3!$B$2:$E$312,4,)</f>
        <v>GR</v>
      </c>
      <c r="F29" s="21">
        <v>138.0</v>
      </c>
      <c r="G29" s="21" t="s">
        <v>1164</v>
      </c>
      <c r="H29" s="21" t="s">
        <v>1400</v>
      </c>
    </row>
    <row r="30" ht="15.75" customHeight="1">
      <c r="A30" s="20">
        <v>46027.0</v>
      </c>
      <c r="B30" s="21" t="s">
        <v>657</v>
      </c>
      <c r="C30" s="6" t="str">
        <f>VLOOKUP(B30,Sheet3!$B$2:$E$312,2,FALSE)</f>
        <v>P004-023</v>
      </c>
      <c r="D30" s="6" t="str">
        <f>VLOOKUP(B30,Sheet3!$B$2:$E$312,3,)</f>
        <v>barang jadi &amp; bahan baku</v>
      </c>
      <c r="E30" s="21" t="s">
        <v>78</v>
      </c>
      <c r="F30" s="21">
        <v>1200.0</v>
      </c>
      <c r="G30" s="21" t="s">
        <v>1390</v>
      </c>
      <c r="H30" s="21" t="s">
        <v>1186</v>
      </c>
    </row>
    <row r="31" ht="15.75" customHeight="1">
      <c r="A31" s="20">
        <v>46027.0</v>
      </c>
      <c r="B31" s="21" t="s">
        <v>604</v>
      </c>
      <c r="C31" s="6" t="str">
        <f>VLOOKUP(B31,Sheet3!$B$2:$E$312,2,FALSE)</f>
        <v>I001-001</v>
      </c>
      <c r="D31" s="6" t="str">
        <f>VLOOKUP(B31,Sheet3!$B$2:$E$312,3,)</f>
        <v>barang jadi &amp; bahan baku</v>
      </c>
      <c r="E31" s="6" t="str">
        <f>VLOOKUP(B31,Sheet3!$B$2:$E$312,4,)</f>
        <v>PORSI</v>
      </c>
      <c r="F31" s="21">
        <v>3.0</v>
      </c>
      <c r="G31" s="21" t="s">
        <v>1402</v>
      </c>
      <c r="H31" s="21" t="s">
        <v>1186</v>
      </c>
    </row>
    <row r="32" ht="15.75" customHeight="1">
      <c r="A32" s="20">
        <v>45663.0</v>
      </c>
      <c r="B32" s="21" t="s">
        <v>93</v>
      </c>
      <c r="C32" s="6"/>
      <c r="D32" s="6" t="str">
        <f>VLOOKUP(B32,Sheet3!$B$2:$E$312,3,)</f>
        <v>bahan baku</v>
      </c>
      <c r="E32" s="6" t="str">
        <f>VLOOKUP(B32,Sheet3!$B$2:$E$312,4,)</f>
        <v>PCS</v>
      </c>
      <c r="F32" s="21">
        <v>4.0</v>
      </c>
      <c r="G32" s="21" t="s">
        <v>1380</v>
      </c>
      <c r="H32" s="21" t="s">
        <v>1384</v>
      </c>
    </row>
    <row r="33" ht="15.75" customHeight="1">
      <c r="A33" s="20">
        <v>45663.0</v>
      </c>
      <c r="B33" s="21" t="s">
        <v>294</v>
      </c>
      <c r="C33" s="6" t="str">
        <f>VLOOKUP(B33,Sheet3!$B$2:$E$312,2,FALSE)</f>
        <v>B001-123</v>
      </c>
      <c r="D33" s="6" t="str">
        <f>VLOOKUP(B33,Sheet3!$B$2:$E$312,3,)</f>
        <v>bahan baku</v>
      </c>
      <c r="E33" s="6" t="str">
        <f>VLOOKUP(B33,Sheet3!$B$2:$E$312,4,)</f>
        <v>PCS</v>
      </c>
      <c r="F33" s="21">
        <v>2.0</v>
      </c>
      <c r="G33" s="21" t="s">
        <v>1404</v>
      </c>
      <c r="H33" s="21" t="s">
        <v>1225</v>
      </c>
    </row>
    <row r="34" ht="15.75" customHeight="1">
      <c r="A34" s="20">
        <v>45663.0</v>
      </c>
      <c r="B34" s="21" t="s">
        <v>294</v>
      </c>
      <c r="C34" s="6" t="str">
        <f>VLOOKUP(B34,Sheet3!$B$2:$E$312,2,FALSE)</f>
        <v>B001-123</v>
      </c>
      <c r="D34" s="6" t="str">
        <f>VLOOKUP(B34,Sheet3!$B$2:$E$312,3,)</f>
        <v>bahan baku</v>
      </c>
      <c r="E34" s="6" t="str">
        <f>VLOOKUP(B34,Sheet3!$B$2:$E$312,4,)</f>
        <v>PCS</v>
      </c>
      <c r="F34" s="21">
        <v>1.0</v>
      </c>
      <c r="G34" s="21" t="s">
        <v>1405</v>
      </c>
      <c r="H34" s="21" t="s">
        <v>1406</v>
      </c>
    </row>
    <row r="35" ht="15.75" customHeight="1">
      <c r="A35" s="20">
        <v>45663.0</v>
      </c>
      <c r="B35" s="21" t="s">
        <v>86</v>
      </c>
      <c r="C35" s="6" t="str">
        <f>VLOOKUP(B35,Sheet3!$B$2:$E$312,2,FALSE)</f>
        <v>B001-036</v>
      </c>
      <c r="D35" s="6" t="str">
        <f>VLOOKUP(B35,Sheet3!$B$2:$E$312,3,)</f>
        <v>bahan baku</v>
      </c>
      <c r="E35" s="6" t="str">
        <f>VLOOKUP(B35,Sheet3!$B$2:$E$312,4,)</f>
        <v>GR</v>
      </c>
      <c r="F35" s="21">
        <v>68.0</v>
      </c>
      <c r="G35" s="21" t="s">
        <v>1407</v>
      </c>
      <c r="H35" s="21" t="s">
        <v>1408</v>
      </c>
    </row>
    <row r="36" ht="15.75" customHeight="1">
      <c r="A36" s="20">
        <v>46028.0</v>
      </c>
      <c r="B36" s="21" t="s">
        <v>23</v>
      </c>
      <c r="C36" s="6" t="str">
        <f>VLOOKUP(B36,Sheet3!$B$2:$E$312,2,FALSE)</f>
        <v>B001-004</v>
      </c>
      <c r="D36" s="6" t="str">
        <f>VLOOKUP(B36,Sheet3!$B$2:$E$312,3,)</f>
        <v>bahan baku</v>
      </c>
      <c r="E36" s="6" t="str">
        <f>VLOOKUP(B36,Sheet3!$B$2:$E$312,4,)</f>
        <v>PCS</v>
      </c>
      <c r="F36" s="21">
        <v>2.0</v>
      </c>
      <c r="G36" s="21" t="s">
        <v>1410</v>
      </c>
      <c r="H36" s="21" t="s">
        <v>1384</v>
      </c>
    </row>
    <row r="37" ht="15.75" customHeight="1">
      <c r="A37" s="20">
        <v>46028.0</v>
      </c>
      <c r="B37" s="21" t="s">
        <v>298</v>
      </c>
      <c r="C37" s="6" t="str">
        <f>VLOOKUP(B37,Sheet3!$B$2:$E$312,2,FALSE)</f>
        <v>B001-125</v>
      </c>
      <c r="D37" s="6" t="str">
        <f>VLOOKUP(B37,Sheet3!$B$2:$E$312,3,)</f>
        <v>bahan baku</v>
      </c>
      <c r="E37" s="6" t="str">
        <f>VLOOKUP(B37,Sheet3!$B$2:$E$312,4,)</f>
        <v>GR</v>
      </c>
      <c r="F37" s="21">
        <v>31.0</v>
      </c>
      <c r="G37" s="21" t="s">
        <v>1224</v>
      </c>
      <c r="H37" s="21" t="s">
        <v>1384</v>
      </c>
    </row>
    <row r="38" ht="15.75" customHeight="1">
      <c r="A38" s="20">
        <v>46028.0</v>
      </c>
      <c r="B38" s="21" t="s">
        <v>137</v>
      </c>
      <c r="C38" s="6" t="str">
        <f>VLOOKUP(B38,Sheet3!$B$2:$E$312,2,FALSE)</f>
        <v>B001-060</v>
      </c>
      <c r="D38" s="6" t="str">
        <f>VLOOKUP(B38,Sheet3!$B$2:$E$312,3,)</f>
        <v>bahan baku</v>
      </c>
      <c r="E38" s="6" t="str">
        <f>VLOOKUP(B38,Sheet3!$B$2:$E$312,4,)</f>
        <v>GR</v>
      </c>
      <c r="F38" s="21">
        <v>10.0</v>
      </c>
      <c r="G38" s="21" t="s">
        <v>1413</v>
      </c>
      <c r="H38" s="21" t="s">
        <v>1384</v>
      </c>
    </row>
    <row r="39" ht="15.75" customHeight="1">
      <c r="A39" s="20">
        <v>46028.0</v>
      </c>
      <c r="B39" s="21" t="s">
        <v>150</v>
      </c>
      <c r="C39" s="6" t="str">
        <f>VLOOKUP(B39,Sheet3!$B$2:$E$312,2,FALSE)</f>
        <v>B001-066</v>
      </c>
      <c r="D39" s="6" t="str">
        <f>VLOOKUP(B39,Sheet3!$B$2:$E$312,3,)</f>
        <v>bahan baku</v>
      </c>
      <c r="E39" s="6" t="str">
        <f>VLOOKUP(B39,Sheet3!$B$2:$E$312,4,)</f>
        <v>PCS</v>
      </c>
      <c r="F39" s="21">
        <v>1.0</v>
      </c>
      <c r="G39" s="21" t="s">
        <v>1368</v>
      </c>
      <c r="H39" s="21" t="s">
        <v>1384</v>
      </c>
    </row>
    <row r="40" ht="15.75" customHeight="1">
      <c r="A40" s="20">
        <v>46028.0</v>
      </c>
      <c r="B40" s="21" t="s">
        <v>653</v>
      </c>
      <c r="C40" s="6" t="str">
        <f>VLOOKUP(B40,Sheet3!$B$2:$E$312,2,FALSE)</f>
        <v>P004-022</v>
      </c>
      <c r="D40" s="6" t="str">
        <f>VLOOKUP(B40,Sheet3!$B$2:$E$312,3,)</f>
        <v>barang jadi &amp; bahan baku</v>
      </c>
      <c r="E40" s="21" t="s">
        <v>78</v>
      </c>
      <c r="F40" s="21">
        <v>2000.0</v>
      </c>
      <c r="G40" s="21" t="s">
        <v>1416</v>
      </c>
      <c r="H40" s="21" t="s">
        <v>1408</v>
      </c>
    </row>
    <row r="41" ht="15.75" customHeight="1">
      <c r="A41" s="20">
        <v>46028.0</v>
      </c>
      <c r="B41" s="21" t="s">
        <v>805</v>
      </c>
      <c r="C41" s="6" t="str">
        <f>VLOOKUP(B41,Sheet3!$B$2:$E$312,2,FALSE)</f>
        <v>#N/A</v>
      </c>
      <c r="D41" s="6" t="str">
        <f>VLOOKUP(B41,Sheet3!$B$2:$E$312,3,)</f>
        <v>#N/A</v>
      </c>
      <c r="E41" s="21" t="s">
        <v>78</v>
      </c>
      <c r="F41" s="21">
        <v>1800.0</v>
      </c>
      <c r="G41" s="21" t="s">
        <v>1164</v>
      </c>
      <c r="H41" s="21" t="s">
        <v>1408</v>
      </c>
    </row>
    <row r="42" ht="15.75" customHeight="1">
      <c r="A42" s="20">
        <v>46028.0</v>
      </c>
      <c r="B42" s="21" t="s">
        <v>657</v>
      </c>
      <c r="C42" s="6" t="str">
        <f>VLOOKUP(B42,Sheet3!$B$2:$E$312,2,FALSE)</f>
        <v>P004-023</v>
      </c>
      <c r="D42" s="6" t="str">
        <f>VLOOKUP(B42,Sheet3!$B$2:$E$312,3,)</f>
        <v>barang jadi &amp; bahan baku</v>
      </c>
      <c r="E42" s="21" t="s">
        <v>78</v>
      </c>
      <c r="F42" s="21">
        <v>1200.0</v>
      </c>
      <c r="G42" s="21" t="s">
        <v>1164</v>
      </c>
      <c r="H42" s="21" t="s">
        <v>1408</v>
      </c>
    </row>
    <row r="43" ht="15.75" customHeight="1">
      <c r="A43" s="20">
        <v>46028.0</v>
      </c>
      <c r="B43" s="21" t="s">
        <v>23</v>
      </c>
      <c r="C43" s="6" t="str">
        <f>VLOOKUP(B43,Sheet3!$B$2:$E$312,2,FALSE)</f>
        <v>B001-004</v>
      </c>
      <c r="D43" s="6" t="str">
        <f>VLOOKUP(B43,Sheet3!$B$2:$E$312,3,)</f>
        <v>bahan baku</v>
      </c>
      <c r="E43" s="6" t="str">
        <f>VLOOKUP(B43,Sheet3!$B$2:$E$312,4,)</f>
        <v>PCS</v>
      </c>
      <c r="F43" s="21">
        <v>1.0</v>
      </c>
      <c r="G43" s="21" t="s">
        <v>1398</v>
      </c>
      <c r="H43" s="21" t="s">
        <v>1384</v>
      </c>
    </row>
    <row r="44" ht="15.75" customHeight="1">
      <c r="A44" s="20">
        <v>46029.0</v>
      </c>
      <c r="B44" s="21" t="s">
        <v>629</v>
      </c>
      <c r="C44" s="6" t="str">
        <f>VLOOKUP(B44,Sheet3!$B$2:$E$312,2,FALSE)</f>
        <v>P004-012</v>
      </c>
      <c r="D44" s="6" t="str">
        <f>VLOOKUP(B44,Sheet3!$B$2:$E$312,3,)</f>
        <v>barang jadi &amp; bahan baku</v>
      </c>
      <c r="E44" s="6" t="str">
        <f>VLOOKUP(B44,Sheet3!$B$2:$E$312,4,)</f>
        <v>GR</v>
      </c>
      <c r="F44" s="21">
        <v>169.0</v>
      </c>
      <c r="G44" s="21" t="s">
        <v>1245</v>
      </c>
      <c r="H44" s="21" t="s">
        <v>1408</v>
      </c>
    </row>
    <row r="45" ht="15.75" customHeight="1">
      <c r="A45" s="20">
        <v>46029.0</v>
      </c>
      <c r="B45" s="21" t="s">
        <v>76</v>
      </c>
      <c r="C45" s="6" t="str">
        <f>VLOOKUP(B45,Sheet3!$B$2:$E$312,2,FALSE)</f>
        <v>B001-032</v>
      </c>
      <c r="D45" s="6" t="str">
        <f>VLOOKUP(B45,Sheet3!$B$2:$E$312,3,)</f>
        <v>bahan baku</v>
      </c>
      <c r="E45" s="6" t="str">
        <f>VLOOKUP(B45,Sheet3!$B$2:$E$312,4,)</f>
        <v>ML</v>
      </c>
      <c r="F45" s="21">
        <v>300.0</v>
      </c>
      <c r="G45" s="21" t="s">
        <v>1164</v>
      </c>
      <c r="H45" s="21" t="s">
        <v>1186</v>
      </c>
    </row>
    <row r="46" ht="15.75" customHeight="1">
      <c r="A46" s="20">
        <v>46029.0</v>
      </c>
      <c r="B46" s="21" t="s">
        <v>150</v>
      </c>
      <c r="C46" s="6" t="str">
        <f>VLOOKUP(B46,Sheet3!$B$2:$E$312,2,FALSE)</f>
        <v>B001-066</v>
      </c>
      <c r="D46" s="6" t="str">
        <f>VLOOKUP(B46,Sheet3!$B$2:$E$312,3,)</f>
        <v>bahan baku</v>
      </c>
      <c r="E46" s="6" t="str">
        <f>VLOOKUP(B46,Sheet3!$B$2:$E$312,4,)</f>
        <v>PCS</v>
      </c>
      <c r="F46" s="21">
        <v>1.0</v>
      </c>
      <c r="G46" s="21" t="s">
        <v>1418</v>
      </c>
      <c r="H46" s="21" t="s">
        <v>1400</v>
      </c>
    </row>
    <row r="47" ht="15.75" customHeight="1">
      <c r="A47" s="20">
        <v>46029.0</v>
      </c>
      <c r="B47" s="21" t="s">
        <v>657</v>
      </c>
      <c r="C47" s="6" t="str">
        <f>VLOOKUP(B47,Sheet3!$B$2:$E$312,2,FALSE)</f>
        <v>P004-023</v>
      </c>
      <c r="D47" s="6" t="str">
        <f>VLOOKUP(B47,Sheet3!$B$2:$E$312,3,)</f>
        <v>barang jadi &amp; bahan baku</v>
      </c>
      <c r="E47" s="21" t="s">
        <v>78</v>
      </c>
      <c r="F47" s="21">
        <v>650.0</v>
      </c>
      <c r="G47" s="21" t="s">
        <v>1390</v>
      </c>
      <c r="H47" s="21" t="s">
        <v>1186</v>
      </c>
    </row>
    <row r="48" ht="15.75" customHeight="1">
      <c r="A48" s="20">
        <v>46029.0</v>
      </c>
      <c r="B48" s="21" t="s">
        <v>653</v>
      </c>
      <c r="C48" s="6" t="str">
        <f>VLOOKUP(B48,Sheet3!$B$2:$E$312,2,FALSE)</f>
        <v>P004-022</v>
      </c>
      <c r="D48" s="6" t="str">
        <f>VLOOKUP(B48,Sheet3!$B$2:$E$312,3,)</f>
        <v>barang jadi &amp; bahan baku</v>
      </c>
      <c r="E48" s="21" t="s">
        <v>1419</v>
      </c>
      <c r="F48" s="21">
        <v>700.0</v>
      </c>
      <c r="G48" s="21" t="s">
        <v>1390</v>
      </c>
      <c r="H48" s="21" t="s">
        <v>1186</v>
      </c>
    </row>
    <row r="49" ht="15.75" customHeight="1">
      <c r="A49" s="20">
        <v>46029.0</v>
      </c>
      <c r="B49" s="21" t="s">
        <v>135</v>
      </c>
      <c r="C49" s="6" t="str">
        <f>VLOOKUP(B49,Sheet3!$B$2:$E$312,2,FALSE)</f>
        <v>B001-058</v>
      </c>
      <c r="D49" s="6" t="str">
        <f>VLOOKUP(B49,Sheet3!$B$2:$E$312,3,)</f>
        <v>bahan baku</v>
      </c>
      <c r="E49" s="6" t="str">
        <f>VLOOKUP(B49,Sheet3!$B$2:$E$312,4,)</f>
        <v>GR</v>
      </c>
      <c r="F49" s="21">
        <v>192.0</v>
      </c>
      <c r="G49" s="21" t="s">
        <v>1245</v>
      </c>
      <c r="H49" s="21" t="s">
        <v>1384</v>
      </c>
    </row>
    <row r="50" ht="15.75" customHeight="1">
      <c r="A50" s="20">
        <v>46029.0</v>
      </c>
      <c r="B50" s="21" t="s">
        <v>805</v>
      </c>
      <c r="C50" s="6" t="str">
        <f>VLOOKUP(B50,Sheet3!$B$2:$E$312,2,FALSE)</f>
        <v>#N/A</v>
      </c>
      <c r="D50" s="6" t="str">
        <f>VLOOKUP(B50,Sheet3!$B$2:$E$312,3,)</f>
        <v>#N/A</v>
      </c>
      <c r="E50" s="6" t="str">
        <f>VLOOKUP(B50,Sheet3!$B$2:$E$312,4,)</f>
        <v>#N/A</v>
      </c>
      <c r="F50" s="21">
        <v>2500.0</v>
      </c>
      <c r="G50" s="21" t="s">
        <v>1390</v>
      </c>
      <c r="H50" s="21" t="s">
        <v>1186</v>
      </c>
    </row>
    <row r="51" ht="15.75" customHeight="1">
      <c r="A51" s="20">
        <v>46029.0</v>
      </c>
      <c r="B51" s="21" t="s">
        <v>132</v>
      </c>
      <c r="C51" s="6" t="str">
        <f>VLOOKUP(B51,Sheet3!$B$2:$E$312,2,FALSE)</f>
        <v>B001-057</v>
      </c>
      <c r="D51" s="6" t="str">
        <f>VLOOKUP(B51,Sheet3!$B$2:$E$312,3,)</f>
        <v>bahan baku</v>
      </c>
      <c r="E51" s="6" t="str">
        <f>VLOOKUP(B51,Sheet3!$B$2:$E$312,4,)</f>
        <v>GR</v>
      </c>
      <c r="F51" s="21">
        <v>45.0</v>
      </c>
      <c r="G51" s="21" t="s">
        <v>1164</v>
      </c>
      <c r="H51" s="21" t="s">
        <v>1400</v>
      </c>
    </row>
    <row r="52" ht="15.75" customHeight="1">
      <c r="A52" s="20">
        <v>46029.0</v>
      </c>
      <c r="B52" s="21" t="s">
        <v>360</v>
      </c>
      <c r="C52" s="6" t="str">
        <f>VLOOKUP(B52,Sheet3!$B$2:$E$312,2,FALSE)</f>
        <v>D003-001</v>
      </c>
      <c r="D52" s="6" t="str">
        <f>VLOOKUP(B52,Sheet3!$B$2:$E$312,3,)</f>
        <v>barang jadi</v>
      </c>
      <c r="E52" s="21" t="s">
        <v>78</v>
      </c>
      <c r="F52" s="21">
        <v>2000.0</v>
      </c>
      <c r="G52" s="21" t="s">
        <v>1390</v>
      </c>
      <c r="H52" s="21" t="s">
        <v>1186</v>
      </c>
    </row>
    <row r="53" ht="15.75" customHeight="1">
      <c r="A53" s="20">
        <v>46030.0</v>
      </c>
      <c r="B53" s="21" t="s">
        <v>294</v>
      </c>
      <c r="C53" s="6" t="str">
        <f>VLOOKUP(B53,Sheet3!$B$2:$E$312,2,FALSE)</f>
        <v>B001-123</v>
      </c>
      <c r="D53" s="6" t="str">
        <f>VLOOKUP(B53,Sheet3!$B$2:$E$312,3,)</f>
        <v>bahan baku</v>
      </c>
      <c r="E53" s="6" t="str">
        <f>VLOOKUP(B53,Sheet3!$B$2:$E$312,4,)</f>
        <v>PCS</v>
      </c>
      <c r="F53" s="21">
        <v>2.0</v>
      </c>
      <c r="G53" s="21" t="s">
        <v>1368</v>
      </c>
      <c r="H53" s="21" t="s">
        <v>1386</v>
      </c>
    </row>
    <row r="54" ht="15.75" customHeight="1">
      <c r="A54" s="20">
        <v>46030.0</v>
      </c>
      <c r="B54" s="21" t="s">
        <v>132</v>
      </c>
      <c r="C54" s="6" t="str">
        <f>VLOOKUP(B54,Sheet3!$B$2:$E$312,2,FALSE)</f>
        <v>B001-057</v>
      </c>
      <c r="D54" s="6" t="str">
        <f>VLOOKUP(B54,Sheet3!$B$2:$E$312,3,)</f>
        <v>bahan baku</v>
      </c>
      <c r="E54" s="6" t="str">
        <f>VLOOKUP(B54,Sheet3!$B$2:$E$312,4,)</f>
        <v>GR</v>
      </c>
      <c r="F54" s="21">
        <v>61.0</v>
      </c>
      <c r="G54" s="21" t="s">
        <v>1164</v>
      </c>
      <c r="H54" s="21" t="s">
        <v>1186</v>
      </c>
    </row>
    <row r="55" ht="15.75" customHeight="1">
      <c r="A55" s="20">
        <v>46030.0</v>
      </c>
      <c r="B55" s="21" t="s">
        <v>148</v>
      </c>
      <c r="C55" s="6" t="str">
        <f>VLOOKUP(B55,Sheet3!$B$2:$E$312,2,FALSE)</f>
        <v>B001-064</v>
      </c>
      <c r="D55" s="6" t="str">
        <f>VLOOKUP(B55,Sheet3!$B$2:$E$312,3,)</f>
        <v>bahan baku</v>
      </c>
      <c r="E55" s="6" t="str">
        <f>VLOOKUP(B55,Sheet3!$B$2:$E$312,4,)</f>
        <v>GR</v>
      </c>
      <c r="F55" s="21">
        <v>438.0</v>
      </c>
      <c r="G55" s="21" t="s">
        <v>1164</v>
      </c>
      <c r="H55" s="21" t="s">
        <v>1186</v>
      </c>
    </row>
    <row r="56" ht="15.75" customHeight="1">
      <c r="A56" s="20">
        <v>46030.0</v>
      </c>
      <c r="B56" s="21" t="s">
        <v>632</v>
      </c>
      <c r="C56" s="6" t="str">
        <f>VLOOKUP(B56,Sheet3!$B$2:$E$312,2,FALSE)</f>
        <v>P004-013</v>
      </c>
      <c r="D56" s="6" t="str">
        <f>VLOOKUP(B56,Sheet3!$B$2:$E$312,3,)</f>
        <v>barang jadi &amp; bahan baku</v>
      </c>
      <c r="E56" s="21" t="s">
        <v>20</v>
      </c>
      <c r="F56" s="21">
        <v>3085.0</v>
      </c>
      <c r="G56" s="21" t="s">
        <v>1164</v>
      </c>
      <c r="H56" s="21" t="s">
        <v>1290</v>
      </c>
    </row>
    <row r="57" ht="15.75" customHeight="1">
      <c r="A57" s="20">
        <v>46030.0</v>
      </c>
      <c r="B57" s="21" t="s">
        <v>508</v>
      </c>
      <c r="C57" s="6" t="str">
        <f>VLOOKUP(B57,Sheet3!$B$2:$E$312,2,FALSE)</f>
        <v>S001-005</v>
      </c>
      <c r="D57" s="6" t="str">
        <f>VLOOKUP(B57,Sheet3!$B$2:$E$312,3,)</f>
        <v>barang jadi</v>
      </c>
      <c r="E57" s="21" t="s">
        <v>20</v>
      </c>
      <c r="F57" s="21">
        <v>53.0</v>
      </c>
      <c r="G57" s="21" t="s">
        <v>1164</v>
      </c>
      <c r="H57" s="21" t="s">
        <v>1290</v>
      </c>
    </row>
    <row r="58" ht="15.75" customHeight="1">
      <c r="A58" s="20">
        <v>46031.0</v>
      </c>
      <c r="B58" s="21" t="s">
        <v>604</v>
      </c>
      <c r="C58" s="6" t="str">
        <f>VLOOKUP(B58,Sheet3!$B$2:$E$312,2,FALSE)</f>
        <v>I001-001</v>
      </c>
      <c r="D58" s="6" t="str">
        <f>VLOOKUP(B58,Sheet3!$B$2:$E$312,3,)</f>
        <v>barang jadi &amp; bahan baku</v>
      </c>
      <c r="E58" s="6" t="str">
        <f>VLOOKUP(B58,Sheet3!$B$2:$E$312,4,)</f>
        <v>PORSI</v>
      </c>
      <c r="F58" s="21">
        <v>49.0</v>
      </c>
      <c r="G58" s="21" t="s">
        <v>1402</v>
      </c>
      <c r="H58" s="21" t="s">
        <v>1225</v>
      </c>
    </row>
    <row r="59" ht="15.75" customHeight="1">
      <c r="A59" s="20">
        <v>46031.0</v>
      </c>
      <c r="B59" s="21" t="s">
        <v>74</v>
      </c>
      <c r="C59" s="6" t="str">
        <f>VLOOKUP(B59,Sheet3!$B$2:$E$312,2,FALSE)</f>
        <v>B001-031</v>
      </c>
      <c r="D59" s="6" t="str">
        <f>VLOOKUP(B59,Sheet3!$B$2:$E$312,3,)</f>
        <v>bahan baku</v>
      </c>
      <c r="E59" s="6" t="str">
        <f>VLOOKUP(B59,Sheet3!$B$2:$E$312,4,)</f>
        <v>PCS</v>
      </c>
      <c r="F59" s="21">
        <v>3.0</v>
      </c>
      <c r="G59" s="21" t="s">
        <v>1404</v>
      </c>
      <c r="H59" s="21" t="s">
        <v>1406</v>
      </c>
    </row>
    <row r="60" ht="15.75" customHeight="1">
      <c r="A60" s="20">
        <v>46031.0</v>
      </c>
      <c r="B60" s="21" t="s">
        <v>667</v>
      </c>
      <c r="C60" s="6" t="str">
        <f>VLOOKUP(B60,Sheet3!$B$2:$E$312,2,FALSE)</f>
        <v>P004-026</v>
      </c>
      <c r="D60" s="6" t="str">
        <f>VLOOKUP(B60,Sheet3!$B$2:$E$312,3,)</f>
        <v>barang jadi &amp; bahan baku</v>
      </c>
      <c r="E60" s="6" t="str">
        <f>VLOOKUP(B60,Sheet3!$B$2:$E$312,4,)</f>
        <v>GR</v>
      </c>
      <c r="F60" s="21">
        <v>230.0</v>
      </c>
      <c r="G60" s="21" t="s">
        <v>1164</v>
      </c>
      <c r="H60" s="21" t="s">
        <v>1384</v>
      </c>
    </row>
    <row r="61" ht="15.75" customHeight="1">
      <c r="A61" s="20">
        <v>46031.0</v>
      </c>
      <c r="B61" s="21" t="s">
        <v>65</v>
      </c>
      <c r="C61" s="6" t="str">
        <f>VLOOKUP(B61,Sheet3!$B$2:$E$312,2,FALSE)</f>
        <v>B001-023</v>
      </c>
      <c r="D61" s="6" t="str">
        <f>VLOOKUP(B61,Sheet3!$B$2:$E$312,3,)</f>
        <v>bahan baku</v>
      </c>
      <c r="E61" s="6" t="str">
        <f>VLOOKUP(B61,Sheet3!$B$2:$E$312,4,)</f>
        <v>GR</v>
      </c>
      <c r="F61" s="21">
        <v>70.0</v>
      </c>
      <c r="G61" s="21" t="s">
        <v>1164</v>
      </c>
      <c r="H61" s="21" t="s">
        <v>1384</v>
      </c>
    </row>
    <row r="62" ht="15.75" customHeight="1">
      <c r="A62" s="20">
        <v>46031.0</v>
      </c>
      <c r="B62" s="21" t="s">
        <v>23</v>
      </c>
      <c r="C62" s="6" t="str">
        <f>VLOOKUP(B62,Sheet3!$B$2:$E$312,2,FALSE)</f>
        <v>B001-004</v>
      </c>
      <c r="D62" s="6" t="str">
        <f>VLOOKUP(B62,Sheet3!$B$2:$E$312,3,)</f>
        <v>bahan baku</v>
      </c>
      <c r="E62" s="6" t="str">
        <f>VLOOKUP(B62,Sheet3!$B$2:$E$312,4,)</f>
        <v>PCS</v>
      </c>
      <c r="F62" s="21">
        <v>2.0</v>
      </c>
      <c r="G62" s="21" t="s">
        <v>1426</v>
      </c>
      <c r="H62" s="21" t="s">
        <v>1384</v>
      </c>
    </row>
    <row r="63" ht="15.75" customHeight="1">
      <c r="A63" s="20">
        <v>46031.0</v>
      </c>
      <c r="B63" s="21" t="s">
        <v>632</v>
      </c>
      <c r="C63" s="6" t="str">
        <f>VLOOKUP(B63,Sheet3!$B$2:$E$312,2,FALSE)</f>
        <v>P004-013</v>
      </c>
      <c r="D63" s="6" t="str">
        <f>VLOOKUP(B63,Sheet3!$B$2:$E$312,3,)</f>
        <v>barang jadi &amp; bahan baku</v>
      </c>
      <c r="E63" s="21" t="s">
        <v>20</v>
      </c>
      <c r="F63" s="21">
        <v>2155.0</v>
      </c>
      <c r="G63" s="21" t="s">
        <v>1426</v>
      </c>
      <c r="H63" s="21" t="s">
        <v>1373</v>
      </c>
    </row>
    <row r="64" ht="15.75" customHeight="1">
      <c r="A64" s="20">
        <v>46031.0</v>
      </c>
      <c r="B64" s="21" t="s">
        <v>360</v>
      </c>
      <c r="C64" s="6" t="str">
        <f>VLOOKUP(B64,Sheet3!$B$2:$E$312,2,FALSE)</f>
        <v>D003-001</v>
      </c>
      <c r="D64" s="21" t="s">
        <v>316</v>
      </c>
      <c r="E64" s="21" t="s">
        <v>78</v>
      </c>
      <c r="F64" s="21">
        <v>2000.0</v>
      </c>
      <c r="G64" s="21" t="s">
        <v>1390</v>
      </c>
      <c r="H64" s="21" t="s">
        <v>1186</v>
      </c>
    </row>
    <row r="65" ht="15.75" customHeight="1">
      <c r="A65" s="20">
        <v>46031.0</v>
      </c>
      <c r="B65" s="21" t="s">
        <v>805</v>
      </c>
      <c r="C65" s="6" t="str">
        <f>VLOOKUP(B65,Sheet3!$B$2:$E$312,2,FALSE)</f>
        <v>#N/A</v>
      </c>
      <c r="D65" s="6" t="str">
        <f>VLOOKUP(B65,Sheet3!$B$2:$E$312,3,)</f>
        <v>#N/A</v>
      </c>
      <c r="E65" s="6" t="str">
        <f>VLOOKUP(B65,Sheet3!$B$2:$E$312,4,)</f>
        <v>#N/A</v>
      </c>
      <c r="F65" s="21">
        <v>1000.0</v>
      </c>
      <c r="G65" s="21" t="s">
        <v>1390</v>
      </c>
      <c r="H65" s="21" t="s">
        <v>1186</v>
      </c>
    </row>
    <row r="66" ht="15.75" customHeight="1">
      <c r="A66" s="20">
        <v>46031.0</v>
      </c>
      <c r="B66" s="21" t="s">
        <v>653</v>
      </c>
      <c r="C66" s="6" t="str">
        <f>VLOOKUP(B66,Sheet3!$B$2:$E$312,2,FALSE)</f>
        <v>P004-022</v>
      </c>
      <c r="D66" s="6" t="str">
        <f>VLOOKUP(B66,Sheet3!$B$2:$E$312,3,)</f>
        <v>barang jadi &amp; bahan baku</v>
      </c>
      <c r="E66" s="21" t="s">
        <v>78</v>
      </c>
      <c r="F66" s="21">
        <v>550.0</v>
      </c>
      <c r="G66" s="21" t="s">
        <v>1390</v>
      </c>
      <c r="H66" s="21" t="s">
        <v>1186</v>
      </c>
    </row>
    <row r="67" ht="15.75" customHeight="1">
      <c r="A67" s="20">
        <v>46031.0</v>
      </c>
      <c r="B67" s="21" t="s">
        <v>657</v>
      </c>
      <c r="C67" s="6" t="str">
        <f>VLOOKUP(B67,Sheet3!$B$2:$E$312,2,FALSE)</f>
        <v>P004-023</v>
      </c>
      <c r="D67" s="6" t="str">
        <f>VLOOKUP(B67,Sheet3!$B$2:$E$312,3,)</f>
        <v>barang jadi &amp; bahan baku</v>
      </c>
      <c r="E67" s="21" t="s">
        <v>78</v>
      </c>
      <c r="F67" s="21">
        <v>600.0</v>
      </c>
      <c r="G67" s="21" t="s">
        <v>1390</v>
      </c>
      <c r="H67" s="21" t="s">
        <v>1186</v>
      </c>
    </row>
    <row r="68" ht="15.75" customHeight="1">
      <c r="A68" s="20">
        <v>46031.0</v>
      </c>
      <c r="B68" s="21" t="s">
        <v>648</v>
      </c>
      <c r="C68" s="6" t="str">
        <f>VLOOKUP(B68,Sheet3!$B$2:$E$312,2,FALSE)</f>
        <v>P004-020</v>
      </c>
      <c r="D68" s="6" t="str">
        <f>VLOOKUP(B68,Sheet3!$B$2:$E$312,3,)</f>
        <v>barang jadi &amp; bahan baku</v>
      </c>
      <c r="E68" s="6" t="str">
        <f>VLOOKUP(B68,Sheet3!$B$2:$E$312,4,)</f>
        <v>GR</v>
      </c>
      <c r="F68" s="21">
        <v>69.0</v>
      </c>
      <c r="G68" s="21" t="s">
        <v>1390</v>
      </c>
      <c r="H68" s="21" t="s">
        <v>1186</v>
      </c>
    </row>
    <row r="69" ht="15.75" customHeight="1">
      <c r="A69" s="20">
        <v>46032.0</v>
      </c>
      <c r="B69" s="21" t="s">
        <v>65</v>
      </c>
      <c r="C69" s="6" t="str">
        <f>VLOOKUP(B69,Sheet3!$B$2:$E$312,2,FALSE)</f>
        <v>B001-023</v>
      </c>
      <c r="D69" s="6" t="str">
        <f>VLOOKUP(B69,Sheet3!$B$2:$E$312,3,)</f>
        <v>bahan baku</v>
      </c>
      <c r="E69" s="21" t="s">
        <v>25</v>
      </c>
      <c r="F69" s="21">
        <v>2.0</v>
      </c>
      <c r="G69" s="21" t="s">
        <v>1428</v>
      </c>
      <c r="H69" s="21" t="s">
        <v>1290</v>
      </c>
    </row>
    <row r="70" ht="15.75" customHeight="1">
      <c r="A70" s="20">
        <v>46032.0</v>
      </c>
      <c r="B70" s="21" t="s">
        <v>471</v>
      </c>
      <c r="C70" s="6" t="str">
        <f>VLOOKUP(B70,Sheet3!$B$2:$E$312,2,FALSE)</f>
        <v>P001-001</v>
      </c>
      <c r="D70" s="6" t="str">
        <f>VLOOKUP(B70,Sheet3!$B$2:$E$312,3,)</f>
        <v>barang jadi</v>
      </c>
      <c r="E70" s="6" t="str">
        <f>VLOOKUP(B70,Sheet3!$B$2:$E$312,4,)</f>
        <v>PORSI</v>
      </c>
      <c r="F70" s="21">
        <v>1.0</v>
      </c>
      <c r="G70" s="21" t="s">
        <v>1333</v>
      </c>
      <c r="H70" s="21" t="s">
        <v>1290</v>
      </c>
    </row>
    <row r="71" ht="15.75" customHeight="1">
      <c r="A71" s="20">
        <v>46032.0</v>
      </c>
      <c r="B71" s="21" t="s">
        <v>502</v>
      </c>
      <c r="C71" s="6" t="str">
        <f>VLOOKUP(B71,Sheet3!$B$2:$E$312,2,FALSE)</f>
        <v>S001-002</v>
      </c>
      <c r="D71" s="6" t="str">
        <f>VLOOKUP(B71,Sheet3!$B$2:$E$312,3,)</f>
        <v>barang jadi</v>
      </c>
      <c r="E71" s="21" t="s">
        <v>20</v>
      </c>
      <c r="F71" s="21">
        <v>32.0</v>
      </c>
      <c r="G71" s="21" t="s">
        <v>1377</v>
      </c>
      <c r="H71" s="21" t="s">
        <v>1290</v>
      </c>
    </row>
    <row r="72" ht="15.75" customHeight="1">
      <c r="A72" s="20">
        <v>46032.0</v>
      </c>
      <c r="B72" s="21" t="s">
        <v>150</v>
      </c>
      <c r="C72" s="6" t="str">
        <f>VLOOKUP(B72,Sheet3!$B$2:$E$312,2,FALSE)</f>
        <v>B001-066</v>
      </c>
      <c r="D72" s="6" t="str">
        <f>VLOOKUP(B72,Sheet3!$B$2:$E$312,3,)</f>
        <v>bahan baku</v>
      </c>
      <c r="E72" s="6" t="str">
        <f>VLOOKUP(B72,Sheet3!$B$2:$E$312,4,)</f>
        <v>PCS</v>
      </c>
      <c r="F72" s="21">
        <v>1.0</v>
      </c>
      <c r="G72" s="21" t="s">
        <v>1333</v>
      </c>
      <c r="H72" s="21" t="s">
        <v>1225</v>
      </c>
    </row>
    <row r="73" ht="15.75" customHeight="1">
      <c r="A73" s="20">
        <v>46032.0</v>
      </c>
      <c r="B73" s="21" t="s">
        <v>698</v>
      </c>
      <c r="C73" s="6" t="str">
        <f>VLOOKUP(B73,Sheet3!$B$2:$E$312,2,FALSE)</f>
        <v>P004-038</v>
      </c>
      <c r="D73" s="6" t="str">
        <f>VLOOKUP(B73,Sheet3!$B$2:$E$312,3,)</f>
        <v>barang jadi &amp; bahan baku</v>
      </c>
      <c r="E73" s="6" t="str">
        <f>VLOOKUP(B73,Sheet3!$B$2:$E$312,4,)</f>
        <v>PCS</v>
      </c>
      <c r="F73" s="21">
        <v>1.0</v>
      </c>
      <c r="G73" s="21" t="s">
        <v>1164</v>
      </c>
      <c r="H73" s="21" t="s">
        <v>1384</v>
      </c>
    </row>
    <row r="74" ht="15.75" customHeight="1">
      <c r="A74" s="20">
        <v>46032.0</v>
      </c>
      <c r="B74" s="21" t="s">
        <v>298</v>
      </c>
      <c r="C74" s="6" t="str">
        <f>VLOOKUP(B74,Sheet3!$B$2:$E$312,2,FALSE)</f>
        <v>B001-125</v>
      </c>
      <c r="D74" s="6" t="str">
        <f>VLOOKUP(B74,Sheet3!$B$2:$E$312,3,)</f>
        <v>bahan baku</v>
      </c>
      <c r="E74" s="6" t="str">
        <f>VLOOKUP(B74,Sheet3!$B$2:$E$312,4,)</f>
        <v>GR</v>
      </c>
      <c r="F74" s="21">
        <v>325.0</v>
      </c>
      <c r="G74" s="21" t="s">
        <v>1224</v>
      </c>
      <c r="H74" s="21" t="s">
        <v>1384</v>
      </c>
    </row>
    <row r="75" ht="15.75" customHeight="1">
      <c r="A75" s="20">
        <v>46032.0</v>
      </c>
      <c r="B75" s="21" t="s">
        <v>362</v>
      </c>
      <c r="C75" s="6" t="str">
        <f>VLOOKUP(B75,Sheet3!$B$2:$E$312,2,FALSE)</f>
        <v>D003-003</v>
      </c>
      <c r="D75" s="6" t="str">
        <f>VLOOKUP(B75,Sheet3!$B$2:$E$312,3,)</f>
        <v>barang jadi</v>
      </c>
      <c r="E75" s="21" t="s">
        <v>78</v>
      </c>
      <c r="F75" s="21">
        <v>1000.0</v>
      </c>
      <c r="G75" s="21" t="s">
        <v>1390</v>
      </c>
      <c r="H75" s="21" t="s">
        <v>1186</v>
      </c>
    </row>
    <row r="76" ht="15.75" customHeight="1">
      <c r="A76" s="20">
        <v>46033.0</v>
      </c>
      <c r="B76" s="21" t="s">
        <v>360</v>
      </c>
      <c r="C76" s="6" t="str">
        <f>VLOOKUP(B76,Sheet3!$B$2:$E$312,2,FALSE)</f>
        <v>D003-001</v>
      </c>
      <c r="D76" s="6" t="str">
        <f>VLOOKUP(B76,Sheet3!$B$2:$E$312,3,)</f>
        <v>barang jadi</v>
      </c>
      <c r="E76" s="21" t="s">
        <v>78</v>
      </c>
      <c r="F76" s="21">
        <v>1000.0</v>
      </c>
      <c r="G76" s="21" t="s">
        <v>1390</v>
      </c>
      <c r="H76" s="21" t="s">
        <v>1186</v>
      </c>
    </row>
    <row r="77" ht="15.75" customHeight="1">
      <c r="A77" s="20">
        <v>46033.0</v>
      </c>
      <c r="B77" s="21" t="s">
        <v>111</v>
      </c>
      <c r="C77" s="6" t="str">
        <f>VLOOKUP(B77,Sheet3!$B$2:$E$312,2,FALSE)</f>
        <v>B001-047</v>
      </c>
      <c r="D77" s="6" t="str">
        <f>VLOOKUP(B77,Sheet3!$B$2:$E$312,3,)</f>
        <v>bahan baku</v>
      </c>
      <c r="E77" s="6" t="str">
        <f>VLOOKUP(B77,Sheet3!$B$2:$E$312,4,)</f>
        <v>GR</v>
      </c>
      <c r="F77" s="21">
        <v>450.0</v>
      </c>
      <c r="G77" s="21" t="s">
        <v>1390</v>
      </c>
      <c r="H77" s="21" t="s">
        <v>1186</v>
      </c>
    </row>
    <row r="78" ht="15.75" customHeight="1">
      <c r="A78" s="20">
        <v>46033.0</v>
      </c>
      <c r="B78" s="21" t="s">
        <v>23</v>
      </c>
      <c r="C78" s="6" t="str">
        <f>VLOOKUP(B78,Sheet3!$B$2:$E$312,2,FALSE)</f>
        <v>B001-004</v>
      </c>
      <c r="D78" s="6" t="str">
        <f>VLOOKUP(B78,Sheet3!$B$2:$E$312,3,)</f>
        <v>bahan baku</v>
      </c>
      <c r="E78" s="6" t="str">
        <f>VLOOKUP(B78,Sheet3!$B$2:$E$312,4,)</f>
        <v>PCS</v>
      </c>
      <c r="F78" s="21">
        <v>2.0</v>
      </c>
      <c r="G78" s="21" t="s">
        <v>1433</v>
      </c>
      <c r="H78" s="21" t="s">
        <v>1406</v>
      </c>
    </row>
    <row r="79" ht="15.75" customHeight="1">
      <c r="A79" s="20">
        <v>46033.0</v>
      </c>
      <c r="B79" s="21" t="s">
        <v>648</v>
      </c>
      <c r="C79" s="6" t="str">
        <f>VLOOKUP(B79,Sheet3!$B$2:$E$312,2,FALSE)</f>
        <v>P004-020</v>
      </c>
      <c r="D79" s="6" t="str">
        <f>VLOOKUP(B79,Sheet3!$B$2:$E$312,3,)</f>
        <v>barang jadi &amp; bahan baku</v>
      </c>
      <c r="E79" s="6" t="str">
        <f>VLOOKUP(B79,Sheet3!$B$2:$E$312,4,)</f>
        <v>GR</v>
      </c>
      <c r="F79" s="21">
        <v>250.0</v>
      </c>
      <c r="G79" s="21" t="s">
        <v>1164</v>
      </c>
      <c r="H79" s="21" t="s">
        <v>1186</v>
      </c>
    </row>
    <row r="80" ht="15.75" customHeight="1">
      <c r="A80" s="20">
        <v>46034.0</v>
      </c>
      <c r="B80" s="21" t="s">
        <v>604</v>
      </c>
      <c r="C80" s="6" t="str">
        <f>VLOOKUP(B80,Sheet3!$B$2:$E$312,2,FALSE)</f>
        <v>I001-001</v>
      </c>
      <c r="D80" s="6" t="str">
        <f>VLOOKUP(B80,Sheet3!$B$2:$E$312,3,)</f>
        <v>barang jadi &amp; bahan baku</v>
      </c>
      <c r="E80" s="6" t="str">
        <f>VLOOKUP(B80,Sheet3!$B$2:$E$312,4,)</f>
        <v>PORSI</v>
      </c>
      <c r="F80" s="21">
        <v>5.0</v>
      </c>
      <c r="G80" s="21" t="s">
        <v>1402</v>
      </c>
      <c r="H80" s="21" t="s">
        <v>1186</v>
      </c>
    </row>
    <row r="81" ht="15.75" customHeight="1">
      <c r="A81" s="20">
        <v>46034.0</v>
      </c>
      <c r="B81" s="21" t="s">
        <v>294</v>
      </c>
      <c r="C81" s="6" t="str">
        <f>VLOOKUP(B81,Sheet3!$B$2:$E$312,2,FALSE)</f>
        <v>B001-123</v>
      </c>
      <c r="D81" s="6" t="str">
        <f>VLOOKUP(B81,Sheet3!$B$2:$E$312,3,)</f>
        <v>bahan baku</v>
      </c>
      <c r="E81" s="6" t="str">
        <f>VLOOKUP(B81,Sheet3!$B$2:$E$312,4,)</f>
        <v>PCS</v>
      </c>
      <c r="F81" s="21">
        <v>1.0</v>
      </c>
      <c r="G81" s="21" t="s">
        <v>1435</v>
      </c>
      <c r="H81" s="21" t="s">
        <v>1186</v>
      </c>
    </row>
    <row r="82" ht="15.75" customHeight="1">
      <c r="A82" s="20">
        <v>46034.0</v>
      </c>
      <c r="B82" s="21" t="s">
        <v>632</v>
      </c>
      <c r="C82" s="6" t="str">
        <f>VLOOKUP(B82,Sheet3!$B$2:$E$312,2,FALSE)</f>
        <v>P004-013</v>
      </c>
      <c r="D82" s="6" t="str">
        <f>VLOOKUP(B82,Sheet3!$B$2:$E$312,3,)</f>
        <v>barang jadi &amp; bahan baku</v>
      </c>
      <c r="E82" s="21" t="s">
        <v>1374</v>
      </c>
      <c r="F82" s="21">
        <v>2385.0</v>
      </c>
      <c r="G82" s="21" t="s">
        <v>1333</v>
      </c>
      <c r="H82" s="21" t="s">
        <v>1225</v>
      </c>
    </row>
    <row r="83" ht="15.75" customHeight="1">
      <c r="A83" s="20">
        <v>46034.0</v>
      </c>
      <c r="B83" s="21" t="s">
        <v>653</v>
      </c>
      <c r="C83" s="6" t="str">
        <f>VLOOKUP(B83,Sheet3!$B$2:$E$312,2,FALSE)</f>
        <v>P004-022</v>
      </c>
      <c r="D83" s="6" t="str">
        <f>VLOOKUP(B83,Sheet3!$B$2:$E$312,3,)</f>
        <v>barang jadi &amp; bahan baku</v>
      </c>
      <c r="E83" s="21" t="s">
        <v>1436</v>
      </c>
      <c r="F83" s="21">
        <v>1700.0</v>
      </c>
      <c r="G83" s="21" t="s">
        <v>1164</v>
      </c>
      <c r="H83" s="21" t="s">
        <v>1225</v>
      </c>
    </row>
    <row r="84" ht="15.75" customHeight="1">
      <c r="A84" s="17"/>
      <c r="B84" s="6"/>
      <c r="C84" s="6" t="str">
        <f>VLOOKUP(B84,Sheet3!$B$2:$E$312,2,FALSE)</f>
        <v>#N/A</v>
      </c>
      <c r="D84" s="6" t="str">
        <f>VLOOKUP(B84,Sheet3!$B$2:$E$312,3,)</f>
        <v>#N/A</v>
      </c>
      <c r="E84" s="6" t="str">
        <f>VLOOKUP(B84,Sheet3!$B$2:$E$312,4,)</f>
        <v>#N/A</v>
      </c>
      <c r="F84" s="6"/>
      <c r="G84" s="6"/>
      <c r="H84" s="6"/>
    </row>
    <row r="85" ht="15.75" customHeight="1">
      <c r="A85" s="17"/>
      <c r="B85" s="6"/>
      <c r="C85" s="6" t="str">
        <f>VLOOKUP(B85,Sheet3!$B$2:$E$312,2,FALSE)</f>
        <v>#N/A</v>
      </c>
      <c r="D85" s="6" t="str">
        <f>VLOOKUP(B85,Sheet3!$B$2:$E$312,3,)</f>
        <v>#N/A</v>
      </c>
      <c r="E85" s="6" t="str">
        <f>VLOOKUP(B85,Sheet3!$B$2:$E$312,4,)</f>
        <v>#N/A</v>
      </c>
      <c r="F85" s="6"/>
      <c r="G85" s="6"/>
      <c r="H85" s="6"/>
    </row>
    <row r="86" ht="15.75" customHeight="1">
      <c r="A86" s="17"/>
      <c r="B86" s="6"/>
      <c r="C86" s="6" t="str">
        <f>VLOOKUP(B86,Sheet3!$B$2:$E$312,2,FALSE)</f>
        <v>#N/A</v>
      </c>
      <c r="D86" s="6" t="str">
        <f>VLOOKUP(B86,Sheet3!$B$2:$E$312,3,)</f>
        <v>#N/A</v>
      </c>
      <c r="E86" s="6" t="str">
        <f>VLOOKUP(B86,Sheet3!$B$2:$E$312,4,)</f>
        <v>#N/A</v>
      </c>
      <c r="F86" s="6"/>
      <c r="G86" s="6"/>
      <c r="H86" s="6"/>
    </row>
    <row r="87" ht="15.75" customHeight="1">
      <c r="A87" s="17"/>
      <c r="B87" s="6"/>
      <c r="C87" s="6" t="str">
        <f>VLOOKUP(B87,Sheet3!$B$2:$E$312,2,FALSE)</f>
        <v>#N/A</v>
      </c>
      <c r="D87" s="6" t="str">
        <f>VLOOKUP(B87,Sheet3!$B$2:$E$312,3,)</f>
        <v>#N/A</v>
      </c>
      <c r="E87" s="6" t="str">
        <f>VLOOKUP(B87,Sheet3!$B$2:$E$312,4,)</f>
        <v>#N/A</v>
      </c>
      <c r="F87" s="6"/>
      <c r="G87" s="6"/>
      <c r="H87" s="6"/>
    </row>
    <row r="88" ht="15.75" customHeight="1">
      <c r="A88" s="17"/>
      <c r="B88" s="6"/>
      <c r="C88" s="6" t="str">
        <f>VLOOKUP(B88,Sheet3!$B$2:$E$312,2,FALSE)</f>
        <v>#N/A</v>
      </c>
      <c r="D88" s="6" t="str">
        <f>VLOOKUP(B88,Sheet3!$B$2:$E$312,3,)</f>
        <v>#N/A</v>
      </c>
      <c r="E88" s="6" t="str">
        <f>VLOOKUP(B88,Sheet3!$B$2:$E$312,4,)</f>
        <v>#N/A</v>
      </c>
      <c r="F88" s="6"/>
      <c r="G88" s="6"/>
      <c r="H88" s="6"/>
    </row>
    <row r="89" ht="15.75" customHeight="1">
      <c r="A89" s="17"/>
      <c r="B89" s="6"/>
      <c r="C89" s="6" t="str">
        <f>VLOOKUP(B89,Sheet3!$B$2:$E$312,2,FALSE)</f>
        <v>#N/A</v>
      </c>
      <c r="D89" s="6" t="str">
        <f>VLOOKUP(B89,Sheet3!$B$2:$E$312,3,)</f>
        <v>#N/A</v>
      </c>
      <c r="E89" s="6" t="str">
        <f>VLOOKUP(B89,Sheet3!$B$2:$E$312,4,)</f>
        <v>#N/A</v>
      </c>
      <c r="F89" s="6"/>
      <c r="G89" s="6"/>
      <c r="H89" s="6"/>
    </row>
    <row r="90" ht="15.75" customHeight="1">
      <c r="A90" s="17"/>
      <c r="B90" s="6"/>
      <c r="C90" s="6" t="str">
        <f>VLOOKUP(B90,Sheet3!$B$2:$E$312,2,FALSE)</f>
        <v>#N/A</v>
      </c>
      <c r="D90" s="6" t="str">
        <f>VLOOKUP(B90,Sheet3!$B$2:$E$312,3,)</f>
        <v>#N/A</v>
      </c>
      <c r="E90" s="6" t="str">
        <f>VLOOKUP(B90,Sheet3!$B$2:$E$312,4,)</f>
        <v>#N/A</v>
      </c>
      <c r="F90" s="6"/>
      <c r="G90" s="6"/>
      <c r="H90" s="6"/>
    </row>
    <row r="91" ht="15.75" customHeight="1">
      <c r="A91" s="17"/>
      <c r="B91" s="6"/>
      <c r="C91" s="6" t="str">
        <f>VLOOKUP(B91,Sheet3!$B$2:$E$312,2,FALSE)</f>
        <v>#N/A</v>
      </c>
      <c r="D91" s="6" t="str">
        <f>VLOOKUP(B91,Sheet3!$B$2:$E$312,3,)</f>
        <v>#N/A</v>
      </c>
      <c r="E91" s="6" t="str">
        <f>VLOOKUP(B91,Sheet3!$B$2:$E$312,4,)</f>
        <v>#N/A</v>
      </c>
      <c r="F91" s="6"/>
      <c r="G91" s="6"/>
      <c r="H91" s="6"/>
    </row>
    <row r="92" ht="15.75" customHeight="1">
      <c r="A92" s="17"/>
      <c r="B92" s="6"/>
      <c r="C92" s="6" t="str">
        <f>VLOOKUP(B92,Sheet3!$B$2:$E$312,2,FALSE)</f>
        <v>#N/A</v>
      </c>
      <c r="D92" s="6" t="str">
        <f>VLOOKUP(B92,Sheet3!$B$2:$E$312,3,)</f>
        <v>#N/A</v>
      </c>
      <c r="E92" s="6" t="str">
        <f>VLOOKUP(B92,Sheet3!$B$2:$E$312,4,)</f>
        <v>#N/A</v>
      </c>
      <c r="F92" s="6"/>
      <c r="G92" s="6"/>
      <c r="H92" s="6"/>
    </row>
    <row r="93" ht="15.75" customHeight="1">
      <c r="A93" s="17"/>
      <c r="B93" s="6"/>
      <c r="C93" s="6" t="str">
        <f>VLOOKUP(B93,Sheet3!$B$2:$E$312,2,FALSE)</f>
        <v>#N/A</v>
      </c>
      <c r="D93" s="6" t="str">
        <f>VLOOKUP(B93,Sheet3!$B$2:$E$312,3,)</f>
        <v>#N/A</v>
      </c>
      <c r="E93" s="6" t="str">
        <f>VLOOKUP(B93,Sheet3!$B$2:$E$312,4,)</f>
        <v>#N/A</v>
      </c>
      <c r="F93" s="6"/>
      <c r="G93" s="6"/>
      <c r="H93" s="6"/>
    </row>
    <row r="94" ht="15.75" customHeight="1">
      <c r="A94" s="17"/>
      <c r="B94" s="6"/>
      <c r="C94" s="6" t="str">
        <f>VLOOKUP(B94,Sheet3!$B$2:$E$312,2,FALSE)</f>
        <v>#N/A</v>
      </c>
      <c r="D94" s="6" t="str">
        <f>VLOOKUP(B94,Sheet3!$B$2:$E$312,3,)</f>
        <v>#N/A</v>
      </c>
      <c r="E94" s="6" t="str">
        <f>VLOOKUP(B94,Sheet3!$B$2:$E$312,4,)</f>
        <v>#N/A</v>
      </c>
      <c r="F94" s="6"/>
      <c r="G94" s="6"/>
      <c r="H94" s="6"/>
    </row>
    <row r="95" ht="15.75" customHeight="1">
      <c r="A95" s="17"/>
      <c r="B95" s="6"/>
      <c r="C95" s="6" t="str">
        <f>VLOOKUP(B95,Sheet3!$B$2:$E$312,2,FALSE)</f>
        <v>#N/A</v>
      </c>
      <c r="D95" s="6" t="str">
        <f>VLOOKUP(B95,Sheet3!$B$2:$E$312,3,)</f>
        <v>#N/A</v>
      </c>
      <c r="E95" s="6" t="str">
        <f>VLOOKUP(B95,Sheet3!$B$2:$E$312,4,)</f>
        <v>#N/A</v>
      </c>
      <c r="F95" s="6"/>
      <c r="G95" s="6"/>
      <c r="H95" s="6"/>
    </row>
    <row r="96" ht="15.75" customHeight="1">
      <c r="A96" s="17"/>
      <c r="B96" s="6"/>
      <c r="C96" s="6" t="str">
        <f>VLOOKUP(B96,Sheet3!$B$2:$E$312,2,FALSE)</f>
        <v>#N/A</v>
      </c>
      <c r="D96" s="6" t="str">
        <f>VLOOKUP(B96,Sheet3!$B$2:$E$312,3,)</f>
        <v>#N/A</v>
      </c>
      <c r="E96" s="6" t="str">
        <f>VLOOKUP(B96,Sheet3!$B$2:$E$312,4,)</f>
        <v>#N/A</v>
      </c>
      <c r="F96" s="6"/>
      <c r="G96" s="6"/>
      <c r="H96" s="6"/>
    </row>
    <row r="97" ht="15.75" customHeight="1">
      <c r="A97" s="17"/>
      <c r="B97" s="6"/>
      <c r="C97" s="6" t="str">
        <f>VLOOKUP(B97,Sheet3!$B$2:$E$312,2,FALSE)</f>
        <v>#N/A</v>
      </c>
      <c r="D97" s="6" t="str">
        <f>VLOOKUP(B97,Sheet3!$B$2:$E$312,3,)</f>
        <v>#N/A</v>
      </c>
      <c r="E97" s="6" t="str">
        <f>VLOOKUP(B97,Sheet3!$B$2:$E$312,4,)</f>
        <v>#N/A</v>
      </c>
      <c r="F97" s="6"/>
      <c r="G97" s="6"/>
      <c r="H97" s="6"/>
    </row>
    <row r="98" ht="15.75" customHeight="1">
      <c r="A98" s="17"/>
      <c r="B98" s="6"/>
      <c r="C98" s="6" t="str">
        <f>VLOOKUP(B98,Sheet3!$B$2:$E$312,2,FALSE)</f>
        <v>#N/A</v>
      </c>
      <c r="D98" s="6" t="str">
        <f>VLOOKUP(B98,Sheet3!$B$2:$E$312,3,)</f>
        <v>#N/A</v>
      </c>
      <c r="E98" s="6" t="str">
        <f>VLOOKUP(B98,Sheet3!$B$2:$E$312,4,)</f>
        <v>#N/A</v>
      </c>
      <c r="F98" s="6"/>
      <c r="G98" s="6"/>
      <c r="H98" s="6"/>
    </row>
    <row r="99" ht="15.75" customHeight="1">
      <c r="A99" s="17"/>
      <c r="B99" s="6"/>
      <c r="C99" s="6" t="str">
        <f>VLOOKUP(B99,Sheet3!$B$2:$E$312,2,FALSE)</f>
        <v>#N/A</v>
      </c>
      <c r="D99" s="6" t="str">
        <f>VLOOKUP(B99,Sheet3!$B$2:$E$312,3,)</f>
        <v>#N/A</v>
      </c>
      <c r="E99" s="6" t="str">
        <f>VLOOKUP(B99,Sheet3!$B$2:$E$312,4,)</f>
        <v>#N/A</v>
      </c>
      <c r="F99" s="6"/>
      <c r="G99" s="6"/>
      <c r="H99" s="6"/>
    </row>
    <row r="100" ht="15.75" customHeight="1">
      <c r="A100" s="17"/>
      <c r="B100" s="6"/>
      <c r="C100" s="6" t="str">
        <f>VLOOKUP(B100,Sheet3!$B$2:$E$312,2,FALSE)</f>
        <v>#N/A</v>
      </c>
      <c r="D100" s="6" t="str">
        <f>VLOOKUP(B100,Sheet3!$B$2:$E$312,3,)</f>
        <v>#N/A</v>
      </c>
      <c r="E100" s="6" t="str">
        <f>VLOOKUP(B100,Sheet3!$B$2:$E$312,4,)</f>
        <v>#N/A</v>
      </c>
      <c r="F100" s="6"/>
      <c r="G100" s="6"/>
      <c r="H100" s="6"/>
    </row>
    <row r="101" ht="15.75" customHeight="1">
      <c r="A101" s="17"/>
      <c r="B101" s="6"/>
      <c r="C101" s="6" t="str">
        <f>VLOOKUP(B101,Sheet3!$B$2:$E$312,2,FALSE)</f>
        <v>#N/A</v>
      </c>
      <c r="D101" s="6" t="str">
        <f>VLOOKUP(B101,Sheet3!$B$2:$E$312,3,)</f>
        <v>#N/A</v>
      </c>
      <c r="E101" s="6" t="str">
        <f>VLOOKUP(B101,Sheet3!$B$2:$E$312,4,)</f>
        <v>#N/A</v>
      </c>
      <c r="F101" s="6"/>
      <c r="G101" s="6"/>
      <c r="H101" s="6"/>
    </row>
    <row r="102" ht="15.75" customHeight="1">
      <c r="A102" s="17"/>
      <c r="B102" s="6"/>
      <c r="C102" s="6" t="str">
        <f>VLOOKUP(B102,Sheet3!$B$2:$E$312,2,FALSE)</f>
        <v>#N/A</v>
      </c>
      <c r="D102" s="6" t="str">
        <f>VLOOKUP(B102,Sheet3!$B$2:$E$312,3,)</f>
        <v>#N/A</v>
      </c>
      <c r="E102" s="6" t="str">
        <f>VLOOKUP(B102,Sheet3!$B$2:$E$312,4,)</f>
        <v>#N/A</v>
      </c>
      <c r="F102" s="6"/>
      <c r="G102" s="6"/>
      <c r="H102" s="6"/>
    </row>
    <row r="103" ht="15.75" customHeight="1">
      <c r="A103" s="17"/>
      <c r="B103" s="6"/>
      <c r="C103" s="6" t="str">
        <f>VLOOKUP(B103,Sheet3!$B$2:$E$312,2,FALSE)</f>
        <v>#N/A</v>
      </c>
      <c r="D103" s="6" t="str">
        <f>VLOOKUP(B103,Sheet3!$B$2:$E$312,3,)</f>
        <v>#N/A</v>
      </c>
      <c r="E103" s="6" t="str">
        <f>VLOOKUP(B103,Sheet3!$B$2:$E$312,4,)</f>
        <v>#N/A</v>
      </c>
      <c r="F103" s="6"/>
      <c r="G103" s="6"/>
      <c r="H103" s="6"/>
    </row>
    <row r="104" ht="15.75" customHeight="1">
      <c r="A104" s="17"/>
      <c r="B104" s="6"/>
      <c r="C104" s="6" t="str">
        <f>VLOOKUP(B104,Sheet3!$B$2:$E$312,2,FALSE)</f>
        <v>#N/A</v>
      </c>
      <c r="D104" s="6" t="str">
        <f>VLOOKUP(B104,Sheet3!$B$2:$E$312,3,)</f>
        <v>#N/A</v>
      </c>
      <c r="E104" s="6" t="str">
        <f>VLOOKUP(B104,Sheet3!$B$2:$E$312,4,)</f>
        <v>#N/A</v>
      </c>
      <c r="F104" s="6"/>
      <c r="G104" s="6"/>
      <c r="H104" s="6"/>
    </row>
    <row r="105" ht="15.75" customHeight="1">
      <c r="A105" s="17"/>
      <c r="B105" s="6"/>
      <c r="C105" s="6" t="str">
        <f>VLOOKUP(B105,Sheet3!$B$2:$E$312,2,FALSE)</f>
        <v>#N/A</v>
      </c>
      <c r="D105" s="6" t="str">
        <f>VLOOKUP(B105,Sheet3!$B$2:$E$312,3,)</f>
        <v>#N/A</v>
      </c>
      <c r="E105" s="6" t="str">
        <f>VLOOKUP(B105,Sheet3!$B$2:$E$312,4,)</f>
        <v>#N/A</v>
      </c>
      <c r="F105" s="6"/>
      <c r="G105" s="6"/>
      <c r="H105" s="6"/>
    </row>
    <row r="106" ht="15.75" customHeight="1">
      <c r="A106" s="17"/>
      <c r="B106" s="6"/>
      <c r="C106" s="6" t="str">
        <f>VLOOKUP(B106,Sheet3!$B$2:$E$312,2,FALSE)</f>
        <v>#N/A</v>
      </c>
      <c r="D106" s="6" t="str">
        <f>VLOOKUP(B106,Sheet3!$B$2:$E$312,3,)</f>
        <v>#N/A</v>
      </c>
      <c r="E106" s="6" t="str">
        <f>VLOOKUP(B106,Sheet3!$B$2:$E$312,4,)</f>
        <v>#N/A</v>
      </c>
      <c r="F106" s="6"/>
      <c r="G106" s="6"/>
      <c r="H106" s="6"/>
    </row>
    <row r="107" ht="15.75" customHeight="1">
      <c r="A107" s="17"/>
      <c r="B107" s="6"/>
      <c r="C107" s="6" t="str">
        <f>VLOOKUP(B107,Sheet3!$B$2:$E$312,2,FALSE)</f>
        <v>#N/A</v>
      </c>
      <c r="D107" s="6" t="str">
        <f>VLOOKUP(B107,Sheet3!$B$2:$E$312,3,)</f>
        <v>#N/A</v>
      </c>
      <c r="E107" s="6" t="str">
        <f>VLOOKUP(B107,Sheet3!$B$2:$E$312,4,)</f>
        <v>#N/A</v>
      </c>
      <c r="F107" s="6"/>
      <c r="G107" s="6"/>
      <c r="H107" s="6"/>
    </row>
    <row r="108" ht="15.75" customHeight="1">
      <c r="A108" s="17"/>
      <c r="B108" s="6"/>
      <c r="C108" s="6" t="str">
        <f>VLOOKUP(B108,Sheet3!$B$2:$E$312,2,FALSE)</f>
        <v>#N/A</v>
      </c>
      <c r="D108" s="6" t="str">
        <f>VLOOKUP(B108,Sheet3!$B$2:$E$312,3,)</f>
        <v>#N/A</v>
      </c>
      <c r="E108" s="6" t="str">
        <f>VLOOKUP(B108,Sheet3!$B$2:$E$312,4,)</f>
        <v>#N/A</v>
      </c>
      <c r="F108" s="6"/>
      <c r="G108" s="6"/>
      <c r="H108" s="6"/>
    </row>
    <row r="109" ht="15.75" customHeight="1">
      <c r="A109" s="17"/>
      <c r="B109" s="6"/>
      <c r="C109" s="6" t="str">
        <f>VLOOKUP(B109,Sheet3!$B$2:$E$312,2,FALSE)</f>
        <v>#N/A</v>
      </c>
      <c r="D109" s="6" t="str">
        <f>VLOOKUP(B109,Sheet3!$B$2:$E$312,3,)</f>
        <v>#N/A</v>
      </c>
      <c r="E109" s="6" t="str">
        <f>VLOOKUP(B109,Sheet3!$B$2:$E$312,4,)</f>
        <v>#N/A</v>
      </c>
      <c r="F109" s="6"/>
      <c r="G109" s="6"/>
      <c r="H109" s="6"/>
    </row>
    <row r="110" ht="15.75" customHeight="1">
      <c r="A110" s="17"/>
      <c r="B110" s="6"/>
      <c r="C110" s="6" t="str">
        <f>VLOOKUP(B110,Sheet3!$B$2:$E$312,2,FALSE)</f>
        <v>#N/A</v>
      </c>
      <c r="D110" s="6" t="str">
        <f>VLOOKUP(B110,Sheet3!$B$2:$E$312,3,)</f>
        <v>#N/A</v>
      </c>
      <c r="E110" s="6" t="str">
        <f>VLOOKUP(B110,Sheet3!$B$2:$E$312,4,)</f>
        <v>#N/A</v>
      </c>
      <c r="F110" s="6"/>
      <c r="G110" s="6"/>
      <c r="H110" s="6"/>
    </row>
    <row r="111" ht="15.75" customHeight="1">
      <c r="A111" s="17"/>
      <c r="B111" s="6"/>
      <c r="C111" s="6" t="str">
        <f>VLOOKUP(B111,Sheet3!$B$2:$E$312,2,FALSE)</f>
        <v>#N/A</v>
      </c>
      <c r="D111" s="6" t="str">
        <f>VLOOKUP(B111,Sheet3!$B$2:$E$312,3,)</f>
        <v>#N/A</v>
      </c>
      <c r="E111" s="6" t="str">
        <f>VLOOKUP(B111,Sheet3!$B$2:$E$312,4,)</f>
        <v>#N/A</v>
      </c>
      <c r="F111" s="6"/>
      <c r="G111" s="6"/>
      <c r="H111" s="6"/>
    </row>
    <row r="112" ht="15.75" customHeight="1">
      <c r="A112" s="17"/>
      <c r="B112" s="6"/>
      <c r="C112" s="6" t="str">
        <f>VLOOKUP(B112,Sheet3!$B$2:$E$312,2,FALSE)</f>
        <v>#N/A</v>
      </c>
      <c r="D112" s="6" t="str">
        <f>VLOOKUP(B112,Sheet3!$B$2:$E$312,3,)</f>
        <v>#N/A</v>
      </c>
      <c r="E112" s="6" t="str">
        <f>VLOOKUP(B112,Sheet3!$B$2:$E$312,4,)</f>
        <v>#N/A</v>
      </c>
      <c r="F112" s="6"/>
      <c r="G112" s="6"/>
      <c r="H112" s="6"/>
    </row>
    <row r="113" ht="15.75" customHeight="1">
      <c r="A113" s="17"/>
      <c r="B113" s="6"/>
      <c r="C113" s="6" t="str">
        <f>VLOOKUP(B113,Sheet3!$B$2:$E$312,2,FALSE)</f>
        <v>#N/A</v>
      </c>
      <c r="D113" s="6" t="str">
        <f>VLOOKUP(B113,Sheet3!$B$2:$E$312,3,)</f>
        <v>#N/A</v>
      </c>
      <c r="E113" s="6" t="str">
        <f>VLOOKUP(B113,Sheet3!$B$2:$E$312,4,)</f>
        <v>#N/A</v>
      </c>
      <c r="F113" s="6"/>
      <c r="G113" s="6"/>
      <c r="H113" s="6"/>
    </row>
    <row r="114" ht="15.75" customHeight="1">
      <c r="A114" s="17"/>
      <c r="B114" s="6"/>
      <c r="C114" s="6" t="str">
        <f>VLOOKUP(B114,Sheet3!$B$2:$E$312,2,FALSE)</f>
        <v>#N/A</v>
      </c>
      <c r="D114" s="6" t="str">
        <f>VLOOKUP(B114,Sheet3!$B$2:$E$312,3,)</f>
        <v>#N/A</v>
      </c>
      <c r="E114" s="6" t="str">
        <f>VLOOKUP(B114,Sheet3!$B$2:$E$312,4,)</f>
        <v>#N/A</v>
      </c>
      <c r="F114" s="6"/>
      <c r="G114" s="6"/>
      <c r="H114" s="6"/>
    </row>
    <row r="115" ht="15.75" customHeight="1">
      <c r="A115" s="17"/>
      <c r="B115" s="6"/>
      <c r="C115" s="6" t="str">
        <f>VLOOKUP(B115,Sheet3!$B$2:$E$312,2,FALSE)</f>
        <v>#N/A</v>
      </c>
      <c r="D115" s="6" t="str">
        <f>VLOOKUP(B115,Sheet3!$B$2:$E$312,3,)</f>
        <v>#N/A</v>
      </c>
      <c r="E115" s="6" t="str">
        <f>VLOOKUP(B115,Sheet3!$B$2:$E$312,4,)</f>
        <v>#N/A</v>
      </c>
      <c r="F115" s="6"/>
      <c r="G115" s="6"/>
      <c r="H115" s="6"/>
    </row>
    <row r="116" ht="15.75" customHeight="1">
      <c r="A116" s="17"/>
      <c r="B116" s="6"/>
      <c r="C116" s="6" t="str">
        <f>VLOOKUP(B116,Sheet3!$B$2:$E$312,2,FALSE)</f>
        <v>#N/A</v>
      </c>
      <c r="D116" s="6" t="str">
        <f>VLOOKUP(B116,Sheet3!$B$2:$E$312,3,)</f>
        <v>#N/A</v>
      </c>
      <c r="E116" s="6" t="str">
        <f>VLOOKUP(B116,Sheet3!$B$2:$E$312,4,)</f>
        <v>#N/A</v>
      </c>
      <c r="F116" s="6"/>
      <c r="G116" s="6"/>
      <c r="H116" s="6"/>
    </row>
    <row r="117" ht="15.75" customHeight="1">
      <c r="A117" s="17"/>
      <c r="B117" s="6"/>
      <c r="C117" s="6" t="str">
        <f>VLOOKUP(B117,Sheet3!$B$2:$E$312,2,FALSE)</f>
        <v>#N/A</v>
      </c>
      <c r="D117" s="6" t="str">
        <f>VLOOKUP(B117,Sheet3!$B$2:$E$312,3,)</f>
        <v>#N/A</v>
      </c>
      <c r="E117" s="6" t="str">
        <f>VLOOKUP(B117,Sheet3!$B$2:$E$312,4,)</f>
        <v>#N/A</v>
      </c>
      <c r="F117" s="6"/>
      <c r="G117" s="6"/>
      <c r="H117" s="6"/>
    </row>
    <row r="118" ht="15.75" customHeight="1">
      <c r="A118" s="17"/>
      <c r="B118" s="6"/>
      <c r="C118" s="6" t="str">
        <f>VLOOKUP(B118,Sheet3!$B$2:$E$312,2,FALSE)</f>
        <v>#N/A</v>
      </c>
      <c r="D118" s="6" t="str">
        <f>VLOOKUP(B118,Sheet3!$B$2:$E$312,3,)</f>
        <v>#N/A</v>
      </c>
      <c r="E118" s="6" t="str">
        <f>VLOOKUP(B118,Sheet3!$B$2:$E$312,4,)</f>
        <v>#N/A</v>
      </c>
      <c r="F118" s="6"/>
      <c r="G118" s="6"/>
      <c r="H118" s="6"/>
    </row>
    <row r="119" ht="15.75" customHeight="1">
      <c r="A119" s="17"/>
      <c r="B119" s="6"/>
      <c r="C119" s="6" t="str">
        <f>VLOOKUP(B119,Sheet3!$B$2:$E$312,2,FALSE)</f>
        <v>#N/A</v>
      </c>
      <c r="D119" s="6" t="str">
        <f>VLOOKUP(B119,Sheet3!$B$2:$E$312,3,)</f>
        <v>#N/A</v>
      </c>
      <c r="E119" s="6" t="str">
        <f>VLOOKUP(B119,Sheet3!$B$2:$E$312,4,)</f>
        <v>#N/A</v>
      </c>
      <c r="F119" s="6"/>
      <c r="G119" s="6"/>
      <c r="H119" s="6"/>
    </row>
    <row r="120" ht="15.75" customHeight="1">
      <c r="A120" s="17"/>
      <c r="B120" s="6"/>
      <c r="C120" s="6" t="str">
        <f>VLOOKUP(B120,Sheet3!$B$2:$E$312,2,FALSE)</f>
        <v>#N/A</v>
      </c>
      <c r="D120" s="6" t="str">
        <f>VLOOKUP(B120,Sheet3!$B$2:$E$312,3,)</f>
        <v>#N/A</v>
      </c>
      <c r="E120" s="6" t="str">
        <f>VLOOKUP(B120,Sheet3!$B$2:$E$312,4,)</f>
        <v>#N/A</v>
      </c>
      <c r="F120" s="6"/>
      <c r="G120" s="6"/>
      <c r="H120" s="6"/>
    </row>
    <row r="121" ht="15.75" customHeight="1">
      <c r="A121" s="17"/>
      <c r="B121" s="6"/>
      <c r="C121" s="6" t="str">
        <f>VLOOKUP(B121,Sheet3!$B$2:$E$312,2,FALSE)</f>
        <v>#N/A</v>
      </c>
      <c r="D121" s="6" t="str">
        <f>VLOOKUP(B121,Sheet3!$B$2:$E$312,3,)</f>
        <v>#N/A</v>
      </c>
      <c r="E121" s="6" t="str">
        <f>VLOOKUP(B121,Sheet3!$B$2:$E$312,4,)</f>
        <v>#N/A</v>
      </c>
      <c r="F121" s="6"/>
      <c r="G121" s="6"/>
      <c r="H121" s="6"/>
    </row>
    <row r="122" ht="15.75" customHeight="1">
      <c r="A122" s="17"/>
      <c r="B122" s="6"/>
      <c r="C122" s="6" t="str">
        <f>VLOOKUP(B122,Sheet3!$B$2:$E$312,2,FALSE)</f>
        <v>#N/A</v>
      </c>
      <c r="D122" s="6" t="str">
        <f>VLOOKUP(B122,Sheet3!$B$2:$E$312,3,)</f>
        <v>#N/A</v>
      </c>
      <c r="E122" s="6" t="str">
        <f>VLOOKUP(B122,Sheet3!$B$2:$E$312,4,)</f>
        <v>#N/A</v>
      </c>
      <c r="F122" s="6"/>
      <c r="G122" s="6"/>
      <c r="H122" s="6"/>
    </row>
    <row r="123" ht="15.75" customHeight="1">
      <c r="A123" s="17"/>
      <c r="B123" s="6"/>
      <c r="C123" s="6" t="str">
        <f>VLOOKUP(B123,Sheet3!$B$2:$E$312,2,FALSE)</f>
        <v>#N/A</v>
      </c>
      <c r="D123" s="6" t="str">
        <f>VLOOKUP(B123,Sheet3!$B$2:$E$312,3,)</f>
        <v>#N/A</v>
      </c>
      <c r="E123" s="6" t="str">
        <f>VLOOKUP(B123,Sheet3!$B$2:$E$312,4,)</f>
        <v>#N/A</v>
      </c>
      <c r="F123" s="6"/>
      <c r="G123" s="6"/>
      <c r="H123" s="6"/>
    </row>
    <row r="124" ht="15.75" customHeight="1">
      <c r="A124" s="17"/>
      <c r="B124" s="6"/>
      <c r="C124" s="6" t="str">
        <f>VLOOKUP(B124,Sheet3!$B$2:$E$312,2,FALSE)</f>
        <v>#N/A</v>
      </c>
      <c r="D124" s="6" t="str">
        <f>VLOOKUP(B124,Sheet3!$B$2:$E$312,3,)</f>
        <v>#N/A</v>
      </c>
      <c r="E124" s="6" t="str">
        <f>VLOOKUP(B124,Sheet3!$B$2:$E$312,4,)</f>
        <v>#N/A</v>
      </c>
      <c r="F124" s="6"/>
      <c r="G124" s="6"/>
      <c r="H124" s="6"/>
    </row>
    <row r="125" ht="15.75" customHeight="1">
      <c r="A125" s="17"/>
      <c r="B125" s="6"/>
      <c r="C125" s="6" t="str">
        <f>VLOOKUP(B125,Sheet3!$B$2:$E$312,2,FALSE)</f>
        <v>#N/A</v>
      </c>
      <c r="D125" s="6" t="str">
        <f>VLOOKUP(B125,Sheet3!$B$2:$E$312,3,)</f>
        <v>#N/A</v>
      </c>
      <c r="E125" s="6" t="str">
        <f>VLOOKUP(B125,Sheet3!$B$2:$E$312,4,)</f>
        <v>#N/A</v>
      </c>
      <c r="F125" s="6"/>
      <c r="G125" s="6"/>
      <c r="H125" s="6"/>
    </row>
    <row r="126" ht="15.75" customHeight="1">
      <c r="A126" s="17"/>
      <c r="B126" s="6"/>
      <c r="C126" s="6" t="str">
        <f>VLOOKUP(B126,Sheet3!$B$2:$E$312,2,FALSE)</f>
        <v>#N/A</v>
      </c>
      <c r="D126" s="6" t="str">
        <f>VLOOKUP(B126,Sheet3!$B$2:$E$312,3,)</f>
        <v>#N/A</v>
      </c>
      <c r="E126" s="6" t="str">
        <f>VLOOKUP(B126,Sheet3!$B$2:$E$312,4,)</f>
        <v>#N/A</v>
      </c>
      <c r="F126" s="6"/>
      <c r="G126" s="6"/>
      <c r="H126" s="6"/>
    </row>
    <row r="127" ht="15.75" customHeight="1">
      <c r="A127" s="17"/>
      <c r="B127" s="6"/>
      <c r="C127" s="6" t="str">
        <f>VLOOKUP(B127,Sheet3!$B$2:$E$312,2,FALSE)</f>
        <v>#N/A</v>
      </c>
      <c r="D127" s="6" t="str">
        <f>VLOOKUP(B127,Sheet3!$B$2:$E$312,3,)</f>
        <v>#N/A</v>
      </c>
      <c r="E127" s="6" t="str">
        <f>VLOOKUP(B127,Sheet3!$B$2:$E$312,4,)</f>
        <v>#N/A</v>
      </c>
      <c r="F127" s="6"/>
      <c r="G127" s="6"/>
      <c r="H127" s="6"/>
    </row>
    <row r="128" ht="15.75" customHeight="1">
      <c r="A128" s="17"/>
      <c r="B128" s="6"/>
      <c r="C128" s="6" t="str">
        <f>VLOOKUP(B128,Sheet3!$B$2:$E$312,2,FALSE)</f>
        <v>#N/A</v>
      </c>
      <c r="D128" s="6" t="str">
        <f>VLOOKUP(B128,Sheet3!$B$2:$E$312,3,)</f>
        <v>#N/A</v>
      </c>
      <c r="E128" s="6" t="str">
        <f>VLOOKUP(B128,Sheet3!$B$2:$E$312,4,)</f>
        <v>#N/A</v>
      </c>
      <c r="F128" s="6"/>
      <c r="G128" s="6"/>
      <c r="H128" s="6"/>
    </row>
    <row r="129" ht="15.75" customHeight="1">
      <c r="A129" s="17"/>
      <c r="B129" s="6"/>
      <c r="C129" s="6" t="str">
        <f>VLOOKUP(B129,Sheet3!$B$2:$E$312,2,FALSE)</f>
        <v>#N/A</v>
      </c>
      <c r="D129" s="6" t="str">
        <f>VLOOKUP(B129,Sheet3!$B$2:$E$312,3,)</f>
        <v>#N/A</v>
      </c>
      <c r="E129" s="6" t="str">
        <f>VLOOKUP(B129,Sheet3!$B$2:$E$312,4,)</f>
        <v>#N/A</v>
      </c>
      <c r="F129" s="6"/>
      <c r="G129" s="6"/>
      <c r="H129" s="6"/>
    </row>
    <row r="130" ht="15.75" customHeight="1">
      <c r="A130" s="17"/>
      <c r="B130" s="6"/>
      <c r="C130" s="6" t="str">
        <f>VLOOKUP(B130,Sheet3!$B$2:$E$312,2,FALSE)</f>
        <v>#N/A</v>
      </c>
      <c r="D130" s="6" t="str">
        <f>VLOOKUP(B130,Sheet3!$B$2:$E$312,3,)</f>
        <v>#N/A</v>
      </c>
      <c r="E130" s="6" t="str">
        <f>VLOOKUP(B130,Sheet3!$B$2:$E$312,4,)</f>
        <v>#N/A</v>
      </c>
      <c r="F130" s="6"/>
      <c r="G130" s="6"/>
      <c r="H130" s="6"/>
    </row>
    <row r="131" ht="15.75" customHeight="1">
      <c r="A131" s="17"/>
      <c r="B131" s="6"/>
      <c r="C131" s="6" t="str">
        <f>VLOOKUP(B131,Sheet3!$B$2:$E$312,2,FALSE)</f>
        <v>#N/A</v>
      </c>
      <c r="D131" s="6" t="str">
        <f>VLOOKUP(B131,Sheet3!$B$2:$E$312,3,)</f>
        <v>#N/A</v>
      </c>
      <c r="E131" s="6" t="str">
        <f>VLOOKUP(B131,Sheet3!$B$2:$E$312,4,)</f>
        <v>#N/A</v>
      </c>
      <c r="F131" s="6"/>
      <c r="G131" s="6"/>
      <c r="H131" s="6"/>
    </row>
    <row r="132" ht="15.75" customHeight="1">
      <c r="A132" s="17"/>
      <c r="B132" s="6"/>
      <c r="C132" s="6" t="str">
        <f>VLOOKUP(B132,Sheet3!$B$2:$E$312,2,FALSE)</f>
        <v>#N/A</v>
      </c>
      <c r="D132" s="6" t="str">
        <f>VLOOKUP(B132,Sheet3!$B$2:$E$312,3,)</f>
        <v>#N/A</v>
      </c>
      <c r="E132" s="6" t="str">
        <f>VLOOKUP(B132,Sheet3!$B$2:$E$312,4,)</f>
        <v>#N/A</v>
      </c>
      <c r="F132" s="6"/>
      <c r="G132" s="6"/>
      <c r="H132" s="6"/>
    </row>
    <row r="133" ht="15.75" customHeight="1">
      <c r="A133" s="17"/>
      <c r="B133" s="6"/>
      <c r="C133" s="6" t="str">
        <f>VLOOKUP(B133,Sheet3!$B$2:$E$312,2,FALSE)</f>
        <v>#N/A</v>
      </c>
      <c r="D133" s="6" t="str">
        <f>VLOOKUP(B133,Sheet3!$B$2:$E$312,3,)</f>
        <v>#N/A</v>
      </c>
      <c r="E133" s="6" t="str">
        <f>VLOOKUP(B133,Sheet3!$B$2:$E$312,4,)</f>
        <v>#N/A</v>
      </c>
      <c r="F133" s="6"/>
      <c r="G133" s="6"/>
      <c r="H133" s="6"/>
    </row>
    <row r="134" ht="15.75" customHeight="1">
      <c r="A134" s="17"/>
      <c r="B134" s="6"/>
      <c r="C134" s="6" t="str">
        <f>VLOOKUP(B134,Sheet3!$B$2:$E$312,2,FALSE)</f>
        <v>#N/A</v>
      </c>
      <c r="D134" s="6" t="str">
        <f>VLOOKUP(B134,Sheet3!$B$2:$E$312,3,)</f>
        <v>#N/A</v>
      </c>
      <c r="E134" s="6" t="s">
        <v>1374</v>
      </c>
      <c r="F134" s="6"/>
      <c r="G134" s="6"/>
      <c r="H134" s="6"/>
    </row>
    <row r="135" ht="15.75" customHeight="1">
      <c r="A135" s="17"/>
      <c r="B135" s="6"/>
      <c r="C135" s="6" t="str">
        <f>VLOOKUP(B135,Sheet3!$B$2:$E$312,2,FALSE)</f>
        <v>#N/A</v>
      </c>
      <c r="D135" s="6" t="str">
        <f>VLOOKUP(B135,Sheet3!$B$2:$E$312,3,)</f>
        <v>#N/A</v>
      </c>
      <c r="E135" s="6" t="str">
        <f>VLOOKUP(B135,Sheet3!$B$2:$E$312,4,)</f>
        <v>#N/A</v>
      </c>
      <c r="F135" s="6"/>
      <c r="G135" s="6"/>
      <c r="H135" s="6"/>
    </row>
    <row r="136" ht="15.75" customHeight="1">
      <c r="A136" s="17"/>
      <c r="B136" s="6"/>
      <c r="C136" s="6" t="str">
        <f>VLOOKUP(B136,Sheet3!$B$2:$E$312,2,FALSE)</f>
        <v>#N/A</v>
      </c>
      <c r="D136" s="6" t="str">
        <f>VLOOKUP(B136,Sheet3!$B$2:$E$312,3,)</f>
        <v>#N/A</v>
      </c>
      <c r="E136" s="6" t="str">
        <f>VLOOKUP(B136,Sheet3!$B$2:$E$312,4,)</f>
        <v>#N/A</v>
      </c>
      <c r="F136" s="6"/>
      <c r="G136" s="6"/>
      <c r="H136" s="6"/>
    </row>
    <row r="137" ht="15.75" customHeight="1">
      <c r="A137" s="17"/>
      <c r="B137" s="6"/>
      <c r="C137" s="6" t="str">
        <f>VLOOKUP(B137,Sheet3!$B$2:$E$312,2,FALSE)</f>
        <v>#N/A</v>
      </c>
      <c r="D137" s="6" t="str">
        <f>VLOOKUP(B137,Sheet3!$B$2:$E$312,3,)</f>
        <v>#N/A</v>
      </c>
      <c r="E137" s="6" t="str">
        <f>VLOOKUP(B137,Sheet3!$B$2:$E$312,4,)</f>
        <v>#N/A</v>
      </c>
      <c r="F137" s="6"/>
      <c r="G137" s="6"/>
      <c r="H137" s="6"/>
    </row>
    <row r="138" ht="15.75" customHeight="1">
      <c r="A138" s="17"/>
      <c r="B138" s="6"/>
      <c r="C138" s="6" t="str">
        <f>VLOOKUP(B138,Sheet3!$B$2:$E$312,2,FALSE)</f>
        <v>#N/A</v>
      </c>
      <c r="D138" s="6" t="str">
        <f>VLOOKUP(B138,Sheet3!$B$2:$E$312,3,)</f>
        <v>#N/A</v>
      </c>
      <c r="E138" s="6" t="str">
        <f>VLOOKUP(B138,Sheet3!$B$2:$E$312,4,)</f>
        <v>#N/A</v>
      </c>
      <c r="F138" s="6"/>
      <c r="G138" s="6"/>
      <c r="H138" s="6"/>
    </row>
    <row r="139" ht="15.75" customHeight="1">
      <c r="A139" s="17"/>
      <c r="B139" s="6"/>
      <c r="C139" s="6" t="str">
        <f>VLOOKUP(B139,Sheet3!$B$2:$E$312,2,FALSE)</f>
        <v>#N/A</v>
      </c>
      <c r="D139" s="6" t="str">
        <f>VLOOKUP(B139,Sheet3!$B$2:$E$312,3,)</f>
        <v>#N/A</v>
      </c>
      <c r="E139" s="6" t="s">
        <v>1374</v>
      </c>
      <c r="F139" s="6"/>
      <c r="G139" s="6"/>
      <c r="H139" s="6"/>
    </row>
    <row r="140" ht="15.75" customHeight="1">
      <c r="A140" s="17"/>
      <c r="B140" s="6"/>
      <c r="C140" s="6" t="str">
        <f>VLOOKUP(B140,Sheet3!$B$2:$E$312,2,FALSE)</f>
        <v>#N/A</v>
      </c>
      <c r="D140" s="6" t="str">
        <f>VLOOKUP(B140,Sheet3!$B$2:$E$312,3,)</f>
        <v>#N/A</v>
      </c>
      <c r="E140" s="6" t="str">
        <f>VLOOKUP(B140,Sheet3!$B$2:$E$312,4,)</f>
        <v>#N/A</v>
      </c>
      <c r="F140" s="6"/>
      <c r="G140" s="6"/>
      <c r="H140" s="6"/>
    </row>
    <row r="141" ht="15.75" customHeight="1">
      <c r="A141" s="17"/>
      <c r="B141" s="6"/>
      <c r="C141" s="6" t="str">
        <f>VLOOKUP(B141,Sheet3!$B$2:$E$312,2,FALSE)</f>
        <v>#N/A</v>
      </c>
      <c r="D141" s="6" t="str">
        <f>VLOOKUP(B141,Sheet3!$B$2:$E$312,3,)</f>
        <v>#N/A</v>
      </c>
      <c r="E141" s="6" t="str">
        <f>VLOOKUP(B141,Sheet3!$B$2:$E$312,4,)</f>
        <v>#N/A</v>
      </c>
      <c r="F141" s="6"/>
      <c r="G141" s="6"/>
      <c r="H141" s="6"/>
    </row>
    <row r="142" ht="15.75" customHeight="1">
      <c r="A142" s="17"/>
      <c r="B142" s="6"/>
      <c r="C142" s="6" t="str">
        <f>VLOOKUP(B142,Sheet3!$B$2:$E$312,2,FALSE)</f>
        <v>#N/A</v>
      </c>
      <c r="D142" s="6" t="str">
        <f>VLOOKUP(B142,Sheet3!$B$2:$E$312,3,)</f>
        <v>#N/A</v>
      </c>
      <c r="E142" s="6" t="str">
        <f>VLOOKUP(B142,Sheet3!$B$2:$E$312,4,)</f>
        <v>#N/A</v>
      </c>
      <c r="F142" s="6"/>
      <c r="G142" s="6"/>
      <c r="H142" s="6"/>
    </row>
    <row r="143" ht="15.75" customHeight="1">
      <c r="A143" s="17"/>
      <c r="B143" s="6"/>
      <c r="C143" s="6" t="str">
        <f>VLOOKUP(B143,Sheet3!$B$2:$E$312,2,FALSE)</f>
        <v>#N/A</v>
      </c>
      <c r="D143" s="6" t="str">
        <f>VLOOKUP(B143,Sheet3!$B$2:$E$312,3,)</f>
        <v>#N/A</v>
      </c>
      <c r="E143" s="6" t="str">
        <f>VLOOKUP(B143,Sheet3!$B$2:$E$312,4,)</f>
        <v>#N/A</v>
      </c>
      <c r="F143" s="6"/>
      <c r="G143" s="6"/>
      <c r="H143" s="6"/>
    </row>
    <row r="144" ht="15.75" customHeight="1">
      <c r="A144" s="17"/>
      <c r="B144" s="6"/>
      <c r="C144" s="6" t="str">
        <f>VLOOKUP(B144,Sheet3!$B$2:$E$312,2,FALSE)</f>
        <v>#N/A</v>
      </c>
      <c r="D144" s="6" t="str">
        <f>VLOOKUP(B144,Sheet3!$B$2:$E$312,3,)</f>
        <v>#N/A</v>
      </c>
      <c r="E144" s="6" t="str">
        <f>VLOOKUP(B144,Sheet3!$B$2:$E$312,4,)</f>
        <v>#N/A</v>
      </c>
      <c r="F144" s="6"/>
      <c r="G144" s="6"/>
      <c r="H144" s="6"/>
    </row>
    <row r="145" ht="15.75" customHeight="1">
      <c r="A145" s="17"/>
      <c r="B145" s="6"/>
      <c r="C145" s="6" t="str">
        <f>VLOOKUP(B145,Sheet3!$B$2:$E$312,2,FALSE)</f>
        <v>#N/A</v>
      </c>
      <c r="D145" s="6" t="str">
        <f>VLOOKUP(B145,Sheet3!$B$2:$E$312,3,)</f>
        <v>#N/A</v>
      </c>
      <c r="E145" s="6" t="str">
        <f>VLOOKUP(B145,Sheet3!$B$2:$E$312,4,)</f>
        <v>#N/A</v>
      </c>
      <c r="F145" s="6"/>
      <c r="G145" s="6"/>
      <c r="H145" s="6"/>
    </row>
    <row r="146" ht="15.75" customHeight="1">
      <c r="A146" s="17"/>
      <c r="B146" s="6"/>
      <c r="C146" s="6" t="str">
        <f>VLOOKUP(B146,Sheet3!$B$2:$E$312,2,FALSE)</f>
        <v>#N/A</v>
      </c>
      <c r="D146" s="6" t="str">
        <f>VLOOKUP(B146,Sheet3!$B$2:$E$312,3,)</f>
        <v>#N/A</v>
      </c>
      <c r="E146" s="6" t="str">
        <f>VLOOKUP(B146,Sheet3!$B$2:$E$312,4,)</f>
        <v>#N/A</v>
      </c>
      <c r="F146" s="6"/>
      <c r="G146" s="6"/>
      <c r="H146" s="6"/>
    </row>
    <row r="147" ht="15.75" customHeight="1">
      <c r="A147" s="17"/>
      <c r="B147" s="6"/>
      <c r="C147" s="6" t="str">
        <f>VLOOKUP(B147,Sheet3!$B$2:$E$312,2,FALSE)</f>
        <v>#N/A</v>
      </c>
      <c r="D147" s="6" t="str">
        <f>VLOOKUP(B147,Sheet3!$B$2:$E$312,3,)</f>
        <v>#N/A</v>
      </c>
      <c r="E147" s="6" t="str">
        <f>VLOOKUP(B147,Sheet3!$B$2:$E$312,4,)</f>
        <v>#N/A</v>
      </c>
      <c r="F147" s="6"/>
      <c r="G147" s="6"/>
      <c r="H147" s="6"/>
    </row>
    <row r="148" ht="15.75" customHeight="1">
      <c r="A148" s="17"/>
      <c r="B148" s="6"/>
      <c r="C148" s="6" t="str">
        <f>VLOOKUP(B148,Sheet3!$B$2:$E$312,2,FALSE)</f>
        <v>#N/A</v>
      </c>
      <c r="D148" s="6" t="str">
        <f>VLOOKUP(B148,Sheet3!$B$2:$E$312,3,)</f>
        <v>#N/A</v>
      </c>
      <c r="E148" s="6" t="str">
        <f>VLOOKUP(B148,Sheet3!$B$2:$E$312,4,)</f>
        <v>#N/A</v>
      </c>
      <c r="F148" s="6"/>
      <c r="G148" s="6"/>
      <c r="H148" s="6"/>
    </row>
    <row r="149" ht="15.75" customHeight="1">
      <c r="A149" s="17"/>
      <c r="B149" s="6"/>
      <c r="C149" s="6" t="str">
        <f>VLOOKUP(B149,Sheet3!$B$2:$E$312,2,FALSE)</f>
        <v>#N/A</v>
      </c>
      <c r="D149" s="6" t="str">
        <f>VLOOKUP(B149,Sheet3!$B$2:$E$312,3,)</f>
        <v>#N/A</v>
      </c>
      <c r="E149" s="6" t="str">
        <f>VLOOKUP(B149,Sheet3!$B$2:$E$312,4,)</f>
        <v>#N/A</v>
      </c>
      <c r="F149" s="6"/>
      <c r="G149" s="6"/>
      <c r="H149" s="6"/>
    </row>
    <row r="150" ht="15.75" customHeight="1">
      <c r="A150" s="17"/>
      <c r="B150" s="6"/>
      <c r="C150" s="6" t="str">
        <f>VLOOKUP(B150,Sheet3!$B$2:$E$312,2,FALSE)</f>
        <v>#N/A</v>
      </c>
      <c r="D150" s="6" t="str">
        <f>VLOOKUP(B150,Sheet3!$B$2:$E$312,3,)</f>
        <v>#N/A</v>
      </c>
      <c r="E150" s="6" t="str">
        <f>VLOOKUP(B150,Sheet3!$B$2:$E$312,4,)</f>
        <v>#N/A</v>
      </c>
      <c r="F150" s="6"/>
      <c r="G150" s="6"/>
      <c r="H150" s="6"/>
    </row>
    <row r="151" ht="15.75" customHeight="1">
      <c r="A151" s="17"/>
      <c r="B151" s="6"/>
      <c r="C151" s="6" t="str">
        <f>VLOOKUP(B151,Sheet3!$B$2:$E$312,2,FALSE)</f>
        <v>#N/A</v>
      </c>
      <c r="D151" s="6" t="str">
        <f>VLOOKUP(B151,Sheet3!$B$2:$E$312,3,)</f>
        <v>#N/A</v>
      </c>
      <c r="E151" s="6" t="str">
        <f>VLOOKUP(B151,Sheet3!$B$2:$E$312,4,)</f>
        <v>#N/A</v>
      </c>
      <c r="F151" s="6"/>
      <c r="G151" s="6"/>
      <c r="H151" s="6"/>
    </row>
    <row r="152" ht="15.75" customHeight="1">
      <c r="A152" s="17"/>
      <c r="B152" s="6"/>
      <c r="C152" s="6" t="str">
        <f>VLOOKUP(B152,Sheet3!$B$2:$E$312,2,FALSE)</f>
        <v>#N/A</v>
      </c>
      <c r="D152" s="6" t="str">
        <f>VLOOKUP(B152,Sheet3!$B$2:$E$312,3,)</f>
        <v>#N/A</v>
      </c>
      <c r="E152" s="6" t="str">
        <f>VLOOKUP(B152,Sheet3!$B$2:$E$312,4,)</f>
        <v>#N/A</v>
      </c>
      <c r="F152" s="6"/>
      <c r="G152" s="6"/>
      <c r="H152" s="6"/>
    </row>
    <row r="153" ht="15.75" customHeight="1">
      <c r="A153" s="17"/>
      <c r="B153" s="6"/>
      <c r="C153" s="6" t="str">
        <f>VLOOKUP(B153,Sheet3!$B$2:$E$312,2,FALSE)</f>
        <v>#N/A</v>
      </c>
      <c r="D153" s="6" t="str">
        <f>VLOOKUP(B153,Sheet3!$B$2:$E$312,3,)</f>
        <v>#N/A</v>
      </c>
      <c r="E153" s="6" t="str">
        <f>VLOOKUP(B153,Sheet3!$B$2:$E$312,4,)</f>
        <v>#N/A</v>
      </c>
      <c r="F153" s="6"/>
      <c r="G153" s="6"/>
      <c r="H153" s="6"/>
    </row>
    <row r="154" ht="15.75" customHeight="1">
      <c r="A154" s="17"/>
      <c r="B154" s="6"/>
      <c r="C154" s="6" t="str">
        <f>VLOOKUP(B154,Sheet3!$B$2:$E$312,2,FALSE)</f>
        <v>#N/A</v>
      </c>
      <c r="D154" s="6" t="str">
        <f>VLOOKUP(B154,Sheet3!$B$2:$E$312,3,)</f>
        <v>#N/A</v>
      </c>
      <c r="E154" s="6" t="str">
        <f>VLOOKUP(B154,Sheet3!$B$2:$E$312,4,)</f>
        <v>#N/A</v>
      </c>
      <c r="F154" s="6"/>
      <c r="G154" s="6"/>
      <c r="H154" s="6"/>
    </row>
    <row r="155" ht="15.75" customHeight="1">
      <c r="A155" s="17"/>
      <c r="B155" s="6"/>
      <c r="C155" s="6" t="str">
        <f>VLOOKUP(B155,Sheet3!$B$2:$E$312,2,FALSE)</f>
        <v>#N/A</v>
      </c>
      <c r="D155" s="6" t="str">
        <f>VLOOKUP(B155,Sheet3!$B$2:$E$312,3,)</f>
        <v>#N/A</v>
      </c>
      <c r="E155" s="6" t="str">
        <f>VLOOKUP(B155,Sheet3!$B$2:$E$312,4,)</f>
        <v>#N/A</v>
      </c>
      <c r="F155" s="6"/>
      <c r="G155" s="6"/>
      <c r="H155" s="6"/>
    </row>
    <row r="156" ht="15.75" customHeight="1">
      <c r="A156" s="17"/>
      <c r="B156" s="6"/>
      <c r="C156" s="6" t="str">
        <f>VLOOKUP(B156,Sheet3!$B$2:$E$312,2,FALSE)</f>
        <v>#N/A</v>
      </c>
      <c r="D156" s="6" t="str">
        <f>VLOOKUP(B156,Sheet3!$B$2:$E$312,3,)</f>
        <v>#N/A</v>
      </c>
      <c r="E156" s="6" t="str">
        <f>VLOOKUP(B156,Sheet3!$B$2:$E$312,4,)</f>
        <v>#N/A</v>
      </c>
      <c r="F156" s="6"/>
      <c r="G156" s="6"/>
      <c r="H156" s="6"/>
    </row>
    <row r="157" ht="15.75" customHeight="1">
      <c r="A157" s="17"/>
      <c r="B157" s="6"/>
      <c r="C157" s="6" t="str">
        <f>VLOOKUP(B157,Sheet3!$B$2:$E$312,2,FALSE)</f>
        <v>#N/A</v>
      </c>
      <c r="D157" s="6" t="str">
        <f>VLOOKUP(B157,Sheet3!$B$2:$E$312,3,)</f>
        <v>#N/A</v>
      </c>
      <c r="E157" s="6" t="str">
        <f>VLOOKUP(B157,Sheet3!$B$2:$E$312,4,)</f>
        <v>#N/A</v>
      </c>
      <c r="F157" s="6"/>
      <c r="G157" s="6"/>
      <c r="H157" s="6"/>
    </row>
    <row r="158" ht="15.75" customHeight="1">
      <c r="A158" s="17"/>
      <c r="B158" s="6"/>
      <c r="C158" s="6" t="str">
        <f>VLOOKUP(B158,Sheet3!$B$2:$E$312,2,FALSE)</f>
        <v>#N/A</v>
      </c>
      <c r="D158" s="6" t="str">
        <f>VLOOKUP(B158,Sheet3!$B$2:$E$312,3,)</f>
        <v>#N/A</v>
      </c>
      <c r="E158" s="6" t="str">
        <f>VLOOKUP(B158,Sheet3!$B$2:$E$312,4,)</f>
        <v>#N/A</v>
      </c>
      <c r="F158" s="6"/>
      <c r="G158" s="6"/>
      <c r="H158" s="6"/>
    </row>
    <row r="159" ht="15.75" customHeight="1">
      <c r="A159" s="17"/>
      <c r="B159" s="6"/>
      <c r="C159" s="6" t="str">
        <f>VLOOKUP(B159,Sheet3!$B$2:$E$312,2,FALSE)</f>
        <v>#N/A</v>
      </c>
      <c r="D159" s="6" t="str">
        <f>VLOOKUP(B159,Sheet3!$B$2:$E$312,3,)</f>
        <v>#N/A</v>
      </c>
      <c r="E159" s="6" t="str">
        <f>VLOOKUP(B159,Sheet3!$B$2:$E$312,4,)</f>
        <v>#N/A</v>
      </c>
      <c r="F159" s="6"/>
      <c r="G159" s="6"/>
      <c r="H159" s="6"/>
    </row>
    <row r="160" ht="15.75" customHeight="1">
      <c r="A160" s="17"/>
      <c r="B160" s="6"/>
      <c r="C160" s="6" t="str">
        <f>VLOOKUP(B160,Sheet3!$B$2:$E$312,2,FALSE)</f>
        <v>#N/A</v>
      </c>
      <c r="D160" s="6" t="str">
        <f>VLOOKUP(B160,Sheet3!$B$2:$E$312,3,)</f>
        <v>#N/A</v>
      </c>
      <c r="E160" s="6" t="str">
        <f>VLOOKUP(B160,Sheet3!$B$2:$E$312,4,)</f>
        <v>#N/A</v>
      </c>
      <c r="F160" s="6"/>
      <c r="G160" s="6"/>
      <c r="H160" s="6"/>
    </row>
    <row r="161" ht="15.75" customHeight="1">
      <c r="A161" s="17"/>
      <c r="B161" s="6"/>
      <c r="C161" s="6" t="str">
        <f>VLOOKUP(B161,Sheet3!$B$2:$E$312,2,FALSE)</f>
        <v>#N/A</v>
      </c>
      <c r="D161" s="6" t="str">
        <f>VLOOKUP(B161,Sheet3!$B$2:$E$312,3,)</f>
        <v>#N/A</v>
      </c>
      <c r="E161" s="6" t="str">
        <f>VLOOKUP(B161,Sheet3!$B$2:$E$312,4,)</f>
        <v>#N/A</v>
      </c>
      <c r="F161" s="6"/>
      <c r="G161" s="6"/>
      <c r="H161" s="6"/>
    </row>
    <row r="162" ht="15.75" customHeight="1">
      <c r="A162" s="17"/>
      <c r="B162" s="6"/>
      <c r="C162" s="6" t="str">
        <f>VLOOKUP(B162,Sheet3!$B$2:$E$312,2,FALSE)</f>
        <v>#N/A</v>
      </c>
      <c r="D162" s="6" t="str">
        <f>VLOOKUP(B162,Sheet3!$B$2:$E$312,3,)</f>
        <v>#N/A</v>
      </c>
      <c r="E162" s="6" t="str">
        <f>VLOOKUP(B162,Sheet3!$B$2:$E$312,4,)</f>
        <v>#N/A</v>
      </c>
      <c r="F162" s="6"/>
      <c r="G162" s="6"/>
      <c r="H162" s="6"/>
    </row>
    <row r="163" ht="15.75" customHeight="1">
      <c r="A163" s="17"/>
      <c r="B163" s="6"/>
      <c r="C163" s="6" t="str">
        <f>VLOOKUP(B163,Sheet3!$B$2:$E$312,2,FALSE)</f>
        <v>#N/A</v>
      </c>
      <c r="D163" s="6" t="str">
        <f>VLOOKUP(B163,Sheet3!$B$2:$E$312,3,)</f>
        <v>#N/A</v>
      </c>
      <c r="E163" s="6" t="str">
        <f>VLOOKUP(B163,Sheet3!$B$2:$E$312,4,)</f>
        <v>#N/A</v>
      </c>
      <c r="F163" s="6"/>
      <c r="G163" s="6"/>
      <c r="H163" s="6"/>
    </row>
    <row r="164" ht="15.75" customHeight="1">
      <c r="A164" s="17"/>
      <c r="B164" s="6"/>
      <c r="C164" s="6" t="str">
        <f>VLOOKUP(B164,Sheet3!$B$2:$E$312,2,FALSE)</f>
        <v>#N/A</v>
      </c>
      <c r="D164" s="6" t="str">
        <f>VLOOKUP(B164,Sheet3!$B$2:$E$312,3,)</f>
        <v>#N/A</v>
      </c>
      <c r="E164" s="6" t="str">
        <f>VLOOKUP(B164,Sheet3!$B$2:$E$312,4,)</f>
        <v>#N/A</v>
      </c>
      <c r="F164" s="6"/>
      <c r="G164" s="6"/>
      <c r="H164" s="6"/>
    </row>
    <row r="165" ht="15.75" customHeight="1">
      <c r="A165" s="17"/>
      <c r="B165" s="6"/>
      <c r="C165" s="6" t="str">
        <f>VLOOKUP(B165,Sheet3!$B$2:$E$312,2,FALSE)</f>
        <v>#N/A</v>
      </c>
      <c r="D165" s="6" t="str">
        <f>VLOOKUP(B165,Sheet3!$B$2:$E$312,3,)</f>
        <v>#N/A</v>
      </c>
      <c r="E165" s="6" t="str">
        <f>VLOOKUP(B165,Sheet3!$B$2:$E$312,4,)</f>
        <v>#N/A</v>
      </c>
      <c r="F165" s="6"/>
      <c r="G165" s="6"/>
      <c r="H165" s="6"/>
    </row>
    <row r="166" ht="15.75" customHeight="1">
      <c r="A166" s="17"/>
      <c r="B166" s="6"/>
      <c r="C166" s="6" t="str">
        <f>VLOOKUP(B166,Sheet3!$B$2:$E$312,2,FALSE)</f>
        <v>#N/A</v>
      </c>
      <c r="D166" s="6" t="str">
        <f>VLOOKUP(B166,Sheet3!$B$2:$E$312,3,)</f>
        <v>#N/A</v>
      </c>
      <c r="E166" s="6" t="str">
        <f>VLOOKUP(B166,Sheet3!$B$2:$E$312,4,)</f>
        <v>#N/A</v>
      </c>
      <c r="F166" s="6"/>
      <c r="G166" s="6"/>
      <c r="H166" s="6"/>
    </row>
    <row r="167" ht="15.75" customHeight="1">
      <c r="A167" s="17"/>
      <c r="B167" s="6"/>
      <c r="C167" s="6" t="str">
        <f>VLOOKUP(B167,Sheet3!$B$2:$E$312,2,FALSE)</f>
        <v>#N/A</v>
      </c>
      <c r="D167" s="6" t="str">
        <f>VLOOKUP(B167,Sheet3!$B$2:$E$312,3,)</f>
        <v>#N/A</v>
      </c>
      <c r="E167" s="6" t="str">
        <f>VLOOKUP(B167,Sheet3!$B$2:$E$312,4,)</f>
        <v>#N/A</v>
      </c>
      <c r="F167" s="6"/>
      <c r="G167" s="6"/>
      <c r="H167" s="6"/>
    </row>
    <row r="168" ht="15.75" customHeight="1">
      <c r="A168" s="17"/>
      <c r="B168" s="6"/>
      <c r="C168" s="6" t="str">
        <f>VLOOKUP(B168,Sheet3!$B$2:$E$312,2,FALSE)</f>
        <v>#N/A</v>
      </c>
      <c r="D168" s="6" t="str">
        <f>VLOOKUP(B168,Sheet3!$B$2:$E$312,3,)</f>
        <v>#N/A</v>
      </c>
      <c r="E168" s="6" t="str">
        <f>VLOOKUP(B168,Sheet3!$B$2:$E$312,4,)</f>
        <v>#N/A</v>
      </c>
      <c r="F168" s="6"/>
      <c r="G168" s="6"/>
      <c r="H168" s="6"/>
    </row>
    <row r="169" ht="15.75" customHeight="1">
      <c r="A169" s="17"/>
      <c r="B169" s="6"/>
      <c r="C169" s="6" t="str">
        <f>VLOOKUP(B169,Sheet3!$B$2:$E$312,2,FALSE)</f>
        <v>#N/A</v>
      </c>
      <c r="D169" s="6" t="str">
        <f>VLOOKUP(B169,Sheet3!$B$2:$E$312,3,)</f>
        <v>#N/A</v>
      </c>
      <c r="E169" s="6" t="str">
        <f>VLOOKUP(B169,Sheet3!$B$2:$E$312,4,)</f>
        <v>#N/A</v>
      </c>
      <c r="F169" s="6"/>
      <c r="G169" s="6"/>
      <c r="H169" s="6"/>
    </row>
    <row r="170" ht="15.75" customHeight="1">
      <c r="A170" s="17"/>
      <c r="B170" s="6"/>
      <c r="C170" s="6" t="str">
        <f>VLOOKUP(B170,Sheet3!$B$2:$E$312,2,FALSE)</f>
        <v>#N/A</v>
      </c>
      <c r="D170" s="6" t="str">
        <f>VLOOKUP(B170,Sheet3!$B$2:$E$312,3,)</f>
        <v>#N/A</v>
      </c>
      <c r="E170" s="6" t="str">
        <f>VLOOKUP(B170,Sheet3!$B$2:$E$312,4,)</f>
        <v>#N/A</v>
      </c>
      <c r="F170" s="6"/>
      <c r="G170" s="6"/>
      <c r="H170" s="6"/>
    </row>
    <row r="171" ht="15.75" customHeight="1">
      <c r="A171" s="17"/>
      <c r="B171" s="6"/>
      <c r="C171" s="6" t="str">
        <f>VLOOKUP(B171,Sheet3!$B$2:$E$312,2,FALSE)</f>
        <v>#N/A</v>
      </c>
      <c r="D171" s="6" t="str">
        <f>VLOOKUP(B171,Sheet3!$B$2:$E$312,3,)</f>
        <v>#N/A</v>
      </c>
      <c r="E171" s="6" t="str">
        <f>VLOOKUP(B171,Sheet3!$B$2:$E$312,4,)</f>
        <v>#N/A</v>
      </c>
      <c r="F171" s="6"/>
      <c r="G171" s="6"/>
      <c r="H171" s="6"/>
    </row>
    <row r="172" ht="15.75" customHeight="1">
      <c r="A172" s="17"/>
      <c r="B172" s="6"/>
      <c r="C172" s="6" t="str">
        <f>VLOOKUP(B172,Sheet3!$B$2:$E$312,2,FALSE)</f>
        <v>#N/A</v>
      </c>
      <c r="D172" s="6" t="str">
        <f>VLOOKUP(B172,Sheet3!$B$2:$E$312,3,)</f>
        <v>#N/A</v>
      </c>
      <c r="E172" s="6" t="str">
        <f>VLOOKUP(B172,Sheet3!$B$2:$E$312,4,)</f>
        <v>#N/A</v>
      </c>
      <c r="F172" s="6"/>
      <c r="G172" s="6"/>
      <c r="H172" s="6"/>
    </row>
    <row r="173" ht="15.75" customHeight="1">
      <c r="A173" s="17"/>
      <c r="B173" s="6"/>
      <c r="C173" s="6" t="str">
        <f>VLOOKUP(B173,Sheet3!$B$2:$E$312,2,FALSE)</f>
        <v>#N/A</v>
      </c>
      <c r="D173" s="6" t="str">
        <f>VLOOKUP(B173,Sheet3!$B$2:$E$312,3,)</f>
        <v>#N/A</v>
      </c>
      <c r="E173" s="6" t="str">
        <f>VLOOKUP(B173,Sheet3!$B$2:$E$312,4,)</f>
        <v>#N/A</v>
      </c>
      <c r="F173" s="6"/>
      <c r="G173" s="6"/>
      <c r="H173" s="6"/>
    </row>
    <row r="174" ht="15.75" customHeight="1">
      <c r="A174" s="17"/>
      <c r="B174" s="6"/>
      <c r="C174" s="6" t="str">
        <f>VLOOKUP(B174,Sheet3!$B$2:$E$312,2,FALSE)</f>
        <v>#N/A</v>
      </c>
      <c r="D174" s="6" t="str">
        <f>VLOOKUP(B174,Sheet3!$B$2:$E$312,3,)</f>
        <v>#N/A</v>
      </c>
      <c r="E174" s="6" t="str">
        <f>VLOOKUP(B174,Sheet3!$B$2:$E$312,4,)</f>
        <v>#N/A</v>
      </c>
      <c r="F174" s="6"/>
      <c r="G174" s="6"/>
      <c r="H174" s="6"/>
    </row>
    <row r="175" ht="15.75" customHeight="1">
      <c r="A175" s="17"/>
      <c r="B175" s="6"/>
      <c r="C175" s="6" t="str">
        <f>VLOOKUP(B175,Sheet3!$B$2:$E$312,2,FALSE)</f>
        <v>#N/A</v>
      </c>
      <c r="D175" s="6" t="str">
        <f>VLOOKUP(B175,Sheet3!$B$2:$E$312,3,)</f>
        <v>#N/A</v>
      </c>
      <c r="E175" s="6" t="str">
        <f>VLOOKUP(B175,Sheet3!$B$2:$E$312,4,)</f>
        <v>#N/A</v>
      </c>
      <c r="F175" s="6"/>
      <c r="G175" s="6"/>
      <c r="H175" s="6"/>
    </row>
    <row r="176" ht="15.75" customHeight="1">
      <c r="A176" s="17"/>
      <c r="B176" s="6"/>
      <c r="C176" s="6" t="str">
        <f>VLOOKUP(B176,Sheet3!$B$2:$E$312,2,FALSE)</f>
        <v>#N/A</v>
      </c>
      <c r="D176" s="6" t="str">
        <f>VLOOKUP(B176,Sheet3!$B$2:$E$312,3,)</f>
        <v>#N/A</v>
      </c>
      <c r="E176" s="6" t="str">
        <f>VLOOKUP(B176,Sheet3!$B$2:$E$312,4,)</f>
        <v>#N/A</v>
      </c>
      <c r="F176" s="6"/>
      <c r="G176" s="6"/>
      <c r="H176" s="6"/>
    </row>
    <row r="177" ht="15.75" customHeight="1">
      <c r="A177" s="17"/>
      <c r="B177" s="6"/>
      <c r="C177" s="6" t="str">
        <f>VLOOKUP(B177,Sheet3!$B$2:$E$312,2,FALSE)</f>
        <v>#N/A</v>
      </c>
      <c r="D177" s="6" t="str">
        <f>VLOOKUP(B177,Sheet3!$B$2:$E$312,3,)</f>
        <v>#N/A</v>
      </c>
      <c r="E177" s="6" t="str">
        <f>VLOOKUP(B177,Sheet3!$B$2:$E$312,4,)</f>
        <v>#N/A</v>
      </c>
      <c r="F177" s="6"/>
      <c r="G177" s="6"/>
      <c r="H177" s="6"/>
    </row>
    <row r="178" ht="15.75" customHeight="1">
      <c r="A178" s="17"/>
      <c r="B178" s="6"/>
      <c r="C178" s="6" t="str">
        <f>VLOOKUP(B178,Sheet3!$B$2:$E$312,2,FALSE)</f>
        <v>#N/A</v>
      </c>
      <c r="D178" s="6" t="str">
        <f>VLOOKUP(B178,Sheet3!$B$2:$E$312,3,)</f>
        <v>#N/A</v>
      </c>
      <c r="E178" s="6" t="str">
        <f>VLOOKUP(B178,Sheet3!$B$2:$E$312,4,)</f>
        <v>#N/A</v>
      </c>
      <c r="F178" s="6"/>
      <c r="G178" s="6"/>
      <c r="H178" s="6"/>
    </row>
    <row r="179" ht="15.75" customHeight="1">
      <c r="A179" s="17"/>
      <c r="B179" s="6"/>
      <c r="C179" s="6" t="str">
        <f>VLOOKUP(B179,Sheet3!$B$2:$E$312,2,FALSE)</f>
        <v>#N/A</v>
      </c>
      <c r="D179" s="6" t="str">
        <f>VLOOKUP(B179,Sheet3!$B$2:$E$312,3,)</f>
        <v>#N/A</v>
      </c>
      <c r="E179" s="6" t="str">
        <f>VLOOKUP(B179,Sheet3!$B$2:$E$312,4,)</f>
        <v>#N/A</v>
      </c>
      <c r="F179" s="6"/>
      <c r="G179" s="6"/>
      <c r="H179" s="6"/>
    </row>
    <row r="180" ht="15.75" customHeight="1">
      <c r="A180" s="17"/>
      <c r="B180" s="6"/>
      <c r="C180" s="6" t="str">
        <f>VLOOKUP(B180,Sheet3!$B$2:$E$312,2,FALSE)</f>
        <v>#N/A</v>
      </c>
      <c r="D180" s="6" t="str">
        <f>VLOOKUP(B180,Sheet3!$B$2:$E$312,3,)</f>
        <v>#N/A</v>
      </c>
      <c r="E180" s="6" t="str">
        <f>VLOOKUP(B180,Sheet3!$B$2:$E$312,4,)</f>
        <v>#N/A</v>
      </c>
      <c r="F180" s="6"/>
      <c r="G180" s="6"/>
      <c r="H180" s="6"/>
    </row>
    <row r="181" ht="15.75" customHeight="1">
      <c r="A181" s="17"/>
      <c r="B181" s="6"/>
      <c r="C181" s="6" t="str">
        <f>VLOOKUP(B181,Sheet3!$B$2:$E$312,2,FALSE)</f>
        <v>#N/A</v>
      </c>
      <c r="D181" s="6" t="str">
        <f>VLOOKUP(B181,Sheet3!$B$2:$E$312,3,)</f>
        <v>#N/A</v>
      </c>
      <c r="E181" s="6" t="str">
        <f>VLOOKUP(B181,Sheet3!$B$2:$E$312,4,)</f>
        <v>#N/A</v>
      </c>
      <c r="F181" s="6"/>
      <c r="G181" s="6"/>
      <c r="H181" s="6"/>
    </row>
    <row r="182" ht="15.75" customHeight="1">
      <c r="A182" s="17"/>
      <c r="B182" s="6"/>
      <c r="C182" s="6" t="str">
        <f>VLOOKUP(B182,Sheet3!$B$2:$E$312,2,FALSE)</f>
        <v>#N/A</v>
      </c>
      <c r="D182" s="6" t="str">
        <f>VLOOKUP(B182,Sheet3!$B$2:$E$312,3,)</f>
        <v>#N/A</v>
      </c>
      <c r="E182" s="6" t="str">
        <f>VLOOKUP(B182,Sheet3!$B$2:$E$312,4,)</f>
        <v>#N/A</v>
      </c>
      <c r="F182" s="6"/>
      <c r="G182" s="6"/>
      <c r="H182" s="6"/>
    </row>
    <row r="183" ht="15.75" customHeight="1">
      <c r="A183" s="17"/>
      <c r="B183" s="6"/>
      <c r="C183" s="6" t="str">
        <f>VLOOKUP(B183,Sheet3!$B$2:$E$312,2,FALSE)</f>
        <v>#N/A</v>
      </c>
      <c r="D183" s="6" t="str">
        <f>VLOOKUP(B183,Sheet3!$B$2:$E$312,3,)</f>
        <v>#N/A</v>
      </c>
      <c r="E183" s="6" t="str">
        <f>VLOOKUP(B183,Sheet3!$B$2:$E$312,4,)</f>
        <v>#N/A</v>
      </c>
      <c r="F183" s="6"/>
      <c r="G183" s="6"/>
      <c r="H183" s="6"/>
    </row>
    <row r="184" ht="15.75" customHeight="1">
      <c r="A184" s="17"/>
      <c r="B184" s="6"/>
      <c r="C184" s="6" t="str">
        <f>VLOOKUP(B184,Sheet3!$B$2:$E$312,2,FALSE)</f>
        <v>#N/A</v>
      </c>
      <c r="D184" s="6" t="str">
        <f>VLOOKUP(B184,Sheet3!$B$2:$E$312,3,)</f>
        <v>#N/A</v>
      </c>
      <c r="E184" s="6" t="str">
        <f>VLOOKUP(B184,Sheet3!$B$2:$E$312,4,)</f>
        <v>#N/A</v>
      </c>
      <c r="F184" s="6"/>
      <c r="G184" s="6"/>
      <c r="H184" s="6"/>
    </row>
    <row r="185" ht="15.75" customHeight="1">
      <c r="A185" s="17"/>
      <c r="B185" s="6"/>
      <c r="C185" s="6" t="str">
        <f>VLOOKUP(B185,Sheet3!$B$2:$E$312,2,FALSE)</f>
        <v>#N/A</v>
      </c>
      <c r="D185" s="6" t="str">
        <f>VLOOKUP(B185,Sheet3!$B$2:$E$312,3,)</f>
        <v>#N/A</v>
      </c>
      <c r="E185" s="6" t="str">
        <f>VLOOKUP(B185,Sheet3!$B$2:$E$312,4,)</f>
        <v>#N/A</v>
      </c>
      <c r="F185" s="6"/>
      <c r="G185" s="6"/>
      <c r="H185" s="6"/>
    </row>
    <row r="186" ht="15.75" customHeight="1">
      <c r="A186" s="17"/>
      <c r="B186" s="6"/>
      <c r="C186" s="6" t="str">
        <f>VLOOKUP(B186,Sheet3!$B$2:$E$312,2,FALSE)</f>
        <v>#N/A</v>
      </c>
      <c r="D186" s="6" t="str">
        <f>VLOOKUP(B186,Sheet3!$B$2:$E$312,3,)</f>
        <v>#N/A</v>
      </c>
      <c r="E186" s="6" t="str">
        <f>VLOOKUP(B186,Sheet3!$B$2:$E$312,4,)</f>
        <v>#N/A</v>
      </c>
      <c r="F186" s="6"/>
      <c r="G186" s="6"/>
      <c r="H186" s="6"/>
    </row>
    <row r="187" ht="15.75" customHeight="1">
      <c r="A187" s="17"/>
      <c r="B187" s="6"/>
      <c r="C187" s="6" t="str">
        <f>VLOOKUP(B187,Sheet3!$B$2:$E$312,2,FALSE)</f>
        <v>#N/A</v>
      </c>
      <c r="D187" s="6" t="str">
        <f>VLOOKUP(B187,Sheet3!$B$2:$E$312,3,)</f>
        <v>#N/A</v>
      </c>
      <c r="E187" s="6" t="str">
        <f>VLOOKUP(B187,Sheet3!$B$2:$E$312,4,)</f>
        <v>#N/A</v>
      </c>
      <c r="F187" s="6"/>
      <c r="G187" s="6"/>
      <c r="H187" s="6"/>
    </row>
    <row r="188" ht="15.75" customHeight="1">
      <c r="A188" s="17"/>
      <c r="B188" s="6"/>
      <c r="C188" s="6" t="str">
        <f>VLOOKUP(B188,Sheet3!$B$2:$E$312,2,FALSE)</f>
        <v>#N/A</v>
      </c>
      <c r="D188" s="6" t="str">
        <f>VLOOKUP(B188,Sheet3!$B$2:$E$312,3,)</f>
        <v>#N/A</v>
      </c>
      <c r="E188" s="6" t="str">
        <f>VLOOKUP(B188,Sheet3!$B$2:$E$312,4,)</f>
        <v>#N/A</v>
      </c>
      <c r="F188" s="6"/>
      <c r="G188" s="6"/>
      <c r="H188" s="6"/>
    </row>
    <row r="189" ht="15.75" customHeight="1">
      <c r="A189" s="17"/>
      <c r="B189" s="6"/>
      <c r="C189" s="6" t="str">
        <f>VLOOKUP(B189,Sheet3!$B$2:$E$312,2,FALSE)</f>
        <v>#N/A</v>
      </c>
      <c r="D189" s="6" t="str">
        <f>VLOOKUP(B189,Sheet3!$B$2:$E$312,3,)</f>
        <v>#N/A</v>
      </c>
      <c r="E189" s="6" t="str">
        <f>VLOOKUP(B189,Sheet3!$B$2:$E$312,4,)</f>
        <v>#N/A</v>
      </c>
      <c r="F189" s="6"/>
      <c r="G189" s="6"/>
      <c r="H189" s="6"/>
    </row>
    <row r="190" ht="15.75" customHeight="1">
      <c r="A190" s="17"/>
      <c r="B190" s="6"/>
      <c r="C190" s="6" t="str">
        <f>VLOOKUP(B190,Sheet3!$B$2:$E$312,2,FALSE)</f>
        <v>#N/A</v>
      </c>
      <c r="D190" s="6" t="str">
        <f>VLOOKUP(B190,Sheet3!$B$2:$E$312,3,)</f>
        <v>#N/A</v>
      </c>
      <c r="E190" s="6" t="str">
        <f>VLOOKUP(B190,Sheet3!$B$2:$E$312,4,)</f>
        <v>#N/A</v>
      </c>
      <c r="F190" s="6"/>
      <c r="G190" s="6"/>
      <c r="H190" s="6"/>
    </row>
    <row r="191" ht="15.75" customHeight="1">
      <c r="A191" s="17"/>
      <c r="B191" s="6"/>
      <c r="C191" s="6" t="str">
        <f>VLOOKUP(B191,Sheet3!$B$2:$E$312,2,FALSE)</f>
        <v>#N/A</v>
      </c>
      <c r="D191" s="6" t="str">
        <f>VLOOKUP(B191,Sheet3!$B$2:$E$312,3,)</f>
        <v>#N/A</v>
      </c>
      <c r="E191" s="6" t="str">
        <f>VLOOKUP(B191,Sheet3!$B$2:$E$312,4,)</f>
        <v>#N/A</v>
      </c>
      <c r="F191" s="6"/>
      <c r="G191" s="6"/>
      <c r="H191" s="6"/>
    </row>
    <row r="192" ht="15.75" customHeight="1">
      <c r="A192" s="17"/>
      <c r="B192" s="6"/>
      <c r="C192" s="6" t="str">
        <f>VLOOKUP(B192,Sheet3!$B$2:$E$312,2,FALSE)</f>
        <v>#N/A</v>
      </c>
      <c r="D192" s="6" t="str">
        <f>VLOOKUP(B192,Sheet3!$B$2:$E$312,3,)</f>
        <v>#N/A</v>
      </c>
      <c r="E192" s="6" t="str">
        <f>VLOOKUP(B192,Sheet3!$B$2:$E$312,4,)</f>
        <v>#N/A</v>
      </c>
      <c r="F192" s="6"/>
      <c r="G192" s="6"/>
      <c r="H192" s="6"/>
    </row>
    <row r="193" ht="15.75" customHeight="1">
      <c r="A193" s="17"/>
      <c r="B193" s="6"/>
      <c r="C193" s="6" t="str">
        <f>VLOOKUP(B193,Sheet3!$B$2:$E$312,2,FALSE)</f>
        <v>#N/A</v>
      </c>
      <c r="D193" s="6" t="str">
        <f>VLOOKUP(B193,Sheet3!$B$2:$E$312,3,)</f>
        <v>#N/A</v>
      </c>
      <c r="E193" s="6" t="str">
        <f>VLOOKUP(B193,Sheet3!$B$2:$E$312,4,)</f>
        <v>#N/A</v>
      </c>
      <c r="F193" s="6"/>
      <c r="G193" s="6"/>
      <c r="H193" s="6"/>
    </row>
    <row r="194" ht="15.75" customHeight="1">
      <c r="A194" s="17"/>
      <c r="B194" s="6"/>
      <c r="C194" s="6" t="str">
        <f>VLOOKUP(B194,Sheet3!$B$2:$E$312,2,FALSE)</f>
        <v>#N/A</v>
      </c>
      <c r="D194" s="6" t="str">
        <f>VLOOKUP(B194,Sheet3!$B$2:$E$312,3,)</f>
        <v>#N/A</v>
      </c>
      <c r="E194" s="6" t="str">
        <f>VLOOKUP(B194,Sheet3!$B$2:$E$312,4,)</f>
        <v>#N/A</v>
      </c>
      <c r="F194" s="6"/>
      <c r="G194" s="6"/>
      <c r="H194" s="6"/>
    </row>
    <row r="195" ht="15.75" customHeight="1">
      <c r="A195" s="17"/>
      <c r="B195" s="6"/>
      <c r="C195" s="6" t="str">
        <f>VLOOKUP(B195,Sheet3!$B$2:$E$312,2,FALSE)</f>
        <v>#N/A</v>
      </c>
      <c r="D195" s="6" t="str">
        <f>VLOOKUP(B195,Sheet3!$B$2:$E$312,3,)</f>
        <v>#N/A</v>
      </c>
      <c r="E195" s="6" t="str">
        <f>VLOOKUP(B195,Sheet3!$B$2:$E$312,4,)</f>
        <v>#N/A</v>
      </c>
      <c r="F195" s="6"/>
      <c r="G195" s="6"/>
      <c r="H195" s="6"/>
    </row>
    <row r="196" ht="15.75" customHeight="1">
      <c r="A196" s="17"/>
      <c r="B196" s="6"/>
      <c r="C196" s="6" t="str">
        <f>VLOOKUP(B196,Sheet3!$B$2:$E$312,2,FALSE)</f>
        <v>#N/A</v>
      </c>
      <c r="D196" s="6" t="str">
        <f>VLOOKUP(B196,Sheet3!$B$2:$E$312,3,)</f>
        <v>#N/A</v>
      </c>
      <c r="E196" s="6" t="str">
        <f>VLOOKUP(B196,Sheet3!$B$2:$E$312,4,)</f>
        <v>#N/A</v>
      </c>
      <c r="F196" s="6"/>
      <c r="G196" s="6"/>
      <c r="H196" s="6"/>
    </row>
    <row r="197" ht="15.75" customHeight="1">
      <c r="A197" s="17"/>
      <c r="B197" s="6"/>
      <c r="C197" s="6" t="str">
        <f>VLOOKUP(B197,Sheet3!$B$2:$E$312,2,FALSE)</f>
        <v>#N/A</v>
      </c>
      <c r="D197" s="6" t="str">
        <f>VLOOKUP(B197,Sheet3!$B$2:$E$312,3,)</f>
        <v>#N/A</v>
      </c>
      <c r="E197" s="6" t="str">
        <f>VLOOKUP(B197,Sheet3!$B$2:$E$312,4,)</f>
        <v>#N/A</v>
      </c>
      <c r="F197" s="6"/>
      <c r="G197" s="6"/>
      <c r="H197" s="6"/>
    </row>
    <row r="198" ht="15.75" customHeight="1">
      <c r="A198" s="17"/>
      <c r="B198" s="6"/>
      <c r="C198" s="6" t="str">
        <f>VLOOKUP(B198,Sheet3!$B$2:$E$312,2,FALSE)</f>
        <v>#N/A</v>
      </c>
      <c r="D198" s="6" t="str">
        <f>VLOOKUP(B198,Sheet3!$B$2:$E$312,3,)</f>
        <v>#N/A</v>
      </c>
      <c r="E198" s="6" t="str">
        <f>VLOOKUP(B198,Sheet3!$B$2:$E$312,4,)</f>
        <v>#N/A</v>
      </c>
      <c r="F198" s="6"/>
      <c r="G198" s="6"/>
      <c r="H198" s="6"/>
    </row>
    <row r="199" ht="15.75" customHeight="1">
      <c r="A199" s="17"/>
      <c r="B199" s="6"/>
      <c r="C199" s="6" t="str">
        <f>VLOOKUP(B199,Sheet3!$B$2:$E$312,2,FALSE)</f>
        <v>#N/A</v>
      </c>
      <c r="D199" s="6" t="str">
        <f>VLOOKUP(B199,Sheet3!$B$2:$E$312,3,)</f>
        <v>#N/A</v>
      </c>
      <c r="E199" s="6" t="str">
        <f>VLOOKUP(B199,Sheet3!$B$2:$E$312,4,)</f>
        <v>#N/A</v>
      </c>
      <c r="F199" s="6"/>
      <c r="G199" s="6"/>
      <c r="H199" s="6"/>
    </row>
    <row r="200" ht="15.75" customHeight="1">
      <c r="A200" s="17"/>
      <c r="B200" s="6"/>
      <c r="C200" s="6" t="str">
        <f>VLOOKUP(B200,Sheet3!$B$2:$E$312,2,FALSE)</f>
        <v>#N/A</v>
      </c>
      <c r="D200" s="6" t="str">
        <f>VLOOKUP(B200,Sheet3!$B$2:$E$312,3,)</f>
        <v>#N/A</v>
      </c>
      <c r="E200" s="6" t="str">
        <f>VLOOKUP(B200,Sheet3!$B$2:$E$312,4,)</f>
        <v>#N/A</v>
      </c>
      <c r="F200" s="6"/>
      <c r="G200" s="6"/>
      <c r="H200" s="6"/>
    </row>
    <row r="201" ht="15.75" customHeight="1">
      <c r="A201" s="17"/>
      <c r="B201" s="6"/>
      <c r="C201" s="6" t="str">
        <f>VLOOKUP(B201,Sheet3!$B$2:$E$312,2,FALSE)</f>
        <v>#N/A</v>
      </c>
      <c r="D201" s="6" t="str">
        <f>VLOOKUP(B201,Sheet3!$B$2:$E$312,3,)</f>
        <v>#N/A</v>
      </c>
      <c r="E201" s="6" t="str">
        <f>VLOOKUP(B201,Sheet3!$B$2:$E$312,4,)</f>
        <v>#N/A</v>
      </c>
      <c r="F201" s="6"/>
      <c r="G201" s="6"/>
      <c r="H201" s="6"/>
    </row>
    <row r="202" ht="15.75" customHeight="1">
      <c r="A202" s="17"/>
      <c r="B202" s="6"/>
      <c r="C202" s="6" t="str">
        <f>VLOOKUP(B202,Sheet3!$B$2:$E$312,2,FALSE)</f>
        <v>#N/A</v>
      </c>
      <c r="D202" s="6" t="str">
        <f>VLOOKUP(B202,Sheet3!$B$2:$E$312,3,)</f>
        <v>#N/A</v>
      </c>
      <c r="E202" s="6" t="str">
        <f>VLOOKUP(B202,Sheet3!$B$2:$E$312,4,)</f>
        <v>#N/A</v>
      </c>
      <c r="F202" s="6"/>
      <c r="G202" s="6"/>
      <c r="H202" s="6"/>
    </row>
    <row r="203" ht="15.75" customHeight="1">
      <c r="A203" s="17"/>
      <c r="B203" s="6"/>
      <c r="C203" s="6" t="str">
        <f>VLOOKUP(B203,Sheet3!$B$2:$E$312,2,FALSE)</f>
        <v>#N/A</v>
      </c>
      <c r="D203" s="6" t="str">
        <f>VLOOKUP(B203,Sheet3!$B$2:$E$312,3,)</f>
        <v>#N/A</v>
      </c>
      <c r="E203" s="6" t="str">
        <f>VLOOKUP(B203,Sheet3!$B$2:$E$312,4,)</f>
        <v>#N/A</v>
      </c>
      <c r="F203" s="6"/>
      <c r="G203" s="6"/>
      <c r="H203" s="6"/>
    </row>
    <row r="204" ht="15.75" customHeight="1">
      <c r="A204" s="17"/>
      <c r="B204" s="6"/>
      <c r="C204" s="6" t="str">
        <f>VLOOKUP(B204,Sheet3!$B$2:$E$312,2,FALSE)</f>
        <v>#N/A</v>
      </c>
      <c r="D204" s="6" t="str">
        <f>VLOOKUP(B204,Sheet3!$B$2:$E$312,3,)</f>
        <v>#N/A</v>
      </c>
      <c r="E204" s="6" t="str">
        <f>VLOOKUP(B204,Sheet3!$B$2:$E$312,4,)</f>
        <v>#N/A</v>
      </c>
      <c r="F204" s="6"/>
      <c r="G204" s="6"/>
      <c r="H204" s="6"/>
    </row>
    <row r="205" ht="15.75" customHeight="1">
      <c r="A205" s="17"/>
      <c r="B205" s="6"/>
      <c r="C205" s="6" t="str">
        <f>VLOOKUP(B205,Sheet3!$B$2:$E$312,2,FALSE)</f>
        <v>#N/A</v>
      </c>
      <c r="D205" s="6" t="str">
        <f>VLOOKUP(B205,Sheet3!$B$2:$E$312,3,)</f>
        <v>#N/A</v>
      </c>
      <c r="E205" s="6" t="str">
        <f>VLOOKUP(B205,Sheet3!$B$2:$E$312,4,)</f>
        <v>#N/A</v>
      </c>
      <c r="F205" s="6"/>
      <c r="G205" s="6"/>
      <c r="H205" s="6"/>
    </row>
    <row r="206" ht="15.75" customHeight="1">
      <c r="A206" s="17"/>
      <c r="B206" s="6"/>
      <c r="C206" s="6" t="str">
        <f>VLOOKUP(B206,Sheet3!$B$2:$E$312,2,FALSE)</f>
        <v>#N/A</v>
      </c>
      <c r="D206" s="6" t="str">
        <f>VLOOKUP(B206,Sheet3!$B$2:$E$312,3,)</f>
        <v>#N/A</v>
      </c>
      <c r="E206" s="6" t="str">
        <f>VLOOKUP(B206,Sheet3!$B$2:$E$312,4,)</f>
        <v>#N/A</v>
      </c>
      <c r="F206" s="6"/>
      <c r="G206" s="6"/>
      <c r="H206" s="6"/>
    </row>
    <row r="207" ht="15.75" customHeight="1">
      <c r="A207" s="17"/>
      <c r="B207" s="6"/>
      <c r="C207" s="6" t="str">
        <f>VLOOKUP(B207,Sheet3!$B$2:$E$312,2,FALSE)</f>
        <v>#N/A</v>
      </c>
      <c r="D207" s="6" t="str">
        <f>VLOOKUP(B207,Sheet3!$B$2:$E$312,3,)</f>
        <v>#N/A</v>
      </c>
      <c r="E207" s="6" t="str">
        <f>VLOOKUP(B207,Sheet3!$B$2:$E$312,4,)</f>
        <v>#N/A</v>
      </c>
      <c r="F207" s="6"/>
      <c r="G207" s="6"/>
      <c r="H207" s="6"/>
    </row>
    <row r="208" ht="15.75" customHeight="1">
      <c r="A208" s="17"/>
      <c r="B208" s="6"/>
      <c r="C208" s="6" t="str">
        <f>VLOOKUP(B208,Sheet3!$B$2:$E$312,2,FALSE)</f>
        <v>#N/A</v>
      </c>
      <c r="D208" s="6" t="str">
        <f>VLOOKUP(B208,Sheet3!$B$2:$E$312,3,)</f>
        <v>#N/A</v>
      </c>
      <c r="E208" s="6" t="str">
        <f>VLOOKUP(B208,Sheet3!$B$2:$E$312,4,)</f>
        <v>#N/A</v>
      </c>
      <c r="F208" s="6"/>
      <c r="G208" s="6"/>
      <c r="H208" s="6"/>
    </row>
    <row r="209" ht="15.75" customHeight="1">
      <c r="A209" s="17"/>
      <c r="B209" s="6"/>
      <c r="C209" s="6" t="str">
        <f>VLOOKUP(B209,Sheet3!$B$2:$E$312,2,FALSE)</f>
        <v>#N/A</v>
      </c>
      <c r="D209" s="6" t="str">
        <f>VLOOKUP(B209,Sheet3!$B$2:$E$312,3,)</f>
        <v>#N/A</v>
      </c>
      <c r="E209" s="6" t="str">
        <f>VLOOKUP(B209,Sheet3!$B$2:$E$312,4,)</f>
        <v>#N/A</v>
      </c>
      <c r="F209" s="6"/>
      <c r="G209" s="6"/>
      <c r="H209" s="6"/>
    </row>
    <row r="210" ht="15.75" customHeight="1">
      <c r="A210" s="17"/>
      <c r="B210" s="6"/>
      <c r="C210" s="6" t="str">
        <f>VLOOKUP(B210,Sheet3!$B$2:$E$312,2,FALSE)</f>
        <v>#N/A</v>
      </c>
      <c r="D210" s="6" t="str">
        <f>VLOOKUP(B210,Sheet3!$B$2:$E$312,3,)</f>
        <v>#N/A</v>
      </c>
      <c r="E210" s="6" t="str">
        <f>VLOOKUP(B210,Sheet3!$B$2:$E$312,4,)</f>
        <v>#N/A</v>
      </c>
      <c r="F210" s="6"/>
      <c r="G210" s="6"/>
      <c r="H210" s="6"/>
    </row>
    <row r="211" ht="15.75" customHeight="1">
      <c r="A211" s="17"/>
      <c r="B211" s="6"/>
      <c r="C211" s="6" t="str">
        <f>VLOOKUP(B211,Sheet3!$B$2:$E$312,2,FALSE)</f>
        <v>#N/A</v>
      </c>
      <c r="D211" s="6" t="str">
        <f>VLOOKUP(B211,Sheet3!$B$2:$E$312,3,)</f>
        <v>#N/A</v>
      </c>
      <c r="E211" s="6" t="str">
        <f>VLOOKUP(B211,Sheet3!$B$2:$E$312,4,)</f>
        <v>#N/A</v>
      </c>
      <c r="F211" s="6"/>
      <c r="G211" s="6"/>
      <c r="H211" s="6"/>
    </row>
    <row r="212" ht="15.75" customHeight="1">
      <c r="A212" s="17"/>
      <c r="B212" s="6"/>
      <c r="C212" s="6" t="str">
        <f>VLOOKUP(B212,Sheet3!$B$2:$E$312,2,FALSE)</f>
        <v>#N/A</v>
      </c>
      <c r="D212" s="6" t="str">
        <f>VLOOKUP(B212,Sheet3!$B$2:$E$312,3,)</f>
        <v>#N/A</v>
      </c>
      <c r="E212" s="6" t="str">
        <f>VLOOKUP(B212,Sheet3!$B$2:$E$312,4,)</f>
        <v>#N/A</v>
      </c>
      <c r="F212" s="6"/>
      <c r="G212" s="6"/>
      <c r="H212" s="6"/>
    </row>
    <row r="213" ht="15.75" customHeight="1">
      <c r="A213" s="17"/>
      <c r="B213" s="6"/>
      <c r="C213" s="6" t="str">
        <f>VLOOKUP(B213,Sheet3!$B$2:$E$312,2,FALSE)</f>
        <v>#N/A</v>
      </c>
      <c r="D213" s="6" t="str">
        <f>VLOOKUP(B213,Sheet3!$B$2:$E$312,3,)</f>
        <v>#N/A</v>
      </c>
      <c r="E213" s="6" t="str">
        <f>VLOOKUP(B213,Sheet3!$B$2:$E$312,4,)</f>
        <v>#N/A</v>
      </c>
      <c r="F213" s="6"/>
      <c r="G213" s="6"/>
      <c r="H213" s="6"/>
    </row>
    <row r="214" ht="15.75" customHeight="1">
      <c r="A214" s="17"/>
      <c r="B214" s="6"/>
      <c r="C214" s="6" t="str">
        <f>VLOOKUP(B214,Sheet3!$B$2:$E$312,2,FALSE)</f>
        <v>#N/A</v>
      </c>
      <c r="D214" s="6" t="str">
        <f>VLOOKUP(B214,Sheet3!$B$2:$E$312,3,)</f>
        <v>#N/A</v>
      </c>
      <c r="E214" s="6" t="str">
        <f>VLOOKUP(B214,Sheet3!$B$2:$E$312,4,)</f>
        <v>#N/A</v>
      </c>
      <c r="F214" s="6"/>
      <c r="G214" s="6"/>
      <c r="H214" s="6"/>
    </row>
    <row r="215" ht="15.75" customHeight="1">
      <c r="A215" s="17"/>
      <c r="B215" s="6"/>
      <c r="C215" s="6" t="str">
        <f>VLOOKUP(B215,Sheet3!$B$2:$E$312,2,FALSE)</f>
        <v>#N/A</v>
      </c>
      <c r="D215" s="6" t="str">
        <f>VLOOKUP(B215,Sheet3!$B$2:$E$312,3,)</f>
        <v>#N/A</v>
      </c>
      <c r="E215" s="6" t="s">
        <v>1374</v>
      </c>
      <c r="F215" s="6"/>
      <c r="G215" s="6"/>
      <c r="H215" s="6"/>
    </row>
    <row r="216" ht="15.75" customHeight="1">
      <c r="A216" s="17"/>
      <c r="B216" s="6"/>
      <c r="C216" s="6" t="str">
        <f>VLOOKUP(B216,Sheet3!$B$2:$E$312,2,FALSE)</f>
        <v>#N/A</v>
      </c>
      <c r="D216" s="6" t="str">
        <f>VLOOKUP(B216,Sheet3!$B$2:$E$312,3,)</f>
        <v>#N/A</v>
      </c>
      <c r="E216" s="6" t="str">
        <f>VLOOKUP(B216,Sheet3!$B$2:$E$312,4,)</f>
        <v>#N/A</v>
      </c>
      <c r="F216" s="6"/>
      <c r="G216" s="6"/>
      <c r="H216" s="6"/>
    </row>
    <row r="217" ht="15.75" customHeight="1">
      <c r="A217" s="17"/>
      <c r="B217" s="6"/>
      <c r="C217" s="6" t="str">
        <f>VLOOKUP(B217,Sheet3!$B$2:$E$312,2,FALSE)</f>
        <v>#N/A</v>
      </c>
      <c r="D217" s="6" t="str">
        <f>VLOOKUP(B217,Sheet3!$B$2:$E$312,3,)</f>
        <v>#N/A</v>
      </c>
      <c r="E217" s="6" t="str">
        <f>VLOOKUP(B217,Sheet3!$B$2:$E$312,4,)</f>
        <v>#N/A</v>
      </c>
      <c r="F217" s="6"/>
      <c r="G217" s="6"/>
      <c r="H217" s="6"/>
    </row>
    <row r="218" ht="15.75" customHeight="1">
      <c r="A218" s="17"/>
      <c r="B218" s="6"/>
      <c r="C218" s="6" t="str">
        <f>VLOOKUP(B218,Sheet3!$B$2:$E$312,2,FALSE)</f>
        <v>#N/A</v>
      </c>
      <c r="D218" s="6" t="str">
        <f>VLOOKUP(B218,Sheet3!$B$2:$E$312,3,)</f>
        <v>#N/A</v>
      </c>
      <c r="E218" s="6" t="str">
        <f>VLOOKUP(B218,Sheet3!$B$2:$E$312,4,)</f>
        <v>#N/A</v>
      </c>
      <c r="F218" s="6"/>
      <c r="G218" s="6"/>
      <c r="H218" s="6"/>
    </row>
    <row r="219" ht="15.75" customHeight="1">
      <c r="A219" s="17"/>
      <c r="B219" s="6"/>
      <c r="C219" s="6" t="str">
        <f>VLOOKUP(B219,Sheet3!$B$2:$E$312,2,FALSE)</f>
        <v>#N/A</v>
      </c>
      <c r="D219" s="6" t="str">
        <f>VLOOKUP(B219,Sheet3!$B$2:$E$312,3,)</f>
        <v>#N/A</v>
      </c>
      <c r="E219" s="6" t="str">
        <f>VLOOKUP(B219,Sheet3!$B$2:$E$312,4,)</f>
        <v>#N/A</v>
      </c>
      <c r="F219" s="6"/>
      <c r="G219" s="6"/>
      <c r="H219" s="6"/>
    </row>
    <row r="220" ht="15.75" customHeight="1">
      <c r="A220" s="17"/>
      <c r="B220" s="6"/>
      <c r="C220" s="6" t="str">
        <f>VLOOKUP(B220,Sheet3!$B$2:$E$312,2,FALSE)</f>
        <v>#N/A</v>
      </c>
      <c r="D220" s="6" t="str">
        <f>VLOOKUP(B220,Sheet3!$B$2:$E$312,3,)</f>
        <v>#N/A</v>
      </c>
      <c r="E220" s="6" t="str">
        <f>VLOOKUP(B220,Sheet3!$B$2:$E$312,4,)</f>
        <v>#N/A</v>
      </c>
      <c r="F220" s="6"/>
      <c r="G220" s="6"/>
      <c r="H220" s="6"/>
    </row>
    <row r="221" ht="15.75" customHeight="1">
      <c r="A221" s="17"/>
      <c r="B221" s="6"/>
      <c r="C221" s="6" t="str">
        <f>VLOOKUP(B221,Sheet3!$B$2:$E$312,2,FALSE)</f>
        <v>#N/A</v>
      </c>
      <c r="D221" s="6" t="str">
        <f>VLOOKUP(B221,Sheet3!$B$2:$E$312,3,)</f>
        <v>#N/A</v>
      </c>
      <c r="E221" s="6" t="str">
        <f>VLOOKUP(B221,Sheet3!$B$2:$E$312,4,)</f>
        <v>#N/A</v>
      </c>
      <c r="F221" s="6"/>
      <c r="G221" s="6"/>
      <c r="H221" s="6"/>
    </row>
    <row r="222" ht="15.75" customHeight="1">
      <c r="A222" s="17"/>
      <c r="B222" s="6"/>
      <c r="C222" s="6" t="str">
        <f>VLOOKUP(B222,Sheet3!$B$2:$E$312,2,FALSE)</f>
        <v>#N/A</v>
      </c>
      <c r="D222" s="6" t="str">
        <f>VLOOKUP(B222,Sheet3!$B$2:$E$312,3,)</f>
        <v>#N/A</v>
      </c>
      <c r="E222" s="6" t="str">
        <f>VLOOKUP(B222,Sheet3!$B$2:$E$312,4,)</f>
        <v>#N/A</v>
      </c>
      <c r="F222" s="6"/>
      <c r="G222" s="6"/>
      <c r="H222" s="6"/>
    </row>
    <row r="223" ht="15.75" customHeight="1">
      <c r="A223" s="17"/>
      <c r="B223" s="6"/>
      <c r="C223" s="6" t="str">
        <f>VLOOKUP(B223,Sheet3!$B$2:$E$312,2,FALSE)</f>
        <v>#N/A</v>
      </c>
      <c r="D223" s="6" t="str">
        <f>VLOOKUP(B223,Sheet3!$B$2:$E$312,3,)</f>
        <v>#N/A</v>
      </c>
      <c r="E223" s="6" t="str">
        <f>VLOOKUP(B223,Sheet3!$B$2:$E$312,4,)</f>
        <v>#N/A</v>
      </c>
      <c r="F223" s="6"/>
      <c r="G223" s="6"/>
      <c r="H223" s="6"/>
    </row>
    <row r="224" ht="15.75" customHeight="1">
      <c r="A224" s="17"/>
      <c r="B224" s="6"/>
      <c r="C224" s="6" t="str">
        <f>VLOOKUP(B224,Sheet3!$B$2:$E$312,2,FALSE)</f>
        <v>#N/A</v>
      </c>
      <c r="D224" s="6" t="str">
        <f>VLOOKUP(B224,Sheet3!$B$2:$E$312,3,)</f>
        <v>#N/A</v>
      </c>
      <c r="E224" s="6" t="str">
        <f>VLOOKUP(B224,Sheet3!$B$2:$E$312,4,)</f>
        <v>#N/A</v>
      </c>
      <c r="F224" s="6"/>
      <c r="G224" s="6"/>
      <c r="H224" s="6"/>
    </row>
    <row r="225" ht="15.75" customHeight="1">
      <c r="A225" s="17"/>
      <c r="B225" s="6"/>
      <c r="C225" s="6" t="str">
        <f>VLOOKUP(B225,Sheet3!$B$2:$E$312,2,FALSE)</f>
        <v>#N/A</v>
      </c>
      <c r="D225" s="6" t="str">
        <f>VLOOKUP(B225,Sheet3!$B$2:$E$312,3,)</f>
        <v>#N/A</v>
      </c>
      <c r="E225" s="6" t="str">
        <f>VLOOKUP(B225,Sheet3!$B$2:$E$312,4,)</f>
        <v>#N/A</v>
      </c>
      <c r="F225" s="6"/>
      <c r="G225" s="6"/>
      <c r="H225" s="6"/>
    </row>
    <row r="226" ht="15.75" customHeight="1">
      <c r="A226" s="17"/>
      <c r="B226" s="6"/>
      <c r="C226" s="6" t="str">
        <f>VLOOKUP(B226,Sheet3!$B$2:$E$312,2,FALSE)</f>
        <v>#N/A</v>
      </c>
      <c r="D226" s="6" t="str">
        <f>VLOOKUP(B226,Sheet3!$B$2:$E$312,3,)</f>
        <v>#N/A</v>
      </c>
      <c r="E226" s="6" t="str">
        <f>VLOOKUP(B226,Sheet3!$B$2:$E$312,4,)</f>
        <v>#N/A</v>
      </c>
      <c r="F226" s="6"/>
      <c r="G226" s="6"/>
      <c r="H226" s="6"/>
    </row>
    <row r="227" ht="15.75" customHeight="1">
      <c r="A227" s="17"/>
      <c r="B227" s="6"/>
      <c r="C227" s="6" t="str">
        <f>VLOOKUP(B227,Sheet3!$B$2:$E$312,2,FALSE)</f>
        <v>#N/A</v>
      </c>
      <c r="D227" s="6" t="str">
        <f>VLOOKUP(B227,Sheet3!$B$2:$E$312,3,)</f>
        <v>#N/A</v>
      </c>
      <c r="E227" s="6" t="str">
        <f>VLOOKUP(B227,Sheet3!$B$2:$E$312,4,)</f>
        <v>#N/A</v>
      </c>
      <c r="F227" s="6"/>
      <c r="G227" s="6"/>
      <c r="H227" s="6"/>
    </row>
    <row r="228" ht="15.75" customHeight="1">
      <c r="A228" s="17"/>
      <c r="B228" s="6"/>
      <c r="C228" s="6" t="str">
        <f>VLOOKUP(B228,Sheet3!$B$2:$E$312,2,FALSE)</f>
        <v>#N/A</v>
      </c>
      <c r="D228" s="6" t="str">
        <f>VLOOKUP(B228,Sheet3!$B$2:$E$312,3,)</f>
        <v>#N/A</v>
      </c>
      <c r="E228" s="6" t="str">
        <f>VLOOKUP(B228,Sheet3!$B$2:$E$312,4,)</f>
        <v>#N/A</v>
      </c>
      <c r="F228" s="6"/>
      <c r="G228" s="6"/>
      <c r="H228" s="6"/>
    </row>
    <row r="229" ht="15.75" customHeight="1">
      <c r="A229" s="17"/>
      <c r="B229" s="6"/>
      <c r="C229" s="6" t="str">
        <f>VLOOKUP(B229,Sheet3!$B$2:$E$312,2,FALSE)</f>
        <v>#N/A</v>
      </c>
      <c r="D229" s="6" t="str">
        <f>VLOOKUP(B229,Sheet3!$B$2:$E$312,3,)</f>
        <v>#N/A</v>
      </c>
      <c r="E229" s="6" t="str">
        <f>VLOOKUP(B229,Sheet3!$B$2:$E$312,4,)</f>
        <v>#N/A</v>
      </c>
      <c r="F229" s="6"/>
      <c r="G229" s="6"/>
      <c r="H229" s="6"/>
    </row>
    <row r="230" ht="15.75" customHeight="1">
      <c r="A230" s="17"/>
      <c r="B230" s="6"/>
      <c r="C230" s="6" t="str">
        <f>VLOOKUP(B230,Sheet3!$B$2:$E$312,2,FALSE)</f>
        <v>#N/A</v>
      </c>
      <c r="D230" s="6" t="str">
        <f>VLOOKUP(B230,Sheet3!$B$2:$E$312,3,)</f>
        <v>#N/A</v>
      </c>
      <c r="E230" s="6" t="str">
        <f>VLOOKUP(B230,Sheet3!$B$2:$E$312,4,)</f>
        <v>#N/A</v>
      </c>
      <c r="F230" s="6"/>
      <c r="G230" s="6"/>
      <c r="H230" s="6"/>
    </row>
    <row r="231" ht="15.75" customHeight="1">
      <c r="A231" s="17"/>
      <c r="B231" s="6"/>
      <c r="C231" s="6" t="str">
        <f>VLOOKUP(B231,Sheet3!$B$2:$E$312,2,FALSE)</f>
        <v>#N/A</v>
      </c>
      <c r="D231" s="6" t="str">
        <f>VLOOKUP(B231,Sheet3!$B$2:$E$312,3,)</f>
        <v>#N/A</v>
      </c>
      <c r="E231" s="6" t="str">
        <f>VLOOKUP(B231,Sheet3!$B$2:$E$312,4,)</f>
        <v>#N/A</v>
      </c>
      <c r="F231" s="6"/>
      <c r="G231" s="6"/>
      <c r="H231" s="6"/>
    </row>
    <row r="232" ht="15.75" customHeight="1">
      <c r="A232" s="17"/>
      <c r="B232" s="6"/>
      <c r="C232" s="6" t="str">
        <f>VLOOKUP(B232,Sheet3!$B$2:$E$312,2,FALSE)</f>
        <v>#N/A</v>
      </c>
      <c r="D232" s="6" t="str">
        <f>VLOOKUP(B232,Sheet3!$B$2:$E$312,3,)</f>
        <v>#N/A</v>
      </c>
      <c r="E232" s="6" t="str">
        <f>VLOOKUP(B232,Sheet3!$B$2:$E$312,4,)</f>
        <v>#N/A</v>
      </c>
      <c r="F232" s="6"/>
      <c r="G232" s="6"/>
      <c r="H232" s="6"/>
    </row>
    <row r="233" ht="15.75" customHeight="1">
      <c r="A233" s="17"/>
      <c r="B233" s="6"/>
      <c r="C233" s="6" t="str">
        <f>VLOOKUP(B233,Sheet3!$B$2:$E$312,2,FALSE)</f>
        <v>#N/A</v>
      </c>
      <c r="D233" s="6" t="str">
        <f>VLOOKUP(B233,Sheet3!$B$2:$E$312,3,)</f>
        <v>#N/A</v>
      </c>
      <c r="E233" s="6" t="str">
        <f>VLOOKUP(B233,Sheet3!$B$2:$E$312,4,)</f>
        <v>#N/A</v>
      </c>
      <c r="F233" s="6"/>
      <c r="G233" s="6"/>
      <c r="H233" s="6"/>
    </row>
    <row r="234" ht="15.75" customHeight="1">
      <c r="A234" s="17"/>
      <c r="B234" s="6"/>
      <c r="C234" s="6" t="str">
        <f>VLOOKUP(B234,Sheet3!$B$2:$E$312,2,FALSE)</f>
        <v>#N/A</v>
      </c>
      <c r="D234" s="6" t="str">
        <f>VLOOKUP(B234,Sheet3!$B$2:$E$312,3,)</f>
        <v>#N/A</v>
      </c>
      <c r="E234" s="6" t="str">
        <f>VLOOKUP(B234,Sheet3!$B$2:$E$312,4,)</f>
        <v>#N/A</v>
      </c>
      <c r="F234" s="6"/>
      <c r="G234" s="6"/>
      <c r="H234" s="6"/>
    </row>
    <row r="235" ht="15.75" customHeight="1">
      <c r="A235" s="17"/>
      <c r="B235" s="6"/>
      <c r="C235" s="6" t="str">
        <f>VLOOKUP(B235,Sheet3!$B$2:$E$312,2,FALSE)</f>
        <v>#N/A</v>
      </c>
      <c r="D235" s="6" t="str">
        <f>VLOOKUP(B235,Sheet3!$B$2:$E$312,3,)</f>
        <v>#N/A</v>
      </c>
      <c r="E235" s="6" t="str">
        <f>VLOOKUP(B235,Sheet3!$B$2:$E$312,4,)</f>
        <v>#N/A</v>
      </c>
      <c r="F235" s="6"/>
      <c r="G235" s="6"/>
      <c r="H235" s="6"/>
    </row>
    <row r="236" ht="15.75" customHeight="1">
      <c r="A236" s="17"/>
      <c r="B236" s="6"/>
      <c r="C236" s="6" t="str">
        <f>VLOOKUP(B236,Sheet3!$B$2:$E$312,2,FALSE)</f>
        <v>#N/A</v>
      </c>
      <c r="D236" s="6" t="str">
        <f>VLOOKUP(B236,Sheet3!$B$2:$E$312,3,)</f>
        <v>#N/A</v>
      </c>
      <c r="E236" s="6" t="str">
        <f>VLOOKUP(B236,Sheet3!$B$2:$E$312,4,)</f>
        <v>#N/A</v>
      </c>
      <c r="F236" s="6"/>
      <c r="G236" s="6"/>
      <c r="H236" s="6"/>
    </row>
    <row r="237" ht="15.75" customHeight="1">
      <c r="A237" s="17"/>
      <c r="B237" s="6"/>
      <c r="C237" s="6" t="str">
        <f>VLOOKUP(B237,Sheet3!$B$2:$E$312,2,FALSE)</f>
        <v>#N/A</v>
      </c>
      <c r="D237" s="6" t="str">
        <f>VLOOKUP(B237,Sheet3!$B$2:$E$312,3,)</f>
        <v>#N/A</v>
      </c>
      <c r="E237" s="6" t="str">
        <f>VLOOKUP(B237,Sheet3!$B$2:$E$312,4,)</f>
        <v>#N/A</v>
      </c>
      <c r="F237" s="6"/>
      <c r="G237" s="6"/>
      <c r="H237" s="6"/>
    </row>
    <row r="238" ht="15.75" customHeight="1">
      <c r="A238" s="17"/>
      <c r="B238" s="6"/>
      <c r="C238" s="6" t="str">
        <f>VLOOKUP(B238,Sheet3!$B$2:$E$312,2,FALSE)</f>
        <v>#N/A</v>
      </c>
      <c r="D238" s="6" t="str">
        <f>VLOOKUP(B238,Sheet3!$B$2:$E$312,3,)</f>
        <v>#N/A</v>
      </c>
      <c r="E238" s="6" t="str">
        <f>VLOOKUP(B238,Sheet3!$B$2:$E$312,4,)</f>
        <v>#N/A</v>
      </c>
      <c r="F238" s="6"/>
      <c r="G238" s="6"/>
      <c r="H238" s="6"/>
    </row>
    <row r="239" ht="15.75" customHeight="1">
      <c r="A239" s="6"/>
      <c r="B239" s="6"/>
      <c r="C239" s="6" t="str">
        <f>VLOOKUP(B239,Sheet3!$B$2:$E$312,2,FALSE)</f>
        <v>#N/A</v>
      </c>
      <c r="D239" s="6" t="str">
        <f>VLOOKUP(B239,Sheet3!$B$2:$E$312,3,)</f>
        <v>#N/A</v>
      </c>
      <c r="E239" s="6" t="str">
        <f>VLOOKUP(B239,Sheet3!$B$2:$E$312,4,)</f>
        <v>#N/A</v>
      </c>
      <c r="F239" s="6"/>
      <c r="G239" s="6"/>
      <c r="H239" s="6"/>
    </row>
    <row r="240" ht="15.75" customHeight="1">
      <c r="A240" s="6"/>
      <c r="B240" s="6"/>
      <c r="C240" s="6" t="str">
        <f>VLOOKUP(B240,Sheet3!$B$2:$E$312,2,FALSE)</f>
        <v>#N/A</v>
      </c>
      <c r="D240" s="6" t="str">
        <f>VLOOKUP(B240,Sheet3!$B$2:$E$312,3,)</f>
        <v>#N/A</v>
      </c>
      <c r="E240" s="6" t="str">
        <f>VLOOKUP(B240,Sheet3!$B$2:$E$312,4,)</f>
        <v>#N/A</v>
      </c>
      <c r="F240" s="6"/>
      <c r="G240" s="6"/>
      <c r="H240" s="6"/>
    </row>
    <row r="241" ht="15.75" customHeight="1">
      <c r="A241" s="6"/>
      <c r="B241" s="6"/>
      <c r="C241" s="6" t="str">
        <f>VLOOKUP(B241,Sheet3!$B$2:$E$312,2,FALSE)</f>
        <v>#N/A</v>
      </c>
      <c r="D241" s="6" t="str">
        <f>VLOOKUP(B241,Sheet3!$B$2:$E$312,3,)</f>
        <v>#N/A</v>
      </c>
      <c r="E241" s="6" t="str">
        <f>VLOOKUP(B241,Sheet3!$B$2:$E$312,4,)</f>
        <v>#N/A</v>
      </c>
      <c r="F241" s="6"/>
      <c r="G241" s="6"/>
      <c r="H241" s="6"/>
    </row>
    <row r="242" ht="15.75" customHeight="1">
      <c r="A242" s="6"/>
      <c r="B242" s="6"/>
      <c r="C242" s="6" t="str">
        <f>VLOOKUP(B242,Sheet3!$B$2:$E$312,2,FALSE)</f>
        <v>#N/A</v>
      </c>
      <c r="D242" s="6" t="str">
        <f>VLOOKUP(B242,Sheet3!$B$2:$E$312,3,)</f>
        <v>#N/A</v>
      </c>
      <c r="E242" s="6" t="str">
        <f>VLOOKUP(B242,Sheet3!$B$2:$E$312,4,)</f>
        <v>#N/A</v>
      </c>
      <c r="F242" s="6"/>
      <c r="G242" s="6"/>
      <c r="H242" s="6"/>
    </row>
    <row r="243" ht="15.75" customHeight="1">
      <c r="A243" s="6"/>
      <c r="B243" s="6"/>
      <c r="C243" s="6" t="str">
        <f>VLOOKUP(B243,Sheet3!$B$2:$E$312,2,FALSE)</f>
        <v>#N/A</v>
      </c>
      <c r="D243" s="6" t="str">
        <f>VLOOKUP(B243,Sheet3!$B$2:$E$312,3,)</f>
        <v>#N/A</v>
      </c>
      <c r="E243" s="6" t="str">
        <f>VLOOKUP(B243,Sheet3!$B$2:$E$312,4,)</f>
        <v>#N/A</v>
      </c>
      <c r="F243" s="6"/>
      <c r="G243" s="6"/>
      <c r="H243" s="6"/>
    </row>
    <row r="244" ht="15.75" customHeight="1">
      <c r="A244" s="6"/>
      <c r="B244" s="6"/>
      <c r="C244" s="6" t="str">
        <f>VLOOKUP(B244,Sheet3!$B$2:$E$312,2,FALSE)</f>
        <v>#N/A</v>
      </c>
      <c r="D244" s="6" t="str">
        <f>VLOOKUP(B244,Sheet3!$B$2:$E$312,3,)</f>
        <v>#N/A</v>
      </c>
      <c r="E244" s="6" t="str">
        <f>VLOOKUP(B244,Sheet3!$B$2:$E$312,4,)</f>
        <v>#N/A</v>
      </c>
      <c r="F244" s="6"/>
      <c r="G244" s="6"/>
      <c r="H244" s="6"/>
    </row>
    <row r="245" ht="15.75" customHeight="1">
      <c r="A245" s="6"/>
      <c r="B245" s="6"/>
      <c r="C245" s="6" t="str">
        <f>VLOOKUP(B245,Sheet3!$B$2:$E$312,2,FALSE)</f>
        <v>#N/A</v>
      </c>
      <c r="D245" s="6" t="str">
        <f>VLOOKUP(B245,Sheet3!$B$2:$E$312,3,)</f>
        <v>#N/A</v>
      </c>
      <c r="E245" s="6" t="str">
        <f>VLOOKUP(B245,Sheet3!$B$2:$E$312,4,)</f>
        <v>#N/A</v>
      </c>
      <c r="F245" s="6"/>
      <c r="G245" s="6"/>
      <c r="H245" s="6"/>
    </row>
    <row r="246" ht="15.75" customHeight="1">
      <c r="A246" s="6"/>
      <c r="B246" s="6"/>
      <c r="C246" s="6" t="str">
        <f>VLOOKUP(B246,Sheet3!$B$2:$E$312,2,FALSE)</f>
        <v>#N/A</v>
      </c>
      <c r="D246" s="6" t="str">
        <f>VLOOKUP(B246,Sheet3!$B$2:$E$312,3,)</f>
        <v>#N/A</v>
      </c>
      <c r="E246" s="6" t="str">
        <f>VLOOKUP(B246,Sheet3!$B$2:$E$312,4,)</f>
        <v>#N/A</v>
      </c>
      <c r="F246" s="6"/>
      <c r="G246" s="6"/>
      <c r="H246" s="6"/>
    </row>
    <row r="247" ht="15.75" customHeight="1">
      <c r="A247" s="6"/>
      <c r="B247" s="6"/>
      <c r="C247" s="6" t="str">
        <f>VLOOKUP(B247,Sheet3!$B$2:$E$312,2,FALSE)</f>
        <v>#N/A</v>
      </c>
      <c r="D247" s="6" t="str">
        <f>VLOOKUP(B247,Sheet3!$B$2:$E$312,3,)</f>
        <v>#N/A</v>
      </c>
      <c r="E247" s="6" t="str">
        <f>VLOOKUP(B247,Sheet3!$B$2:$E$312,4,)</f>
        <v>#N/A</v>
      </c>
      <c r="F247" s="6"/>
      <c r="G247" s="6"/>
      <c r="H247" s="6"/>
    </row>
    <row r="248" ht="15.75" customHeight="1">
      <c r="A248" s="6"/>
      <c r="B248" s="6"/>
      <c r="C248" s="6" t="str">
        <f>VLOOKUP(B248,Sheet3!$B$2:$E$312,2,FALSE)</f>
        <v>#N/A</v>
      </c>
      <c r="D248" s="6" t="str">
        <f>VLOOKUP(B248,Sheet3!$B$2:$E$312,3,)</f>
        <v>#N/A</v>
      </c>
      <c r="E248" s="6" t="str">
        <f>VLOOKUP(B248,Sheet3!$B$2:$E$312,4,)</f>
        <v>#N/A</v>
      </c>
      <c r="F248" s="6"/>
      <c r="G248" s="6"/>
      <c r="H248" s="6"/>
    </row>
    <row r="249" ht="15.75" customHeight="1">
      <c r="A249" s="6"/>
      <c r="B249" s="6"/>
      <c r="C249" s="6" t="str">
        <f>VLOOKUP(B249,Sheet3!$B$2:$E$312,2,FALSE)</f>
        <v>#N/A</v>
      </c>
      <c r="D249" s="6" t="str">
        <f>VLOOKUP(B249,Sheet3!$B$2:$E$312,3,)</f>
        <v>#N/A</v>
      </c>
      <c r="E249" s="6" t="str">
        <f>VLOOKUP(B249,Sheet3!$B$2:$E$312,4,)</f>
        <v>#N/A</v>
      </c>
      <c r="F249" s="6"/>
      <c r="G249" s="6"/>
      <c r="H249" s="6"/>
    </row>
    <row r="250" ht="15.75" customHeight="1">
      <c r="A250" s="6"/>
      <c r="B250" s="6"/>
      <c r="C250" s="6" t="str">
        <f>VLOOKUP(B250,Sheet3!$B$2:$E$312,2,FALSE)</f>
        <v>#N/A</v>
      </c>
      <c r="D250" s="6" t="str">
        <f>VLOOKUP(B250,Sheet3!$B$2:$E$312,3,)</f>
        <v>#N/A</v>
      </c>
      <c r="E250" s="6" t="str">
        <f>VLOOKUP(B250,Sheet3!$B$2:$E$312,4,)</f>
        <v>#N/A</v>
      </c>
      <c r="F250" s="6"/>
      <c r="G250" s="6"/>
      <c r="H250" s="6"/>
    </row>
    <row r="251" ht="15.75" customHeight="1">
      <c r="A251" s="6"/>
      <c r="B251" s="6"/>
      <c r="C251" s="6" t="str">
        <f>VLOOKUP(B251,Sheet3!$B$2:$E$312,2,FALSE)</f>
        <v>#N/A</v>
      </c>
      <c r="D251" s="6" t="str">
        <f>VLOOKUP(B251,Sheet3!$B$2:$E$312,3,)</f>
        <v>#N/A</v>
      </c>
      <c r="E251" s="6" t="str">
        <f>VLOOKUP(B251,Sheet3!$B$2:$E$312,4,)</f>
        <v>#N/A</v>
      </c>
      <c r="F251" s="6"/>
      <c r="G251" s="6"/>
      <c r="H251" s="6"/>
    </row>
    <row r="252" ht="15.75" customHeight="1">
      <c r="A252" s="6"/>
      <c r="B252" s="6"/>
      <c r="C252" s="6" t="str">
        <f>VLOOKUP(B252,Sheet3!$B$2:$E$312,2,FALSE)</f>
        <v>#N/A</v>
      </c>
      <c r="D252" s="6" t="str">
        <f>VLOOKUP(B252,Sheet3!$B$2:$E$312,3,)</f>
        <v>#N/A</v>
      </c>
      <c r="E252" s="6" t="str">
        <f>VLOOKUP(B252,Sheet3!$B$2:$E$312,4,)</f>
        <v>#N/A</v>
      </c>
      <c r="F252" s="6"/>
      <c r="G252" s="6"/>
      <c r="H252" s="6"/>
    </row>
    <row r="253" ht="15.75" customHeight="1">
      <c r="A253" s="6"/>
      <c r="B253" s="6"/>
      <c r="C253" s="6" t="str">
        <f>VLOOKUP(B253,Sheet3!$B$2:$E$312,2,FALSE)</f>
        <v>#N/A</v>
      </c>
      <c r="D253" s="6" t="str">
        <f>VLOOKUP(B253,Sheet3!$B$2:$E$312,3,)</f>
        <v>#N/A</v>
      </c>
      <c r="E253" s="6" t="str">
        <f>VLOOKUP(B253,Sheet3!$B$2:$E$312,4,)</f>
        <v>#N/A</v>
      </c>
      <c r="F253" s="6"/>
      <c r="G253" s="6"/>
      <c r="H253" s="6"/>
    </row>
    <row r="254" ht="15.75" customHeight="1">
      <c r="A254" s="6"/>
      <c r="B254" s="6"/>
      <c r="C254" s="6" t="str">
        <f>VLOOKUP(B254,Sheet3!$B$2:$E$312,2,FALSE)</f>
        <v>#N/A</v>
      </c>
      <c r="D254" s="6" t="str">
        <f>VLOOKUP(B254,Sheet3!$B$2:$E$312,3,)</f>
        <v>#N/A</v>
      </c>
      <c r="E254" s="6" t="str">
        <f>VLOOKUP(B254,Sheet3!$B$2:$E$312,4,)</f>
        <v>#N/A</v>
      </c>
      <c r="F254" s="6"/>
      <c r="G254" s="6"/>
      <c r="H254" s="6"/>
    </row>
    <row r="255" ht="15.75" customHeight="1">
      <c r="A255" s="6"/>
      <c r="B255" s="6"/>
      <c r="C255" s="6" t="str">
        <f>VLOOKUP(B255,Sheet3!$B$2:$E$312,2,FALSE)</f>
        <v>#N/A</v>
      </c>
      <c r="D255" s="6" t="str">
        <f>VLOOKUP(B255,Sheet3!$B$2:$E$312,3,)</f>
        <v>#N/A</v>
      </c>
      <c r="E255" s="6" t="str">
        <f>VLOOKUP(B255,Sheet3!$B$2:$E$312,4,)</f>
        <v>#N/A</v>
      </c>
      <c r="F255" s="6"/>
      <c r="G255" s="6"/>
      <c r="H255" s="6"/>
    </row>
    <row r="256" ht="15.75" customHeight="1">
      <c r="A256" s="6"/>
      <c r="B256" s="6"/>
      <c r="C256" s="6" t="str">
        <f>VLOOKUP(B256,Sheet3!$B$2:$E$312,2,FALSE)</f>
        <v>#N/A</v>
      </c>
      <c r="D256" s="6" t="str">
        <f>VLOOKUP(B256,Sheet3!$B$2:$E$312,3,)</f>
        <v>#N/A</v>
      </c>
      <c r="E256" s="6" t="str">
        <f>VLOOKUP(B256,Sheet3!$B$2:$E$312,4,)</f>
        <v>#N/A</v>
      </c>
      <c r="F256" s="6"/>
      <c r="G256" s="6"/>
      <c r="H256" s="6"/>
    </row>
    <row r="257" ht="15.75" customHeight="1">
      <c r="A257" s="6"/>
      <c r="B257" s="6"/>
      <c r="C257" s="6" t="str">
        <f>VLOOKUP(B257,Sheet3!$B$2:$E$312,2,FALSE)</f>
        <v>#N/A</v>
      </c>
      <c r="D257" s="6" t="str">
        <f>VLOOKUP(B257,Sheet3!$B$2:$E$312,3,)</f>
        <v>#N/A</v>
      </c>
      <c r="E257" s="6" t="str">
        <f>VLOOKUP(B257,Sheet3!$B$2:$E$312,4,)</f>
        <v>#N/A</v>
      </c>
      <c r="F257" s="6"/>
      <c r="G257" s="6"/>
      <c r="H257" s="6"/>
    </row>
    <row r="258" ht="15.75" customHeight="1">
      <c r="A258" s="6"/>
      <c r="B258" s="6"/>
      <c r="C258" s="6" t="str">
        <f>VLOOKUP(B258,Sheet3!$B$2:$E$312,2,FALSE)</f>
        <v>#N/A</v>
      </c>
      <c r="D258" s="6" t="str">
        <f>VLOOKUP(B258,Sheet3!$B$2:$E$312,3,)</f>
        <v>#N/A</v>
      </c>
      <c r="E258" s="6" t="str">
        <f>VLOOKUP(B258,Sheet3!$B$2:$E$312,4,)</f>
        <v>#N/A</v>
      </c>
      <c r="F258" s="6"/>
      <c r="G258" s="6"/>
      <c r="H258" s="6"/>
    </row>
    <row r="259" ht="15.75" customHeight="1">
      <c r="A259" s="6"/>
      <c r="B259" s="6"/>
      <c r="C259" s="6" t="str">
        <f>VLOOKUP(B259,Sheet3!$B$2:$E$312,2,FALSE)</f>
        <v>#N/A</v>
      </c>
      <c r="D259" s="6" t="str">
        <f>VLOOKUP(B259,Sheet3!$B$2:$E$312,3,)</f>
        <v>#N/A</v>
      </c>
      <c r="E259" s="6" t="str">
        <f>VLOOKUP(B259,Sheet3!$B$2:$E$312,4,)</f>
        <v>#N/A</v>
      </c>
      <c r="F259" s="6"/>
      <c r="G259" s="6"/>
      <c r="H259" s="6"/>
    </row>
    <row r="260" ht="15.75" customHeight="1">
      <c r="A260" s="6"/>
      <c r="B260" s="6"/>
      <c r="C260" s="6" t="str">
        <f>VLOOKUP(B260,Sheet3!$B$2:$E$312,2,FALSE)</f>
        <v>#N/A</v>
      </c>
      <c r="D260" s="6" t="str">
        <f>VLOOKUP(B260,Sheet3!$B$2:$E$312,3,)</f>
        <v>#N/A</v>
      </c>
      <c r="E260" s="6" t="str">
        <f>VLOOKUP(B260,Sheet3!$B$2:$E$312,4,)</f>
        <v>#N/A</v>
      </c>
      <c r="F260" s="6"/>
      <c r="G260" s="6"/>
      <c r="H260" s="6"/>
    </row>
    <row r="261" ht="15.75" customHeight="1">
      <c r="A261" s="6"/>
      <c r="B261" s="6"/>
      <c r="C261" s="6" t="str">
        <f>VLOOKUP(B261,Sheet3!$B$2:$E$312,2,FALSE)</f>
        <v>#N/A</v>
      </c>
      <c r="D261" s="6" t="str">
        <f>VLOOKUP(B261,Sheet3!$B$2:$E$312,3,)</f>
        <v>#N/A</v>
      </c>
      <c r="E261" s="6" t="str">
        <f>VLOOKUP(B261,Sheet3!$B$2:$E$312,4,)</f>
        <v>#N/A</v>
      </c>
      <c r="F261" s="6"/>
      <c r="G261" s="6"/>
      <c r="H261" s="6"/>
    </row>
    <row r="262" ht="15.75" customHeight="1">
      <c r="A262" s="6"/>
      <c r="B262" s="6"/>
      <c r="C262" s="6" t="str">
        <f>VLOOKUP(B262,Sheet3!$B$2:$E$312,2,FALSE)</f>
        <v>#N/A</v>
      </c>
      <c r="D262" s="6" t="str">
        <f>VLOOKUP(B262,Sheet3!$B$2:$E$312,3,)</f>
        <v>#N/A</v>
      </c>
      <c r="E262" s="6" t="str">
        <f>VLOOKUP(B262,Sheet3!$B$2:$E$312,4,)</f>
        <v>#N/A</v>
      </c>
      <c r="F262" s="6"/>
      <c r="G262" s="6"/>
      <c r="H262" s="6"/>
    </row>
    <row r="263" ht="15.75" customHeight="1">
      <c r="A263" s="6"/>
      <c r="B263" s="6"/>
      <c r="C263" s="6" t="str">
        <f>VLOOKUP(B263,Sheet3!$B$2:$E$312,2,FALSE)</f>
        <v>#N/A</v>
      </c>
      <c r="D263" s="6" t="str">
        <f>VLOOKUP(B263,Sheet3!$B$2:$E$312,3,)</f>
        <v>#N/A</v>
      </c>
      <c r="E263" s="6" t="str">
        <f>VLOOKUP(B263,Sheet3!$B$2:$E$312,4,)</f>
        <v>#N/A</v>
      </c>
      <c r="F263" s="6"/>
      <c r="G263" s="6"/>
      <c r="H263" s="6"/>
    </row>
    <row r="264" ht="15.75" customHeight="1">
      <c r="A264" s="6"/>
      <c r="B264" s="6"/>
      <c r="C264" s="6" t="str">
        <f>VLOOKUP(B264,Sheet3!$B$2:$E$312,2,FALSE)</f>
        <v>#N/A</v>
      </c>
      <c r="D264" s="6" t="str">
        <f>VLOOKUP(B264,Sheet3!$B$2:$E$312,3,)</f>
        <v>#N/A</v>
      </c>
      <c r="E264" s="6" t="str">
        <f>VLOOKUP(B264,Sheet3!$B$2:$E$312,4,)</f>
        <v>#N/A</v>
      </c>
      <c r="F264" s="6"/>
      <c r="G264" s="6"/>
      <c r="H264" s="6"/>
    </row>
    <row r="265" ht="15.75" customHeight="1">
      <c r="A265" s="6"/>
      <c r="B265" s="6"/>
      <c r="C265" s="6" t="str">
        <f>VLOOKUP(B265,Sheet3!$B$2:$E$312,2,FALSE)</f>
        <v>#N/A</v>
      </c>
      <c r="D265" s="6" t="str">
        <f>VLOOKUP(B265,Sheet3!$B$2:$E$312,3,)</f>
        <v>#N/A</v>
      </c>
      <c r="E265" s="6" t="str">
        <f>VLOOKUP(B265,Sheet3!$B$2:$E$312,4,)</f>
        <v>#N/A</v>
      </c>
      <c r="F265" s="6"/>
      <c r="G265" s="6"/>
      <c r="H265" s="6"/>
    </row>
    <row r="266" ht="15.75" customHeight="1">
      <c r="A266" s="6"/>
      <c r="B266" s="6"/>
      <c r="C266" s="6" t="str">
        <f>VLOOKUP(B266,Sheet3!$B$2:$E$312,2,FALSE)</f>
        <v>#N/A</v>
      </c>
      <c r="D266" s="6" t="str">
        <f>VLOOKUP(B266,Sheet3!$B$2:$E$312,3,)</f>
        <v>#N/A</v>
      </c>
      <c r="E266" s="6" t="str">
        <f>VLOOKUP(B266,Sheet3!$B$2:$E$312,4,)</f>
        <v>#N/A</v>
      </c>
      <c r="F266" s="6"/>
      <c r="G266" s="6"/>
      <c r="H266" s="6"/>
    </row>
    <row r="267" ht="15.75" customHeight="1">
      <c r="A267" s="6"/>
      <c r="B267" s="6"/>
      <c r="C267" s="6" t="str">
        <f>VLOOKUP(B267,Sheet3!$B$2:$E$312,2,FALSE)</f>
        <v>#N/A</v>
      </c>
      <c r="D267" s="6" t="str">
        <f>VLOOKUP(B267,Sheet3!$B$2:$E$312,3,)</f>
        <v>#N/A</v>
      </c>
      <c r="E267" s="6" t="str">
        <f>VLOOKUP(B267,Sheet3!$B$2:$E$312,4,)</f>
        <v>#N/A</v>
      </c>
      <c r="F267" s="6"/>
      <c r="G267" s="6"/>
      <c r="H267" s="6"/>
    </row>
    <row r="268" ht="15.75" customHeight="1">
      <c r="A268" s="6"/>
      <c r="B268" s="6"/>
      <c r="C268" s="6" t="str">
        <f>VLOOKUP(B268,Sheet3!$B$2:$E$312,2,FALSE)</f>
        <v>#N/A</v>
      </c>
      <c r="D268" s="6" t="str">
        <f>VLOOKUP(B268,Sheet3!$B$2:$E$312,3,)</f>
        <v>#N/A</v>
      </c>
      <c r="E268" s="6" t="str">
        <f>VLOOKUP(B268,Sheet3!$B$2:$E$312,4,)</f>
        <v>#N/A</v>
      </c>
      <c r="F268" s="6"/>
      <c r="G268" s="6"/>
      <c r="H268" s="6"/>
    </row>
    <row r="269" ht="15.75" customHeight="1">
      <c r="A269" s="6"/>
      <c r="B269" s="6"/>
      <c r="C269" s="6" t="str">
        <f>VLOOKUP(B269,Sheet3!$B$2:$E$312,2,FALSE)</f>
        <v>#N/A</v>
      </c>
      <c r="D269" s="6" t="str">
        <f>VLOOKUP(B269,Sheet3!$B$2:$E$312,3,)</f>
        <v>#N/A</v>
      </c>
      <c r="E269" s="6" t="str">
        <f>VLOOKUP(B269,Sheet3!$B$2:$E$312,4,)</f>
        <v>#N/A</v>
      </c>
      <c r="F269" s="6"/>
      <c r="G269" s="6"/>
      <c r="H269" s="6"/>
    </row>
    <row r="270" ht="15.75" customHeight="1">
      <c r="A270" s="6"/>
      <c r="B270" s="6"/>
      <c r="C270" s="6" t="str">
        <f>VLOOKUP(B270,Sheet3!$B$2:$E$312,2,FALSE)</f>
        <v>#N/A</v>
      </c>
      <c r="D270" s="6" t="str">
        <f>VLOOKUP(B270,Sheet3!$B$2:$E$312,3,)</f>
        <v>#N/A</v>
      </c>
      <c r="E270" s="6" t="str">
        <f>VLOOKUP(B270,Sheet3!$B$2:$E$312,4,)</f>
        <v>#N/A</v>
      </c>
      <c r="F270" s="6"/>
      <c r="G270" s="6"/>
      <c r="H270" s="6"/>
    </row>
    <row r="271" ht="15.75" customHeight="1">
      <c r="A271" s="6"/>
      <c r="B271" s="6"/>
      <c r="C271" s="6" t="str">
        <f>VLOOKUP(B271,Sheet3!$B$2:$E$312,2,FALSE)</f>
        <v>#N/A</v>
      </c>
      <c r="D271" s="6" t="str">
        <f>VLOOKUP(B271,Sheet3!$B$2:$E$312,3,)</f>
        <v>#N/A</v>
      </c>
      <c r="E271" s="6" t="str">
        <f>VLOOKUP(B271,Sheet3!$B$2:$E$312,4,)</f>
        <v>#N/A</v>
      </c>
      <c r="F271" s="6"/>
      <c r="G271" s="6"/>
      <c r="H271" s="6"/>
    </row>
    <row r="272" ht="15.75" customHeight="1">
      <c r="A272" s="6"/>
      <c r="B272" s="6"/>
      <c r="C272" s="6" t="str">
        <f>VLOOKUP(B272,Sheet3!$B$2:$E$312,2,FALSE)</f>
        <v>#N/A</v>
      </c>
      <c r="D272" s="6" t="str">
        <f>VLOOKUP(B272,Sheet3!$B$2:$E$312,3,)</f>
        <v>#N/A</v>
      </c>
      <c r="E272" s="6" t="str">
        <f>VLOOKUP(B272,Sheet3!$B$2:$E$312,4,)</f>
        <v>#N/A</v>
      </c>
      <c r="F272" s="6"/>
      <c r="G272" s="6"/>
      <c r="H272" s="6"/>
    </row>
    <row r="273" ht="15.75" customHeight="1">
      <c r="A273" s="6"/>
      <c r="B273" s="6"/>
      <c r="C273" s="6" t="str">
        <f>VLOOKUP(B273,Sheet3!$B$2:$E$312,2,FALSE)</f>
        <v>#N/A</v>
      </c>
      <c r="D273" s="6" t="str">
        <f>VLOOKUP(B273,Sheet3!$B$2:$E$312,3,)</f>
        <v>#N/A</v>
      </c>
      <c r="E273" s="6" t="str">
        <f>VLOOKUP(B273,Sheet3!$B$2:$E$312,4,)</f>
        <v>#N/A</v>
      </c>
      <c r="F273" s="6"/>
      <c r="G273" s="6"/>
      <c r="H273" s="6"/>
    </row>
    <row r="274" ht="15.75" customHeight="1">
      <c r="A274" s="6"/>
      <c r="B274" s="6"/>
      <c r="C274" s="6" t="str">
        <f>VLOOKUP(B274,Sheet3!$B$2:$E$312,2,FALSE)</f>
        <v>#N/A</v>
      </c>
      <c r="D274" s="6" t="str">
        <f>VLOOKUP(B274,Sheet3!$B$2:$E$312,3,)</f>
        <v>#N/A</v>
      </c>
      <c r="E274" s="6" t="str">
        <f>VLOOKUP(B274,Sheet3!$B$2:$E$312,4,)</f>
        <v>#N/A</v>
      </c>
      <c r="F274" s="6"/>
      <c r="G274" s="6"/>
      <c r="H274" s="6"/>
    </row>
    <row r="275" ht="15.75" customHeight="1">
      <c r="A275" s="6"/>
      <c r="B275" s="6"/>
      <c r="C275" s="6" t="str">
        <f>VLOOKUP(B275,Sheet3!$B$2:$E$312,2,FALSE)</f>
        <v>#N/A</v>
      </c>
      <c r="D275" s="6" t="str">
        <f>VLOOKUP(B275,Sheet3!$B$2:$E$312,3,)</f>
        <v>#N/A</v>
      </c>
      <c r="E275" s="6" t="str">
        <f>VLOOKUP(B275,Sheet3!$B$2:$E$312,4,)</f>
        <v>#N/A</v>
      </c>
      <c r="F275" s="6"/>
      <c r="G275" s="6"/>
      <c r="H275" s="6"/>
    </row>
    <row r="276" ht="15.75" customHeight="1">
      <c r="A276" s="6"/>
      <c r="B276" s="6"/>
      <c r="C276" s="6" t="str">
        <f>VLOOKUP(B276,Sheet3!$B$2:$E$312,2,FALSE)</f>
        <v>#N/A</v>
      </c>
      <c r="D276" s="6" t="str">
        <f>VLOOKUP(B276,Sheet3!$B$2:$E$312,3,)</f>
        <v>#N/A</v>
      </c>
      <c r="E276" s="6" t="str">
        <f>VLOOKUP(B276,Sheet3!$B$2:$E$312,4,)</f>
        <v>#N/A</v>
      </c>
      <c r="F276" s="6"/>
      <c r="G276" s="6"/>
      <c r="H276" s="6"/>
    </row>
    <row r="277" ht="15.75" customHeight="1">
      <c r="A277" s="6"/>
      <c r="B277" s="6"/>
      <c r="C277" s="6" t="str">
        <f>VLOOKUP(B277,Sheet3!$B$2:$E$312,2,FALSE)</f>
        <v>#N/A</v>
      </c>
      <c r="D277" s="6" t="str">
        <f>VLOOKUP(B277,Sheet3!$B$2:$E$312,3,)</f>
        <v>#N/A</v>
      </c>
      <c r="E277" s="6" t="str">
        <f>VLOOKUP(B277,Sheet3!$B$2:$E$312,4,)</f>
        <v>#N/A</v>
      </c>
      <c r="F277" s="6"/>
      <c r="G277" s="6"/>
      <c r="H277" s="6"/>
    </row>
    <row r="278" ht="15.75" customHeight="1">
      <c r="A278" s="6"/>
      <c r="B278" s="6"/>
      <c r="C278" s="6" t="str">
        <f>VLOOKUP(B278,Sheet3!$B$2:$E$312,2,FALSE)</f>
        <v>#N/A</v>
      </c>
      <c r="D278" s="6" t="str">
        <f>VLOOKUP(B278,Sheet3!$B$2:$E$312,3,)</f>
        <v>#N/A</v>
      </c>
      <c r="E278" s="6" t="str">
        <f>VLOOKUP(B278,Sheet3!$B$2:$E$312,4,)</f>
        <v>#N/A</v>
      </c>
      <c r="F278" s="6"/>
      <c r="G278" s="6"/>
      <c r="H278" s="6"/>
    </row>
    <row r="279" ht="15.75" customHeight="1">
      <c r="A279" s="6"/>
      <c r="B279" s="6"/>
      <c r="C279" s="6" t="str">
        <f>VLOOKUP(B279,Sheet3!$B$2:$E$312,2,FALSE)</f>
        <v>#N/A</v>
      </c>
      <c r="D279" s="6" t="str">
        <f>VLOOKUP(B279,Sheet3!$B$2:$E$312,3,)</f>
        <v>#N/A</v>
      </c>
      <c r="E279" s="6" t="str">
        <f>VLOOKUP(B279,Sheet3!$B$2:$E$312,4,)</f>
        <v>#N/A</v>
      </c>
      <c r="F279" s="6"/>
      <c r="G279" s="6"/>
      <c r="H279" s="6"/>
    </row>
    <row r="280" ht="15.75" customHeight="1">
      <c r="A280" s="6"/>
      <c r="B280" s="6"/>
      <c r="C280" s="6" t="str">
        <f>VLOOKUP(B280,Sheet3!$B$2:$E$312,2,FALSE)</f>
        <v>#N/A</v>
      </c>
      <c r="D280" s="6" t="str">
        <f>VLOOKUP(B280,Sheet3!$B$2:$E$312,3,)</f>
        <v>#N/A</v>
      </c>
      <c r="E280" s="6" t="str">
        <f>VLOOKUP(B280,Sheet3!$B$2:$E$312,4,)</f>
        <v>#N/A</v>
      </c>
      <c r="F280" s="6"/>
      <c r="G280" s="6"/>
      <c r="H280" s="6"/>
    </row>
    <row r="281" ht="15.75" customHeight="1">
      <c r="A281" s="6"/>
      <c r="B281" s="6"/>
      <c r="C281" s="6" t="str">
        <f>VLOOKUP(B281,Sheet3!$B$2:$E$312,2,FALSE)</f>
        <v>#N/A</v>
      </c>
      <c r="D281" s="6" t="str">
        <f>VLOOKUP(B281,Sheet3!$B$2:$E$312,3,)</f>
        <v>#N/A</v>
      </c>
      <c r="E281" s="6" t="str">
        <f>VLOOKUP(B281,Sheet3!$B$2:$E$312,4,)</f>
        <v>#N/A</v>
      </c>
      <c r="F281" s="6"/>
      <c r="G281" s="6"/>
      <c r="H281" s="6"/>
    </row>
    <row r="282" ht="15.75" customHeight="1">
      <c r="A282" s="6"/>
      <c r="B282" s="6"/>
      <c r="C282" s="6" t="str">
        <f>VLOOKUP(B282,Sheet3!$B$2:$E$312,2,FALSE)</f>
        <v>#N/A</v>
      </c>
      <c r="D282" s="6" t="str">
        <f>VLOOKUP(B282,Sheet3!$B$2:$E$312,3,)</f>
        <v>#N/A</v>
      </c>
      <c r="E282" s="6" t="str">
        <f>VLOOKUP(B282,Sheet3!$B$2:$E$312,4,)</f>
        <v>#N/A</v>
      </c>
      <c r="F282" s="6"/>
      <c r="G282" s="6"/>
      <c r="H282" s="6"/>
    </row>
    <row r="283" ht="15.75" customHeight="1">
      <c r="A283" s="6"/>
      <c r="B283" s="6"/>
      <c r="C283" s="6" t="str">
        <f>VLOOKUP(B283,Sheet3!$B$2:$E$312,2,FALSE)</f>
        <v>#N/A</v>
      </c>
      <c r="D283" s="6" t="str">
        <f>VLOOKUP(B283,Sheet3!$B$2:$E$312,3,)</f>
        <v>#N/A</v>
      </c>
      <c r="E283" s="6" t="str">
        <f>VLOOKUP(B283,Sheet3!$B$2:$E$312,4,)</f>
        <v>#N/A</v>
      </c>
      <c r="F283" s="6"/>
      <c r="G283" s="6"/>
      <c r="H283" s="6"/>
    </row>
    <row r="284" ht="15.75" customHeight="1">
      <c r="A284" s="6"/>
      <c r="B284" s="6"/>
      <c r="C284" s="6" t="str">
        <f>VLOOKUP(B284,Sheet3!$B$2:$E$312,2,FALSE)</f>
        <v>#N/A</v>
      </c>
      <c r="D284" s="6" t="str">
        <f>VLOOKUP(B284,Sheet3!$B$2:$E$312,3,)</f>
        <v>#N/A</v>
      </c>
      <c r="E284" s="6" t="str">
        <f>VLOOKUP(B284,Sheet3!$B$2:$E$312,4,)</f>
        <v>#N/A</v>
      </c>
      <c r="F284" s="6"/>
      <c r="G284" s="6"/>
      <c r="H284" s="6"/>
    </row>
    <row r="285" ht="15.75" customHeight="1">
      <c r="A285" s="6"/>
      <c r="B285" s="6"/>
      <c r="C285" s="6" t="str">
        <f>VLOOKUP(B285,Sheet3!$B$2:$E$312,2,FALSE)</f>
        <v>#N/A</v>
      </c>
      <c r="D285" s="6" t="str">
        <f>VLOOKUP(B285,Sheet3!$B$2:$E$312,3,)</f>
        <v>#N/A</v>
      </c>
      <c r="E285" s="6" t="str">
        <f>VLOOKUP(B285,Sheet3!$B$2:$E$312,4,)</f>
        <v>#N/A</v>
      </c>
      <c r="F285" s="6"/>
      <c r="G285" s="6"/>
      <c r="H285" s="6"/>
    </row>
    <row r="286" ht="15.75" customHeight="1">
      <c r="A286" s="6"/>
      <c r="B286" s="6"/>
      <c r="C286" s="6" t="str">
        <f>VLOOKUP(B286,Sheet3!$B$2:$E$312,2,FALSE)</f>
        <v>#N/A</v>
      </c>
      <c r="D286" s="6" t="str">
        <f>VLOOKUP(B286,Sheet3!$B$2:$E$312,3,)</f>
        <v>#N/A</v>
      </c>
      <c r="E286" s="6" t="str">
        <f>VLOOKUP(B286,Sheet3!$B$2:$E$312,4,)</f>
        <v>#N/A</v>
      </c>
      <c r="F286" s="6"/>
      <c r="G286" s="6"/>
      <c r="H286" s="6"/>
    </row>
    <row r="287" ht="15.75" customHeight="1">
      <c r="A287" s="6"/>
      <c r="B287" s="6"/>
      <c r="C287" s="6" t="str">
        <f>VLOOKUP(B287,Sheet3!$B$2:$E$312,2,FALSE)</f>
        <v>#N/A</v>
      </c>
      <c r="D287" s="6" t="str">
        <f>VLOOKUP(B287,Sheet3!$B$2:$E$312,3,)</f>
        <v>#N/A</v>
      </c>
      <c r="E287" s="6" t="str">
        <f>VLOOKUP(B287,Sheet3!$B$2:$E$312,4,)</f>
        <v>#N/A</v>
      </c>
      <c r="F287" s="6"/>
      <c r="G287" s="6"/>
      <c r="H287" s="6"/>
    </row>
    <row r="288" ht="15.75" customHeight="1">
      <c r="A288" s="6"/>
      <c r="B288" s="6"/>
      <c r="C288" s="6" t="str">
        <f>VLOOKUP(B288,Sheet3!$B$2:$E$312,2,FALSE)</f>
        <v>#N/A</v>
      </c>
      <c r="D288" s="6" t="str">
        <f>VLOOKUP(B288,Sheet3!$B$2:$E$312,3,)</f>
        <v>#N/A</v>
      </c>
      <c r="E288" s="6" t="str">
        <f>VLOOKUP(B288,Sheet3!$B$2:$E$312,4,)</f>
        <v>#N/A</v>
      </c>
      <c r="F288" s="6"/>
      <c r="G288" s="6"/>
      <c r="H288" s="6"/>
    </row>
    <row r="289" ht="15.75" customHeight="1">
      <c r="A289" s="6"/>
      <c r="B289" s="6"/>
      <c r="C289" s="6" t="str">
        <f>VLOOKUP(B289,Sheet3!$B$2:$E$312,2,FALSE)</f>
        <v>#N/A</v>
      </c>
      <c r="D289" s="6" t="str">
        <f>VLOOKUP(B289,Sheet3!$B$2:$E$312,3,)</f>
        <v>#N/A</v>
      </c>
      <c r="E289" s="6" t="str">
        <f>VLOOKUP(B289,Sheet3!$B$2:$E$312,4,)</f>
        <v>#N/A</v>
      </c>
      <c r="F289" s="6"/>
      <c r="G289" s="6"/>
      <c r="H289" s="6"/>
    </row>
    <row r="290" ht="15.75" customHeight="1">
      <c r="A290" s="6"/>
      <c r="B290" s="6"/>
      <c r="C290" s="6" t="str">
        <f>VLOOKUP(B290,Sheet3!$B$2:$E$312,2,FALSE)</f>
        <v>#N/A</v>
      </c>
      <c r="D290" s="6" t="str">
        <f>VLOOKUP(B290,Sheet3!$B$2:$E$312,3,)</f>
        <v>#N/A</v>
      </c>
      <c r="E290" s="6" t="str">
        <f>VLOOKUP(B290,Sheet3!$B$2:$E$312,4,)</f>
        <v>#N/A</v>
      </c>
      <c r="F290" s="6"/>
      <c r="G290" s="6"/>
      <c r="H290" s="6"/>
    </row>
    <row r="291" ht="15.75" customHeight="1">
      <c r="A291" s="6"/>
      <c r="B291" s="6"/>
      <c r="C291" s="6" t="str">
        <f>VLOOKUP(B291,Sheet3!$B$2:$E$312,2,FALSE)</f>
        <v>#N/A</v>
      </c>
      <c r="D291" s="6" t="str">
        <f>VLOOKUP(B291,Sheet3!$B$2:$E$312,3,)</f>
        <v>#N/A</v>
      </c>
      <c r="E291" s="6" t="str">
        <f>VLOOKUP(B291,Sheet3!$B$2:$E$312,4,)</f>
        <v>#N/A</v>
      </c>
      <c r="F291" s="6"/>
      <c r="G291" s="6"/>
      <c r="H291" s="6"/>
    </row>
    <row r="292" ht="15.75" customHeight="1">
      <c r="A292" s="6"/>
      <c r="B292" s="6"/>
      <c r="C292" s="6" t="str">
        <f>VLOOKUP(B292,Sheet3!$B$2:$E$312,2,FALSE)</f>
        <v>#N/A</v>
      </c>
      <c r="D292" s="6" t="str">
        <f>VLOOKUP(B292,Sheet3!$B$2:$E$312,3,)</f>
        <v>#N/A</v>
      </c>
      <c r="E292" s="6" t="str">
        <f>VLOOKUP(B292,Sheet3!$B$2:$E$312,4,)</f>
        <v>#N/A</v>
      </c>
      <c r="F292" s="6"/>
      <c r="G292" s="6"/>
      <c r="H292" s="6"/>
    </row>
    <row r="293" ht="15.75" customHeight="1">
      <c r="A293" s="6"/>
      <c r="B293" s="6"/>
      <c r="C293" s="6" t="str">
        <f>VLOOKUP(B293,Sheet3!$B$2:$E$312,2,FALSE)</f>
        <v>#N/A</v>
      </c>
      <c r="D293" s="6" t="str">
        <f>VLOOKUP(B293,Sheet3!$B$2:$E$312,3,)</f>
        <v>#N/A</v>
      </c>
      <c r="E293" s="6" t="str">
        <f>VLOOKUP(B293,Sheet3!$B$2:$E$312,4,)</f>
        <v>#N/A</v>
      </c>
      <c r="F293" s="6"/>
      <c r="G293" s="6"/>
      <c r="H293" s="6"/>
    </row>
    <row r="294" ht="15.75" customHeight="1">
      <c r="A294" s="6"/>
      <c r="B294" s="6"/>
      <c r="C294" s="6" t="str">
        <f>VLOOKUP(B294,Sheet3!$B$2:$E$312,2,FALSE)</f>
        <v>#N/A</v>
      </c>
      <c r="D294" s="6" t="str">
        <f>VLOOKUP(B294,Sheet3!$B$2:$E$312,3,)</f>
        <v>#N/A</v>
      </c>
      <c r="E294" s="6" t="str">
        <f>VLOOKUP(B294,Sheet3!$B$2:$E$312,4,)</f>
        <v>#N/A</v>
      </c>
      <c r="F294" s="6"/>
      <c r="G294" s="6"/>
      <c r="H294" s="6"/>
    </row>
    <row r="295" ht="15.75" customHeight="1">
      <c r="A295" s="6"/>
      <c r="B295" s="6"/>
      <c r="C295" s="6" t="str">
        <f>VLOOKUP(B295,Sheet3!$B$2:$E$312,2,FALSE)</f>
        <v>#N/A</v>
      </c>
      <c r="D295" s="6" t="str">
        <f>VLOOKUP(B295,Sheet3!$B$2:$E$312,3,)</f>
        <v>#N/A</v>
      </c>
      <c r="E295" s="6" t="str">
        <f>VLOOKUP(B295,Sheet3!$B$2:$E$312,4,)</f>
        <v>#N/A</v>
      </c>
      <c r="F295" s="6"/>
      <c r="G295" s="6"/>
      <c r="H295" s="6"/>
    </row>
    <row r="296" ht="15.75" customHeight="1">
      <c r="A296" s="6"/>
      <c r="B296" s="6"/>
      <c r="C296" s="6" t="str">
        <f>VLOOKUP(B296,Sheet3!$B$2:$E$312,2,FALSE)</f>
        <v>#N/A</v>
      </c>
      <c r="D296" s="6" t="str">
        <f>VLOOKUP(B296,Sheet3!$B$2:$E$312,3,)</f>
        <v>#N/A</v>
      </c>
      <c r="E296" s="6" t="str">
        <f>VLOOKUP(B296,Sheet3!$B$2:$E$312,4,)</f>
        <v>#N/A</v>
      </c>
      <c r="F296" s="6"/>
      <c r="G296" s="6"/>
      <c r="H296" s="6"/>
    </row>
    <row r="297" ht="15.75" customHeight="1">
      <c r="A297" s="6"/>
      <c r="B297" s="6"/>
      <c r="C297" s="6" t="str">
        <f>VLOOKUP(B297,Sheet3!$B$2:$E$312,2,FALSE)</f>
        <v>#N/A</v>
      </c>
      <c r="D297" s="6" t="str">
        <f>VLOOKUP(B297,Sheet3!$B$2:$E$312,3,)</f>
        <v>#N/A</v>
      </c>
      <c r="E297" s="6" t="str">
        <f>VLOOKUP(B297,Sheet3!$B$2:$E$312,4,)</f>
        <v>#N/A</v>
      </c>
      <c r="F297" s="6"/>
      <c r="G297" s="6"/>
      <c r="H297" s="6"/>
    </row>
    <row r="298" ht="15.75" customHeight="1">
      <c r="A298" s="6"/>
      <c r="B298" s="6"/>
      <c r="C298" s="6" t="str">
        <f>VLOOKUP(B298,Sheet3!$B$2:$E$312,2,FALSE)</f>
        <v>#N/A</v>
      </c>
      <c r="D298" s="6" t="str">
        <f>VLOOKUP(B298,Sheet3!$B$2:$E$312,3,)</f>
        <v>#N/A</v>
      </c>
      <c r="E298" s="6" t="str">
        <f>VLOOKUP(B298,Sheet3!$B$2:$E$312,4,)</f>
        <v>#N/A</v>
      </c>
      <c r="F298" s="6"/>
      <c r="G298" s="6"/>
      <c r="H298" s="6"/>
    </row>
    <row r="299" ht="15.75" customHeight="1">
      <c r="A299" s="6"/>
      <c r="B299" s="6"/>
      <c r="C299" s="6" t="str">
        <f>VLOOKUP(B299,Sheet3!$B$2:$E$312,2,FALSE)</f>
        <v>#N/A</v>
      </c>
      <c r="D299" s="6" t="str">
        <f>VLOOKUP(B299,Sheet3!$B$2:$E$312,3,)</f>
        <v>#N/A</v>
      </c>
      <c r="E299" s="6" t="str">
        <f>VLOOKUP(B299,Sheet3!$B$2:$E$312,4,)</f>
        <v>#N/A</v>
      </c>
      <c r="F299" s="6"/>
      <c r="G299" s="6"/>
      <c r="H299" s="6"/>
    </row>
    <row r="300" ht="15.75" customHeight="1">
      <c r="A300" s="6"/>
      <c r="B300" s="6"/>
      <c r="C300" s="6" t="str">
        <f>VLOOKUP(B300,Sheet3!$B$2:$E$312,2,FALSE)</f>
        <v>#N/A</v>
      </c>
      <c r="D300" s="6" t="str">
        <f>VLOOKUP(B300,Sheet3!$B$2:$E$312,3,)</f>
        <v>#N/A</v>
      </c>
      <c r="E300" s="6" t="str">
        <f>VLOOKUP(B300,Sheet3!$B$2:$E$312,4,)</f>
        <v>#N/A</v>
      </c>
      <c r="F300" s="6"/>
      <c r="G300" s="6"/>
      <c r="H300" s="6"/>
    </row>
    <row r="301" ht="15.75" customHeight="1">
      <c r="A301" s="6"/>
      <c r="B301" s="6"/>
      <c r="C301" s="6" t="str">
        <f>VLOOKUP(B301,Sheet3!$B$2:$E$312,2,FALSE)</f>
        <v>#N/A</v>
      </c>
      <c r="D301" s="6" t="str">
        <f>VLOOKUP(B301,Sheet3!$B$2:$E$312,3,)</f>
        <v>#N/A</v>
      </c>
      <c r="E301" s="6" t="str">
        <f>VLOOKUP(B301,Sheet3!$B$2:$E$312,4,)</f>
        <v>#N/A</v>
      </c>
      <c r="F301" s="6"/>
      <c r="G301" s="6"/>
      <c r="H301" s="6"/>
    </row>
    <row r="302" ht="15.75" customHeight="1">
      <c r="A302" s="6"/>
      <c r="B302" s="6"/>
      <c r="C302" s="6" t="str">
        <f>VLOOKUP(B302,Sheet3!$B$2:$E$312,2,FALSE)</f>
        <v>#N/A</v>
      </c>
      <c r="D302" s="6" t="str">
        <f>VLOOKUP(B302,Sheet3!$B$2:$E$312,3,)</f>
        <v>#N/A</v>
      </c>
      <c r="E302" s="6" t="str">
        <f>VLOOKUP(B302,Sheet3!$B$2:$E$312,4,)</f>
        <v>#N/A</v>
      </c>
      <c r="F302" s="6"/>
      <c r="G302" s="6"/>
      <c r="H302" s="6"/>
    </row>
    <row r="303" ht="15.75" customHeight="1">
      <c r="A303" s="6"/>
      <c r="B303" s="6"/>
      <c r="C303" s="6" t="str">
        <f>VLOOKUP(B303,Sheet3!$B$2:$E$312,2,FALSE)</f>
        <v>#N/A</v>
      </c>
      <c r="D303" s="6" t="str">
        <f>VLOOKUP(B303,Sheet3!$B$2:$E$312,3,)</f>
        <v>#N/A</v>
      </c>
      <c r="E303" s="6" t="str">
        <f>VLOOKUP(B303,Sheet3!$B$2:$E$312,4,)</f>
        <v>#N/A</v>
      </c>
      <c r="F303" s="6"/>
      <c r="G303" s="6"/>
      <c r="H303" s="6"/>
    </row>
    <row r="304" ht="15.75" customHeight="1">
      <c r="A304" s="6"/>
      <c r="B304" s="6"/>
      <c r="C304" s="6" t="str">
        <f>VLOOKUP(B304,Sheet3!$B$2:$E$312,2,FALSE)</f>
        <v>#N/A</v>
      </c>
      <c r="D304" s="6" t="str">
        <f>VLOOKUP(B304,Sheet3!$B$2:$E$312,3,)</f>
        <v>#N/A</v>
      </c>
      <c r="E304" s="6" t="str">
        <f>VLOOKUP(B304,Sheet3!$B$2:$E$312,4,)</f>
        <v>#N/A</v>
      </c>
      <c r="F304" s="6"/>
      <c r="G304" s="6"/>
      <c r="H304" s="6"/>
    </row>
    <row r="305" ht="15.75" customHeight="1">
      <c r="A305" s="6"/>
      <c r="B305" s="6"/>
      <c r="C305" s="6" t="str">
        <f>VLOOKUP(B305,Sheet3!$B$2:$E$312,2,FALSE)</f>
        <v>#N/A</v>
      </c>
      <c r="D305" s="6" t="str">
        <f>VLOOKUP(B305,Sheet3!$B$2:$E$312,3,)</f>
        <v>#N/A</v>
      </c>
      <c r="E305" s="6" t="str">
        <f>VLOOKUP(B305,Sheet3!$B$2:$E$312,4,)</f>
        <v>#N/A</v>
      </c>
      <c r="F305" s="6"/>
      <c r="G305" s="6"/>
      <c r="H305" s="6"/>
    </row>
    <row r="306" ht="15.75" customHeight="1">
      <c r="A306" s="6"/>
      <c r="B306" s="6"/>
      <c r="C306" s="6" t="str">
        <f>VLOOKUP(B306,Sheet3!$B$2:$E$312,2,FALSE)</f>
        <v>#N/A</v>
      </c>
      <c r="D306" s="6" t="str">
        <f>VLOOKUP(B306,Sheet3!$B$2:$E$312,3,)</f>
        <v>#N/A</v>
      </c>
      <c r="E306" s="6" t="str">
        <f>VLOOKUP(B306,Sheet3!$B$2:$E$312,4,)</f>
        <v>#N/A</v>
      </c>
      <c r="F306" s="6"/>
      <c r="G306" s="6"/>
      <c r="H306" s="6"/>
    </row>
    <row r="307" ht="15.75" customHeight="1">
      <c r="A307" s="6"/>
      <c r="B307" s="6"/>
      <c r="C307" s="6" t="str">
        <f>VLOOKUP(B307,Sheet3!$B$2:$E$312,2,FALSE)</f>
        <v>#N/A</v>
      </c>
      <c r="D307" s="6" t="str">
        <f>VLOOKUP(B307,Sheet3!$B$2:$E$312,3,)</f>
        <v>#N/A</v>
      </c>
      <c r="E307" s="6" t="str">
        <f>VLOOKUP(B307,Sheet3!$B$2:$E$312,4,)</f>
        <v>#N/A</v>
      </c>
      <c r="F307" s="6"/>
      <c r="G307" s="6"/>
      <c r="H307" s="6"/>
    </row>
    <row r="308" ht="15.75" customHeight="1">
      <c r="A308" s="6"/>
      <c r="B308" s="6"/>
      <c r="C308" s="6" t="str">
        <f>VLOOKUP(B308,Sheet3!$B$2:$E$312,2,FALSE)</f>
        <v>#N/A</v>
      </c>
      <c r="D308" s="6" t="str">
        <f>VLOOKUP(B308,Sheet3!$B$2:$E$312,3,)</f>
        <v>#N/A</v>
      </c>
      <c r="E308" s="6" t="str">
        <f>VLOOKUP(B308,Sheet3!$B$2:$E$312,4,)</f>
        <v>#N/A</v>
      </c>
      <c r="F308" s="6"/>
      <c r="G308" s="6"/>
      <c r="H308" s="6"/>
    </row>
    <row r="309" ht="15.75" customHeight="1">
      <c r="A309" s="6"/>
      <c r="B309" s="6"/>
      <c r="C309" s="6" t="str">
        <f>VLOOKUP(B309,Sheet3!$B$2:$E$312,2,FALSE)</f>
        <v>#N/A</v>
      </c>
      <c r="D309" s="6" t="str">
        <f>VLOOKUP(B309,Sheet3!$B$2:$E$312,3,)</f>
        <v>#N/A</v>
      </c>
      <c r="E309" s="6" t="str">
        <f>VLOOKUP(B309,Sheet3!$B$2:$E$312,4,)</f>
        <v>#N/A</v>
      </c>
      <c r="F309" s="6"/>
      <c r="G309" s="6"/>
      <c r="H309" s="6"/>
    </row>
    <row r="310" ht="15.75" customHeight="1">
      <c r="A310" s="6"/>
      <c r="B310" s="6"/>
      <c r="C310" s="6" t="str">
        <f>VLOOKUP(B310,Sheet3!$B$2:$E$312,2,FALSE)</f>
        <v>#N/A</v>
      </c>
      <c r="D310" s="6" t="str">
        <f>VLOOKUP(B310,Sheet3!$B$2:$E$312,3,)</f>
        <v>#N/A</v>
      </c>
      <c r="E310" s="6" t="str">
        <f>VLOOKUP(B310,Sheet3!$B$2:$E$312,4,)</f>
        <v>#N/A</v>
      </c>
      <c r="F310" s="6"/>
      <c r="G310" s="6"/>
      <c r="H310" s="6"/>
    </row>
    <row r="311" ht="15.75" customHeight="1">
      <c r="A311" s="6"/>
      <c r="B311" s="6"/>
      <c r="C311" s="6" t="str">
        <f>VLOOKUP(B311,Sheet3!$B$2:$E$312,2,FALSE)</f>
        <v>#N/A</v>
      </c>
      <c r="D311" s="6" t="str">
        <f>VLOOKUP(B311,Sheet3!$B$2:$E$312,3,)</f>
        <v>#N/A</v>
      </c>
      <c r="E311" s="6" t="str">
        <f>VLOOKUP(B311,Sheet3!$B$2:$E$312,4,)</f>
        <v>#N/A</v>
      </c>
      <c r="F311" s="6"/>
      <c r="G311" s="6"/>
      <c r="H311" s="6"/>
    </row>
    <row r="312" ht="15.75" customHeight="1">
      <c r="A312" s="6"/>
      <c r="B312" s="6"/>
      <c r="C312" s="6" t="str">
        <f>VLOOKUP(B312,Sheet3!$B$2:$E$312,2,FALSE)</f>
        <v>#N/A</v>
      </c>
      <c r="D312" s="6" t="str">
        <f>VLOOKUP(B312,Sheet3!$B$2:$E$312,3,)</f>
        <v>#N/A</v>
      </c>
      <c r="E312" s="6" t="str">
        <f>VLOOKUP(B312,Sheet3!$B$2:$E$312,4,)</f>
        <v>#N/A</v>
      </c>
      <c r="F312" s="6"/>
      <c r="G312" s="6"/>
      <c r="H312" s="6"/>
    </row>
    <row r="313" ht="15.75" customHeight="1">
      <c r="A313" s="6"/>
      <c r="B313" s="6"/>
      <c r="C313" s="6" t="str">
        <f>VLOOKUP(B313,Sheet3!$B$2:$E$312,2,FALSE)</f>
        <v>#N/A</v>
      </c>
      <c r="D313" s="6" t="str">
        <f>VLOOKUP(B313,Sheet3!$B$2:$E$312,3,)</f>
        <v>#N/A</v>
      </c>
      <c r="E313" s="6" t="str">
        <f>VLOOKUP(B313,Sheet3!$B$2:$E$312,4,)</f>
        <v>#N/A</v>
      </c>
      <c r="F313" s="6"/>
      <c r="G313" s="6"/>
      <c r="H313" s="6"/>
    </row>
    <row r="314" ht="15.75" customHeight="1">
      <c r="A314" s="6"/>
      <c r="B314" s="6"/>
      <c r="C314" s="6" t="str">
        <f>VLOOKUP(B314,Sheet3!$B$2:$E$312,2,FALSE)</f>
        <v>#N/A</v>
      </c>
      <c r="D314" s="6" t="str">
        <f>VLOOKUP(B314,Sheet3!$B$2:$E$312,3,)</f>
        <v>#N/A</v>
      </c>
      <c r="E314" s="6" t="str">
        <f>VLOOKUP(B314,Sheet3!$B$2:$E$312,4,)</f>
        <v>#N/A</v>
      </c>
      <c r="F314" s="6"/>
      <c r="G314" s="6"/>
      <c r="H314" s="6"/>
    </row>
    <row r="315" ht="15.75" customHeight="1">
      <c r="A315" s="6"/>
      <c r="B315" s="6"/>
      <c r="C315" s="6" t="str">
        <f>VLOOKUP(B315,Sheet3!$B$2:$E$312,2,FALSE)</f>
        <v>#N/A</v>
      </c>
      <c r="D315" s="6" t="str">
        <f>VLOOKUP(B315,Sheet3!$B$2:$E$312,3,)</f>
        <v>#N/A</v>
      </c>
      <c r="E315" s="6" t="str">
        <f>VLOOKUP(B315,Sheet3!$B$2:$E$312,4,)</f>
        <v>#N/A</v>
      </c>
      <c r="F315" s="6"/>
      <c r="G315" s="6"/>
      <c r="H315" s="6"/>
    </row>
    <row r="316" ht="15.75" customHeight="1">
      <c r="A316" s="6"/>
      <c r="B316" s="6"/>
      <c r="C316" s="6" t="str">
        <f>VLOOKUP(B316,Sheet3!$B$2:$E$312,2,FALSE)</f>
        <v>#N/A</v>
      </c>
      <c r="D316" s="6" t="str">
        <f>VLOOKUP(B316,Sheet3!$B$2:$E$312,3,)</f>
        <v>#N/A</v>
      </c>
      <c r="E316" s="6" t="str">
        <f>VLOOKUP(B316,Sheet3!$B$2:$E$312,4,)</f>
        <v>#N/A</v>
      </c>
      <c r="F316" s="6"/>
      <c r="G316" s="6"/>
      <c r="H316" s="6"/>
    </row>
    <row r="317" ht="15.75" customHeight="1">
      <c r="A317" s="6"/>
      <c r="B317" s="6"/>
      <c r="C317" s="6" t="str">
        <f>VLOOKUP(B317,Sheet3!$B$2:$E$312,2,FALSE)</f>
        <v>#N/A</v>
      </c>
      <c r="D317" s="6" t="str">
        <f>VLOOKUP(B317,Sheet3!$B$2:$E$312,3,)</f>
        <v>#N/A</v>
      </c>
      <c r="E317" s="6" t="str">
        <f>VLOOKUP(B317,Sheet3!$B$2:$E$312,4,)</f>
        <v>#N/A</v>
      </c>
      <c r="F317" s="6"/>
      <c r="G317" s="6"/>
      <c r="H317" s="6"/>
    </row>
    <row r="318" ht="15.75" customHeight="1">
      <c r="A318" s="6"/>
      <c r="B318" s="6"/>
      <c r="C318" s="6" t="str">
        <f>VLOOKUP(B318,Sheet3!$B$2:$E$312,2,FALSE)</f>
        <v>#N/A</v>
      </c>
      <c r="D318" s="6" t="str">
        <f>VLOOKUP(B318,Sheet3!$B$2:$E$312,3,)</f>
        <v>#N/A</v>
      </c>
      <c r="E318" s="6" t="str">
        <f>VLOOKUP(B318,Sheet3!$B$2:$E$312,4,)</f>
        <v>#N/A</v>
      </c>
      <c r="F318" s="6"/>
      <c r="G318" s="6"/>
      <c r="H318" s="6"/>
    </row>
    <row r="319" ht="15.75" customHeight="1">
      <c r="A319" s="6"/>
      <c r="B319" s="6"/>
      <c r="C319" s="6" t="str">
        <f>VLOOKUP(B319,Sheet3!$B$2:$E$312,2,FALSE)</f>
        <v>#N/A</v>
      </c>
      <c r="D319" s="6" t="str">
        <f>VLOOKUP(B319,Sheet3!$B$2:$E$312,3,)</f>
        <v>#N/A</v>
      </c>
      <c r="E319" s="6" t="str">
        <f>VLOOKUP(B319,Sheet3!$B$2:$E$312,4,)</f>
        <v>#N/A</v>
      </c>
      <c r="F319" s="6"/>
      <c r="G319" s="6"/>
      <c r="H319" s="6"/>
    </row>
    <row r="320" ht="15.75" customHeight="1">
      <c r="A320" s="6"/>
      <c r="B320" s="6"/>
      <c r="C320" s="6" t="str">
        <f>VLOOKUP(B320,Sheet3!$B$2:$E$312,2,FALSE)</f>
        <v>#N/A</v>
      </c>
      <c r="D320" s="6" t="str">
        <f>VLOOKUP(B320,Sheet3!$B$2:$E$312,3,)</f>
        <v>#N/A</v>
      </c>
      <c r="E320" s="6" t="str">
        <f>VLOOKUP(B320,Sheet3!$B$2:$E$312,4,)</f>
        <v>#N/A</v>
      </c>
      <c r="F320" s="6"/>
      <c r="G320" s="6"/>
      <c r="H320" s="6"/>
    </row>
    <row r="321" ht="15.75" customHeight="1">
      <c r="A321" s="6"/>
      <c r="B321" s="6"/>
      <c r="C321" s="6" t="str">
        <f>VLOOKUP(B321,Sheet3!$B$2:$E$312,2,FALSE)</f>
        <v>#N/A</v>
      </c>
      <c r="D321" s="6" t="str">
        <f>VLOOKUP(B321,Sheet3!$B$2:$E$312,3,)</f>
        <v>#N/A</v>
      </c>
      <c r="E321" s="6" t="str">
        <f>VLOOKUP(B321,Sheet3!$B$2:$E$312,4,)</f>
        <v>#N/A</v>
      </c>
      <c r="F321" s="6"/>
      <c r="G321" s="6"/>
      <c r="H321" s="6"/>
    </row>
    <row r="322" ht="15.75" customHeight="1">
      <c r="A322" s="6"/>
      <c r="B322" s="6"/>
      <c r="C322" s="6" t="str">
        <f>VLOOKUP(B322,Sheet3!$B$2:$E$312,2,FALSE)</f>
        <v>#N/A</v>
      </c>
      <c r="D322" s="6" t="str">
        <f>VLOOKUP(B322,Sheet3!$B$2:$E$312,3,)</f>
        <v>#N/A</v>
      </c>
      <c r="E322" s="6" t="str">
        <f>VLOOKUP(B322,Sheet3!$B$2:$E$312,4,)</f>
        <v>#N/A</v>
      </c>
      <c r="F322" s="6"/>
      <c r="G322" s="6"/>
      <c r="H322" s="6"/>
    </row>
    <row r="323" ht="15.75" customHeight="1">
      <c r="A323" s="6"/>
      <c r="B323" s="6"/>
      <c r="C323" s="6" t="str">
        <f>VLOOKUP(B323,Sheet3!$B$2:$E$312,2,FALSE)</f>
        <v>#N/A</v>
      </c>
      <c r="D323" s="6" t="str">
        <f>VLOOKUP(B323,Sheet3!$B$2:$E$312,3,)</f>
        <v>#N/A</v>
      </c>
      <c r="E323" s="6" t="str">
        <f>VLOOKUP(B323,Sheet3!$B$2:$E$312,4,)</f>
        <v>#N/A</v>
      </c>
      <c r="F323" s="6"/>
      <c r="G323" s="6"/>
      <c r="H323" s="6"/>
    </row>
    <row r="324" ht="15.75" customHeight="1">
      <c r="A324" s="6"/>
      <c r="B324" s="6"/>
      <c r="C324" s="6" t="str">
        <f>VLOOKUP(B324,Sheet3!$B$2:$E$312,2,FALSE)</f>
        <v>#N/A</v>
      </c>
      <c r="D324" s="6" t="str">
        <f>VLOOKUP(B324,Sheet3!$B$2:$E$312,3,)</f>
        <v>#N/A</v>
      </c>
      <c r="E324" s="6" t="str">
        <f>VLOOKUP(B324,Sheet3!$B$2:$E$312,4,)</f>
        <v>#N/A</v>
      </c>
      <c r="F324" s="6"/>
      <c r="G324" s="6"/>
      <c r="H324" s="6"/>
    </row>
    <row r="325" ht="15.75" customHeight="1">
      <c r="A325" s="6"/>
      <c r="B325" s="6"/>
      <c r="C325" s="6" t="str">
        <f>VLOOKUP(B325,Sheet3!$B$2:$E$312,2,FALSE)</f>
        <v>#N/A</v>
      </c>
      <c r="D325" s="6" t="str">
        <f>VLOOKUP(B325,Sheet3!$B$2:$E$312,3,)</f>
        <v>#N/A</v>
      </c>
      <c r="E325" s="6" t="str">
        <f>VLOOKUP(B325,Sheet3!$B$2:$E$312,4,)</f>
        <v>#N/A</v>
      </c>
      <c r="F325" s="6"/>
      <c r="G325" s="6"/>
      <c r="H325" s="6"/>
    </row>
    <row r="326" ht="15.75" customHeight="1">
      <c r="A326" s="6"/>
      <c r="B326" s="6"/>
      <c r="C326" s="6" t="str">
        <f>VLOOKUP(B326,Sheet3!$B$2:$E$312,2,FALSE)</f>
        <v>#N/A</v>
      </c>
      <c r="D326" s="6" t="str">
        <f>VLOOKUP(B326,Sheet3!$B$2:$E$312,3,)</f>
        <v>#N/A</v>
      </c>
      <c r="E326" s="6" t="str">
        <f>VLOOKUP(B326,Sheet3!$B$2:$E$312,4,)</f>
        <v>#N/A</v>
      </c>
      <c r="F326" s="6"/>
      <c r="G326" s="6"/>
      <c r="H326" s="6"/>
    </row>
    <row r="327" ht="15.75" customHeight="1">
      <c r="A327" s="6"/>
      <c r="B327" s="6"/>
      <c r="C327" s="6" t="str">
        <f>VLOOKUP(B327,Sheet3!$B$2:$E$312,2,FALSE)</f>
        <v>#N/A</v>
      </c>
      <c r="D327" s="6" t="str">
        <f>VLOOKUP(B327,Sheet3!$B$2:$E$312,3,)</f>
        <v>#N/A</v>
      </c>
      <c r="E327" s="6" t="str">
        <f>VLOOKUP(B327,Sheet3!$B$2:$E$312,4,)</f>
        <v>#N/A</v>
      </c>
      <c r="F327" s="6"/>
      <c r="G327" s="6"/>
      <c r="H327" s="6"/>
    </row>
    <row r="328" ht="15.75" customHeight="1">
      <c r="A328" s="6"/>
      <c r="B328" s="6"/>
      <c r="C328" s="6" t="str">
        <f>VLOOKUP(B328,Sheet3!$B$2:$E$312,2,FALSE)</f>
        <v>#N/A</v>
      </c>
      <c r="D328" s="6" t="str">
        <f>VLOOKUP(B328,Sheet3!$B$2:$E$312,3,)</f>
        <v>#N/A</v>
      </c>
      <c r="E328" s="6" t="str">
        <f>VLOOKUP(B328,Sheet3!$B$2:$E$312,4,)</f>
        <v>#N/A</v>
      </c>
      <c r="F328" s="6"/>
      <c r="G328" s="6"/>
      <c r="H328" s="6"/>
    </row>
    <row r="329" ht="15.75" customHeight="1">
      <c r="A329" s="6"/>
      <c r="B329" s="6"/>
      <c r="C329" s="6" t="str">
        <f>VLOOKUP(B329,Sheet3!$B$2:$E$312,2,FALSE)</f>
        <v>#N/A</v>
      </c>
      <c r="D329" s="6" t="str">
        <f>VLOOKUP(B329,Sheet3!$B$2:$E$312,3,)</f>
        <v>#N/A</v>
      </c>
      <c r="E329" s="6" t="str">
        <f>VLOOKUP(B329,Sheet3!$B$2:$E$312,4,)</f>
        <v>#N/A</v>
      </c>
      <c r="F329" s="6"/>
      <c r="G329" s="6"/>
      <c r="H329" s="6"/>
    </row>
    <row r="330" ht="15.75" customHeight="1">
      <c r="A330" s="6"/>
      <c r="B330" s="6"/>
      <c r="C330" s="6" t="str">
        <f>VLOOKUP(B330,Sheet3!$B$2:$E$312,2,FALSE)</f>
        <v>#N/A</v>
      </c>
      <c r="D330" s="6" t="str">
        <f>VLOOKUP(B330,Sheet3!$B$2:$E$312,3,)</f>
        <v>#N/A</v>
      </c>
      <c r="E330" s="6" t="str">
        <f>VLOOKUP(B330,Sheet3!$B$2:$E$312,4,)</f>
        <v>#N/A</v>
      </c>
      <c r="F330" s="6"/>
      <c r="G330" s="6"/>
      <c r="H330" s="6"/>
    </row>
    <row r="331" ht="15.75" customHeight="1">
      <c r="A331" s="6"/>
      <c r="B331" s="6"/>
      <c r="C331" s="6" t="str">
        <f>VLOOKUP(B331,Sheet3!$B$2:$E$312,2,FALSE)</f>
        <v>#N/A</v>
      </c>
      <c r="D331" s="6" t="str">
        <f>VLOOKUP(B331,Sheet3!$B$2:$E$312,3,)</f>
        <v>#N/A</v>
      </c>
      <c r="E331" s="6" t="str">
        <f>VLOOKUP(B331,Sheet3!$B$2:$E$312,4,)</f>
        <v>#N/A</v>
      </c>
      <c r="F331" s="6"/>
      <c r="G331" s="6"/>
      <c r="H331" s="6"/>
    </row>
    <row r="332" ht="15.75" customHeight="1">
      <c r="A332" s="6"/>
      <c r="B332" s="6"/>
      <c r="C332" s="6" t="str">
        <f>VLOOKUP(B332,Sheet3!$B$2:$E$312,2,FALSE)</f>
        <v>#N/A</v>
      </c>
      <c r="D332" s="6" t="str">
        <f>VLOOKUP(B332,Sheet3!$B$2:$E$312,3,)</f>
        <v>#N/A</v>
      </c>
      <c r="E332" s="6" t="str">
        <f>VLOOKUP(B332,Sheet3!$B$2:$E$312,4,)</f>
        <v>#N/A</v>
      </c>
      <c r="F332" s="6"/>
      <c r="G332" s="6"/>
      <c r="H332" s="6"/>
    </row>
    <row r="333" ht="15.75" customHeight="1">
      <c r="A333" s="6"/>
      <c r="B333" s="6"/>
      <c r="C333" s="6" t="str">
        <f>VLOOKUP(B333,Sheet3!$B$2:$E$312,2,FALSE)</f>
        <v>#N/A</v>
      </c>
      <c r="D333" s="6" t="str">
        <f>VLOOKUP(B333,Sheet3!$B$2:$E$312,3,)</f>
        <v>#N/A</v>
      </c>
      <c r="E333" s="6" t="str">
        <f>VLOOKUP(B333,Sheet3!$B$2:$E$312,4,)</f>
        <v>#N/A</v>
      </c>
      <c r="F333" s="6"/>
      <c r="G333" s="6"/>
      <c r="H333" s="6"/>
    </row>
    <row r="334" ht="15.75" customHeight="1">
      <c r="A334" s="6"/>
      <c r="B334" s="6"/>
      <c r="C334" s="6" t="str">
        <f>VLOOKUP(B334,Sheet3!$B$2:$E$312,2,FALSE)</f>
        <v>#N/A</v>
      </c>
      <c r="D334" s="6" t="str">
        <f>VLOOKUP(B334,Sheet3!$B$2:$E$312,3,)</f>
        <v>#N/A</v>
      </c>
      <c r="E334" s="6" t="str">
        <f>VLOOKUP(B334,Sheet3!$B$2:$E$312,4,)</f>
        <v>#N/A</v>
      </c>
      <c r="F334" s="6"/>
      <c r="G334" s="6"/>
      <c r="H334" s="6"/>
    </row>
    <row r="335" ht="15.75" customHeight="1">
      <c r="A335" s="6"/>
      <c r="B335" s="6"/>
      <c r="C335" s="6" t="str">
        <f>VLOOKUP(B335,Sheet3!$B$2:$E$312,2,FALSE)</f>
        <v>#N/A</v>
      </c>
      <c r="D335" s="6" t="str">
        <f>VLOOKUP(B335,Sheet3!$B$2:$E$312,3,)</f>
        <v>#N/A</v>
      </c>
      <c r="E335" s="6" t="str">
        <f>VLOOKUP(B335,Sheet3!$B$2:$E$312,4,)</f>
        <v>#N/A</v>
      </c>
      <c r="F335" s="6"/>
      <c r="G335" s="6"/>
      <c r="H335" s="6"/>
    </row>
    <row r="336" ht="15.75" customHeight="1">
      <c r="A336" s="6"/>
      <c r="B336" s="6"/>
      <c r="C336" s="6" t="str">
        <f>VLOOKUP(B336,Sheet3!$B$2:$E$312,2,FALSE)</f>
        <v>#N/A</v>
      </c>
      <c r="D336" s="6" t="str">
        <f>VLOOKUP(B336,Sheet3!$B$2:$E$312,3,)</f>
        <v>#N/A</v>
      </c>
      <c r="E336" s="6" t="str">
        <f>VLOOKUP(B336,Sheet3!$B$2:$E$312,4,)</f>
        <v>#N/A</v>
      </c>
      <c r="F336" s="6"/>
      <c r="G336" s="6"/>
      <c r="H336" s="6"/>
    </row>
    <row r="337" ht="15.75" customHeight="1">
      <c r="A337" s="6"/>
      <c r="B337" s="6"/>
      <c r="C337" s="6" t="str">
        <f>VLOOKUP(B337,Sheet3!$B$2:$E$312,2,FALSE)</f>
        <v>#N/A</v>
      </c>
      <c r="D337" s="6" t="str">
        <f>VLOOKUP(B337,Sheet3!$B$2:$E$312,3,)</f>
        <v>#N/A</v>
      </c>
      <c r="E337" s="6" t="str">
        <f>VLOOKUP(B337,Sheet3!$B$2:$E$312,4,)</f>
        <v>#N/A</v>
      </c>
      <c r="F337" s="6"/>
      <c r="G337" s="6"/>
      <c r="H337" s="6"/>
    </row>
    <row r="338" ht="15.75" customHeight="1">
      <c r="A338" s="6"/>
      <c r="B338" s="6"/>
      <c r="C338" s="6" t="str">
        <f>VLOOKUP(B338,Sheet3!$B$2:$E$312,2,FALSE)</f>
        <v>#N/A</v>
      </c>
      <c r="D338" s="6" t="str">
        <f>VLOOKUP(B338,Sheet3!$B$2:$E$312,3,)</f>
        <v>#N/A</v>
      </c>
      <c r="E338" s="6" t="str">
        <f>VLOOKUP(B338,Sheet3!$B$2:$E$312,4,)</f>
        <v>#N/A</v>
      </c>
      <c r="F338" s="6"/>
      <c r="G338" s="6"/>
      <c r="H338" s="6"/>
    </row>
    <row r="339" ht="15.75" customHeight="1">
      <c r="A339" s="6"/>
      <c r="B339" s="6"/>
      <c r="C339" s="6" t="str">
        <f>VLOOKUP(B339,Sheet3!$B$2:$E$312,2,FALSE)</f>
        <v>#N/A</v>
      </c>
      <c r="D339" s="6" t="str">
        <f>VLOOKUP(B339,Sheet3!$B$2:$E$312,3,)</f>
        <v>#N/A</v>
      </c>
      <c r="E339" s="6" t="str">
        <f>VLOOKUP(B339,Sheet3!$B$2:$E$312,4,)</f>
        <v>#N/A</v>
      </c>
      <c r="F339" s="6"/>
      <c r="G339" s="6"/>
      <c r="H339" s="6"/>
    </row>
    <row r="340" ht="15.75" customHeight="1">
      <c r="A340" s="6"/>
      <c r="B340" s="6"/>
      <c r="C340" s="6" t="str">
        <f>VLOOKUP(B340,Sheet3!$B$2:$E$312,2,FALSE)</f>
        <v>#N/A</v>
      </c>
      <c r="D340" s="6" t="str">
        <f>VLOOKUP(B340,Sheet3!$B$2:$E$312,3,)</f>
        <v>#N/A</v>
      </c>
      <c r="E340" s="6" t="str">
        <f>VLOOKUP(B340,Sheet3!$B$2:$E$312,4,)</f>
        <v>#N/A</v>
      </c>
      <c r="F340" s="6"/>
      <c r="G340" s="6"/>
      <c r="H340" s="6"/>
    </row>
    <row r="341" ht="15.75" customHeight="1">
      <c r="A341" s="6"/>
      <c r="B341" s="6"/>
      <c r="C341" s="6" t="str">
        <f>VLOOKUP(B341,Sheet3!$B$2:$E$312,2,FALSE)</f>
        <v>#N/A</v>
      </c>
      <c r="D341" s="6" t="str">
        <f>VLOOKUP(B341,Sheet3!$B$2:$E$312,3,)</f>
        <v>#N/A</v>
      </c>
      <c r="E341" s="6" t="str">
        <f>VLOOKUP(B341,Sheet3!$B$2:$E$312,4,)</f>
        <v>#N/A</v>
      </c>
      <c r="F341" s="6"/>
      <c r="G341" s="6"/>
      <c r="H341" s="6"/>
    </row>
    <row r="342" ht="15.75" customHeight="1">
      <c r="A342" s="6"/>
      <c r="B342" s="6"/>
      <c r="C342" s="6" t="str">
        <f>VLOOKUP(B342,Sheet3!$B$2:$E$312,2,FALSE)</f>
        <v>#N/A</v>
      </c>
      <c r="D342" s="6" t="str">
        <f>VLOOKUP(B342,Sheet3!$B$2:$E$312,3,)</f>
        <v>#N/A</v>
      </c>
      <c r="E342" s="6" t="str">
        <f>VLOOKUP(B342,Sheet3!$B$2:$E$312,4,)</f>
        <v>#N/A</v>
      </c>
      <c r="F342" s="6"/>
      <c r="G342" s="6"/>
      <c r="H342" s="6"/>
    </row>
    <row r="343" ht="15.75" customHeight="1">
      <c r="A343" s="6"/>
      <c r="B343" s="6"/>
      <c r="C343" s="6" t="str">
        <f>VLOOKUP(B343,Sheet3!$B$2:$E$312,2,FALSE)</f>
        <v>#N/A</v>
      </c>
      <c r="D343" s="6" t="str">
        <f>VLOOKUP(B343,Sheet3!$B$2:$E$312,3,)</f>
        <v>#N/A</v>
      </c>
      <c r="E343" s="6" t="str">
        <f>VLOOKUP(B343,Sheet3!$B$2:$E$312,4,)</f>
        <v>#N/A</v>
      </c>
      <c r="F343" s="6"/>
      <c r="G343" s="6"/>
      <c r="H343" s="6"/>
    </row>
    <row r="344" ht="15.75" customHeight="1">
      <c r="A344" s="6"/>
      <c r="B344" s="6"/>
      <c r="C344" s="6" t="str">
        <f>VLOOKUP(B344,Sheet3!$B$2:$E$312,2,FALSE)</f>
        <v>#N/A</v>
      </c>
      <c r="D344" s="6" t="str">
        <f>VLOOKUP(B344,Sheet3!$B$2:$E$312,3,)</f>
        <v>#N/A</v>
      </c>
      <c r="E344" s="6" t="str">
        <f>VLOOKUP(B344,Sheet3!$B$2:$E$312,4,)</f>
        <v>#N/A</v>
      </c>
      <c r="F344" s="6"/>
      <c r="G344" s="6"/>
      <c r="H344" s="6"/>
    </row>
    <row r="345" ht="15.75" customHeight="1">
      <c r="A345" s="6"/>
      <c r="B345" s="6"/>
      <c r="C345" s="6" t="str">
        <f>VLOOKUP(B345,Sheet3!$B$2:$E$312,2,FALSE)</f>
        <v>#N/A</v>
      </c>
      <c r="D345" s="6" t="str">
        <f>VLOOKUP(B345,Sheet3!$B$2:$E$312,3,)</f>
        <v>#N/A</v>
      </c>
      <c r="E345" s="6" t="str">
        <f>VLOOKUP(B345,Sheet3!$B$2:$E$312,4,)</f>
        <v>#N/A</v>
      </c>
      <c r="F345" s="6"/>
      <c r="G345" s="6"/>
      <c r="H345" s="6"/>
    </row>
    <row r="346" ht="15.75" customHeight="1">
      <c r="A346" s="6"/>
      <c r="B346" s="6"/>
      <c r="C346" s="6" t="str">
        <f>VLOOKUP(B346,Sheet3!$B$2:$E$312,2,FALSE)</f>
        <v>#N/A</v>
      </c>
      <c r="D346" s="6" t="str">
        <f>VLOOKUP(B346,Sheet3!$B$2:$E$312,3,)</f>
        <v>#N/A</v>
      </c>
      <c r="E346" s="6" t="str">
        <f>VLOOKUP(B346,Sheet3!$B$2:$E$312,4,)</f>
        <v>#N/A</v>
      </c>
      <c r="F346" s="6"/>
      <c r="G346" s="6"/>
      <c r="H346" s="6"/>
    </row>
    <row r="347" ht="15.75" customHeight="1">
      <c r="A347" s="6"/>
      <c r="B347" s="6"/>
      <c r="C347" s="6" t="str">
        <f>VLOOKUP(B347,Sheet3!$B$2:$E$312,2,FALSE)</f>
        <v>#N/A</v>
      </c>
      <c r="D347" s="6" t="str">
        <f>VLOOKUP(B347,Sheet3!$B$2:$E$312,3,)</f>
        <v>#N/A</v>
      </c>
      <c r="E347" s="6" t="str">
        <f>VLOOKUP(B347,Sheet3!$B$2:$E$312,4,)</f>
        <v>#N/A</v>
      </c>
      <c r="F347" s="6"/>
      <c r="G347" s="6"/>
      <c r="H347" s="6"/>
    </row>
    <row r="348" ht="15.75" customHeight="1">
      <c r="A348" s="6"/>
      <c r="B348" s="6"/>
      <c r="C348" s="6" t="str">
        <f>VLOOKUP(B348,Sheet3!$B$2:$E$312,2,FALSE)</f>
        <v>#N/A</v>
      </c>
      <c r="D348" s="6" t="str">
        <f>VLOOKUP(B348,Sheet3!$B$2:$E$312,3,)</f>
        <v>#N/A</v>
      </c>
      <c r="E348" s="6" t="str">
        <f>VLOOKUP(B348,Sheet3!$B$2:$E$312,4,)</f>
        <v>#N/A</v>
      </c>
      <c r="F348" s="6"/>
      <c r="G348" s="6"/>
      <c r="H348" s="6"/>
    </row>
    <row r="349" ht="15.75" customHeight="1">
      <c r="A349" s="6"/>
      <c r="B349" s="6"/>
      <c r="C349" s="6" t="str">
        <f>VLOOKUP(B349,Sheet3!$B$2:$E$312,2,FALSE)</f>
        <v>#N/A</v>
      </c>
      <c r="D349" s="6" t="str">
        <f>VLOOKUP(B349,Sheet3!$B$2:$E$312,3,)</f>
        <v>#N/A</v>
      </c>
      <c r="E349" s="6" t="str">
        <f>VLOOKUP(B349,Sheet3!$B$2:$E$312,4,)</f>
        <v>#N/A</v>
      </c>
      <c r="F349" s="6"/>
      <c r="G349" s="6"/>
      <c r="H349" s="6"/>
    </row>
    <row r="350" ht="15.75" customHeight="1">
      <c r="A350" s="6"/>
      <c r="B350" s="6"/>
      <c r="C350" s="6" t="str">
        <f>VLOOKUP(B350,Sheet3!$B$2:$E$312,2,FALSE)</f>
        <v>#N/A</v>
      </c>
      <c r="D350" s="6" t="str">
        <f>VLOOKUP(B350,Sheet3!$B$2:$E$312,3,)</f>
        <v>#N/A</v>
      </c>
      <c r="E350" s="6" t="str">
        <f>VLOOKUP(B350,Sheet3!$B$2:$E$312,4,)</f>
        <v>#N/A</v>
      </c>
      <c r="F350" s="6"/>
      <c r="G350" s="6"/>
      <c r="H350" s="6"/>
    </row>
    <row r="351" ht="15.75" customHeight="1">
      <c r="A351" s="6"/>
      <c r="B351" s="6"/>
      <c r="C351" s="6" t="str">
        <f>VLOOKUP(B351,Sheet3!$B$2:$E$312,2,FALSE)</f>
        <v>#N/A</v>
      </c>
      <c r="D351" s="6" t="str">
        <f>VLOOKUP(B351,Sheet3!$B$2:$E$312,3,)</f>
        <v>#N/A</v>
      </c>
      <c r="E351" s="6" t="str">
        <f>VLOOKUP(B351,Sheet3!$B$2:$E$312,4,)</f>
        <v>#N/A</v>
      </c>
      <c r="F351" s="6"/>
      <c r="G351" s="6"/>
      <c r="H351" s="6"/>
    </row>
    <row r="352" ht="15.75" customHeight="1">
      <c r="A352" s="6"/>
      <c r="B352" s="6"/>
      <c r="C352" s="6" t="str">
        <f>VLOOKUP(B352,Sheet3!$B$2:$E$312,2,FALSE)</f>
        <v>#N/A</v>
      </c>
      <c r="D352" s="6" t="str">
        <f>VLOOKUP(B352,Sheet3!$B$2:$E$312,3,)</f>
        <v>#N/A</v>
      </c>
      <c r="E352" s="6" t="str">
        <f>VLOOKUP(B352,Sheet3!$B$2:$E$312,4,)</f>
        <v>#N/A</v>
      </c>
      <c r="F352" s="6"/>
      <c r="G352" s="6"/>
      <c r="H352" s="6"/>
    </row>
    <row r="353" ht="15.75" customHeight="1">
      <c r="A353" s="6"/>
      <c r="B353" s="6"/>
      <c r="C353" s="6" t="str">
        <f>VLOOKUP(B353,Sheet3!$B$2:$E$312,2,FALSE)</f>
        <v>#N/A</v>
      </c>
      <c r="D353" s="6" t="str">
        <f>VLOOKUP(B353,Sheet3!$B$2:$E$312,3,)</f>
        <v>#N/A</v>
      </c>
      <c r="E353" s="6" t="str">
        <f>VLOOKUP(B353,Sheet3!$B$2:$E$312,4,)</f>
        <v>#N/A</v>
      </c>
      <c r="F353" s="6"/>
      <c r="G353" s="6"/>
      <c r="H353" s="6"/>
    </row>
    <row r="354" ht="15.75" customHeight="1">
      <c r="A354" s="6"/>
      <c r="B354" s="6"/>
      <c r="C354" s="6" t="str">
        <f>VLOOKUP(B354,Sheet3!$B$2:$E$312,2,FALSE)</f>
        <v>#N/A</v>
      </c>
      <c r="D354" s="6" t="str">
        <f>VLOOKUP(B354,Sheet3!$B$2:$E$312,3,)</f>
        <v>#N/A</v>
      </c>
      <c r="E354" s="6" t="str">
        <f>VLOOKUP(B354,Sheet3!$B$2:$E$312,4,)</f>
        <v>#N/A</v>
      </c>
      <c r="F354" s="6"/>
      <c r="G354" s="6"/>
      <c r="H354" s="6"/>
    </row>
    <row r="355" ht="15.75" customHeight="1">
      <c r="A355" s="6"/>
      <c r="B355" s="6"/>
      <c r="C355" s="6" t="str">
        <f>VLOOKUP(B355,Sheet3!$B$2:$E$312,2,FALSE)</f>
        <v>#N/A</v>
      </c>
      <c r="D355" s="6" t="str">
        <f>VLOOKUP(B355,Sheet3!$B$2:$E$312,3,)</f>
        <v>#N/A</v>
      </c>
      <c r="E355" s="6" t="str">
        <f>VLOOKUP(B355,Sheet3!$B$2:$E$312,4,)</f>
        <v>#N/A</v>
      </c>
      <c r="F355" s="6"/>
      <c r="G355" s="6"/>
      <c r="H355" s="6"/>
    </row>
    <row r="356" ht="15.75" customHeight="1">
      <c r="A356" s="6"/>
      <c r="B356" s="6"/>
      <c r="C356" s="6" t="str">
        <f>VLOOKUP(B356,Sheet3!$B$2:$E$312,2,FALSE)</f>
        <v>#N/A</v>
      </c>
      <c r="D356" s="6" t="str">
        <f>VLOOKUP(B356,Sheet3!$B$2:$E$312,3,)</f>
        <v>#N/A</v>
      </c>
      <c r="E356" s="6" t="str">
        <f>VLOOKUP(B356,Sheet3!$B$2:$E$312,4,)</f>
        <v>#N/A</v>
      </c>
      <c r="F356" s="6"/>
      <c r="G356" s="6"/>
      <c r="H356" s="6"/>
    </row>
    <row r="357" ht="15.75" customHeight="1">
      <c r="A357" s="6"/>
      <c r="B357" s="6"/>
      <c r="C357" s="6" t="str">
        <f>VLOOKUP(B357,Sheet3!$B$2:$E$312,2,FALSE)</f>
        <v>#N/A</v>
      </c>
      <c r="D357" s="6" t="str">
        <f>VLOOKUP(B357,Sheet3!$B$2:$E$312,3,)</f>
        <v>#N/A</v>
      </c>
      <c r="E357" s="6" t="str">
        <f>VLOOKUP(B357,Sheet3!$B$2:$E$312,4,)</f>
        <v>#N/A</v>
      </c>
      <c r="F357" s="6"/>
      <c r="G357" s="6"/>
      <c r="H357" s="6"/>
    </row>
    <row r="358" ht="15.75" customHeight="1">
      <c r="A358" s="6"/>
      <c r="B358" s="6"/>
      <c r="C358" s="6" t="str">
        <f>VLOOKUP(B358,Sheet3!$B$2:$E$312,2,FALSE)</f>
        <v>#N/A</v>
      </c>
      <c r="D358" s="6" t="str">
        <f>VLOOKUP(B358,Sheet3!$B$2:$E$312,3,)</f>
        <v>#N/A</v>
      </c>
      <c r="E358" s="6" t="str">
        <f>VLOOKUP(B358,Sheet3!$B$2:$E$312,4,)</f>
        <v>#N/A</v>
      </c>
      <c r="F358" s="6"/>
      <c r="G358" s="6"/>
      <c r="H358" s="6"/>
    </row>
    <row r="359" ht="15.75" customHeight="1">
      <c r="A359" s="6"/>
      <c r="B359" s="6"/>
      <c r="C359" s="6" t="str">
        <f>VLOOKUP(B359,Sheet3!$B$2:$E$312,2,FALSE)</f>
        <v>#N/A</v>
      </c>
      <c r="D359" s="6" t="str">
        <f>VLOOKUP(B359,Sheet3!$B$2:$E$312,3,)</f>
        <v>#N/A</v>
      </c>
      <c r="E359" s="6" t="str">
        <f>VLOOKUP(B359,Sheet3!$B$2:$E$312,4,)</f>
        <v>#N/A</v>
      </c>
      <c r="F359" s="6"/>
      <c r="G359" s="6"/>
      <c r="H359" s="6"/>
    </row>
    <row r="360" ht="15.75" customHeight="1">
      <c r="A360" s="6"/>
      <c r="B360" s="6"/>
      <c r="C360" s="6" t="str">
        <f>VLOOKUP(B360,Sheet3!$B$2:$E$312,2,FALSE)</f>
        <v>#N/A</v>
      </c>
      <c r="D360" s="6" t="str">
        <f>VLOOKUP(B360,Sheet3!$B$2:$E$312,3,)</f>
        <v>#N/A</v>
      </c>
      <c r="E360" s="6" t="str">
        <f>VLOOKUP(B360,Sheet3!$B$2:$E$312,4,)</f>
        <v>#N/A</v>
      </c>
      <c r="F360" s="6"/>
      <c r="G360" s="6"/>
      <c r="H360" s="6"/>
    </row>
    <row r="361" ht="15.75" customHeight="1">
      <c r="A361" s="6"/>
      <c r="B361" s="6"/>
      <c r="C361" s="6" t="str">
        <f>VLOOKUP(B361,Sheet3!$B$2:$E$312,2,FALSE)</f>
        <v>#N/A</v>
      </c>
      <c r="D361" s="6" t="str">
        <f>VLOOKUP(B361,Sheet3!$B$2:$E$312,3,)</f>
        <v>#N/A</v>
      </c>
      <c r="E361" s="6" t="str">
        <f>VLOOKUP(B361,Sheet3!$B$2:$E$312,4,)</f>
        <v>#N/A</v>
      </c>
      <c r="F361" s="6"/>
      <c r="G361" s="6"/>
      <c r="H361" s="6"/>
    </row>
    <row r="362" ht="15.75" customHeight="1">
      <c r="A362" s="6"/>
      <c r="B362" s="6"/>
      <c r="C362" s="6" t="str">
        <f>VLOOKUP(B362,Sheet3!$B$2:$E$312,2,FALSE)</f>
        <v>#N/A</v>
      </c>
      <c r="D362" s="6" t="str">
        <f>VLOOKUP(B362,Sheet3!$B$2:$E$312,3,)</f>
        <v>#N/A</v>
      </c>
      <c r="E362" s="6" t="str">
        <f>VLOOKUP(B362,Sheet3!$B$2:$E$312,4,)</f>
        <v>#N/A</v>
      </c>
      <c r="F362" s="6"/>
      <c r="G362" s="6"/>
      <c r="H362" s="6"/>
    </row>
    <row r="363" ht="15.75" customHeight="1">
      <c r="A363" s="6"/>
      <c r="B363" s="6"/>
      <c r="C363" s="6" t="str">
        <f>VLOOKUP(B363,Sheet3!$B$2:$E$312,2,FALSE)</f>
        <v>#N/A</v>
      </c>
      <c r="D363" s="6" t="str">
        <f>VLOOKUP(B363,Sheet3!$B$2:$E$312,3,)</f>
        <v>#N/A</v>
      </c>
      <c r="E363" s="6" t="str">
        <f>VLOOKUP(B363,Sheet3!$B$2:$E$312,4,)</f>
        <v>#N/A</v>
      </c>
      <c r="F363" s="6"/>
      <c r="G363" s="6"/>
      <c r="H363" s="6"/>
    </row>
    <row r="364" ht="15.75" customHeight="1">
      <c r="A364" s="6"/>
      <c r="B364" s="6"/>
      <c r="C364" s="6" t="str">
        <f>VLOOKUP(B364,Sheet3!$B$2:$E$312,2,FALSE)</f>
        <v>#N/A</v>
      </c>
      <c r="D364" s="6" t="str">
        <f>VLOOKUP(B364,Sheet3!$B$2:$E$312,3,)</f>
        <v>#N/A</v>
      </c>
      <c r="E364" s="6" t="str">
        <f>VLOOKUP(B364,Sheet3!$B$2:$E$312,4,)</f>
        <v>#N/A</v>
      </c>
      <c r="F364" s="6"/>
      <c r="G364" s="6"/>
      <c r="H364" s="6"/>
    </row>
    <row r="365" ht="15.75" customHeight="1">
      <c r="A365" s="6"/>
      <c r="B365" s="6"/>
      <c r="C365" s="6" t="str">
        <f>VLOOKUP(B365,Sheet3!$B$2:$E$312,2,FALSE)</f>
        <v>#N/A</v>
      </c>
      <c r="D365" s="6" t="str">
        <f>VLOOKUP(B365,Sheet3!$B$2:$E$312,3,)</f>
        <v>#N/A</v>
      </c>
      <c r="E365" s="6" t="str">
        <f>VLOOKUP(B365,Sheet3!$B$2:$E$312,4,)</f>
        <v>#N/A</v>
      </c>
      <c r="F365" s="6"/>
      <c r="G365" s="6"/>
      <c r="H365" s="6"/>
    </row>
    <row r="366" ht="15.75" customHeight="1">
      <c r="A366" s="6"/>
      <c r="B366" s="6"/>
      <c r="C366" s="6" t="str">
        <f>VLOOKUP(B366,Sheet3!$B$2:$E$312,2,FALSE)</f>
        <v>#N/A</v>
      </c>
      <c r="D366" s="6" t="str">
        <f>VLOOKUP(B366,Sheet3!$B$2:$E$312,3,)</f>
        <v>#N/A</v>
      </c>
      <c r="E366" s="6" t="str">
        <f>VLOOKUP(B366,Sheet3!$B$2:$E$312,4,)</f>
        <v>#N/A</v>
      </c>
      <c r="F366" s="6"/>
      <c r="G366" s="6"/>
      <c r="H366" s="6"/>
    </row>
    <row r="367" ht="15.75" customHeight="1">
      <c r="A367" s="6"/>
      <c r="B367" s="6"/>
      <c r="C367" s="6" t="str">
        <f>VLOOKUP(B367,Sheet3!$B$2:$E$312,2,FALSE)</f>
        <v>#N/A</v>
      </c>
      <c r="D367" s="6" t="str">
        <f>VLOOKUP(B367,Sheet3!$B$2:$E$312,3,)</f>
        <v>#N/A</v>
      </c>
      <c r="E367" s="6" t="str">
        <f>VLOOKUP(B367,Sheet3!$B$2:$E$312,4,)</f>
        <v>#N/A</v>
      </c>
      <c r="F367" s="6"/>
      <c r="G367" s="6"/>
      <c r="H367" s="6"/>
    </row>
    <row r="368" ht="15.75" customHeight="1">
      <c r="A368" s="6"/>
      <c r="B368" s="6"/>
      <c r="C368" s="6" t="str">
        <f>VLOOKUP(B368,Sheet3!$B$2:$E$312,2,FALSE)</f>
        <v>#N/A</v>
      </c>
      <c r="D368" s="6" t="str">
        <f>VLOOKUP(B368,Sheet3!$B$2:$E$312,3,)</f>
        <v>#N/A</v>
      </c>
      <c r="E368" s="6" t="str">
        <f>VLOOKUP(B368,Sheet3!$B$2:$E$312,4,)</f>
        <v>#N/A</v>
      </c>
      <c r="F368" s="6"/>
      <c r="G368" s="6"/>
      <c r="H368" s="6"/>
    </row>
    <row r="369" ht="15.75" customHeight="1">
      <c r="A369" s="6"/>
      <c r="B369" s="6"/>
      <c r="C369" s="6" t="str">
        <f>VLOOKUP(B369,Sheet3!$B$2:$E$312,2,FALSE)</f>
        <v>#N/A</v>
      </c>
      <c r="D369" s="6" t="str">
        <f>VLOOKUP(B369,Sheet3!$B$2:$E$312,3,)</f>
        <v>#N/A</v>
      </c>
      <c r="E369" s="6" t="str">
        <f>VLOOKUP(B369,Sheet3!$B$2:$E$312,4,)</f>
        <v>#N/A</v>
      </c>
      <c r="F369" s="6"/>
      <c r="G369" s="6"/>
      <c r="H369" s="6"/>
    </row>
    <row r="370" ht="15.75" customHeight="1">
      <c r="A370" s="6"/>
      <c r="B370" s="6"/>
      <c r="C370" s="6" t="str">
        <f>VLOOKUP(B370,Sheet3!$B$2:$E$312,2,FALSE)</f>
        <v>#N/A</v>
      </c>
      <c r="D370" s="6" t="str">
        <f>VLOOKUP(B370,Sheet3!$B$2:$E$312,3,)</f>
        <v>#N/A</v>
      </c>
      <c r="E370" s="6" t="str">
        <f>VLOOKUP(B370,Sheet3!$B$2:$E$312,4,)</f>
        <v>#N/A</v>
      </c>
      <c r="F370" s="6"/>
      <c r="G370" s="6"/>
      <c r="H370" s="6"/>
    </row>
    <row r="371" ht="15.75" customHeight="1">
      <c r="A371" s="6"/>
      <c r="B371" s="6"/>
      <c r="C371" s="6" t="str">
        <f>VLOOKUP(B371,Sheet3!$B$2:$E$312,2,FALSE)</f>
        <v>#N/A</v>
      </c>
      <c r="D371" s="6" t="str">
        <f>VLOOKUP(B371,Sheet3!$B$2:$E$312,3,)</f>
        <v>#N/A</v>
      </c>
      <c r="E371" s="6" t="str">
        <f>VLOOKUP(B371,Sheet3!$B$2:$E$312,4,)</f>
        <v>#N/A</v>
      </c>
      <c r="F371" s="6"/>
      <c r="G371" s="6"/>
      <c r="H371" s="6"/>
    </row>
    <row r="372" ht="15.75" customHeight="1">
      <c r="A372" s="6"/>
      <c r="B372" s="6"/>
      <c r="C372" s="6" t="str">
        <f>VLOOKUP(B372,Sheet3!$B$2:$E$312,2,FALSE)</f>
        <v>#N/A</v>
      </c>
      <c r="D372" s="6" t="str">
        <f>VLOOKUP(B372,Sheet3!$B$2:$E$312,3,)</f>
        <v>#N/A</v>
      </c>
      <c r="E372" s="6" t="str">
        <f>VLOOKUP(B372,Sheet3!$B$2:$E$312,4,)</f>
        <v>#N/A</v>
      </c>
      <c r="F372" s="6"/>
      <c r="G372" s="6"/>
      <c r="H372" s="6"/>
    </row>
    <row r="373" ht="15.75" customHeight="1">
      <c r="A373" s="6"/>
      <c r="B373" s="6"/>
      <c r="C373" s="6" t="str">
        <f>VLOOKUP(B373,Sheet3!$B$2:$E$312,2,FALSE)</f>
        <v>#N/A</v>
      </c>
      <c r="D373" s="6" t="str">
        <f>VLOOKUP(B373,Sheet3!$B$2:$E$312,3,)</f>
        <v>#N/A</v>
      </c>
      <c r="E373" s="6" t="str">
        <f>VLOOKUP(B373,Sheet3!$B$2:$E$312,4,)</f>
        <v>#N/A</v>
      </c>
      <c r="F373" s="6"/>
      <c r="G373" s="6"/>
      <c r="H373" s="6"/>
    </row>
    <row r="374" ht="15.75" customHeight="1">
      <c r="A374" s="6"/>
      <c r="B374" s="6"/>
      <c r="C374" s="6" t="str">
        <f>VLOOKUP(B374,Sheet3!$B$2:$E$312,2,FALSE)</f>
        <v>#N/A</v>
      </c>
      <c r="D374" s="6" t="str">
        <f>VLOOKUP(B374,Sheet3!$B$2:$E$312,3,)</f>
        <v>#N/A</v>
      </c>
      <c r="E374" s="6" t="str">
        <f>VLOOKUP(B374,Sheet3!$B$2:$E$312,4,)</f>
        <v>#N/A</v>
      </c>
      <c r="F374" s="6"/>
      <c r="G374" s="6"/>
      <c r="H374" s="6"/>
    </row>
    <row r="375" ht="15.75" customHeight="1">
      <c r="A375" s="6"/>
      <c r="B375" s="6"/>
      <c r="C375" s="6" t="str">
        <f>VLOOKUP(B375,Sheet3!$B$2:$E$312,2,FALSE)</f>
        <v>#N/A</v>
      </c>
      <c r="D375" s="6" t="str">
        <f>VLOOKUP(B375,Sheet3!$B$2:$E$312,3,)</f>
        <v>#N/A</v>
      </c>
      <c r="E375" s="6" t="str">
        <f>VLOOKUP(B375,Sheet3!$B$2:$E$312,4,)</f>
        <v>#N/A</v>
      </c>
      <c r="F375" s="6"/>
      <c r="G375" s="6"/>
      <c r="H375" s="6"/>
    </row>
    <row r="376" ht="15.75" customHeight="1">
      <c r="A376" s="6"/>
      <c r="B376" s="6"/>
      <c r="C376" s="6" t="str">
        <f>VLOOKUP(B376,Sheet3!$B$2:$E$312,2,FALSE)</f>
        <v>#N/A</v>
      </c>
      <c r="D376" s="6" t="str">
        <f>VLOOKUP(B376,Sheet3!$B$2:$E$312,3,)</f>
        <v>#N/A</v>
      </c>
      <c r="E376" s="6" t="str">
        <f>VLOOKUP(B376,Sheet3!$B$2:$E$312,4,)</f>
        <v>#N/A</v>
      </c>
      <c r="F376" s="6"/>
      <c r="G376" s="6"/>
      <c r="H376" s="6"/>
    </row>
    <row r="377" ht="15.75" customHeight="1">
      <c r="A377" s="6"/>
      <c r="B377" s="6"/>
      <c r="C377" s="6" t="str">
        <f>VLOOKUP(B377,Sheet3!$B$2:$E$312,2,FALSE)</f>
        <v>#N/A</v>
      </c>
      <c r="D377" s="6" t="str">
        <f>VLOOKUP(B377,Sheet3!$B$2:$E$312,3,)</f>
        <v>#N/A</v>
      </c>
      <c r="E377" s="6" t="str">
        <f>VLOOKUP(B377,Sheet3!$B$2:$E$312,4,)</f>
        <v>#N/A</v>
      </c>
      <c r="F377" s="6"/>
      <c r="G377" s="6"/>
      <c r="H377" s="6"/>
    </row>
    <row r="378" ht="15.75" customHeight="1">
      <c r="A378" s="6"/>
      <c r="B378" s="6"/>
      <c r="C378" s="6" t="str">
        <f>VLOOKUP(B378,Sheet3!$B$2:$E$312,2,FALSE)</f>
        <v>#N/A</v>
      </c>
      <c r="D378" s="6" t="str">
        <f>VLOOKUP(B378,Sheet3!$B$2:$E$312,3,)</f>
        <v>#N/A</v>
      </c>
      <c r="E378" s="6" t="str">
        <f>VLOOKUP(B378,Sheet3!$B$2:$E$312,4,)</f>
        <v>#N/A</v>
      </c>
      <c r="F378" s="6"/>
      <c r="G378" s="6"/>
      <c r="H378" s="6"/>
    </row>
    <row r="379" ht="15.75" customHeight="1">
      <c r="A379" s="6"/>
      <c r="B379" s="6"/>
      <c r="C379" s="6" t="str">
        <f>VLOOKUP(B379,Sheet3!$B$2:$E$312,2,FALSE)</f>
        <v>#N/A</v>
      </c>
      <c r="D379" s="6" t="str">
        <f>VLOOKUP(B379,Sheet3!$B$2:$E$312,3,)</f>
        <v>#N/A</v>
      </c>
      <c r="E379" s="6" t="str">
        <f>VLOOKUP(B379,Sheet3!$B$2:$E$312,4,)</f>
        <v>#N/A</v>
      </c>
      <c r="F379" s="6"/>
      <c r="G379" s="6"/>
      <c r="H379" s="6"/>
    </row>
    <row r="380" ht="15.75" customHeight="1">
      <c r="A380" s="6"/>
      <c r="B380" s="6"/>
      <c r="C380" s="6" t="str">
        <f>VLOOKUP(B380,Sheet3!$B$2:$E$312,2,FALSE)</f>
        <v>#N/A</v>
      </c>
      <c r="D380" s="6" t="str">
        <f>VLOOKUP(B380,Sheet3!$B$2:$E$312,3,)</f>
        <v>#N/A</v>
      </c>
      <c r="E380" s="6" t="str">
        <f>VLOOKUP(B380,Sheet3!$B$2:$E$312,4,)</f>
        <v>#N/A</v>
      </c>
      <c r="F380" s="6"/>
      <c r="G380" s="6"/>
      <c r="H380" s="6"/>
    </row>
    <row r="381" ht="15.75" customHeight="1">
      <c r="A381" s="6"/>
      <c r="B381" s="6"/>
      <c r="C381" s="6" t="str">
        <f>VLOOKUP(B381,Sheet3!$B$2:$E$312,2,FALSE)</f>
        <v>#N/A</v>
      </c>
      <c r="D381" s="6" t="str">
        <f>VLOOKUP(B381,Sheet3!$B$2:$E$312,3,)</f>
        <v>#N/A</v>
      </c>
      <c r="E381" s="6" t="str">
        <f>VLOOKUP(B381,Sheet3!$B$2:$E$312,4,)</f>
        <v>#N/A</v>
      </c>
      <c r="F381" s="6"/>
      <c r="G381" s="6"/>
      <c r="H381" s="6"/>
    </row>
    <row r="382" ht="15.75" customHeight="1">
      <c r="A382" s="6"/>
      <c r="B382" s="6"/>
      <c r="C382" s="6" t="str">
        <f>VLOOKUP(B382,Sheet3!$B$2:$E$312,2,FALSE)</f>
        <v>#N/A</v>
      </c>
      <c r="D382" s="6" t="str">
        <f>VLOOKUP(B382,Sheet3!$B$2:$E$312,3,)</f>
        <v>#N/A</v>
      </c>
      <c r="E382" s="6" t="str">
        <f>VLOOKUP(B382,Sheet3!$B$2:$E$312,4,)</f>
        <v>#N/A</v>
      </c>
      <c r="F382" s="6"/>
      <c r="G382" s="6"/>
      <c r="H382" s="6"/>
    </row>
    <row r="383" ht="15.75" customHeight="1">
      <c r="A383" s="6"/>
      <c r="B383" s="6"/>
      <c r="C383" s="6" t="str">
        <f>VLOOKUP(B383,Sheet3!$B$2:$E$312,2,FALSE)</f>
        <v>#N/A</v>
      </c>
      <c r="D383" s="6" t="str">
        <f>VLOOKUP(B383,Sheet3!$B$2:$E$312,3,)</f>
        <v>#N/A</v>
      </c>
      <c r="E383" s="6" t="str">
        <f>VLOOKUP(B383,Sheet3!$B$2:$E$312,4,)</f>
        <v>#N/A</v>
      </c>
      <c r="F383" s="6"/>
      <c r="G383" s="6"/>
      <c r="H383" s="6"/>
    </row>
    <row r="384" ht="15.75" customHeight="1">
      <c r="A384" s="6"/>
      <c r="B384" s="6"/>
      <c r="C384" s="6" t="str">
        <f>VLOOKUP(B384,Sheet3!$B$2:$E$312,2,FALSE)</f>
        <v>#N/A</v>
      </c>
      <c r="D384" s="6" t="str">
        <f>VLOOKUP(B384,Sheet3!$B$2:$E$312,3,)</f>
        <v>#N/A</v>
      </c>
      <c r="E384" s="6" t="str">
        <f>VLOOKUP(B384,Sheet3!$B$2:$E$312,4,)</f>
        <v>#N/A</v>
      </c>
      <c r="F384" s="6"/>
      <c r="G384" s="6"/>
      <c r="H384" s="6"/>
    </row>
    <row r="385" ht="15.75" customHeight="1">
      <c r="A385" s="6"/>
      <c r="B385" s="6"/>
      <c r="C385" s="6" t="str">
        <f>VLOOKUP(B385,Sheet3!$B$2:$E$312,2,FALSE)</f>
        <v>#N/A</v>
      </c>
      <c r="D385" s="6" t="str">
        <f>VLOOKUP(B385,Sheet3!$B$2:$E$312,3,)</f>
        <v>#N/A</v>
      </c>
      <c r="E385" s="6" t="str">
        <f>VLOOKUP(B385,Sheet3!$B$2:$E$312,4,)</f>
        <v>#N/A</v>
      </c>
      <c r="F385" s="6"/>
      <c r="G385" s="6"/>
      <c r="H385" s="6"/>
    </row>
    <row r="386" ht="15.75" customHeight="1">
      <c r="A386" s="6"/>
      <c r="B386" s="6"/>
      <c r="C386" s="6" t="str">
        <f>VLOOKUP(B386,Sheet3!$B$2:$E$312,2,FALSE)</f>
        <v>#N/A</v>
      </c>
      <c r="D386" s="6" t="str">
        <f>VLOOKUP(B386,Sheet3!$B$2:$E$312,3,)</f>
        <v>#N/A</v>
      </c>
      <c r="E386" s="6" t="str">
        <f>VLOOKUP(B386,Sheet3!$B$2:$E$312,4,)</f>
        <v>#N/A</v>
      </c>
      <c r="F386" s="6"/>
      <c r="G386" s="6"/>
      <c r="H386" s="6"/>
    </row>
    <row r="387" ht="15.75" customHeight="1">
      <c r="A387" s="6"/>
      <c r="B387" s="6"/>
      <c r="C387" s="6" t="str">
        <f>VLOOKUP(B387,Sheet3!$B$2:$E$312,2,FALSE)</f>
        <v>#N/A</v>
      </c>
      <c r="D387" s="6" t="str">
        <f>VLOOKUP(B387,Sheet3!$B$2:$E$312,3,)</f>
        <v>#N/A</v>
      </c>
      <c r="E387" s="6" t="str">
        <f>VLOOKUP(B387,Sheet3!$B$2:$E$312,4,)</f>
        <v>#N/A</v>
      </c>
      <c r="F387" s="6"/>
      <c r="G387" s="6"/>
      <c r="H387" s="6"/>
    </row>
    <row r="388" ht="15.75" customHeight="1">
      <c r="A388" s="6"/>
      <c r="B388" s="6"/>
      <c r="C388" s="6" t="str">
        <f>VLOOKUP(B388,Sheet3!$B$2:$E$312,2,FALSE)</f>
        <v>#N/A</v>
      </c>
      <c r="D388" s="6" t="str">
        <f>VLOOKUP(B388,Sheet3!$B$2:$E$312,3,)</f>
        <v>#N/A</v>
      </c>
      <c r="E388" s="6" t="str">
        <f>VLOOKUP(B388,Sheet3!$B$2:$E$312,4,)</f>
        <v>#N/A</v>
      </c>
      <c r="F388" s="6"/>
      <c r="G388" s="6"/>
      <c r="H388" s="6"/>
    </row>
    <row r="389" ht="15.75" customHeight="1">
      <c r="A389" s="6"/>
      <c r="B389" s="6"/>
      <c r="C389" s="6" t="str">
        <f>VLOOKUP(B389,Sheet3!$B$2:$E$312,2,FALSE)</f>
        <v>#N/A</v>
      </c>
      <c r="D389" s="6" t="str">
        <f>VLOOKUP(B389,Sheet3!$B$2:$E$312,3,)</f>
        <v>#N/A</v>
      </c>
      <c r="E389" s="6" t="str">
        <f>VLOOKUP(B389,Sheet3!$B$2:$E$312,4,)</f>
        <v>#N/A</v>
      </c>
      <c r="F389" s="6"/>
      <c r="G389" s="6"/>
      <c r="H389" s="6"/>
    </row>
    <row r="390" ht="15.75" customHeight="1">
      <c r="A390" s="6"/>
      <c r="B390" s="6"/>
      <c r="C390" s="6" t="str">
        <f>VLOOKUP(B390,Sheet3!$B$2:$E$312,2,FALSE)</f>
        <v>#N/A</v>
      </c>
      <c r="D390" s="6" t="str">
        <f>VLOOKUP(B390,Sheet3!$B$2:$E$312,3,)</f>
        <v>#N/A</v>
      </c>
      <c r="E390" s="6" t="str">
        <f>VLOOKUP(B390,Sheet3!$B$2:$E$312,4,)</f>
        <v>#N/A</v>
      </c>
      <c r="F390" s="6"/>
      <c r="G390" s="6"/>
      <c r="H390" s="6"/>
    </row>
    <row r="391" ht="15.75" customHeight="1">
      <c r="A391" s="6"/>
      <c r="B391" s="6"/>
      <c r="C391" s="6" t="str">
        <f>VLOOKUP(B391,Sheet3!$B$2:$E$312,2,FALSE)</f>
        <v>#N/A</v>
      </c>
      <c r="D391" s="6" t="str">
        <f>VLOOKUP(B391,Sheet3!$B$2:$E$312,3,)</f>
        <v>#N/A</v>
      </c>
      <c r="E391" s="6" t="str">
        <f>VLOOKUP(B391,Sheet3!$B$2:$E$312,4,)</f>
        <v>#N/A</v>
      </c>
      <c r="F391" s="6"/>
      <c r="G391" s="6"/>
      <c r="H391" s="6"/>
    </row>
    <row r="392" ht="15.75" customHeight="1">
      <c r="A392" s="6"/>
      <c r="B392" s="6"/>
      <c r="C392" s="6" t="str">
        <f>VLOOKUP(B392,Sheet3!$B$2:$E$312,2,FALSE)</f>
        <v>#N/A</v>
      </c>
      <c r="D392" s="6" t="str">
        <f>VLOOKUP(B392,Sheet3!$B$2:$E$312,3,)</f>
        <v>#N/A</v>
      </c>
      <c r="E392" s="6" t="str">
        <f>VLOOKUP(B392,Sheet3!$B$2:$E$312,4,)</f>
        <v>#N/A</v>
      </c>
      <c r="F392" s="6"/>
      <c r="G392" s="6"/>
      <c r="H392" s="6"/>
    </row>
    <row r="393" ht="15.75" customHeight="1">
      <c r="A393" s="6"/>
      <c r="B393" s="6"/>
      <c r="C393" s="6" t="str">
        <f>VLOOKUP(B393,Sheet3!$B$2:$E$312,2,FALSE)</f>
        <v>#N/A</v>
      </c>
      <c r="D393" s="6" t="str">
        <f>VLOOKUP(B393,Sheet3!$B$2:$E$312,3,)</f>
        <v>#N/A</v>
      </c>
      <c r="E393" s="6" t="str">
        <f>VLOOKUP(B393,Sheet3!$B$2:$E$312,4,)</f>
        <v>#N/A</v>
      </c>
      <c r="F393" s="6"/>
      <c r="G393" s="6"/>
      <c r="H393" s="6"/>
    </row>
    <row r="394" ht="15.75" customHeight="1">
      <c r="A394" s="6"/>
      <c r="B394" s="6"/>
      <c r="C394" s="6" t="str">
        <f>VLOOKUP(B394,Sheet3!$B$2:$E$312,2,FALSE)</f>
        <v>#N/A</v>
      </c>
      <c r="D394" s="6" t="str">
        <f>VLOOKUP(B394,Sheet3!$B$2:$E$312,3,)</f>
        <v>#N/A</v>
      </c>
      <c r="E394" s="6" t="str">
        <f>VLOOKUP(B394,Sheet3!$B$2:$E$312,4,)</f>
        <v>#N/A</v>
      </c>
      <c r="F394" s="6"/>
      <c r="G394" s="6"/>
      <c r="H394" s="6"/>
    </row>
    <row r="395" ht="15.75" customHeight="1">
      <c r="A395" s="6"/>
      <c r="B395" s="6"/>
      <c r="C395" s="6" t="str">
        <f>VLOOKUP(B395,Sheet3!$B$2:$E$312,2,FALSE)</f>
        <v>#N/A</v>
      </c>
      <c r="D395" s="6" t="str">
        <f>VLOOKUP(B395,Sheet3!$B$2:$E$312,3,)</f>
        <v>#N/A</v>
      </c>
      <c r="E395" s="6" t="str">
        <f>VLOOKUP(B395,Sheet3!$B$2:$E$312,4,)</f>
        <v>#N/A</v>
      </c>
      <c r="F395" s="6"/>
      <c r="G395" s="6"/>
      <c r="H395" s="6"/>
    </row>
    <row r="396" ht="15.75" customHeight="1">
      <c r="A396" s="6"/>
      <c r="B396" s="6"/>
      <c r="C396" s="6" t="str">
        <f>VLOOKUP(B396,Sheet3!$B$2:$E$312,2,FALSE)</f>
        <v>#N/A</v>
      </c>
      <c r="D396" s="6" t="str">
        <f>VLOOKUP(B396,Sheet3!$B$2:$E$312,3,)</f>
        <v>#N/A</v>
      </c>
      <c r="E396" s="6" t="str">
        <f>VLOOKUP(B396,Sheet3!$B$2:$E$312,4,)</f>
        <v>#N/A</v>
      </c>
      <c r="F396" s="6"/>
      <c r="G396" s="6"/>
      <c r="H396" s="6"/>
    </row>
    <row r="397" ht="15.75" customHeight="1">
      <c r="A397" s="6"/>
      <c r="B397" s="6"/>
      <c r="C397" s="6" t="str">
        <f>VLOOKUP(B397,Sheet3!$B$2:$E$312,2,FALSE)</f>
        <v>#N/A</v>
      </c>
      <c r="D397" s="6" t="str">
        <f>VLOOKUP(B397,Sheet3!$B$2:$E$312,3,)</f>
        <v>#N/A</v>
      </c>
      <c r="E397" s="6" t="str">
        <f>VLOOKUP(B397,Sheet3!$B$2:$E$312,4,)</f>
        <v>#N/A</v>
      </c>
      <c r="F397" s="6"/>
      <c r="G397" s="6"/>
      <c r="H397" s="6"/>
    </row>
    <row r="398" ht="15.75" customHeight="1">
      <c r="A398" s="6"/>
      <c r="B398" s="6"/>
      <c r="C398" s="6" t="str">
        <f>VLOOKUP(B398,Sheet3!$B$2:$E$312,2,FALSE)</f>
        <v>#N/A</v>
      </c>
      <c r="D398" s="6" t="str">
        <f>VLOOKUP(B398,Sheet3!$B$2:$E$312,3,)</f>
        <v>#N/A</v>
      </c>
      <c r="E398" s="6" t="str">
        <f>VLOOKUP(B398,Sheet3!$B$2:$E$312,4,)</f>
        <v>#N/A</v>
      </c>
      <c r="F398" s="6"/>
      <c r="G398" s="6"/>
      <c r="H398" s="6"/>
    </row>
    <row r="399" ht="15.75" customHeight="1">
      <c r="A399" s="6"/>
      <c r="B399" s="6"/>
      <c r="C399" s="6" t="str">
        <f>VLOOKUP(B399,Sheet3!$B$2:$E$312,2,FALSE)</f>
        <v>#N/A</v>
      </c>
      <c r="D399" s="6" t="str">
        <f>VLOOKUP(B399,Sheet3!$B$2:$E$312,3,)</f>
        <v>#N/A</v>
      </c>
      <c r="E399" s="6" t="str">
        <f>VLOOKUP(B399,Sheet3!$B$2:$E$312,4,)</f>
        <v>#N/A</v>
      </c>
      <c r="F399" s="6"/>
      <c r="G399" s="6"/>
      <c r="H399" s="6"/>
    </row>
    <row r="400" ht="15.75" customHeight="1">
      <c r="A400" s="6"/>
      <c r="B400" s="6"/>
      <c r="C400" s="6" t="str">
        <f>VLOOKUP(B400,Sheet3!$B$2:$E$312,2,FALSE)</f>
        <v>#N/A</v>
      </c>
      <c r="D400" s="6" t="str">
        <f>VLOOKUP(B400,Sheet3!$B$2:$E$312,3,)</f>
        <v>#N/A</v>
      </c>
      <c r="E400" s="6" t="str">
        <f>VLOOKUP(B400,Sheet3!$B$2:$E$312,4,)</f>
        <v>#N/A</v>
      </c>
      <c r="F400" s="6"/>
      <c r="G400" s="6"/>
      <c r="H400" s="6"/>
    </row>
    <row r="401" ht="15.75" customHeight="1">
      <c r="A401" s="6"/>
      <c r="B401" s="6"/>
      <c r="C401" s="6" t="str">
        <f>VLOOKUP(B401,Sheet3!$B$2:$E$312,2,FALSE)</f>
        <v>#N/A</v>
      </c>
      <c r="D401" s="6" t="str">
        <f>VLOOKUP(B401,Sheet3!$B$2:$E$312,3,)</f>
        <v>#N/A</v>
      </c>
      <c r="E401" s="6" t="str">
        <f>VLOOKUP(B401,Sheet3!$B$2:$E$312,4,)</f>
        <v>#N/A</v>
      </c>
      <c r="F401" s="6"/>
      <c r="G401" s="6"/>
      <c r="H401" s="6"/>
    </row>
    <row r="402" ht="15.75" customHeight="1">
      <c r="A402" s="6"/>
      <c r="B402" s="6"/>
      <c r="C402" s="6" t="str">
        <f>VLOOKUP(B402,Sheet3!$B$2:$E$312,2,FALSE)</f>
        <v>#N/A</v>
      </c>
      <c r="D402" s="6" t="str">
        <f>VLOOKUP(B402,Sheet3!$B$2:$E$312,3,)</f>
        <v>#N/A</v>
      </c>
      <c r="E402" s="6" t="str">
        <f>VLOOKUP(B402,Sheet3!$B$2:$E$312,4,)</f>
        <v>#N/A</v>
      </c>
      <c r="F402" s="6"/>
      <c r="G402" s="6"/>
      <c r="H402" s="6"/>
    </row>
    <row r="403" ht="15.75" customHeight="1">
      <c r="A403" s="6"/>
      <c r="B403" s="6"/>
      <c r="C403" s="6" t="str">
        <f>VLOOKUP(B403,Sheet3!$B$2:$E$312,2,FALSE)</f>
        <v>#N/A</v>
      </c>
      <c r="D403" s="6" t="str">
        <f>VLOOKUP(B403,Sheet3!$B$2:$E$312,3,)</f>
        <v>#N/A</v>
      </c>
      <c r="E403" s="6" t="str">
        <f>VLOOKUP(B403,Sheet3!$B$2:$E$312,4,)</f>
        <v>#N/A</v>
      </c>
      <c r="F403" s="6"/>
      <c r="G403" s="6"/>
      <c r="H403" s="6"/>
    </row>
    <row r="404" ht="15.75" customHeight="1">
      <c r="A404" s="6"/>
      <c r="B404" s="6"/>
      <c r="C404" s="6" t="str">
        <f>VLOOKUP(B404,Sheet3!$B$2:$E$312,2,FALSE)</f>
        <v>#N/A</v>
      </c>
      <c r="D404" s="6" t="str">
        <f>VLOOKUP(B404,Sheet3!$B$2:$E$312,3,)</f>
        <v>#N/A</v>
      </c>
      <c r="E404" s="6" t="str">
        <f>VLOOKUP(B404,Sheet3!$B$2:$E$312,4,)</f>
        <v>#N/A</v>
      </c>
      <c r="F404" s="6"/>
      <c r="G404" s="6"/>
      <c r="H404" s="6"/>
    </row>
    <row r="405" ht="15.75" customHeight="1">
      <c r="A405" s="6"/>
      <c r="B405" s="6"/>
      <c r="C405" s="6" t="str">
        <f>VLOOKUP(B405,Sheet3!$B$2:$E$312,2,FALSE)</f>
        <v>#N/A</v>
      </c>
      <c r="D405" s="6" t="str">
        <f>VLOOKUP(B405,Sheet3!$B$2:$E$312,3,)</f>
        <v>#N/A</v>
      </c>
      <c r="E405" s="6" t="str">
        <f>VLOOKUP(B405,Sheet3!$B$2:$E$312,4,)</f>
        <v>#N/A</v>
      </c>
      <c r="F405" s="6"/>
      <c r="G405" s="6"/>
      <c r="H405" s="6"/>
    </row>
    <row r="406" ht="15.75" customHeight="1">
      <c r="A406" s="6"/>
      <c r="B406" s="6"/>
      <c r="C406" s="6" t="str">
        <f>VLOOKUP(B406,Sheet3!$B$2:$E$312,2,FALSE)</f>
        <v>#N/A</v>
      </c>
      <c r="D406" s="6" t="str">
        <f>VLOOKUP(B406,Sheet3!$B$2:$E$312,3,)</f>
        <v>#N/A</v>
      </c>
      <c r="E406" s="6" t="str">
        <f>VLOOKUP(B406,Sheet3!$B$2:$E$312,4,)</f>
        <v>#N/A</v>
      </c>
      <c r="F406" s="6"/>
      <c r="G406" s="6"/>
      <c r="H406" s="6"/>
    </row>
    <row r="407" ht="15.75" customHeight="1">
      <c r="A407" s="6"/>
      <c r="B407" s="6"/>
      <c r="C407" s="6" t="str">
        <f>VLOOKUP(B407,Sheet3!$B$2:$E$312,2,FALSE)</f>
        <v>#N/A</v>
      </c>
      <c r="D407" s="6" t="str">
        <f>VLOOKUP(B407,Sheet3!$B$2:$E$312,3,)</f>
        <v>#N/A</v>
      </c>
      <c r="E407" s="6" t="str">
        <f>VLOOKUP(B407,Sheet3!$B$2:$E$312,4,)</f>
        <v>#N/A</v>
      </c>
      <c r="F407" s="6"/>
      <c r="G407" s="6"/>
      <c r="H407" s="6"/>
    </row>
    <row r="408" ht="15.75" customHeight="1">
      <c r="A408" s="6"/>
      <c r="B408" s="6"/>
      <c r="C408" s="6" t="str">
        <f>VLOOKUP(B408,Sheet3!$B$2:$E$312,2,FALSE)</f>
        <v>#N/A</v>
      </c>
      <c r="D408" s="6" t="str">
        <f>VLOOKUP(B408,Sheet3!$B$2:$E$312,3,)</f>
        <v>#N/A</v>
      </c>
      <c r="E408" s="6" t="str">
        <f>VLOOKUP(B408,Sheet3!$B$2:$E$312,4,)</f>
        <v>#N/A</v>
      </c>
      <c r="F408" s="6"/>
      <c r="G408" s="6"/>
      <c r="H408" s="6"/>
    </row>
    <row r="409" ht="15.75" customHeight="1">
      <c r="A409" s="6"/>
      <c r="B409" s="6"/>
      <c r="C409" s="6" t="str">
        <f>VLOOKUP(B409,Sheet3!$B$2:$E$312,2,FALSE)</f>
        <v>#N/A</v>
      </c>
      <c r="D409" s="6" t="str">
        <f>VLOOKUP(B409,Sheet3!$B$2:$E$312,3,)</f>
        <v>#N/A</v>
      </c>
      <c r="E409" s="6" t="str">
        <f>VLOOKUP(B409,Sheet3!$B$2:$E$312,4,)</f>
        <v>#N/A</v>
      </c>
      <c r="F409" s="6"/>
      <c r="G409" s="6"/>
      <c r="H409" s="6"/>
    </row>
    <row r="410" ht="15.75" customHeight="1">
      <c r="A410" s="6"/>
      <c r="B410" s="6"/>
      <c r="C410" s="6" t="str">
        <f>VLOOKUP(B410,Sheet3!$B$2:$E$312,2,FALSE)</f>
        <v>#N/A</v>
      </c>
      <c r="D410" s="6" t="str">
        <f>VLOOKUP(B410,Sheet3!$B$2:$E$312,3,)</f>
        <v>#N/A</v>
      </c>
      <c r="E410" s="6" t="str">
        <f>VLOOKUP(B410,Sheet3!$B$2:$E$312,4,)</f>
        <v>#N/A</v>
      </c>
      <c r="F410" s="6"/>
      <c r="G410" s="6"/>
      <c r="H410" s="6"/>
    </row>
    <row r="411" ht="15.75" customHeight="1">
      <c r="A411" s="6"/>
      <c r="B411" s="6"/>
      <c r="C411" s="6" t="str">
        <f>VLOOKUP(B411,Sheet3!$B$2:$E$312,2,FALSE)</f>
        <v>#N/A</v>
      </c>
      <c r="D411" s="6" t="str">
        <f>VLOOKUP(B411,Sheet3!$B$2:$E$312,3,)</f>
        <v>#N/A</v>
      </c>
      <c r="E411" s="6" t="str">
        <f>VLOOKUP(B411,Sheet3!$B$2:$E$312,4,)</f>
        <v>#N/A</v>
      </c>
      <c r="F411" s="6"/>
      <c r="G411" s="6"/>
      <c r="H411" s="6"/>
    </row>
    <row r="412" ht="15.75" customHeight="1">
      <c r="A412" s="6"/>
      <c r="B412" s="6"/>
      <c r="C412" s="6" t="str">
        <f>VLOOKUP(B412,Sheet3!$B$2:$E$312,2,FALSE)</f>
        <v>#N/A</v>
      </c>
      <c r="D412" s="6" t="str">
        <f>VLOOKUP(B412,Sheet3!$B$2:$E$312,3,)</f>
        <v>#N/A</v>
      </c>
      <c r="E412" s="6" t="str">
        <f>VLOOKUP(B412,Sheet3!$B$2:$E$312,4,)</f>
        <v>#N/A</v>
      </c>
      <c r="F412" s="6"/>
      <c r="G412" s="6"/>
      <c r="H412" s="6"/>
    </row>
    <row r="413" ht="15.75" customHeight="1">
      <c r="A413" s="6"/>
      <c r="B413" s="6"/>
      <c r="C413" s="6" t="str">
        <f>VLOOKUP(B413,Sheet3!$B$2:$E$312,2,FALSE)</f>
        <v>#N/A</v>
      </c>
      <c r="D413" s="6" t="str">
        <f>VLOOKUP(B413,Sheet3!$B$2:$E$312,3,)</f>
        <v>#N/A</v>
      </c>
      <c r="E413" s="6" t="str">
        <f>VLOOKUP(B413,Sheet3!$B$2:$E$312,4,)</f>
        <v>#N/A</v>
      </c>
      <c r="F413" s="6"/>
      <c r="G413" s="6"/>
      <c r="H413" s="6"/>
    </row>
    <row r="414" ht="15.75" customHeight="1">
      <c r="A414" s="6"/>
      <c r="B414" s="6"/>
      <c r="C414" s="6" t="str">
        <f>VLOOKUP(B414,Sheet3!$B$2:$E$312,2,FALSE)</f>
        <v>#N/A</v>
      </c>
      <c r="D414" s="6" t="str">
        <f>VLOOKUP(B414,Sheet3!$B$2:$E$312,3,)</f>
        <v>#N/A</v>
      </c>
      <c r="E414" s="6" t="str">
        <f>VLOOKUP(B414,Sheet3!$B$2:$E$312,4,)</f>
        <v>#N/A</v>
      </c>
      <c r="F414" s="6"/>
      <c r="G414" s="6"/>
      <c r="H414" s="6"/>
    </row>
    <row r="415" ht="15.75" customHeight="1">
      <c r="A415" s="6"/>
      <c r="B415" s="6"/>
      <c r="C415" s="6" t="str">
        <f>VLOOKUP(B415,Sheet3!$B$2:$E$312,2,FALSE)</f>
        <v>#N/A</v>
      </c>
      <c r="D415" s="6" t="str">
        <f>VLOOKUP(B415,Sheet3!$B$2:$E$312,3,)</f>
        <v>#N/A</v>
      </c>
      <c r="E415" s="6" t="str">
        <f>VLOOKUP(B415,Sheet3!$B$2:$E$312,4,)</f>
        <v>#N/A</v>
      </c>
      <c r="F415" s="6"/>
      <c r="G415" s="6"/>
      <c r="H415" s="6"/>
    </row>
    <row r="416" ht="15.75" customHeight="1">
      <c r="A416" s="6"/>
      <c r="B416" s="6"/>
      <c r="C416" s="6" t="str">
        <f>VLOOKUP(B416,Sheet3!$B$2:$E$312,2,FALSE)</f>
        <v>#N/A</v>
      </c>
      <c r="D416" s="6" t="str">
        <f>VLOOKUP(B416,Sheet3!$B$2:$E$312,3,)</f>
        <v>#N/A</v>
      </c>
      <c r="E416" s="6" t="str">
        <f>VLOOKUP(B416,Sheet3!$B$2:$E$312,4,)</f>
        <v>#N/A</v>
      </c>
      <c r="F416" s="6"/>
      <c r="G416" s="6"/>
      <c r="H416" s="6"/>
    </row>
    <row r="417" ht="15.75" customHeight="1">
      <c r="A417" s="6"/>
      <c r="B417" s="6"/>
      <c r="C417" s="6" t="str">
        <f>VLOOKUP(B417,Sheet3!$B$2:$E$312,2,FALSE)</f>
        <v>#N/A</v>
      </c>
      <c r="D417" s="6" t="str">
        <f>VLOOKUP(B417,Sheet3!$B$2:$E$312,3,)</f>
        <v>#N/A</v>
      </c>
      <c r="E417" s="6" t="str">
        <f>VLOOKUP(B417,Sheet3!$B$2:$E$312,4,)</f>
        <v>#N/A</v>
      </c>
      <c r="F417" s="6"/>
      <c r="G417" s="6"/>
      <c r="H417" s="6"/>
    </row>
    <row r="418" ht="15.75" customHeight="1">
      <c r="A418" s="6"/>
      <c r="B418" s="6"/>
      <c r="C418" s="6" t="str">
        <f>VLOOKUP(B418,Sheet3!$B$2:$E$312,2,FALSE)</f>
        <v>#N/A</v>
      </c>
      <c r="D418" s="6" t="str">
        <f>VLOOKUP(B418,Sheet3!$B$2:$E$312,3,)</f>
        <v>#N/A</v>
      </c>
      <c r="E418" s="6" t="str">
        <f>VLOOKUP(B418,Sheet3!$B$2:$E$312,4,)</f>
        <v>#N/A</v>
      </c>
      <c r="F418" s="6"/>
      <c r="G418" s="6"/>
      <c r="H418" s="6"/>
    </row>
    <row r="419" ht="15.75" customHeight="1">
      <c r="A419" s="6"/>
      <c r="B419" s="6"/>
      <c r="C419" s="6" t="str">
        <f>VLOOKUP(B419,Sheet3!$B$2:$E$312,2,FALSE)</f>
        <v>#N/A</v>
      </c>
      <c r="D419" s="6" t="str">
        <f>VLOOKUP(B419,Sheet3!$B$2:$E$312,3,)</f>
        <v>#N/A</v>
      </c>
      <c r="E419" s="6" t="str">
        <f>VLOOKUP(B419,Sheet3!$B$2:$E$312,4,)</f>
        <v>#N/A</v>
      </c>
      <c r="F419" s="6"/>
      <c r="G419" s="6"/>
      <c r="H419" s="6"/>
    </row>
    <row r="420" ht="15.75" customHeight="1">
      <c r="A420" s="6"/>
      <c r="B420" s="6"/>
      <c r="C420" s="6" t="str">
        <f>VLOOKUP(B420,Sheet3!$B$2:$E$312,2,FALSE)</f>
        <v>#N/A</v>
      </c>
      <c r="D420" s="6" t="str">
        <f>VLOOKUP(B420,Sheet3!$B$2:$E$312,3,)</f>
        <v>#N/A</v>
      </c>
      <c r="E420" s="6" t="str">
        <f>VLOOKUP(B420,Sheet3!$B$2:$E$312,4,)</f>
        <v>#N/A</v>
      </c>
      <c r="F420" s="6"/>
      <c r="G420" s="6"/>
      <c r="H420" s="6"/>
    </row>
    <row r="421" ht="15.75" customHeight="1">
      <c r="A421" s="6"/>
      <c r="B421" s="6"/>
      <c r="C421" s="6" t="str">
        <f>VLOOKUP(B421,Sheet3!$B$2:$E$312,2,FALSE)</f>
        <v>#N/A</v>
      </c>
      <c r="D421" s="6" t="str">
        <f>VLOOKUP(B421,Sheet3!$B$2:$E$312,3,)</f>
        <v>#N/A</v>
      </c>
      <c r="E421" s="6" t="str">
        <f>VLOOKUP(B421,Sheet3!$B$2:$E$312,4,)</f>
        <v>#N/A</v>
      </c>
      <c r="F421" s="6"/>
      <c r="G421" s="6"/>
      <c r="H421" s="6"/>
    </row>
    <row r="422" ht="15.75" customHeight="1">
      <c r="A422" s="6"/>
      <c r="B422" s="6"/>
      <c r="C422" s="6" t="str">
        <f>VLOOKUP(B422,Sheet3!$B$2:$E$312,2,FALSE)</f>
        <v>#N/A</v>
      </c>
      <c r="D422" s="6" t="str">
        <f>VLOOKUP(B422,Sheet3!$B$2:$E$312,3,)</f>
        <v>#N/A</v>
      </c>
      <c r="E422" s="6" t="str">
        <f>VLOOKUP(B422,Sheet3!$B$2:$E$312,4,)</f>
        <v>#N/A</v>
      </c>
      <c r="F422" s="6"/>
      <c r="G422" s="6"/>
      <c r="H422" s="6"/>
    </row>
    <row r="423" ht="15.75" customHeight="1">
      <c r="A423" s="6"/>
      <c r="B423" s="6"/>
      <c r="C423" s="6" t="str">
        <f>VLOOKUP(B423,Sheet3!$B$2:$E$312,2,FALSE)</f>
        <v>#N/A</v>
      </c>
      <c r="D423" s="6" t="str">
        <f>VLOOKUP(B423,Sheet3!$B$2:$E$312,3,)</f>
        <v>#N/A</v>
      </c>
      <c r="E423" s="6" t="str">
        <f>VLOOKUP(B423,Sheet3!$B$2:$E$312,4,)</f>
        <v>#N/A</v>
      </c>
      <c r="F423" s="6"/>
      <c r="G423" s="6"/>
      <c r="H423" s="6"/>
    </row>
    <row r="424" ht="15.75" customHeight="1">
      <c r="A424" s="6"/>
      <c r="B424" s="6"/>
      <c r="C424" s="6" t="str">
        <f>VLOOKUP(B424,Sheet3!$B$2:$E$312,2,FALSE)</f>
        <v>#N/A</v>
      </c>
      <c r="D424" s="6" t="str">
        <f>VLOOKUP(B424,Sheet3!$B$2:$E$312,3,)</f>
        <v>#N/A</v>
      </c>
      <c r="E424" s="6" t="str">
        <f>VLOOKUP(B424,Sheet3!$B$2:$E$312,4,)</f>
        <v>#N/A</v>
      </c>
      <c r="F424" s="6"/>
      <c r="G424" s="6"/>
      <c r="H424" s="6"/>
    </row>
    <row r="425" ht="15.75" customHeight="1">
      <c r="A425" s="6"/>
      <c r="B425" s="6"/>
      <c r="C425" s="6" t="str">
        <f>VLOOKUP(B425,Sheet3!$B$2:$E$312,2,FALSE)</f>
        <v>#N/A</v>
      </c>
      <c r="D425" s="6" t="str">
        <f>VLOOKUP(B425,Sheet3!$B$2:$E$312,3,)</f>
        <v>#N/A</v>
      </c>
      <c r="E425" s="6" t="str">
        <f>VLOOKUP(B425,Sheet3!$B$2:$E$312,4,)</f>
        <v>#N/A</v>
      </c>
      <c r="F425" s="6"/>
      <c r="G425" s="6"/>
      <c r="H425" s="6"/>
    </row>
    <row r="426" ht="15.75" customHeight="1">
      <c r="A426" s="6"/>
      <c r="B426" s="6"/>
      <c r="C426" s="6" t="str">
        <f>VLOOKUP(B426,Sheet3!$B$2:$E$312,2,FALSE)</f>
        <v>#N/A</v>
      </c>
      <c r="D426" s="6" t="str">
        <f>VLOOKUP(B426,Sheet3!$B$2:$E$312,3,)</f>
        <v>#N/A</v>
      </c>
      <c r="E426" s="6" t="str">
        <f>VLOOKUP(B426,Sheet3!$B$2:$E$312,4,)</f>
        <v>#N/A</v>
      </c>
      <c r="F426" s="6"/>
      <c r="G426" s="6"/>
      <c r="H426" s="6"/>
    </row>
    <row r="427" ht="15.75" customHeight="1">
      <c r="A427" s="6"/>
      <c r="B427" s="6"/>
      <c r="C427" s="6" t="str">
        <f>VLOOKUP(B427,Sheet3!$B$2:$E$312,2,FALSE)</f>
        <v>#N/A</v>
      </c>
      <c r="D427" s="6" t="str">
        <f>VLOOKUP(B427,Sheet3!$B$2:$E$312,3,)</f>
        <v>#N/A</v>
      </c>
      <c r="E427" s="6" t="str">
        <f>VLOOKUP(B427,Sheet3!$B$2:$E$312,4,)</f>
        <v>#N/A</v>
      </c>
      <c r="F427" s="6"/>
      <c r="G427" s="6"/>
      <c r="H427" s="6"/>
    </row>
    <row r="428" ht="15.75" customHeight="1">
      <c r="A428" s="6"/>
      <c r="B428" s="6"/>
      <c r="C428" s="6" t="str">
        <f>VLOOKUP(B428,Sheet3!$B$2:$E$312,2,FALSE)</f>
        <v>#N/A</v>
      </c>
      <c r="D428" s="6" t="str">
        <f>VLOOKUP(B428,Sheet3!$B$2:$E$312,3,)</f>
        <v>#N/A</v>
      </c>
      <c r="E428" s="6" t="str">
        <f>VLOOKUP(B428,Sheet3!$B$2:$E$312,4,)</f>
        <v>#N/A</v>
      </c>
      <c r="F428" s="6"/>
      <c r="G428" s="6"/>
      <c r="H428" s="6"/>
    </row>
    <row r="429" ht="15.75" customHeight="1">
      <c r="A429" s="6"/>
      <c r="B429" s="6"/>
      <c r="C429" s="6" t="str">
        <f>VLOOKUP(B429,Sheet3!$B$2:$E$312,2,FALSE)</f>
        <v>#N/A</v>
      </c>
      <c r="D429" s="6" t="str">
        <f>VLOOKUP(B429,Sheet3!$B$2:$E$312,3,)</f>
        <v>#N/A</v>
      </c>
      <c r="E429" s="6" t="str">
        <f>VLOOKUP(B429,Sheet3!$B$2:$E$312,4,)</f>
        <v>#N/A</v>
      </c>
      <c r="F429" s="6"/>
      <c r="G429" s="6"/>
      <c r="H429" s="6"/>
    </row>
    <row r="430" ht="15.75" customHeight="1">
      <c r="A430" s="6"/>
      <c r="B430" s="6"/>
      <c r="C430" s="6" t="str">
        <f>VLOOKUP(B430,Sheet3!$B$2:$E$312,2,FALSE)</f>
        <v>#N/A</v>
      </c>
      <c r="D430" s="6" t="str">
        <f>VLOOKUP(B430,Sheet3!$B$2:$E$312,3,)</f>
        <v>#N/A</v>
      </c>
      <c r="E430" s="6" t="str">
        <f>VLOOKUP(B430,Sheet3!$B$2:$E$312,4,)</f>
        <v>#N/A</v>
      </c>
      <c r="F430" s="6"/>
      <c r="G430" s="6"/>
      <c r="H430" s="6"/>
    </row>
    <row r="431" ht="15.75" customHeight="1">
      <c r="A431" s="6"/>
      <c r="B431" s="6"/>
      <c r="C431" s="6" t="str">
        <f>VLOOKUP(B431,Sheet3!$B$2:$E$312,2,FALSE)</f>
        <v>#N/A</v>
      </c>
      <c r="D431" s="6" t="str">
        <f>VLOOKUP(B431,Sheet3!$B$2:$E$312,3,)</f>
        <v>#N/A</v>
      </c>
      <c r="E431" s="6" t="str">
        <f>VLOOKUP(B431,Sheet3!$B$2:$E$312,4,)</f>
        <v>#N/A</v>
      </c>
      <c r="F431" s="6"/>
      <c r="G431" s="6"/>
      <c r="H431" s="6"/>
    </row>
    <row r="432" ht="15.75" customHeight="1">
      <c r="A432" s="6"/>
      <c r="B432" s="6"/>
      <c r="C432" s="6" t="str">
        <f>VLOOKUP(B432,Sheet3!$B$2:$E$312,2,FALSE)</f>
        <v>#N/A</v>
      </c>
      <c r="D432" s="6" t="str">
        <f>VLOOKUP(B432,Sheet3!$B$2:$E$312,3,)</f>
        <v>#N/A</v>
      </c>
      <c r="E432" s="6" t="str">
        <f>VLOOKUP(B432,Sheet3!$B$2:$E$312,4,)</f>
        <v>#N/A</v>
      </c>
      <c r="F432" s="6"/>
      <c r="G432" s="6"/>
      <c r="H432" s="6"/>
    </row>
    <row r="433" ht="15.75" customHeight="1">
      <c r="A433" s="6"/>
      <c r="B433" s="6"/>
      <c r="C433" s="6" t="str">
        <f>VLOOKUP(B433,Sheet3!$B$2:$E$312,2,FALSE)</f>
        <v>#N/A</v>
      </c>
      <c r="D433" s="6" t="str">
        <f>VLOOKUP(B433,Sheet3!$B$2:$E$312,3,)</f>
        <v>#N/A</v>
      </c>
      <c r="E433" s="6" t="str">
        <f>VLOOKUP(B433,Sheet3!$B$2:$E$312,4,)</f>
        <v>#N/A</v>
      </c>
      <c r="F433" s="6"/>
      <c r="G433" s="6"/>
      <c r="H433" s="6"/>
    </row>
    <row r="434" ht="15.75" customHeight="1">
      <c r="A434" s="6"/>
      <c r="B434" s="6"/>
      <c r="C434" s="6" t="str">
        <f>VLOOKUP(B434,Sheet3!$B$2:$E$312,2,FALSE)</f>
        <v>#N/A</v>
      </c>
      <c r="D434" s="6" t="str">
        <f>VLOOKUP(B434,Sheet3!$B$2:$E$312,3,)</f>
        <v>#N/A</v>
      </c>
      <c r="E434" s="6" t="str">
        <f>VLOOKUP(B434,Sheet3!$B$2:$E$312,4,)</f>
        <v>#N/A</v>
      </c>
      <c r="F434" s="6"/>
      <c r="G434" s="6"/>
      <c r="H434" s="6"/>
    </row>
    <row r="435" ht="15.75" customHeight="1">
      <c r="A435" s="6"/>
      <c r="B435" s="6"/>
      <c r="C435" s="6" t="str">
        <f>VLOOKUP(B435,Sheet3!$B$2:$E$312,2,FALSE)</f>
        <v>#N/A</v>
      </c>
      <c r="D435" s="6" t="str">
        <f>VLOOKUP(B435,Sheet3!$B$2:$E$312,3,)</f>
        <v>#N/A</v>
      </c>
      <c r="E435" s="6" t="str">
        <f>VLOOKUP(B435,Sheet3!$B$2:$E$312,4,)</f>
        <v>#N/A</v>
      </c>
      <c r="F435" s="6"/>
      <c r="G435" s="6"/>
      <c r="H435" s="6"/>
    </row>
    <row r="436" ht="15.75" customHeight="1">
      <c r="A436" s="6"/>
      <c r="B436" s="6"/>
      <c r="C436" s="6" t="str">
        <f>VLOOKUP(B436,Sheet3!$B$2:$E$312,2,FALSE)</f>
        <v>#N/A</v>
      </c>
      <c r="D436" s="6" t="str">
        <f>VLOOKUP(B436,Sheet3!$B$2:$E$312,3,)</f>
        <v>#N/A</v>
      </c>
      <c r="E436" s="6" t="str">
        <f>VLOOKUP(B436,Sheet3!$B$2:$E$312,4,)</f>
        <v>#N/A</v>
      </c>
      <c r="F436" s="6"/>
      <c r="G436" s="6"/>
      <c r="H436" s="6"/>
    </row>
    <row r="437" ht="15.75" customHeight="1">
      <c r="A437" s="6"/>
      <c r="B437" s="6"/>
      <c r="C437" s="6" t="str">
        <f>VLOOKUP(B437,Sheet3!$B$2:$E$312,2,FALSE)</f>
        <v>#N/A</v>
      </c>
      <c r="D437" s="6" t="str">
        <f>VLOOKUP(B437,Sheet3!$B$2:$E$312,3,)</f>
        <v>#N/A</v>
      </c>
      <c r="E437" s="6" t="str">
        <f>VLOOKUP(B437,Sheet3!$B$2:$E$312,4,)</f>
        <v>#N/A</v>
      </c>
      <c r="F437" s="6"/>
      <c r="G437" s="6"/>
      <c r="H437" s="6"/>
    </row>
    <row r="438" ht="15.75" customHeight="1">
      <c r="A438" s="6"/>
      <c r="B438" s="6"/>
      <c r="C438" s="6" t="str">
        <f>VLOOKUP(B438,Sheet3!$B$2:$E$312,2,FALSE)</f>
        <v>#N/A</v>
      </c>
      <c r="D438" s="6" t="str">
        <f>VLOOKUP(B438,Sheet3!$B$2:$E$312,3,)</f>
        <v>#N/A</v>
      </c>
      <c r="E438" s="6" t="str">
        <f>VLOOKUP(B438,Sheet3!$B$2:$E$312,4,)</f>
        <v>#N/A</v>
      </c>
      <c r="F438" s="6"/>
      <c r="G438" s="6"/>
      <c r="H438" s="6"/>
    </row>
    <row r="439" ht="15.75" customHeight="1">
      <c r="A439" s="6"/>
      <c r="B439" s="6"/>
      <c r="C439" s="6" t="str">
        <f>VLOOKUP(B439,Sheet3!$B$2:$E$312,2,FALSE)</f>
        <v>#N/A</v>
      </c>
      <c r="D439" s="6" t="str">
        <f>VLOOKUP(B439,Sheet3!$B$2:$E$312,3,)</f>
        <v>#N/A</v>
      </c>
      <c r="E439" s="6" t="str">
        <f>VLOOKUP(B439,Sheet3!$B$2:$E$312,4,)</f>
        <v>#N/A</v>
      </c>
      <c r="F439" s="6"/>
      <c r="G439" s="6"/>
      <c r="H439" s="6"/>
    </row>
    <row r="440" ht="15.75" customHeight="1">
      <c r="A440" s="6"/>
      <c r="B440" s="6"/>
      <c r="C440" s="6" t="str">
        <f>VLOOKUP(B440,Sheet3!$B$2:$E$312,2,FALSE)</f>
        <v>#N/A</v>
      </c>
      <c r="D440" s="6" t="str">
        <f>VLOOKUP(B440,Sheet3!$B$2:$E$312,3,)</f>
        <v>#N/A</v>
      </c>
      <c r="E440" s="6" t="str">
        <f>VLOOKUP(B440,Sheet3!$B$2:$E$312,4,)</f>
        <v>#N/A</v>
      </c>
      <c r="F440" s="6"/>
      <c r="G440" s="6"/>
      <c r="H440" s="6"/>
    </row>
    <row r="441" ht="15.75" customHeight="1">
      <c r="A441" s="6"/>
      <c r="B441" s="6"/>
      <c r="C441" s="6" t="str">
        <f>VLOOKUP(B441,Sheet3!$B$2:$E$312,2,FALSE)</f>
        <v>#N/A</v>
      </c>
      <c r="D441" s="6" t="str">
        <f>VLOOKUP(B441,Sheet3!$B$2:$E$312,3,)</f>
        <v>#N/A</v>
      </c>
      <c r="E441" s="6" t="str">
        <f>VLOOKUP(B441,Sheet3!$B$2:$E$312,4,)</f>
        <v>#N/A</v>
      </c>
      <c r="F441" s="6"/>
      <c r="G441" s="6"/>
      <c r="H441" s="6"/>
    </row>
    <row r="442" ht="15.75" customHeight="1">
      <c r="A442" s="6"/>
      <c r="B442" s="6"/>
      <c r="C442" s="6" t="str">
        <f>VLOOKUP(B442,Sheet3!$B$2:$E$312,2,FALSE)</f>
        <v>#N/A</v>
      </c>
      <c r="D442" s="6" t="str">
        <f>VLOOKUP(B442,Sheet3!$B$2:$E$312,3,)</f>
        <v>#N/A</v>
      </c>
      <c r="E442" s="6" t="str">
        <f>VLOOKUP(B442,Sheet3!$B$2:$E$312,4,)</f>
        <v>#N/A</v>
      </c>
      <c r="F442" s="6"/>
      <c r="G442" s="6"/>
      <c r="H442" s="6"/>
    </row>
    <row r="443" ht="15.75" customHeight="1">
      <c r="A443" s="6"/>
      <c r="B443" s="6"/>
      <c r="C443" s="6" t="str">
        <f>VLOOKUP(B443,Sheet3!$B$2:$E$312,2,FALSE)</f>
        <v>#N/A</v>
      </c>
      <c r="D443" s="6" t="str">
        <f>VLOOKUP(B443,Sheet3!$B$2:$E$312,3,)</f>
        <v>#N/A</v>
      </c>
      <c r="E443" s="6" t="str">
        <f>VLOOKUP(B443,Sheet3!$B$2:$E$312,4,)</f>
        <v>#N/A</v>
      </c>
      <c r="F443" s="6"/>
      <c r="G443" s="6"/>
      <c r="H443" s="6"/>
    </row>
    <row r="444" ht="15.75" customHeight="1">
      <c r="A444" s="6"/>
      <c r="B444" s="6"/>
      <c r="C444" s="6" t="str">
        <f>VLOOKUP(B444,Sheet3!$B$2:$E$312,2,FALSE)</f>
        <v>#N/A</v>
      </c>
      <c r="D444" s="6" t="str">
        <f>VLOOKUP(B444,Sheet3!$B$2:$E$312,3,)</f>
        <v>#N/A</v>
      </c>
      <c r="E444" s="6" t="str">
        <f>VLOOKUP(B444,Sheet3!$B$2:$E$312,4,)</f>
        <v>#N/A</v>
      </c>
      <c r="F444" s="6"/>
      <c r="G444" s="6"/>
      <c r="H444" s="6"/>
    </row>
    <row r="445" ht="15.75" customHeight="1">
      <c r="A445" s="6"/>
      <c r="B445" s="6"/>
      <c r="C445" s="6" t="str">
        <f>VLOOKUP(B445,Sheet3!$B$2:$E$312,2,FALSE)</f>
        <v>#N/A</v>
      </c>
      <c r="D445" s="6" t="str">
        <f>VLOOKUP(B445,Sheet3!$B$2:$E$312,3,)</f>
        <v>#N/A</v>
      </c>
      <c r="E445" s="6" t="str">
        <f>VLOOKUP(B445,Sheet3!$B$2:$E$312,4,)</f>
        <v>#N/A</v>
      </c>
      <c r="F445" s="6"/>
      <c r="G445" s="6"/>
      <c r="H445" s="6"/>
    </row>
    <row r="446" ht="15.75" customHeight="1">
      <c r="A446" s="6"/>
      <c r="B446" s="6"/>
      <c r="C446" s="6" t="str">
        <f>VLOOKUP(B446,Sheet3!$B$2:$E$312,2,FALSE)</f>
        <v>#N/A</v>
      </c>
      <c r="D446" s="6" t="str">
        <f>VLOOKUP(B446,Sheet3!$B$2:$E$312,3,)</f>
        <v>#N/A</v>
      </c>
      <c r="E446" s="6" t="str">
        <f>VLOOKUP(B446,Sheet3!$B$2:$E$312,4,)</f>
        <v>#N/A</v>
      </c>
      <c r="F446" s="6"/>
      <c r="G446" s="6"/>
      <c r="H446" s="6"/>
    </row>
    <row r="447" ht="15.75" customHeight="1">
      <c r="A447" s="6"/>
      <c r="B447" s="6"/>
      <c r="C447" s="6" t="str">
        <f>VLOOKUP(B447,Sheet3!$B$2:$E$312,2,FALSE)</f>
        <v>#N/A</v>
      </c>
      <c r="D447" s="6" t="str">
        <f>VLOOKUP(B447,Sheet3!$B$2:$E$312,3,)</f>
        <v>#N/A</v>
      </c>
      <c r="E447" s="6" t="str">
        <f>VLOOKUP(B447,Sheet3!$B$2:$E$312,4,)</f>
        <v>#N/A</v>
      </c>
      <c r="F447" s="6"/>
      <c r="G447" s="6"/>
      <c r="H447" s="6"/>
    </row>
    <row r="448" ht="15.75" customHeight="1">
      <c r="A448" s="6"/>
      <c r="B448" s="6"/>
      <c r="C448" s="6" t="str">
        <f>VLOOKUP(B448,Sheet3!$B$2:$E$312,2,FALSE)</f>
        <v>#N/A</v>
      </c>
      <c r="D448" s="6" t="str">
        <f>VLOOKUP(B448,Sheet3!$B$2:$E$312,3,)</f>
        <v>#N/A</v>
      </c>
      <c r="E448" s="6" t="str">
        <f>VLOOKUP(B448,Sheet3!$B$2:$E$312,4,)</f>
        <v>#N/A</v>
      </c>
      <c r="F448" s="6"/>
      <c r="G448" s="6"/>
      <c r="H448" s="6"/>
    </row>
    <row r="449" ht="15.75" customHeight="1">
      <c r="A449" s="6"/>
      <c r="B449" s="6"/>
      <c r="C449" s="6" t="str">
        <f>VLOOKUP(B449,Sheet3!$B$2:$E$312,2,FALSE)</f>
        <v>#N/A</v>
      </c>
      <c r="D449" s="6" t="str">
        <f>VLOOKUP(B449,Sheet3!$B$2:$E$312,3,)</f>
        <v>#N/A</v>
      </c>
      <c r="E449" s="6" t="str">
        <f>VLOOKUP(B449,Sheet3!$B$2:$E$312,4,)</f>
        <v>#N/A</v>
      </c>
      <c r="F449" s="6"/>
      <c r="G449" s="6"/>
      <c r="H449" s="6"/>
    </row>
    <row r="450" ht="15.75" customHeight="1">
      <c r="A450" s="6"/>
      <c r="B450" s="6"/>
      <c r="C450" s="6" t="str">
        <f>VLOOKUP(B450,Sheet3!$B$2:$E$312,2,FALSE)</f>
        <v>#N/A</v>
      </c>
      <c r="D450" s="6" t="str">
        <f>VLOOKUP(B450,Sheet3!$B$2:$E$312,3,)</f>
        <v>#N/A</v>
      </c>
      <c r="E450" s="6" t="str">
        <f>VLOOKUP(B450,Sheet3!$B$2:$E$312,4,)</f>
        <v>#N/A</v>
      </c>
      <c r="F450" s="6"/>
      <c r="G450" s="6"/>
      <c r="H450" s="6"/>
    </row>
    <row r="451" ht="15.75" customHeight="1">
      <c r="A451" s="6"/>
      <c r="B451" s="6"/>
      <c r="C451" s="6" t="str">
        <f>VLOOKUP(B451,Sheet3!$B$2:$E$312,2,FALSE)</f>
        <v>#N/A</v>
      </c>
      <c r="D451" s="6" t="str">
        <f>VLOOKUP(B451,Sheet3!$B$2:$E$312,3,)</f>
        <v>#N/A</v>
      </c>
      <c r="E451" s="6" t="str">
        <f>VLOOKUP(B451,Sheet3!$B$2:$E$312,4,)</f>
        <v>#N/A</v>
      </c>
      <c r="F451" s="6"/>
      <c r="G451" s="6"/>
      <c r="H451" s="6"/>
    </row>
    <row r="452" ht="15.75" customHeight="1">
      <c r="A452" s="6"/>
      <c r="B452" s="6"/>
      <c r="C452" s="6" t="str">
        <f>VLOOKUP(B452,Sheet3!$B$2:$E$312,2,FALSE)</f>
        <v>#N/A</v>
      </c>
      <c r="D452" s="6" t="str">
        <f>VLOOKUP(B452,Sheet3!$B$2:$E$312,3,)</f>
        <v>#N/A</v>
      </c>
      <c r="E452" s="6" t="str">
        <f>VLOOKUP(B452,Sheet3!$B$2:$E$312,4,)</f>
        <v>#N/A</v>
      </c>
      <c r="F452" s="6"/>
      <c r="G452" s="6"/>
      <c r="H452" s="6"/>
    </row>
    <row r="453" ht="15.75" customHeight="1">
      <c r="A453" s="6"/>
      <c r="B453" s="6"/>
      <c r="C453" s="6" t="str">
        <f>VLOOKUP(B453,Sheet3!$B$2:$E$312,2,FALSE)</f>
        <v>#N/A</v>
      </c>
      <c r="D453" s="6" t="str">
        <f>VLOOKUP(B453,Sheet3!$B$2:$E$312,3,)</f>
        <v>#N/A</v>
      </c>
      <c r="E453" s="6" t="str">
        <f>VLOOKUP(B453,Sheet3!$B$2:$E$312,4,)</f>
        <v>#N/A</v>
      </c>
      <c r="F453" s="6"/>
      <c r="G453" s="6"/>
      <c r="H453" s="6"/>
    </row>
    <row r="454" ht="15.75" customHeight="1">
      <c r="A454" s="6"/>
      <c r="B454" s="6"/>
      <c r="C454" s="6" t="str">
        <f>VLOOKUP(B454,Sheet3!$B$2:$E$312,2,FALSE)</f>
        <v>#N/A</v>
      </c>
      <c r="D454" s="6" t="str">
        <f>VLOOKUP(B454,Sheet3!$B$2:$E$312,3,)</f>
        <v>#N/A</v>
      </c>
      <c r="E454" s="6" t="str">
        <f>VLOOKUP(B454,Sheet3!$B$2:$E$312,4,)</f>
        <v>#N/A</v>
      </c>
      <c r="F454" s="6"/>
      <c r="G454" s="6"/>
      <c r="H454" s="6"/>
    </row>
    <row r="455" ht="15.75" customHeight="1">
      <c r="A455" s="6"/>
      <c r="B455" s="6"/>
      <c r="C455" s="6" t="str">
        <f>VLOOKUP(B455,Sheet3!$B$2:$E$312,2,FALSE)</f>
        <v>#N/A</v>
      </c>
      <c r="D455" s="6" t="str">
        <f>VLOOKUP(B455,Sheet3!$B$2:$E$312,3,)</f>
        <v>#N/A</v>
      </c>
      <c r="E455" s="6" t="str">
        <f>VLOOKUP(B455,Sheet3!$B$2:$E$312,4,)</f>
        <v>#N/A</v>
      </c>
      <c r="F455" s="6"/>
      <c r="G455" s="6"/>
      <c r="H455" s="6"/>
    </row>
    <row r="456" ht="15.75" customHeight="1">
      <c r="A456" s="6"/>
      <c r="B456" s="6"/>
      <c r="C456" s="6" t="str">
        <f>VLOOKUP(B456,Sheet3!$B$2:$E$312,2,FALSE)</f>
        <v>#N/A</v>
      </c>
      <c r="D456" s="6" t="str">
        <f>VLOOKUP(B456,Sheet3!$B$2:$E$312,3,)</f>
        <v>#N/A</v>
      </c>
      <c r="E456" s="6" t="str">
        <f>VLOOKUP(B456,Sheet3!$B$2:$E$312,4,)</f>
        <v>#N/A</v>
      </c>
      <c r="F456" s="6"/>
      <c r="G456" s="6"/>
      <c r="H456" s="6"/>
    </row>
    <row r="457" ht="15.75" customHeight="1">
      <c r="A457" s="6"/>
      <c r="B457" s="6"/>
      <c r="C457" s="6" t="str">
        <f>VLOOKUP(B457,Sheet3!$B$2:$E$312,2,FALSE)</f>
        <v>#N/A</v>
      </c>
      <c r="D457" s="6" t="str">
        <f>VLOOKUP(B457,Sheet3!$B$2:$E$312,3,)</f>
        <v>#N/A</v>
      </c>
      <c r="E457" s="6" t="str">
        <f>VLOOKUP(B457,Sheet3!$B$2:$E$312,4,)</f>
        <v>#N/A</v>
      </c>
      <c r="F457" s="6"/>
      <c r="G457" s="6"/>
      <c r="H457" s="6"/>
    </row>
    <row r="458" ht="15.75" customHeight="1">
      <c r="A458" s="6"/>
      <c r="B458" s="6"/>
      <c r="C458" s="6" t="str">
        <f>VLOOKUP(B458,Sheet3!$B$2:$E$312,2,FALSE)</f>
        <v>#N/A</v>
      </c>
      <c r="D458" s="6" t="str">
        <f>VLOOKUP(B458,Sheet3!$B$2:$E$312,3,)</f>
        <v>#N/A</v>
      </c>
      <c r="E458" s="6" t="str">
        <f>VLOOKUP(B458,Sheet3!$B$2:$E$312,4,)</f>
        <v>#N/A</v>
      </c>
      <c r="F458" s="6"/>
      <c r="G458" s="6"/>
      <c r="H458" s="6"/>
    </row>
    <row r="459" ht="15.75" customHeight="1">
      <c r="A459" s="6"/>
      <c r="B459" s="6"/>
      <c r="C459" s="6" t="str">
        <f>VLOOKUP(B459,Sheet3!$B$2:$E$312,2,FALSE)</f>
        <v>#N/A</v>
      </c>
      <c r="D459" s="6" t="str">
        <f>VLOOKUP(B459,Sheet3!$B$2:$E$312,3,)</f>
        <v>#N/A</v>
      </c>
      <c r="E459" s="6" t="str">
        <f>VLOOKUP(B459,Sheet3!$B$2:$E$312,4,)</f>
        <v>#N/A</v>
      </c>
      <c r="F459" s="6"/>
      <c r="G459" s="6"/>
      <c r="H459" s="6"/>
    </row>
    <row r="460" ht="15.75" customHeight="1">
      <c r="A460" s="6"/>
      <c r="B460" s="6"/>
      <c r="C460" s="6" t="str">
        <f>VLOOKUP(B460,Sheet3!$B$2:$E$312,2,FALSE)</f>
        <v>#N/A</v>
      </c>
      <c r="D460" s="6" t="str">
        <f>VLOOKUP(B460,Sheet3!$B$2:$E$312,3,)</f>
        <v>#N/A</v>
      </c>
      <c r="E460" s="6" t="str">
        <f>VLOOKUP(B460,Sheet3!$B$2:$E$312,4,)</f>
        <v>#N/A</v>
      </c>
      <c r="F460" s="6"/>
      <c r="G460" s="6"/>
      <c r="H460" s="6"/>
    </row>
    <row r="461" ht="15.75" customHeight="1">
      <c r="A461" s="6"/>
      <c r="B461" s="6"/>
      <c r="C461" s="6" t="str">
        <f>VLOOKUP(B461,Sheet3!$B$2:$E$312,2,FALSE)</f>
        <v>#N/A</v>
      </c>
      <c r="D461" s="6" t="str">
        <f>VLOOKUP(B461,Sheet3!$B$2:$E$312,3,)</f>
        <v>#N/A</v>
      </c>
      <c r="E461" s="6" t="str">
        <f>VLOOKUP(B461,Sheet3!$B$2:$E$312,4,)</f>
        <v>#N/A</v>
      </c>
      <c r="F461" s="6"/>
      <c r="G461" s="6"/>
      <c r="H461" s="6"/>
    </row>
    <row r="462" ht="15.75" customHeight="1">
      <c r="A462" s="6"/>
      <c r="B462" s="6"/>
      <c r="C462" s="6" t="str">
        <f>VLOOKUP(B462,Sheet3!$B$2:$E$312,2,FALSE)</f>
        <v>#N/A</v>
      </c>
      <c r="D462" s="6" t="str">
        <f>VLOOKUP(B462,Sheet3!$B$2:$E$312,3,)</f>
        <v>#N/A</v>
      </c>
      <c r="E462" s="6" t="str">
        <f>VLOOKUP(B462,Sheet3!$B$2:$E$312,4,)</f>
        <v>#N/A</v>
      </c>
      <c r="F462" s="6"/>
      <c r="G462" s="6"/>
      <c r="H462" s="6"/>
    </row>
    <row r="463" ht="15.75" customHeight="1">
      <c r="A463" s="6"/>
      <c r="B463" s="6"/>
      <c r="C463" s="6" t="str">
        <f>VLOOKUP(B463,Sheet3!$B$2:$E$312,2,FALSE)</f>
        <v>#N/A</v>
      </c>
      <c r="D463" s="6" t="str">
        <f>VLOOKUP(B463,Sheet3!$B$2:$E$312,3,)</f>
        <v>#N/A</v>
      </c>
      <c r="E463" s="6" t="str">
        <f>VLOOKUP(B463,Sheet3!$B$2:$E$312,4,)</f>
        <v>#N/A</v>
      </c>
      <c r="F463" s="6"/>
      <c r="G463" s="6"/>
      <c r="H463" s="6"/>
    </row>
    <row r="464" ht="15.75" customHeight="1">
      <c r="A464" s="6"/>
      <c r="B464" s="6"/>
      <c r="C464" s="6" t="str">
        <f>VLOOKUP(B464,Sheet3!$B$2:$E$312,2,FALSE)</f>
        <v>#N/A</v>
      </c>
      <c r="D464" s="6" t="str">
        <f>VLOOKUP(B464,Sheet3!$B$2:$E$312,3,)</f>
        <v>#N/A</v>
      </c>
      <c r="E464" s="6" t="str">
        <f>VLOOKUP(B464,Sheet3!$B$2:$E$312,4,)</f>
        <v>#N/A</v>
      </c>
      <c r="F464" s="6"/>
      <c r="G464" s="6"/>
      <c r="H464" s="6"/>
    </row>
    <row r="465" ht="15.75" customHeight="1">
      <c r="A465" s="6"/>
      <c r="B465" s="6"/>
      <c r="C465" s="6" t="str">
        <f>VLOOKUP(B465,Sheet3!$B$2:$E$312,2,FALSE)</f>
        <v>#N/A</v>
      </c>
      <c r="D465" s="6" t="str">
        <f>VLOOKUP(B465,Sheet3!$B$2:$E$312,3,)</f>
        <v>#N/A</v>
      </c>
      <c r="E465" s="6" t="str">
        <f>VLOOKUP(B465,Sheet3!$B$2:$E$312,4,)</f>
        <v>#N/A</v>
      </c>
      <c r="F465" s="6"/>
      <c r="G465" s="6"/>
      <c r="H465" s="6"/>
    </row>
    <row r="466" ht="15.75" customHeight="1">
      <c r="A466" s="6"/>
      <c r="B466" s="6"/>
      <c r="C466" s="6" t="str">
        <f>VLOOKUP(B466,Sheet3!$B$2:$E$312,2,FALSE)</f>
        <v>#N/A</v>
      </c>
      <c r="D466" s="6" t="str">
        <f>VLOOKUP(B466,Sheet3!$B$2:$E$312,3,)</f>
        <v>#N/A</v>
      </c>
      <c r="E466" s="6" t="str">
        <f>VLOOKUP(B466,Sheet3!$B$2:$E$312,4,)</f>
        <v>#N/A</v>
      </c>
      <c r="F466" s="6"/>
      <c r="G466" s="6"/>
      <c r="H466" s="6"/>
    </row>
    <row r="467" ht="15.75" customHeight="1">
      <c r="A467" s="6"/>
      <c r="B467" s="6"/>
      <c r="C467" s="6" t="str">
        <f>VLOOKUP(B467,Sheet3!$B$2:$E$312,2,FALSE)</f>
        <v>#N/A</v>
      </c>
      <c r="D467" s="6" t="str">
        <f>VLOOKUP(B467,Sheet3!$B$2:$E$312,3,)</f>
        <v>#N/A</v>
      </c>
      <c r="E467" s="6" t="str">
        <f>VLOOKUP(B467,Sheet3!$B$2:$E$312,4,)</f>
        <v>#N/A</v>
      </c>
      <c r="F467" s="6"/>
      <c r="G467" s="6"/>
      <c r="H467" s="6"/>
    </row>
    <row r="468" ht="15.75" customHeight="1">
      <c r="A468" s="6"/>
      <c r="B468" s="6"/>
      <c r="C468" s="6" t="str">
        <f>VLOOKUP(B468,Sheet3!$B$2:$E$312,2,FALSE)</f>
        <v>#N/A</v>
      </c>
      <c r="D468" s="6" t="str">
        <f>VLOOKUP(B468,Sheet3!$B$2:$E$312,3,)</f>
        <v>#N/A</v>
      </c>
      <c r="E468" s="6" t="str">
        <f>VLOOKUP(B468,Sheet3!$B$2:$E$312,4,)</f>
        <v>#N/A</v>
      </c>
      <c r="F468" s="6"/>
      <c r="G468" s="6"/>
      <c r="H468" s="6"/>
    </row>
    <row r="469" ht="15.75" customHeight="1">
      <c r="A469" s="6"/>
      <c r="B469" s="6"/>
      <c r="C469" s="6" t="str">
        <f>VLOOKUP(B469,Sheet3!$B$2:$E$312,2,FALSE)</f>
        <v>#N/A</v>
      </c>
      <c r="D469" s="6" t="str">
        <f>VLOOKUP(B469,Sheet3!$B$2:$E$312,3,)</f>
        <v>#N/A</v>
      </c>
      <c r="E469" s="6" t="str">
        <f>VLOOKUP(B469,Sheet3!$B$2:$E$312,4,)</f>
        <v>#N/A</v>
      </c>
      <c r="F469" s="6"/>
      <c r="G469" s="6"/>
      <c r="H469" s="6"/>
    </row>
    <row r="470" ht="15.75" customHeight="1">
      <c r="A470" s="6"/>
      <c r="B470" s="6"/>
      <c r="C470" s="6" t="str">
        <f>VLOOKUP(B470,Sheet3!$B$2:$E$312,2,FALSE)</f>
        <v>#N/A</v>
      </c>
      <c r="D470" s="6" t="str">
        <f>VLOOKUP(B470,Sheet3!$B$2:$E$312,3,)</f>
        <v>#N/A</v>
      </c>
      <c r="E470" s="6" t="str">
        <f>VLOOKUP(B470,Sheet3!$B$2:$E$312,4,)</f>
        <v>#N/A</v>
      </c>
      <c r="F470" s="6"/>
      <c r="G470" s="6"/>
      <c r="H470" s="6"/>
    </row>
    <row r="471" ht="15.75" customHeight="1">
      <c r="A471" s="6"/>
      <c r="B471" s="6"/>
      <c r="C471" s="6" t="str">
        <f>VLOOKUP(B471,Sheet3!$B$2:$E$312,2,FALSE)</f>
        <v>#N/A</v>
      </c>
      <c r="D471" s="6" t="str">
        <f>VLOOKUP(B471,Sheet3!$B$2:$E$312,3,)</f>
        <v>#N/A</v>
      </c>
      <c r="E471" s="6" t="str">
        <f>VLOOKUP(B471,Sheet3!$B$2:$E$312,4,)</f>
        <v>#N/A</v>
      </c>
      <c r="F471" s="6"/>
      <c r="G471" s="6"/>
      <c r="H471" s="6"/>
    </row>
    <row r="472" ht="15.75" customHeight="1">
      <c r="A472" s="6"/>
      <c r="B472" s="6"/>
      <c r="C472" s="6" t="str">
        <f>VLOOKUP(B472,Sheet3!$B$2:$E$312,2,FALSE)</f>
        <v>#N/A</v>
      </c>
      <c r="D472" s="6" t="str">
        <f>VLOOKUP(B472,Sheet3!$B$2:$E$312,3,)</f>
        <v>#N/A</v>
      </c>
      <c r="E472" s="6" t="str">
        <f>VLOOKUP(B472,Sheet3!$B$2:$E$312,4,)</f>
        <v>#N/A</v>
      </c>
      <c r="F472" s="6"/>
      <c r="G472" s="6"/>
      <c r="H472" s="6"/>
    </row>
    <row r="473" ht="15.75" customHeight="1">
      <c r="A473" s="6"/>
      <c r="B473" s="6"/>
      <c r="C473" s="6" t="str">
        <f>VLOOKUP(B473,Sheet3!$B$2:$E$312,2,FALSE)</f>
        <v>#N/A</v>
      </c>
      <c r="D473" s="6" t="str">
        <f>VLOOKUP(B473,Sheet3!$B$2:$E$312,3,)</f>
        <v>#N/A</v>
      </c>
      <c r="E473" s="6" t="str">
        <f>VLOOKUP(B473,Sheet3!$B$2:$E$312,4,)</f>
        <v>#N/A</v>
      </c>
      <c r="F473" s="6"/>
      <c r="G473" s="6"/>
      <c r="H473" s="6"/>
    </row>
    <row r="474" ht="15.75" customHeight="1">
      <c r="A474" s="6"/>
      <c r="B474" s="6"/>
      <c r="C474" s="6" t="str">
        <f>VLOOKUP(B474,Sheet3!$B$2:$E$312,2,FALSE)</f>
        <v>#N/A</v>
      </c>
      <c r="D474" s="6" t="str">
        <f>VLOOKUP(B474,Sheet3!$B$2:$E$312,3,)</f>
        <v>#N/A</v>
      </c>
      <c r="E474" s="6" t="str">
        <f>VLOOKUP(B474,Sheet3!$B$2:$E$312,4,)</f>
        <v>#N/A</v>
      </c>
      <c r="F474" s="6"/>
      <c r="G474" s="6"/>
      <c r="H474" s="6"/>
    </row>
    <row r="475" ht="15.75" customHeight="1">
      <c r="A475" s="6"/>
      <c r="B475" s="6"/>
      <c r="C475" s="6" t="str">
        <f>VLOOKUP(B475,Sheet3!$B$2:$E$312,2,FALSE)</f>
        <v>#N/A</v>
      </c>
      <c r="D475" s="6" t="str">
        <f>VLOOKUP(B475,Sheet3!$B$2:$E$312,3,)</f>
        <v>#N/A</v>
      </c>
      <c r="E475" s="6" t="str">
        <f>VLOOKUP(B475,Sheet3!$B$2:$E$312,4,)</f>
        <v>#N/A</v>
      </c>
      <c r="F475" s="6"/>
      <c r="G475" s="6"/>
      <c r="H475" s="6"/>
    </row>
    <row r="476" ht="15.75" customHeight="1">
      <c r="A476" s="6"/>
      <c r="B476" s="6"/>
      <c r="C476" s="6" t="str">
        <f>VLOOKUP(B476,Sheet3!$B$2:$E$312,2,FALSE)</f>
        <v>#N/A</v>
      </c>
      <c r="D476" s="6" t="str">
        <f>VLOOKUP(B476,Sheet3!$B$2:$E$312,3,)</f>
        <v>#N/A</v>
      </c>
      <c r="E476" s="6" t="str">
        <f>VLOOKUP(B476,Sheet3!$B$2:$E$312,4,)</f>
        <v>#N/A</v>
      </c>
      <c r="F476" s="6"/>
      <c r="G476" s="6"/>
      <c r="H476" s="6"/>
    </row>
    <row r="477" ht="15.75" customHeight="1">
      <c r="A477" s="6"/>
      <c r="B477" s="6"/>
      <c r="C477" s="6" t="str">
        <f>VLOOKUP(B477,Sheet3!$B$2:$E$312,2,FALSE)</f>
        <v>#N/A</v>
      </c>
      <c r="D477" s="6" t="str">
        <f>VLOOKUP(B477,Sheet3!$B$2:$E$312,3,)</f>
        <v>#N/A</v>
      </c>
      <c r="E477" s="6" t="str">
        <f>VLOOKUP(B477,Sheet3!$B$2:$E$312,4,)</f>
        <v>#N/A</v>
      </c>
      <c r="F477" s="6"/>
      <c r="G477" s="6"/>
      <c r="H477" s="6"/>
    </row>
    <row r="478" ht="15.75" customHeight="1">
      <c r="A478" s="6"/>
      <c r="B478" s="6"/>
      <c r="C478" s="6" t="str">
        <f>VLOOKUP(B478,Sheet3!$B$2:$E$312,2,FALSE)</f>
        <v>#N/A</v>
      </c>
      <c r="D478" s="6" t="str">
        <f>VLOOKUP(B478,Sheet3!$B$2:$E$312,3,)</f>
        <v>#N/A</v>
      </c>
      <c r="E478" s="6" t="str">
        <f>VLOOKUP(B478,Sheet3!$B$2:$E$312,4,)</f>
        <v>#N/A</v>
      </c>
      <c r="F478" s="6"/>
      <c r="G478" s="6"/>
      <c r="H478" s="6"/>
    </row>
    <row r="479" ht="15.75" customHeight="1">
      <c r="A479" s="6"/>
      <c r="B479" s="6"/>
      <c r="C479" s="6" t="str">
        <f>VLOOKUP(B479,Sheet3!$B$2:$E$312,2,FALSE)</f>
        <v>#N/A</v>
      </c>
      <c r="D479" s="6" t="str">
        <f>VLOOKUP(B479,Sheet3!$B$2:$E$312,3,)</f>
        <v>#N/A</v>
      </c>
      <c r="E479" s="6" t="str">
        <f>VLOOKUP(B479,Sheet3!$B$2:$E$312,4,)</f>
        <v>#N/A</v>
      </c>
      <c r="F479" s="6"/>
      <c r="G479" s="6"/>
      <c r="H479" s="6"/>
    </row>
    <row r="480" ht="15.75" customHeight="1">
      <c r="A480" s="6"/>
      <c r="B480" s="6"/>
      <c r="C480" s="6" t="str">
        <f>VLOOKUP(B480,Sheet3!$B$2:$E$312,2,FALSE)</f>
        <v>#N/A</v>
      </c>
      <c r="D480" s="6" t="str">
        <f>VLOOKUP(B480,Sheet3!$B$2:$E$312,3,)</f>
        <v>#N/A</v>
      </c>
      <c r="E480" s="6" t="str">
        <f>VLOOKUP(B480,Sheet3!$B$2:$E$312,4,)</f>
        <v>#N/A</v>
      </c>
      <c r="F480" s="6"/>
      <c r="G480" s="6"/>
      <c r="H480" s="6"/>
    </row>
    <row r="481" ht="15.75" customHeight="1">
      <c r="A481" s="6"/>
      <c r="B481" s="6"/>
      <c r="C481" s="6" t="str">
        <f>VLOOKUP(B481,Sheet3!$B$2:$E$312,2,FALSE)</f>
        <v>#N/A</v>
      </c>
      <c r="D481" s="6" t="str">
        <f>VLOOKUP(B481,Sheet3!$B$2:$E$312,3,)</f>
        <v>#N/A</v>
      </c>
      <c r="E481" s="6" t="str">
        <f>VLOOKUP(B481,Sheet3!$B$2:$E$312,4,)</f>
        <v>#N/A</v>
      </c>
      <c r="F481" s="6"/>
      <c r="G481" s="6"/>
      <c r="H481" s="6"/>
    </row>
    <row r="482" ht="15.75" customHeight="1">
      <c r="A482" s="6"/>
      <c r="B482" s="6"/>
      <c r="C482" s="6" t="str">
        <f>VLOOKUP(B482,Sheet3!$B$2:$E$312,2,FALSE)</f>
        <v>#N/A</v>
      </c>
      <c r="D482" s="6" t="str">
        <f>VLOOKUP(B482,Sheet3!$B$2:$E$312,3,)</f>
        <v>#N/A</v>
      </c>
      <c r="E482" s="6" t="str">
        <f>VLOOKUP(B482,Sheet3!$B$2:$E$312,4,)</f>
        <v>#N/A</v>
      </c>
      <c r="F482" s="6"/>
      <c r="G482" s="6"/>
      <c r="H482" s="6"/>
    </row>
    <row r="483" ht="15.75" customHeight="1">
      <c r="A483" s="6"/>
      <c r="B483" s="6"/>
      <c r="C483" s="6" t="str">
        <f>VLOOKUP(B483,Sheet3!$B$2:$E$312,2,FALSE)</f>
        <v>#N/A</v>
      </c>
      <c r="D483" s="6" t="str">
        <f>VLOOKUP(B483,Sheet3!$B$2:$E$312,3,)</f>
        <v>#N/A</v>
      </c>
      <c r="E483" s="6" t="str">
        <f>VLOOKUP(B483,Sheet3!$B$2:$E$312,4,)</f>
        <v>#N/A</v>
      </c>
      <c r="F483" s="6"/>
      <c r="G483" s="6"/>
      <c r="H483" s="6"/>
    </row>
    <row r="484" ht="15.75" customHeight="1">
      <c r="A484" s="6"/>
      <c r="B484" s="6"/>
      <c r="C484" s="6" t="str">
        <f>VLOOKUP(B484,Sheet3!$B$2:$E$312,2,FALSE)</f>
        <v>#N/A</v>
      </c>
      <c r="D484" s="6" t="str">
        <f>VLOOKUP(B484,Sheet3!$B$2:$E$312,3,)</f>
        <v>#N/A</v>
      </c>
      <c r="E484" s="6" t="str">
        <f>VLOOKUP(B484,Sheet3!$B$2:$E$312,4,)</f>
        <v>#N/A</v>
      </c>
      <c r="F484" s="6"/>
      <c r="G484" s="6"/>
      <c r="H484" s="6"/>
    </row>
    <row r="485" ht="15.75" customHeight="1">
      <c r="A485" s="6"/>
      <c r="B485" s="6"/>
      <c r="C485" s="6" t="str">
        <f>VLOOKUP(B485,Sheet3!$B$2:$E$312,2,FALSE)</f>
        <v>#N/A</v>
      </c>
      <c r="D485" s="6" t="str">
        <f>VLOOKUP(B485,Sheet3!$B$2:$E$312,3,)</f>
        <v>#N/A</v>
      </c>
      <c r="E485" s="6" t="str">
        <f>VLOOKUP(B485,Sheet3!$B$2:$E$312,4,)</f>
        <v>#N/A</v>
      </c>
      <c r="F485" s="6"/>
      <c r="G485" s="6"/>
      <c r="H485" s="6"/>
    </row>
    <row r="486" ht="15.75" customHeight="1">
      <c r="A486" s="6"/>
      <c r="B486" s="6"/>
      <c r="C486" s="6" t="str">
        <f>VLOOKUP(B486,Sheet3!$B$2:$E$312,2,FALSE)</f>
        <v>#N/A</v>
      </c>
      <c r="D486" s="6" t="str">
        <f>VLOOKUP(B486,Sheet3!$B$2:$E$312,3,)</f>
        <v>#N/A</v>
      </c>
      <c r="E486" s="6" t="str">
        <f>VLOOKUP(B486,Sheet3!$B$2:$E$312,4,)</f>
        <v>#N/A</v>
      </c>
      <c r="F486" s="6"/>
      <c r="G486" s="6"/>
      <c r="H486" s="6"/>
    </row>
    <row r="487" ht="15.75" customHeight="1">
      <c r="A487" s="6"/>
      <c r="B487" s="6"/>
      <c r="C487" s="6" t="str">
        <f>VLOOKUP(B487,Sheet3!$B$2:$E$312,2,FALSE)</f>
        <v>#N/A</v>
      </c>
      <c r="D487" s="6" t="str">
        <f>VLOOKUP(B487,Sheet3!$B$2:$E$312,3,)</f>
        <v>#N/A</v>
      </c>
      <c r="E487" s="6" t="str">
        <f>VLOOKUP(B487,Sheet3!$B$2:$E$312,4,)</f>
        <v>#N/A</v>
      </c>
      <c r="F487" s="6"/>
      <c r="G487" s="6"/>
      <c r="H487" s="6"/>
    </row>
    <row r="488" ht="15.75" customHeight="1">
      <c r="A488" s="6"/>
      <c r="B488" s="6"/>
      <c r="C488" s="6" t="str">
        <f>VLOOKUP(B488,Sheet3!$B$2:$E$312,2,FALSE)</f>
        <v>#N/A</v>
      </c>
      <c r="D488" s="6" t="str">
        <f>VLOOKUP(B488,Sheet3!$B$2:$E$312,3,)</f>
        <v>#N/A</v>
      </c>
      <c r="E488" s="6" t="str">
        <f>VLOOKUP(B488,Sheet3!$B$2:$E$312,4,)</f>
        <v>#N/A</v>
      </c>
      <c r="F488" s="6"/>
      <c r="G488" s="6"/>
      <c r="H488" s="6"/>
    </row>
    <row r="489" ht="15.75" customHeight="1">
      <c r="A489" s="6"/>
      <c r="B489" s="6"/>
      <c r="C489" s="6" t="str">
        <f>VLOOKUP(B489,Sheet3!$B$2:$E$312,2,FALSE)</f>
        <v>#N/A</v>
      </c>
      <c r="D489" s="6" t="str">
        <f>VLOOKUP(B489,Sheet3!$B$2:$E$312,3,)</f>
        <v>#N/A</v>
      </c>
      <c r="E489" s="6" t="str">
        <f>VLOOKUP(B489,Sheet3!$B$2:$E$312,4,)</f>
        <v>#N/A</v>
      </c>
      <c r="F489" s="6"/>
      <c r="G489" s="6"/>
      <c r="H489" s="6"/>
    </row>
    <row r="490" ht="15.75" customHeight="1">
      <c r="A490" s="6"/>
      <c r="B490" s="6"/>
      <c r="C490" s="6" t="str">
        <f>VLOOKUP(B490,Sheet3!$B$2:$E$312,2,FALSE)</f>
        <v>#N/A</v>
      </c>
      <c r="D490" s="6" t="str">
        <f>VLOOKUP(B490,Sheet3!$B$2:$E$312,3,)</f>
        <v>#N/A</v>
      </c>
      <c r="E490" s="6" t="str">
        <f>VLOOKUP(B490,Sheet3!$B$2:$E$312,4,)</f>
        <v>#N/A</v>
      </c>
      <c r="F490" s="6"/>
      <c r="G490" s="6"/>
      <c r="H490" s="6"/>
    </row>
    <row r="491" ht="15.75" customHeight="1">
      <c r="A491" s="6"/>
      <c r="B491" s="6"/>
      <c r="C491" s="6" t="str">
        <f>VLOOKUP(B491,Sheet3!$B$2:$E$312,2,FALSE)</f>
        <v>#N/A</v>
      </c>
      <c r="D491" s="6" t="str">
        <f>VLOOKUP(B491,Sheet3!$B$2:$E$312,3,)</f>
        <v>#N/A</v>
      </c>
      <c r="E491" s="6" t="str">
        <f>VLOOKUP(B491,Sheet3!$B$2:$E$312,4,)</f>
        <v>#N/A</v>
      </c>
      <c r="F491" s="6"/>
      <c r="G491" s="6"/>
      <c r="H491" s="6"/>
    </row>
    <row r="492" ht="15.75" customHeight="1">
      <c r="A492" s="6"/>
      <c r="B492" s="6"/>
      <c r="C492" s="6" t="str">
        <f>VLOOKUP(B492,Sheet3!$B$2:$E$312,2,FALSE)</f>
        <v>#N/A</v>
      </c>
      <c r="D492" s="6" t="str">
        <f>VLOOKUP(B492,Sheet3!$B$2:$E$312,3,)</f>
        <v>#N/A</v>
      </c>
      <c r="E492" s="6" t="str">
        <f>VLOOKUP(B492,Sheet3!$B$2:$E$312,4,)</f>
        <v>#N/A</v>
      </c>
      <c r="F492" s="6"/>
      <c r="G492" s="6"/>
      <c r="H492" s="6"/>
    </row>
    <row r="493" ht="15.75" customHeight="1">
      <c r="A493" s="6"/>
      <c r="B493" s="6"/>
      <c r="C493" s="6" t="str">
        <f>VLOOKUP(B493,Sheet3!$B$2:$E$312,2,FALSE)</f>
        <v>#N/A</v>
      </c>
      <c r="D493" s="6" t="str">
        <f>VLOOKUP(B493,Sheet3!$B$2:$E$312,3,)</f>
        <v>#N/A</v>
      </c>
      <c r="E493" s="6" t="str">
        <f>VLOOKUP(B493,Sheet3!$B$2:$E$312,4,)</f>
        <v>#N/A</v>
      </c>
      <c r="F493" s="6"/>
      <c r="G493" s="6"/>
      <c r="H493" s="6"/>
    </row>
    <row r="494" ht="15.75" customHeight="1">
      <c r="A494" s="6"/>
      <c r="B494" s="6"/>
      <c r="C494" s="6" t="str">
        <f>VLOOKUP(B494,Sheet3!$B$2:$E$312,2,FALSE)</f>
        <v>#N/A</v>
      </c>
      <c r="D494" s="6" t="str">
        <f>VLOOKUP(B494,Sheet3!$B$2:$E$312,3,)</f>
        <v>#N/A</v>
      </c>
      <c r="E494" s="6" t="str">
        <f>VLOOKUP(B494,Sheet3!$B$2:$E$312,4,)</f>
        <v>#N/A</v>
      </c>
      <c r="F494" s="6"/>
      <c r="G494" s="6"/>
      <c r="H494" s="6"/>
    </row>
    <row r="495" ht="15.75" customHeight="1">
      <c r="A495" s="6"/>
      <c r="B495" s="6"/>
      <c r="C495" s="6" t="str">
        <f>VLOOKUP(B495,Sheet3!$B$2:$E$312,2,FALSE)</f>
        <v>#N/A</v>
      </c>
      <c r="D495" s="6" t="str">
        <f>VLOOKUP(B495,Sheet3!$B$2:$E$312,3,)</f>
        <v>#N/A</v>
      </c>
      <c r="E495" s="6" t="str">
        <f>VLOOKUP(B495,Sheet3!$B$2:$E$312,4,)</f>
        <v>#N/A</v>
      </c>
      <c r="F495" s="6"/>
      <c r="G495" s="6"/>
      <c r="H495" s="6"/>
    </row>
    <row r="496" ht="15.75" customHeight="1">
      <c r="A496" s="6"/>
      <c r="B496" s="6"/>
      <c r="C496" s="6" t="str">
        <f>VLOOKUP(B496,Sheet3!$B$2:$E$312,2,FALSE)</f>
        <v>#N/A</v>
      </c>
      <c r="D496" s="6" t="str">
        <f>VLOOKUP(B496,Sheet3!$B$2:$E$312,3,)</f>
        <v>#N/A</v>
      </c>
      <c r="E496" s="6" t="str">
        <f>VLOOKUP(B496,Sheet3!$B$2:$E$312,4,)</f>
        <v>#N/A</v>
      </c>
      <c r="F496" s="6"/>
      <c r="G496" s="6"/>
      <c r="H496" s="6"/>
    </row>
    <row r="497" ht="15.75" customHeight="1">
      <c r="A497" s="6"/>
      <c r="B497" s="6"/>
      <c r="C497" s="6" t="str">
        <f>VLOOKUP(B497,Sheet3!$B$2:$E$312,2,FALSE)</f>
        <v>#N/A</v>
      </c>
      <c r="D497" s="6" t="str">
        <f>VLOOKUP(B497,Sheet3!$B$2:$E$312,3,)</f>
        <v>#N/A</v>
      </c>
      <c r="E497" s="6" t="str">
        <f>VLOOKUP(B497,Sheet3!$B$2:$E$312,4,)</f>
        <v>#N/A</v>
      </c>
      <c r="F497" s="6"/>
      <c r="G497" s="6"/>
      <c r="H497" s="6"/>
    </row>
    <row r="498" ht="15.75" customHeight="1">
      <c r="A498" s="6"/>
      <c r="B498" s="6"/>
      <c r="C498" s="6" t="str">
        <f>VLOOKUP(B498,Sheet3!$B$2:$E$312,2,FALSE)</f>
        <v>#N/A</v>
      </c>
      <c r="D498" s="6" t="str">
        <f>VLOOKUP(B498,Sheet3!$B$2:$E$312,3,)</f>
        <v>#N/A</v>
      </c>
      <c r="E498" s="6" t="str">
        <f>VLOOKUP(B498,Sheet3!$B$2:$E$312,4,)</f>
        <v>#N/A</v>
      </c>
      <c r="F498" s="6"/>
      <c r="G498" s="6"/>
      <c r="H498" s="6"/>
    </row>
    <row r="499" ht="15.75" customHeight="1">
      <c r="A499" s="6"/>
      <c r="B499" s="6"/>
      <c r="C499" s="6" t="str">
        <f>VLOOKUP(B499,Sheet3!$B$2:$E$312,2,FALSE)</f>
        <v>#N/A</v>
      </c>
      <c r="D499" s="6" t="str">
        <f>VLOOKUP(B499,Sheet3!$B$2:$E$312,3,)</f>
        <v>#N/A</v>
      </c>
      <c r="E499" s="6" t="str">
        <f>VLOOKUP(B499,Sheet3!$B$2:$E$312,4,)</f>
        <v>#N/A</v>
      </c>
      <c r="F499" s="6"/>
      <c r="G499" s="6"/>
      <c r="H499" s="6"/>
    </row>
    <row r="500" ht="15.75" customHeight="1">
      <c r="A500" s="6"/>
      <c r="B500" s="6"/>
      <c r="C500" s="6" t="str">
        <f>VLOOKUP(B500,Sheet3!$B$2:$E$312,2,FALSE)</f>
        <v>#N/A</v>
      </c>
      <c r="D500" s="6" t="str">
        <f>VLOOKUP(B500,Sheet3!$B$2:$E$312,3,)</f>
        <v>#N/A</v>
      </c>
      <c r="E500" s="6" t="str">
        <f>VLOOKUP(B500,Sheet3!$B$2:$E$312,4,)</f>
        <v>#N/A</v>
      </c>
      <c r="F500" s="6"/>
      <c r="G500" s="6"/>
      <c r="H500" s="6"/>
    </row>
    <row r="501" ht="15.75" customHeight="1">
      <c r="A501" s="6"/>
      <c r="B501" s="6"/>
      <c r="C501" s="6" t="str">
        <f>VLOOKUP(B501,Sheet3!$B$2:$E$312,2,FALSE)</f>
        <v>#N/A</v>
      </c>
      <c r="D501" s="6" t="str">
        <f>VLOOKUP(B501,Sheet3!$B$2:$E$312,3,)</f>
        <v>#N/A</v>
      </c>
      <c r="E501" s="6" t="str">
        <f>VLOOKUP(B501,Sheet3!$B$2:$E$312,4,)</f>
        <v>#N/A</v>
      </c>
      <c r="F501" s="6"/>
      <c r="G501" s="6"/>
      <c r="H501" s="6"/>
    </row>
    <row r="502" ht="15.75" customHeight="1">
      <c r="A502" s="6"/>
      <c r="B502" s="6"/>
      <c r="C502" s="6" t="str">
        <f>VLOOKUP(B502,Sheet3!$B$2:$E$312,2,FALSE)</f>
        <v>#N/A</v>
      </c>
      <c r="D502" s="6" t="str">
        <f>VLOOKUP(B502,Sheet3!$B$2:$E$312,3,)</f>
        <v>#N/A</v>
      </c>
      <c r="E502" s="6" t="str">
        <f>VLOOKUP(B502,Sheet3!$B$2:$E$312,4,)</f>
        <v>#N/A</v>
      </c>
      <c r="F502" s="6"/>
      <c r="G502" s="6"/>
      <c r="H502" s="6"/>
    </row>
    <row r="503" ht="15.75" customHeight="1">
      <c r="A503" s="6"/>
      <c r="B503" s="6"/>
      <c r="C503" s="6" t="str">
        <f>VLOOKUP(B503,Sheet3!$B$2:$E$312,2,FALSE)</f>
        <v>#N/A</v>
      </c>
      <c r="D503" s="6" t="str">
        <f>VLOOKUP(B503,Sheet3!$B$2:$E$312,3,)</f>
        <v>#N/A</v>
      </c>
      <c r="E503" s="6" t="str">
        <f>VLOOKUP(B503,Sheet3!$B$2:$E$312,4,)</f>
        <v>#N/A</v>
      </c>
      <c r="F503" s="6"/>
      <c r="G503" s="6"/>
      <c r="H503" s="6"/>
    </row>
    <row r="504" ht="15.75" customHeight="1">
      <c r="A504" s="6"/>
      <c r="B504" s="6"/>
      <c r="C504" s="6" t="str">
        <f>VLOOKUP(B504,Sheet3!$B$2:$E$312,2,FALSE)</f>
        <v>#N/A</v>
      </c>
      <c r="D504" s="6" t="str">
        <f>VLOOKUP(B504,Sheet3!$B$2:$E$312,3,)</f>
        <v>#N/A</v>
      </c>
      <c r="E504" s="6" t="str">
        <f>VLOOKUP(B504,Sheet3!$B$2:$E$312,4,)</f>
        <v>#N/A</v>
      </c>
      <c r="F504" s="6"/>
      <c r="G504" s="6"/>
      <c r="H504" s="6"/>
    </row>
    <row r="505" ht="15.75" customHeight="1">
      <c r="A505" s="6"/>
      <c r="B505" s="6"/>
      <c r="C505" s="6" t="str">
        <f>VLOOKUP(B505,Sheet3!$B$2:$E$312,2,FALSE)</f>
        <v>#N/A</v>
      </c>
      <c r="D505" s="6" t="str">
        <f>VLOOKUP(B505,Sheet3!$B$2:$E$312,3,)</f>
        <v>#N/A</v>
      </c>
      <c r="E505" s="6" t="str">
        <f>VLOOKUP(B505,Sheet3!$B$2:$E$312,4,)</f>
        <v>#N/A</v>
      </c>
      <c r="F505" s="6"/>
      <c r="G505" s="6"/>
      <c r="H505" s="6"/>
    </row>
    <row r="506" ht="15.75" customHeight="1">
      <c r="A506" s="6"/>
      <c r="B506" s="6"/>
      <c r="C506" s="6" t="str">
        <f>VLOOKUP(B506,Sheet3!$B$2:$E$312,2,FALSE)</f>
        <v>#N/A</v>
      </c>
      <c r="D506" s="6" t="str">
        <f>VLOOKUP(B506,Sheet3!$B$2:$E$312,3,)</f>
        <v>#N/A</v>
      </c>
      <c r="E506" s="6" t="str">
        <f>VLOOKUP(B506,Sheet3!$B$2:$E$312,4,)</f>
        <v>#N/A</v>
      </c>
      <c r="F506" s="6"/>
      <c r="G506" s="6"/>
      <c r="H506" s="6"/>
    </row>
    <row r="507" ht="15.75" customHeight="1">
      <c r="A507" s="6"/>
      <c r="B507" s="6"/>
      <c r="C507" s="6" t="str">
        <f>VLOOKUP(B507,Sheet3!$B$2:$E$312,2,FALSE)</f>
        <v>#N/A</v>
      </c>
      <c r="D507" s="6" t="str">
        <f>VLOOKUP(B507,Sheet3!$B$2:$E$312,3,)</f>
        <v>#N/A</v>
      </c>
      <c r="E507" s="6" t="str">
        <f>VLOOKUP(B507,Sheet3!$B$2:$E$312,4,)</f>
        <v>#N/A</v>
      </c>
      <c r="F507" s="6"/>
      <c r="G507" s="6"/>
      <c r="H507" s="6"/>
    </row>
    <row r="508" ht="15.75" customHeight="1">
      <c r="A508" s="6"/>
      <c r="B508" s="6"/>
      <c r="C508" s="6" t="str">
        <f>VLOOKUP(B508,Sheet3!$B$2:$E$312,2,FALSE)</f>
        <v>#N/A</v>
      </c>
      <c r="D508" s="6" t="str">
        <f>VLOOKUP(B508,Sheet3!$B$2:$E$312,3,)</f>
        <v>#N/A</v>
      </c>
      <c r="E508" s="6" t="str">
        <f>VLOOKUP(B508,Sheet3!$B$2:$E$312,4,)</f>
        <v>#N/A</v>
      </c>
      <c r="F508" s="6"/>
      <c r="G508" s="6"/>
      <c r="H508" s="6"/>
    </row>
    <row r="509" ht="15.75" customHeight="1">
      <c r="A509" s="6"/>
      <c r="B509" s="6"/>
      <c r="C509" s="6" t="str">
        <f>VLOOKUP(B509,Sheet3!$B$2:$E$312,2,FALSE)</f>
        <v>#N/A</v>
      </c>
      <c r="D509" s="6" t="str">
        <f>VLOOKUP(B509,Sheet3!$B$2:$E$312,3,)</f>
        <v>#N/A</v>
      </c>
      <c r="E509" s="6" t="str">
        <f>VLOOKUP(B509,Sheet3!$B$2:$E$312,4,)</f>
        <v>#N/A</v>
      </c>
      <c r="F509" s="6"/>
      <c r="G509" s="6"/>
      <c r="H509" s="6"/>
    </row>
    <row r="510" ht="15.75" customHeight="1">
      <c r="A510" s="6"/>
      <c r="B510" s="6"/>
      <c r="C510" s="6" t="str">
        <f>VLOOKUP(B510,Sheet3!$B$2:$E$312,2,FALSE)</f>
        <v>#N/A</v>
      </c>
      <c r="D510" s="6" t="str">
        <f>VLOOKUP(B510,Sheet3!$B$2:$E$312,3,)</f>
        <v>#N/A</v>
      </c>
      <c r="E510" s="6" t="str">
        <f>VLOOKUP(B510,Sheet3!$B$2:$E$312,4,)</f>
        <v>#N/A</v>
      </c>
      <c r="F510" s="6"/>
      <c r="G510" s="6"/>
      <c r="H510" s="6"/>
    </row>
    <row r="511" ht="15.75" customHeight="1">
      <c r="A511" s="6"/>
      <c r="B511" s="6"/>
      <c r="C511" s="6" t="str">
        <f>VLOOKUP(B511,Sheet3!$B$2:$E$312,2,FALSE)</f>
        <v>#N/A</v>
      </c>
      <c r="D511" s="6" t="str">
        <f>VLOOKUP(B511,Sheet3!$B$2:$E$312,3,)</f>
        <v>#N/A</v>
      </c>
      <c r="E511" s="6" t="str">
        <f>VLOOKUP(B511,Sheet3!$B$2:$E$312,4,)</f>
        <v>#N/A</v>
      </c>
      <c r="F511" s="6"/>
      <c r="G511" s="6"/>
      <c r="H511" s="6"/>
    </row>
    <row r="512" ht="15.75" customHeight="1">
      <c r="A512" s="6"/>
      <c r="B512" s="6"/>
      <c r="C512" s="6" t="str">
        <f>VLOOKUP(B512,Sheet3!$B$2:$E$312,2,FALSE)</f>
        <v>#N/A</v>
      </c>
      <c r="D512" s="6" t="str">
        <f>VLOOKUP(B512,Sheet3!$B$2:$E$312,3,)</f>
        <v>#N/A</v>
      </c>
      <c r="E512" s="6" t="str">
        <f>VLOOKUP(B512,Sheet3!$B$2:$E$312,4,)</f>
        <v>#N/A</v>
      </c>
      <c r="F512" s="6"/>
      <c r="G512" s="6"/>
      <c r="H512" s="6"/>
    </row>
    <row r="513" ht="15.75" customHeight="1">
      <c r="A513" s="6"/>
      <c r="B513" s="6"/>
      <c r="C513" s="6" t="str">
        <f>VLOOKUP(B513,Sheet3!$B$2:$E$312,2,FALSE)</f>
        <v>#N/A</v>
      </c>
      <c r="D513" s="6" t="str">
        <f>VLOOKUP(B513,Sheet3!$B$2:$E$312,3,)</f>
        <v>#N/A</v>
      </c>
      <c r="E513" s="6" t="str">
        <f>VLOOKUP(B513,Sheet3!$B$2:$E$312,4,)</f>
        <v>#N/A</v>
      </c>
      <c r="F513" s="6"/>
      <c r="G513" s="6"/>
      <c r="H513" s="6"/>
    </row>
    <row r="514" ht="15.75" customHeight="1">
      <c r="A514" s="6"/>
      <c r="B514" s="6"/>
      <c r="C514" s="6" t="str">
        <f>VLOOKUP(B514,Sheet3!$B$2:$E$312,2,FALSE)</f>
        <v>#N/A</v>
      </c>
      <c r="D514" s="6" t="str">
        <f>VLOOKUP(B514,Sheet3!$B$2:$E$312,3,)</f>
        <v>#N/A</v>
      </c>
      <c r="E514" s="6" t="str">
        <f>VLOOKUP(B514,Sheet3!$B$2:$E$312,4,)</f>
        <v>#N/A</v>
      </c>
      <c r="F514" s="6"/>
      <c r="G514" s="6"/>
      <c r="H514" s="6"/>
    </row>
    <row r="515" ht="15.75" customHeight="1">
      <c r="A515" s="6"/>
      <c r="B515" s="6"/>
      <c r="C515" s="6" t="str">
        <f>VLOOKUP(B515,Sheet3!$B$2:$E$312,2,FALSE)</f>
        <v>#N/A</v>
      </c>
      <c r="D515" s="6" t="str">
        <f>VLOOKUP(B515,Sheet3!$B$2:$E$312,3,)</f>
        <v>#N/A</v>
      </c>
      <c r="E515" s="6" t="str">
        <f>VLOOKUP(B515,Sheet3!$B$2:$E$312,4,)</f>
        <v>#N/A</v>
      </c>
      <c r="F515" s="6"/>
      <c r="G515" s="6"/>
      <c r="H515" s="6"/>
    </row>
    <row r="516" ht="15.75" customHeight="1">
      <c r="A516" s="6"/>
      <c r="B516" s="6"/>
      <c r="C516" s="6" t="str">
        <f>VLOOKUP(B516,Sheet3!$B$2:$E$312,2,FALSE)</f>
        <v>#N/A</v>
      </c>
      <c r="D516" s="6" t="str">
        <f>VLOOKUP(B516,Sheet3!$B$2:$E$312,3,)</f>
        <v>#N/A</v>
      </c>
      <c r="E516" s="6" t="str">
        <f>VLOOKUP(B516,Sheet3!$B$2:$E$312,4,)</f>
        <v>#N/A</v>
      </c>
      <c r="F516" s="6"/>
      <c r="G516" s="6"/>
      <c r="H516" s="6"/>
    </row>
    <row r="517" ht="15.75" customHeight="1">
      <c r="A517" s="6"/>
      <c r="B517" s="6"/>
      <c r="C517" s="6" t="str">
        <f>VLOOKUP(B517,Sheet3!$B$2:$E$312,2,FALSE)</f>
        <v>#N/A</v>
      </c>
      <c r="D517" s="6" t="str">
        <f>VLOOKUP(B517,Sheet3!$B$2:$E$312,3,)</f>
        <v>#N/A</v>
      </c>
      <c r="E517" s="6" t="str">
        <f>VLOOKUP(B517,Sheet3!$B$2:$E$312,4,)</f>
        <v>#N/A</v>
      </c>
      <c r="F517" s="6"/>
      <c r="G517" s="6"/>
      <c r="H517" s="6"/>
    </row>
    <row r="518" ht="15.75" customHeight="1">
      <c r="A518" s="6"/>
      <c r="B518" s="6"/>
      <c r="C518" s="6" t="str">
        <f>VLOOKUP(B518,Sheet3!$B$2:$E$312,2,FALSE)</f>
        <v>#N/A</v>
      </c>
      <c r="D518" s="6" t="str">
        <f>VLOOKUP(B518,Sheet3!$B$2:$E$312,3,)</f>
        <v>#N/A</v>
      </c>
      <c r="E518" s="6" t="str">
        <f>VLOOKUP(B518,Sheet3!$B$2:$E$312,4,)</f>
        <v>#N/A</v>
      </c>
      <c r="F518" s="6"/>
      <c r="G518" s="6"/>
      <c r="H518" s="6"/>
    </row>
    <row r="519" ht="15.75" customHeight="1">
      <c r="A519" s="6"/>
      <c r="B519" s="6"/>
      <c r="C519" s="6" t="str">
        <f>VLOOKUP(B519,Sheet3!$B$2:$E$312,2,FALSE)</f>
        <v>#N/A</v>
      </c>
      <c r="D519" s="6" t="str">
        <f>VLOOKUP(B519,Sheet3!$B$2:$E$312,3,)</f>
        <v>#N/A</v>
      </c>
      <c r="E519" s="6" t="str">
        <f>VLOOKUP(B519,Sheet3!$B$2:$E$312,4,)</f>
        <v>#N/A</v>
      </c>
      <c r="F519" s="6"/>
      <c r="G519" s="6"/>
      <c r="H519" s="6"/>
    </row>
    <row r="520" ht="15.75" customHeight="1">
      <c r="A520" s="6"/>
      <c r="B520" s="6"/>
      <c r="C520" s="6" t="str">
        <f>VLOOKUP(B520,Sheet3!$B$2:$E$312,2,FALSE)</f>
        <v>#N/A</v>
      </c>
      <c r="D520" s="6" t="str">
        <f>VLOOKUP(B520,Sheet3!$B$2:$E$312,3,)</f>
        <v>#N/A</v>
      </c>
      <c r="E520" s="6" t="str">
        <f>VLOOKUP(B520,Sheet3!$B$2:$E$312,4,)</f>
        <v>#N/A</v>
      </c>
      <c r="F520" s="6"/>
      <c r="G520" s="6"/>
      <c r="H520" s="6"/>
    </row>
    <row r="521" ht="15.75" customHeight="1">
      <c r="A521" s="6"/>
      <c r="B521" s="6"/>
      <c r="C521" s="6" t="str">
        <f>VLOOKUP(B521,Sheet3!$B$2:$E$312,2,FALSE)</f>
        <v>#N/A</v>
      </c>
      <c r="D521" s="6" t="str">
        <f>VLOOKUP(B521,Sheet3!$B$2:$E$312,3,)</f>
        <v>#N/A</v>
      </c>
      <c r="E521" s="6" t="str">
        <f>VLOOKUP(B521,Sheet3!$B$2:$E$312,4,)</f>
        <v>#N/A</v>
      </c>
      <c r="F521" s="6"/>
      <c r="G521" s="6"/>
      <c r="H521" s="6"/>
    </row>
    <row r="522" ht="15.75" customHeight="1">
      <c r="A522" s="6"/>
      <c r="B522" s="6"/>
      <c r="C522" s="6" t="str">
        <f>VLOOKUP(B522,Sheet3!$B$2:$E$312,2,FALSE)</f>
        <v>#N/A</v>
      </c>
      <c r="D522" s="6" t="str">
        <f>VLOOKUP(B522,Sheet3!$B$2:$E$312,3,)</f>
        <v>#N/A</v>
      </c>
      <c r="E522" s="6" t="str">
        <f>VLOOKUP(B522,Sheet3!$B$2:$E$312,4,)</f>
        <v>#N/A</v>
      </c>
      <c r="F522" s="6"/>
      <c r="G522" s="6"/>
      <c r="H522" s="6"/>
    </row>
    <row r="523" ht="15.75" customHeight="1">
      <c r="A523" s="6"/>
      <c r="B523" s="6"/>
      <c r="C523" s="6" t="str">
        <f>VLOOKUP(B523,Sheet3!$B$2:$E$312,2,FALSE)</f>
        <v>#N/A</v>
      </c>
      <c r="D523" s="6" t="str">
        <f>VLOOKUP(B523,Sheet3!$B$2:$E$312,3,)</f>
        <v>#N/A</v>
      </c>
      <c r="E523" s="6" t="str">
        <f>VLOOKUP(B523,Sheet3!$B$2:$E$312,4,)</f>
        <v>#N/A</v>
      </c>
      <c r="F523" s="6"/>
      <c r="G523" s="6"/>
      <c r="H523" s="6"/>
    </row>
    <row r="524" ht="15.75" customHeight="1">
      <c r="A524" s="6"/>
      <c r="B524" s="6"/>
      <c r="C524" s="6" t="str">
        <f>VLOOKUP(B524,Sheet3!$B$2:$E$312,2,FALSE)</f>
        <v>#N/A</v>
      </c>
      <c r="D524" s="6" t="str">
        <f>VLOOKUP(B524,Sheet3!$B$2:$E$312,3,)</f>
        <v>#N/A</v>
      </c>
      <c r="E524" s="6" t="str">
        <f>VLOOKUP(B524,Sheet3!$B$2:$E$312,4,)</f>
        <v>#N/A</v>
      </c>
      <c r="F524" s="6"/>
      <c r="G524" s="6"/>
      <c r="H524" s="6"/>
    </row>
    <row r="525" ht="15.75" customHeight="1">
      <c r="A525" s="6"/>
      <c r="B525" s="6"/>
      <c r="C525" s="6" t="str">
        <f>VLOOKUP(B525,Sheet3!$B$2:$E$312,2,FALSE)</f>
        <v>#N/A</v>
      </c>
      <c r="D525" s="6" t="str">
        <f>VLOOKUP(B525,Sheet3!$B$2:$E$312,3,)</f>
        <v>#N/A</v>
      </c>
      <c r="E525" s="6" t="str">
        <f>VLOOKUP(B525,Sheet3!$B$2:$E$312,4,)</f>
        <v>#N/A</v>
      </c>
      <c r="F525" s="6"/>
      <c r="G525" s="6"/>
      <c r="H525" s="6"/>
    </row>
    <row r="526" ht="15.75" customHeight="1">
      <c r="A526" s="6"/>
      <c r="B526" s="6"/>
      <c r="C526" s="6" t="str">
        <f>VLOOKUP(B526,Sheet3!$B$2:$E$312,2,FALSE)</f>
        <v>#N/A</v>
      </c>
      <c r="D526" s="6" t="str">
        <f>VLOOKUP(B526,Sheet3!$B$2:$E$312,3,)</f>
        <v>#N/A</v>
      </c>
      <c r="E526" s="6" t="str">
        <f>VLOOKUP(B526,Sheet3!$B$2:$E$312,4,)</f>
        <v>#N/A</v>
      </c>
      <c r="F526" s="6"/>
      <c r="G526" s="6"/>
      <c r="H526" s="6"/>
    </row>
    <row r="527" ht="15.75" customHeight="1">
      <c r="A527" s="6"/>
      <c r="B527" s="6"/>
      <c r="C527" s="6" t="str">
        <f>VLOOKUP(B527,Sheet3!$B$2:$E$312,2,FALSE)</f>
        <v>#N/A</v>
      </c>
      <c r="D527" s="6" t="str">
        <f>VLOOKUP(B527,Sheet3!$B$2:$E$312,3,)</f>
        <v>#N/A</v>
      </c>
      <c r="E527" s="6" t="str">
        <f>VLOOKUP(B527,Sheet3!$B$2:$E$312,4,)</f>
        <v>#N/A</v>
      </c>
      <c r="F527" s="6"/>
      <c r="G527" s="6"/>
      <c r="H527" s="6"/>
    </row>
    <row r="528" ht="15.75" customHeight="1">
      <c r="A528" s="6"/>
      <c r="B528" s="6"/>
      <c r="C528" s="6" t="str">
        <f>VLOOKUP(B528,Sheet3!$B$2:$E$312,2,FALSE)</f>
        <v>#N/A</v>
      </c>
      <c r="D528" s="6" t="str">
        <f>VLOOKUP(B528,Sheet3!$B$2:$E$312,3,)</f>
        <v>#N/A</v>
      </c>
      <c r="E528" s="6" t="str">
        <f>VLOOKUP(B528,Sheet3!$B$2:$E$312,4,)</f>
        <v>#N/A</v>
      </c>
      <c r="F528" s="6"/>
      <c r="G528" s="6"/>
      <c r="H528" s="6"/>
    </row>
    <row r="529" ht="15.75" customHeight="1">
      <c r="A529" s="6"/>
      <c r="B529" s="6"/>
      <c r="C529" s="6" t="str">
        <f>VLOOKUP(B529,Sheet3!$B$2:$E$312,2,FALSE)</f>
        <v>#N/A</v>
      </c>
      <c r="D529" s="6" t="str">
        <f>VLOOKUP(B529,Sheet3!$B$2:$E$312,3,)</f>
        <v>#N/A</v>
      </c>
      <c r="E529" s="6" t="str">
        <f>VLOOKUP(B529,Sheet3!$B$2:$E$312,4,)</f>
        <v>#N/A</v>
      </c>
      <c r="F529" s="6"/>
      <c r="G529" s="6"/>
      <c r="H529" s="6"/>
    </row>
    <row r="530" ht="15.75" customHeight="1">
      <c r="A530" s="6"/>
      <c r="B530" s="6"/>
      <c r="C530" s="6" t="str">
        <f>VLOOKUP(B530,Sheet3!$B$2:$E$312,2,FALSE)</f>
        <v>#N/A</v>
      </c>
      <c r="D530" s="6" t="str">
        <f>VLOOKUP(B530,Sheet3!$B$2:$E$312,3,)</f>
        <v>#N/A</v>
      </c>
      <c r="E530" s="6" t="str">
        <f>VLOOKUP(B530,Sheet3!$B$2:$E$312,4,)</f>
        <v>#N/A</v>
      </c>
      <c r="F530" s="6"/>
      <c r="G530" s="6"/>
      <c r="H530" s="6"/>
    </row>
    <row r="531" ht="15.75" customHeight="1">
      <c r="A531" s="6"/>
      <c r="B531" s="6"/>
      <c r="C531" s="6" t="str">
        <f>VLOOKUP(B531,Sheet3!$B$2:$E$312,2,FALSE)</f>
        <v>#N/A</v>
      </c>
      <c r="D531" s="6" t="str">
        <f>VLOOKUP(B531,Sheet3!$B$2:$E$312,3,)</f>
        <v>#N/A</v>
      </c>
      <c r="E531" s="6" t="str">
        <f>VLOOKUP(B531,Sheet3!$B$2:$E$312,4,)</f>
        <v>#N/A</v>
      </c>
      <c r="F531" s="6"/>
      <c r="G531" s="6"/>
      <c r="H531" s="6"/>
    </row>
    <row r="532" ht="15.75" customHeight="1">
      <c r="A532" s="6"/>
      <c r="B532" s="6"/>
      <c r="C532" s="6" t="str">
        <f>VLOOKUP(B532,Sheet3!$B$2:$E$312,2,FALSE)</f>
        <v>#N/A</v>
      </c>
      <c r="D532" s="6" t="str">
        <f>VLOOKUP(B532,Sheet3!$B$2:$E$312,3,)</f>
        <v>#N/A</v>
      </c>
      <c r="E532" s="6" t="str">
        <f>VLOOKUP(B532,Sheet3!$B$2:$E$312,4,)</f>
        <v>#N/A</v>
      </c>
      <c r="F532" s="6"/>
      <c r="G532" s="6"/>
      <c r="H532" s="6"/>
    </row>
    <row r="533" ht="15.75" customHeight="1">
      <c r="A533" s="6"/>
      <c r="B533" s="6"/>
      <c r="C533" s="6" t="str">
        <f>VLOOKUP(B533,Sheet3!$B$2:$E$312,2,FALSE)</f>
        <v>#N/A</v>
      </c>
      <c r="D533" s="6" t="str">
        <f>VLOOKUP(B533,Sheet3!$B$2:$E$312,3,)</f>
        <v>#N/A</v>
      </c>
      <c r="E533" s="6" t="str">
        <f>VLOOKUP(B533,Sheet3!$B$2:$E$312,4,)</f>
        <v>#N/A</v>
      </c>
      <c r="F533" s="6"/>
      <c r="G533" s="6"/>
      <c r="H533" s="6"/>
    </row>
    <row r="534" ht="15.75" customHeight="1">
      <c r="A534" s="6"/>
      <c r="B534" s="6"/>
      <c r="C534" s="6" t="str">
        <f>VLOOKUP(B534,Sheet3!$B$2:$E$312,2,FALSE)</f>
        <v>#N/A</v>
      </c>
      <c r="D534" s="6" t="str">
        <f>VLOOKUP(B534,Sheet3!$B$2:$E$312,3,)</f>
        <v>#N/A</v>
      </c>
      <c r="E534" s="6" t="str">
        <f>VLOOKUP(B534,Sheet3!$B$2:$E$312,4,)</f>
        <v>#N/A</v>
      </c>
      <c r="F534" s="6"/>
      <c r="G534" s="6"/>
      <c r="H534" s="6"/>
    </row>
    <row r="535" ht="15.75" customHeight="1">
      <c r="A535" s="6"/>
      <c r="B535" s="6"/>
      <c r="C535" s="6" t="str">
        <f>VLOOKUP(B535,Sheet3!$B$2:$E$312,2,FALSE)</f>
        <v>#N/A</v>
      </c>
      <c r="D535" s="6" t="str">
        <f>VLOOKUP(B535,Sheet3!$B$2:$E$312,3,)</f>
        <v>#N/A</v>
      </c>
      <c r="E535" s="6" t="str">
        <f>VLOOKUP(B535,Sheet3!$B$2:$E$312,4,)</f>
        <v>#N/A</v>
      </c>
      <c r="F535" s="6"/>
      <c r="G535" s="6"/>
      <c r="H535" s="6"/>
    </row>
    <row r="536" ht="15.75" customHeight="1">
      <c r="A536" s="6"/>
      <c r="B536" s="6"/>
      <c r="C536" s="6" t="str">
        <f>VLOOKUP(B536,Sheet3!$B$2:$E$312,2,FALSE)</f>
        <v>#N/A</v>
      </c>
      <c r="D536" s="6" t="str">
        <f>VLOOKUP(B536,Sheet3!$B$2:$E$312,3,)</f>
        <v>#N/A</v>
      </c>
      <c r="E536" s="6" t="str">
        <f>VLOOKUP(B536,Sheet3!$B$2:$E$312,4,)</f>
        <v>#N/A</v>
      </c>
      <c r="F536" s="6"/>
      <c r="G536" s="6"/>
      <c r="H536" s="6"/>
    </row>
    <row r="537" ht="15.75" customHeight="1">
      <c r="A537" s="6"/>
      <c r="B537" s="6"/>
      <c r="C537" s="6" t="str">
        <f>VLOOKUP(B537,Sheet3!$B$2:$E$312,2,FALSE)</f>
        <v>#N/A</v>
      </c>
      <c r="D537" s="6" t="str">
        <f>VLOOKUP(B537,Sheet3!$B$2:$E$312,3,)</f>
        <v>#N/A</v>
      </c>
      <c r="E537" s="6" t="str">
        <f>VLOOKUP(B537,Sheet3!$B$2:$E$312,4,)</f>
        <v>#N/A</v>
      </c>
      <c r="F537" s="6"/>
      <c r="G537" s="6"/>
      <c r="H537" s="6"/>
    </row>
    <row r="538" ht="15.75" customHeight="1">
      <c r="A538" s="6"/>
      <c r="B538" s="6"/>
      <c r="C538" s="6" t="str">
        <f>VLOOKUP(B538,Sheet3!$B$2:$E$312,2,FALSE)</f>
        <v>#N/A</v>
      </c>
      <c r="D538" s="6" t="str">
        <f>VLOOKUP(B538,Sheet3!$B$2:$E$312,3,)</f>
        <v>#N/A</v>
      </c>
      <c r="E538" s="6" t="str">
        <f>VLOOKUP(B538,Sheet3!$B$2:$E$312,4,)</f>
        <v>#N/A</v>
      </c>
      <c r="F538" s="6"/>
      <c r="G538" s="6"/>
      <c r="H538" s="6"/>
    </row>
    <row r="539" ht="15.75" customHeight="1">
      <c r="A539" s="6"/>
      <c r="B539" s="6"/>
      <c r="C539" s="6" t="str">
        <f>VLOOKUP(B539,Sheet3!$B$2:$E$312,2,FALSE)</f>
        <v>#N/A</v>
      </c>
      <c r="D539" s="6" t="str">
        <f>VLOOKUP(B539,Sheet3!$B$2:$E$312,3,)</f>
        <v>#N/A</v>
      </c>
      <c r="E539" s="6" t="str">
        <f>VLOOKUP(B539,Sheet3!$B$2:$E$312,4,)</f>
        <v>#N/A</v>
      </c>
      <c r="F539" s="6"/>
      <c r="G539" s="6"/>
      <c r="H539" s="6"/>
    </row>
    <row r="540" ht="15.75" customHeight="1">
      <c r="A540" s="6"/>
      <c r="B540" s="6"/>
      <c r="C540" s="6" t="str">
        <f>VLOOKUP(B540,Sheet3!$B$2:$E$312,2,FALSE)</f>
        <v>#N/A</v>
      </c>
      <c r="D540" s="6" t="str">
        <f>VLOOKUP(B540,Sheet3!$B$2:$E$312,3,)</f>
        <v>#N/A</v>
      </c>
      <c r="E540" s="6" t="str">
        <f>VLOOKUP(B540,Sheet3!$B$2:$E$312,4,)</f>
        <v>#N/A</v>
      </c>
      <c r="F540" s="6"/>
      <c r="G540" s="6"/>
      <c r="H540" s="6"/>
    </row>
    <row r="541" ht="15.75" customHeight="1">
      <c r="A541" s="6"/>
      <c r="B541" s="6"/>
      <c r="C541" s="6" t="str">
        <f>VLOOKUP(B541,Sheet3!$B$2:$E$312,2,FALSE)</f>
        <v>#N/A</v>
      </c>
      <c r="D541" s="6" t="str">
        <f>VLOOKUP(B541,Sheet3!$B$2:$E$312,3,)</f>
        <v>#N/A</v>
      </c>
      <c r="E541" s="6" t="str">
        <f>VLOOKUP(B541,Sheet3!$B$2:$E$312,4,)</f>
        <v>#N/A</v>
      </c>
      <c r="F541" s="6"/>
      <c r="G541" s="6"/>
      <c r="H541" s="6"/>
    </row>
    <row r="542" ht="15.75" customHeight="1">
      <c r="A542" s="6"/>
      <c r="B542" s="6"/>
      <c r="C542" s="6" t="str">
        <f>VLOOKUP(B542,Sheet3!$B$2:$E$312,2,FALSE)</f>
        <v>#N/A</v>
      </c>
      <c r="D542" s="6" t="str">
        <f>VLOOKUP(B542,Sheet3!$B$2:$E$312,3,)</f>
        <v>#N/A</v>
      </c>
      <c r="E542" s="6" t="str">
        <f>VLOOKUP(B542,Sheet3!$B$2:$E$312,4,)</f>
        <v>#N/A</v>
      </c>
      <c r="F542" s="6"/>
      <c r="G542" s="6"/>
      <c r="H542" s="6"/>
    </row>
    <row r="543" ht="15.75" customHeight="1">
      <c r="A543" s="6"/>
      <c r="B543" s="6"/>
      <c r="C543" s="6" t="str">
        <f>VLOOKUP(B543,Sheet3!$B$2:$E$312,2,FALSE)</f>
        <v>#N/A</v>
      </c>
      <c r="D543" s="6" t="str">
        <f>VLOOKUP(B543,Sheet3!$B$2:$E$312,3,)</f>
        <v>#N/A</v>
      </c>
      <c r="E543" s="6" t="str">
        <f>VLOOKUP(B543,Sheet3!$B$2:$E$312,4,)</f>
        <v>#N/A</v>
      </c>
      <c r="F543" s="6"/>
      <c r="G543" s="6"/>
      <c r="H543" s="6"/>
    </row>
    <row r="544" ht="15.75" customHeight="1">
      <c r="A544" s="6"/>
      <c r="B544" s="6"/>
      <c r="C544" s="6" t="str">
        <f>VLOOKUP(B544,Sheet3!$B$2:$E$312,2,FALSE)</f>
        <v>#N/A</v>
      </c>
      <c r="D544" s="6" t="str">
        <f>VLOOKUP(B544,Sheet3!$B$2:$E$312,3,)</f>
        <v>#N/A</v>
      </c>
      <c r="E544" s="6" t="str">
        <f>VLOOKUP(B544,Sheet3!$B$2:$E$312,4,)</f>
        <v>#N/A</v>
      </c>
      <c r="F544" s="6"/>
      <c r="G544" s="6"/>
      <c r="H544" s="6"/>
    </row>
    <row r="545" ht="15.75" customHeight="1">
      <c r="A545" s="6"/>
      <c r="B545" s="6"/>
      <c r="C545" s="6" t="str">
        <f>VLOOKUP(B545,Sheet3!$B$2:$E$312,2,FALSE)</f>
        <v>#N/A</v>
      </c>
      <c r="D545" s="6" t="str">
        <f>VLOOKUP(B545,Sheet3!$B$2:$E$312,3,)</f>
        <v>#N/A</v>
      </c>
      <c r="E545" s="6" t="str">
        <f>VLOOKUP(B545,Sheet3!$B$2:$E$312,4,)</f>
        <v>#N/A</v>
      </c>
      <c r="F545" s="6"/>
      <c r="G545" s="6"/>
      <c r="H545" s="6"/>
    </row>
    <row r="546" ht="15.75" customHeight="1">
      <c r="A546" s="6"/>
      <c r="B546" s="6"/>
      <c r="C546" s="6" t="str">
        <f>VLOOKUP(B546,Sheet3!$B$2:$E$312,2,FALSE)</f>
        <v>#N/A</v>
      </c>
      <c r="D546" s="6" t="str">
        <f>VLOOKUP(B546,Sheet3!$B$2:$E$312,3,)</f>
        <v>#N/A</v>
      </c>
      <c r="E546" s="6" t="str">
        <f>VLOOKUP(B546,Sheet3!$B$2:$E$312,4,)</f>
        <v>#N/A</v>
      </c>
      <c r="F546" s="6"/>
      <c r="G546" s="6"/>
      <c r="H546" s="6"/>
    </row>
    <row r="547" ht="15.75" customHeight="1">
      <c r="A547" s="6"/>
      <c r="B547" s="6"/>
      <c r="C547" s="6" t="str">
        <f>VLOOKUP(B547,Sheet3!$B$2:$E$312,2,FALSE)</f>
        <v>#N/A</v>
      </c>
      <c r="D547" s="6" t="str">
        <f>VLOOKUP(B547,Sheet3!$B$2:$E$312,3,)</f>
        <v>#N/A</v>
      </c>
      <c r="E547" s="6" t="str">
        <f>VLOOKUP(B547,Sheet3!$B$2:$E$312,4,)</f>
        <v>#N/A</v>
      </c>
      <c r="F547" s="6"/>
      <c r="G547" s="6"/>
      <c r="H547" s="6"/>
    </row>
    <row r="548" ht="15.75" customHeight="1">
      <c r="A548" s="6"/>
      <c r="B548" s="6"/>
      <c r="C548" s="6" t="str">
        <f>VLOOKUP(B548,Sheet3!$B$2:$E$312,2,FALSE)</f>
        <v>#N/A</v>
      </c>
      <c r="D548" s="6" t="str">
        <f>VLOOKUP(B548,Sheet3!$B$2:$E$312,3,)</f>
        <v>#N/A</v>
      </c>
      <c r="E548" s="6" t="str">
        <f>VLOOKUP(B548,Sheet3!$B$2:$E$312,4,)</f>
        <v>#N/A</v>
      </c>
      <c r="F548" s="6"/>
      <c r="G548" s="6"/>
      <c r="H548" s="6"/>
    </row>
    <row r="549" ht="15.75" customHeight="1">
      <c r="A549" s="6"/>
      <c r="B549" s="6"/>
      <c r="C549" s="6" t="str">
        <f>VLOOKUP(B549,Sheet3!$B$2:$E$312,2,FALSE)</f>
        <v>#N/A</v>
      </c>
      <c r="D549" s="6" t="str">
        <f>VLOOKUP(B549,Sheet3!$B$2:$E$312,3,)</f>
        <v>#N/A</v>
      </c>
      <c r="E549" s="6" t="str">
        <f>VLOOKUP(B549,Sheet3!$B$2:$E$312,4,)</f>
        <v>#N/A</v>
      </c>
      <c r="F549" s="6"/>
      <c r="G549" s="6"/>
      <c r="H549" s="6"/>
    </row>
    <row r="550" ht="15.75" customHeight="1">
      <c r="A550" s="6"/>
      <c r="B550" s="6"/>
      <c r="C550" s="6" t="str">
        <f>VLOOKUP(B550,Sheet3!$B$2:$E$312,2,FALSE)</f>
        <v>#N/A</v>
      </c>
      <c r="D550" s="6" t="str">
        <f>VLOOKUP(B550,Sheet3!$B$2:$E$312,3,)</f>
        <v>#N/A</v>
      </c>
      <c r="E550" s="6" t="str">
        <f>VLOOKUP(B550,Sheet3!$B$2:$E$312,4,)</f>
        <v>#N/A</v>
      </c>
      <c r="F550" s="6"/>
      <c r="G550" s="6"/>
      <c r="H550" s="6"/>
    </row>
    <row r="551" ht="15.75" customHeight="1">
      <c r="A551" s="6"/>
      <c r="B551" s="6"/>
      <c r="C551" s="6" t="str">
        <f>VLOOKUP(B551,Sheet3!$B$2:$E$312,2,FALSE)</f>
        <v>#N/A</v>
      </c>
      <c r="D551" s="6" t="str">
        <f>VLOOKUP(B551,Sheet3!$B$2:$E$312,3,)</f>
        <v>#N/A</v>
      </c>
      <c r="E551" s="6" t="str">
        <f>VLOOKUP(B551,Sheet3!$B$2:$E$312,4,)</f>
        <v>#N/A</v>
      </c>
      <c r="F551" s="6"/>
      <c r="G551" s="6"/>
      <c r="H551" s="6"/>
    </row>
    <row r="552" ht="15.75" customHeight="1">
      <c r="A552" s="6"/>
      <c r="B552" s="6"/>
      <c r="C552" s="6" t="str">
        <f>VLOOKUP(B552,Sheet3!$B$2:$E$312,2,FALSE)</f>
        <v>#N/A</v>
      </c>
      <c r="D552" s="6" t="str">
        <f>VLOOKUP(B552,Sheet3!$B$2:$E$312,3,)</f>
        <v>#N/A</v>
      </c>
      <c r="E552" s="6" t="str">
        <f>VLOOKUP(B552,Sheet3!$B$2:$E$312,4,)</f>
        <v>#N/A</v>
      </c>
      <c r="F552" s="6"/>
      <c r="G552" s="6"/>
      <c r="H552" s="6"/>
    </row>
    <row r="553" ht="15.75" customHeight="1">
      <c r="A553" s="6"/>
      <c r="B553" s="6"/>
      <c r="C553" s="6" t="str">
        <f>VLOOKUP(B553,Sheet3!$B$2:$E$312,2,FALSE)</f>
        <v>#N/A</v>
      </c>
      <c r="D553" s="6" t="str">
        <f>VLOOKUP(B553,Sheet3!$B$2:$E$312,3,)</f>
        <v>#N/A</v>
      </c>
      <c r="E553" s="6" t="str">
        <f>VLOOKUP(B553,Sheet3!$B$2:$E$312,4,)</f>
        <v>#N/A</v>
      </c>
      <c r="F553" s="6"/>
      <c r="G553" s="6"/>
      <c r="H553" s="6"/>
    </row>
    <row r="554" ht="15.75" customHeight="1">
      <c r="A554" s="6"/>
      <c r="B554" s="6"/>
      <c r="C554" s="6" t="str">
        <f>VLOOKUP(B554,Sheet3!$B$2:$E$312,2,FALSE)</f>
        <v>#N/A</v>
      </c>
      <c r="D554" s="6" t="str">
        <f>VLOOKUP(B554,Sheet3!$B$2:$E$312,3,)</f>
        <v>#N/A</v>
      </c>
      <c r="E554" s="6" t="str">
        <f>VLOOKUP(B554,Sheet3!$B$2:$E$312,4,)</f>
        <v>#N/A</v>
      </c>
      <c r="F554" s="6"/>
      <c r="G554" s="6"/>
      <c r="H554" s="6"/>
    </row>
    <row r="555" ht="15.75" customHeight="1">
      <c r="A555" s="6"/>
      <c r="B555" s="6"/>
      <c r="C555" s="6" t="str">
        <f>VLOOKUP(B555,Sheet3!$B$2:$E$312,2,FALSE)</f>
        <v>#N/A</v>
      </c>
      <c r="D555" s="6" t="str">
        <f>VLOOKUP(B555,Sheet3!$B$2:$E$312,3,)</f>
        <v>#N/A</v>
      </c>
      <c r="E555" s="6" t="str">
        <f>VLOOKUP(B555,Sheet3!$B$2:$E$312,4,)</f>
        <v>#N/A</v>
      </c>
      <c r="F555" s="6"/>
      <c r="G555" s="6"/>
      <c r="H555" s="6"/>
    </row>
    <row r="556" ht="15.75" customHeight="1">
      <c r="A556" s="6"/>
      <c r="B556" s="6"/>
      <c r="C556" s="6" t="str">
        <f>VLOOKUP(B556,Sheet3!$B$2:$E$312,2,FALSE)</f>
        <v>#N/A</v>
      </c>
      <c r="D556" s="6" t="str">
        <f>VLOOKUP(B556,Sheet3!$B$2:$E$312,3,)</f>
        <v>#N/A</v>
      </c>
      <c r="E556" s="6" t="str">
        <f>VLOOKUP(B556,Sheet3!$B$2:$E$312,4,)</f>
        <v>#N/A</v>
      </c>
      <c r="F556" s="6"/>
      <c r="G556" s="6"/>
      <c r="H556" s="6"/>
    </row>
    <row r="557" ht="15.75" customHeight="1">
      <c r="B557" s="16"/>
      <c r="C557" s="16" t="str">
        <f>VLOOKUP(B557,Sheet3!$B$2:$E$312,2,FALSE)</f>
        <v>#N/A</v>
      </c>
      <c r="D557" s="16" t="str">
        <f>VLOOKUP(B557,Sheet3!$B$2:$E$312,3,)</f>
        <v>#N/A</v>
      </c>
      <c r="E557" s="16" t="str">
        <f>VLOOKUP(B557,Sheet3!$B$2:$E$312,4,)</f>
        <v>#N/A</v>
      </c>
    </row>
    <row r="558" ht="15.75" customHeight="1">
      <c r="B558" s="16"/>
      <c r="C558" s="16" t="str">
        <f>VLOOKUP(B558,Sheet3!$B$2:$E$312,2,FALSE)</f>
        <v>#N/A</v>
      </c>
      <c r="D558" s="16" t="str">
        <f>VLOOKUP(B558,Sheet3!$B$2:$E$312,3,)</f>
        <v>#N/A</v>
      </c>
      <c r="E558" s="16" t="str">
        <f>VLOOKUP(B558,Sheet3!$B$2:$E$312,4,)</f>
        <v>#N/A</v>
      </c>
    </row>
    <row r="559" ht="15.75" customHeight="1">
      <c r="B559" s="16"/>
      <c r="C559" s="16" t="str">
        <f>VLOOKUP(B559,Sheet3!$B$2:$E$312,2,FALSE)</f>
        <v>#N/A</v>
      </c>
      <c r="D559" s="16" t="str">
        <f>VLOOKUP(B559,Sheet3!$B$2:$E$312,3,)</f>
        <v>#N/A</v>
      </c>
      <c r="E559" s="16" t="str">
        <f>VLOOKUP(B559,Sheet3!$B$2:$E$312,4,)</f>
        <v>#N/A</v>
      </c>
    </row>
    <row r="560" ht="15.75" customHeight="1">
      <c r="B560" s="16"/>
      <c r="C560" s="16" t="str">
        <f>VLOOKUP(B560,Sheet3!$B$2:$E$312,2,FALSE)</f>
        <v>#N/A</v>
      </c>
      <c r="D560" s="16" t="str">
        <f>VLOOKUP(B560,Sheet3!$B$2:$E$312,3,)</f>
        <v>#N/A</v>
      </c>
      <c r="E560" s="16" t="str">
        <f>VLOOKUP(B560,Sheet3!$B$2:$E$312,4,)</f>
        <v>#N/A</v>
      </c>
    </row>
    <row r="561" ht="15.75" customHeight="1">
      <c r="B561" s="16"/>
      <c r="C561" s="16" t="str">
        <f>VLOOKUP(B561,Sheet3!$B$2:$E$312,2,FALSE)</f>
        <v>#N/A</v>
      </c>
      <c r="D561" s="16" t="str">
        <f>VLOOKUP(B561,Sheet3!$B$2:$E$312,3,)</f>
        <v>#N/A</v>
      </c>
      <c r="E561" s="16" t="str">
        <f>VLOOKUP(B561,Sheet3!$B$2:$E$312,4,)</f>
        <v>#N/A</v>
      </c>
    </row>
    <row r="562" ht="15.75" customHeight="1">
      <c r="B562" s="16"/>
      <c r="C562" s="16" t="str">
        <f>VLOOKUP(B562,Sheet3!$B$2:$E$312,2,FALSE)</f>
        <v>#N/A</v>
      </c>
      <c r="D562" s="16" t="str">
        <f>VLOOKUP(B562,Sheet3!$B$2:$E$312,3,)</f>
        <v>#N/A</v>
      </c>
      <c r="E562" s="16" t="str">
        <f>VLOOKUP(B562,Sheet3!$B$2:$E$312,4,)</f>
        <v>#N/A</v>
      </c>
    </row>
    <row r="563" ht="15.75" customHeight="1">
      <c r="B563" s="16"/>
      <c r="C563" s="16" t="str">
        <f>VLOOKUP(B563,Sheet3!$B$2:$E$312,2,FALSE)</f>
        <v>#N/A</v>
      </c>
      <c r="D563" s="16" t="str">
        <f>VLOOKUP(B563,Sheet3!$B$2:$E$312,3,)</f>
        <v>#N/A</v>
      </c>
      <c r="E563" s="16" t="str">
        <f>VLOOKUP(B563,Sheet3!$B$2:$E$312,4,)</f>
        <v>#N/A</v>
      </c>
    </row>
    <row r="564" ht="15.75" customHeight="1">
      <c r="B564" s="16"/>
      <c r="C564" s="16" t="str">
        <f>VLOOKUP(B564,Sheet3!$B$2:$E$312,2,FALSE)</f>
        <v>#N/A</v>
      </c>
      <c r="D564" s="16" t="str">
        <f>VLOOKUP(B564,Sheet3!$B$2:$E$312,3,)</f>
        <v>#N/A</v>
      </c>
      <c r="E564" s="16" t="str">
        <f>VLOOKUP(B564,Sheet3!$B$2:$E$312,4,)</f>
        <v>#N/A</v>
      </c>
    </row>
    <row r="565" ht="15.75" customHeight="1">
      <c r="B565" s="16"/>
      <c r="C565" s="16" t="str">
        <f>VLOOKUP(B565,Sheet3!$B$2:$E$312,2,FALSE)</f>
        <v>#N/A</v>
      </c>
      <c r="D565" s="16" t="str">
        <f>VLOOKUP(B565,Sheet3!$B$2:$E$312,3,)</f>
        <v>#N/A</v>
      </c>
      <c r="E565" s="16" t="str">
        <f>VLOOKUP(B565,Sheet3!$B$2:$E$312,4,)</f>
        <v>#N/A</v>
      </c>
    </row>
    <row r="566" ht="15.75" customHeight="1">
      <c r="B566" s="16"/>
      <c r="C566" s="16" t="str">
        <f>VLOOKUP(B566,Sheet3!$B$2:$E$312,2,FALSE)</f>
        <v>#N/A</v>
      </c>
      <c r="D566" s="16" t="str">
        <f>VLOOKUP(B566,Sheet3!$B$2:$E$312,3,)</f>
        <v>#N/A</v>
      </c>
      <c r="E566" s="16" t="str">
        <f>VLOOKUP(B566,Sheet3!$B$2:$E$312,4,)</f>
        <v>#N/A</v>
      </c>
    </row>
    <row r="567" ht="15.75" customHeight="1">
      <c r="B567" s="16"/>
      <c r="C567" s="16" t="str">
        <f>VLOOKUP(B567,Sheet3!$B$2:$E$312,2,FALSE)</f>
        <v>#N/A</v>
      </c>
      <c r="D567" s="16" t="str">
        <f>VLOOKUP(B567,Sheet3!$B$2:$E$312,3,)</f>
        <v>#N/A</v>
      </c>
      <c r="E567" s="16" t="str">
        <f>VLOOKUP(B567,Sheet3!$B$2:$E$312,4,)</f>
        <v>#N/A</v>
      </c>
    </row>
    <row r="568" ht="15.75" customHeight="1">
      <c r="B568" s="16"/>
      <c r="C568" s="16" t="str">
        <f>VLOOKUP(B568,Sheet3!$B$2:$E$312,2,FALSE)</f>
        <v>#N/A</v>
      </c>
      <c r="D568" s="16" t="str">
        <f>VLOOKUP(B568,Sheet3!$B$2:$E$312,3,)</f>
        <v>#N/A</v>
      </c>
      <c r="E568" s="16" t="str">
        <f>VLOOKUP(B568,Sheet3!$B$2:$E$312,4,)</f>
        <v>#N/A</v>
      </c>
    </row>
    <row r="569" ht="15.75" customHeight="1">
      <c r="B569" s="16"/>
      <c r="C569" s="16" t="str">
        <f>VLOOKUP(B569,Sheet3!$B$2:$E$312,2,FALSE)</f>
        <v>#N/A</v>
      </c>
      <c r="D569" s="16" t="str">
        <f>VLOOKUP(B569,Sheet3!$B$2:$E$312,3,)</f>
        <v>#N/A</v>
      </c>
      <c r="E569" s="16" t="str">
        <f>VLOOKUP(B569,Sheet3!$B$2:$E$312,4,)</f>
        <v>#N/A</v>
      </c>
    </row>
    <row r="570" ht="15.75" customHeight="1">
      <c r="B570" s="16"/>
      <c r="C570" s="16" t="str">
        <f>VLOOKUP(B570,Sheet3!$B$2:$E$312,2,FALSE)</f>
        <v>#N/A</v>
      </c>
      <c r="D570" s="16" t="str">
        <f>VLOOKUP(B570,Sheet3!$B$2:$E$312,3,)</f>
        <v>#N/A</v>
      </c>
      <c r="E570" s="16" t="str">
        <f>VLOOKUP(B570,Sheet3!$B$2:$E$312,4,)</f>
        <v>#N/A</v>
      </c>
    </row>
    <row r="571" ht="15.75" customHeight="1">
      <c r="B571" s="16"/>
      <c r="C571" s="16" t="str">
        <f>VLOOKUP(B571,Sheet3!$B$2:$E$312,2,FALSE)</f>
        <v>#N/A</v>
      </c>
      <c r="D571" s="16" t="str">
        <f>VLOOKUP(B571,Sheet3!$B$2:$E$312,3,)</f>
        <v>#N/A</v>
      </c>
      <c r="E571" s="16" t="str">
        <f>VLOOKUP(B571,Sheet3!$B$2:$E$312,4,)</f>
        <v>#N/A</v>
      </c>
    </row>
    <row r="572" ht="15.75" customHeight="1">
      <c r="B572" s="16"/>
      <c r="C572" s="16" t="str">
        <f>VLOOKUP(B572,Sheet3!$B$2:$E$312,2,FALSE)</f>
        <v>#N/A</v>
      </c>
      <c r="D572" s="16" t="str">
        <f>VLOOKUP(B572,Sheet3!$B$2:$E$312,3,)</f>
        <v>#N/A</v>
      </c>
      <c r="E572" s="16" t="str">
        <f>VLOOKUP(B572,Sheet3!$B$2:$E$312,4,)</f>
        <v>#N/A</v>
      </c>
    </row>
    <row r="573" ht="15.75" customHeight="1">
      <c r="B573" s="16"/>
      <c r="C573" s="16" t="str">
        <f>VLOOKUP(B573,Sheet3!$B$2:$E$312,2,FALSE)</f>
        <v>#N/A</v>
      </c>
      <c r="D573" s="16" t="str">
        <f>VLOOKUP(B573,Sheet3!$B$2:$E$312,3,)</f>
        <v>#N/A</v>
      </c>
      <c r="E573" s="16" t="str">
        <f>VLOOKUP(B573,Sheet3!$B$2:$E$312,4,)</f>
        <v>#N/A</v>
      </c>
    </row>
    <row r="574" ht="15.75" customHeight="1">
      <c r="B574" s="16"/>
      <c r="C574" s="16" t="str">
        <f>VLOOKUP(B574,Sheet3!$B$2:$E$312,2,FALSE)</f>
        <v>#N/A</v>
      </c>
      <c r="D574" s="16" t="str">
        <f>VLOOKUP(B574,Sheet3!$B$2:$E$312,3,)</f>
        <v>#N/A</v>
      </c>
      <c r="E574" s="16" t="str">
        <f>VLOOKUP(B574,Sheet3!$B$2:$E$312,4,)</f>
        <v>#N/A</v>
      </c>
    </row>
    <row r="575" ht="15.75" customHeight="1">
      <c r="B575" s="16"/>
      <c r="C575" s="16" t="str">
        <f>VLOOKUP(B575,Sheet3!$B$2:$E$312,2,FALSE)</f>
        <v>#N/A</v>
      </c>
      <c r="D575" s="16" t="str">
        <f>VLOOKUP(B575,Sheet3!$B$2:$E$312,3,)</f>
        <v>#N/A</v>
      </c>
      <c r="E575" s="16" t="str">
        <f>VLOOKUP(B575,Sheet3!$B$2:$E$312,4,)</f>
        <v>#N/A</v>
      </c>
    </row>
    <row r="576" ht="15.75" customHeight="1">
      <c r="B576" s="16"/>
      <c r="C576" s="16" t="str">
        <f>VLOOKUP(B576,Sheet3!$B$2:$E$312,2,FALSE)</f>
        <v>#N/A</v>
      </c>
      <c r="D576" s="16" t="str">
        <f>VLOOKUP(B576,Sheet3!$B$2:$E$312,3,)</f>
        <v>#N/A</v>
      </c>
      <c r="E576" s="16" t="str">
        <f>VLOOKUP(B576,Sheet3!$B$2:$E$312,4,)</f>
        <v>#N/A</v>
      </c>
    </row>
    <row r="577" ht="15.75" customHeight="1">
      <c r="B577" s="16"/>
      <c r="C577" s="16" t="str">
        <f>VLOOKUP(B577,Sheet3!$B$2:$E$312,2,FALSE)</f>
        <v>#N/A</v>
      </c>
      <c r="D577" s="16" t="str">
        <f>VLOOKUP(B577,Sheet3!$B$2:$E$312,3,)</f>
        <v>#N/A</v>
      </c>
      <c r="E577" s="16" t="str">
        <f>VLOOKUP(B577,Sheet3!$B$2:$E$312,4,)</f>
        <v>#N/A</v>
      </c>
    </row>
    <row r="578" ht="15.75" customHeight="1">
      <c r="B578" s="16"/>
      <c r="C578" s="16" t="str">
        <f>VLOOKUP(B578,Sheet3!$B$2:$E$312,2,FALSE)</f>
        <v>#N/A</v>
      </c>
      <c r="D578" s="16" t="str">
        <f>VLOOKUP(B578,Sheet3!$B$2:$E$312,3,)</f>
        <v>#N/A</v>
      </c>
      <c r="E578" s="16" t="str">
        <f>VLOOKUP(B578,Sheet3!$B$2:$E$312,4,)</f>
        <v>#N/A</v>
      </c>
    </row>
    <row r="579" ht="15.75" customHeight="1">
      <c r="B579" s="16"/>
      <c r="C579" s="16" t="str">
        <f>VLOOKUP(B579,Sheet3!$B$2:$E$312,2,FALSE)</f>
        <v>#N/A</v>
      </c>
      <c r="D579" s="16" t="str">
        <f>VLOOKUP(B579,Sheet3!$B$2:$E$312,3,)</f>
        <v>#N/A</v>
      </c>
      <c r="E579" s="16" t="str">
        <f>VLOOKUP(B579,Sheet3!$B$2:$E$312,4,)</f>
        <v>#N/A</v>
      </c>
    </row>
    <row r="580" ht="15.75" customHeight="1">
      <c r="B580" s="16"/>
      <c r="C580" s="16" t="str">
        <f>VLOOKUP(B580,Sheet3!$B$2:$E$312,2,FALSE)</f>
        <v>#N/A</v>
      </c>
      <c r="D580" s="16" t="str">
        <f>VLOOKUP(B580,Sheet3!$B$2:$E$312,3,)</f>
        <v>#N/A</v>
      </c>
      <c r="E580" s="16" t="str">
        <f>VLOOKUP(B580,Sheet3!$B$2:$E$312,4,)</f>
        <v>#N/A</v>
      </c>
    </row>
    <row r="581" ht="15.75" customHeight="1">
      <c r="B581" s="16"/>
      <c r="C581" s="16" t="str">
        <f>VLOOKUP(B581,Sheet3!$B$2:$E$312,2,FALSE)</f>
        <v>#N/A</v>
      </c>
      <c r="D581" s="16" t="str">
        <f>VLOOKUP(B581,Sheet3!$B$2:$E$312,3,)</f>
        <v>#N/A</v>
      </c>
      <c r="E581" s="16" t="str">
        <f>VLOOKUP(B581,Sheet3!$B$2:$E$312,4,)</f>
        <v>#N/A</v>
      </c>
    </row>
    <row r="582" ht="15.75" customHeight="1">
      <c r="B582" s="16"/>
      <c r="C582" s="16" t="str">
        <f>VLOOKUP(B582,Sheet3!$B$2:$E$312,2,FALSE)</f>
        <v>#N/A</v>
      </c>
      <c r="D582" s="16" t="str">
        <f>VLOOKUP(B582,Sheet3!$B$2:$E$312,3,)</f>
        <v>#N/A</v>
      </c>
      <c r="E582" s="16" t="str">
        <f>VLOOKUP(B582,Sheet3!$B$2:$E$312,4,)</f>
        <v>#N/A</v>
      </c>
    </row>
    <row r="583" ht="15.75" customHeight="1">
      <c r="B583" s="16"/>
      <c r="C583" s="16" t="str">
        <f>VLOOKUP(B583,Sheet3!$B$2:$E$312,2,FALSE)</f>
        <v>#N/A</v>
      </c>
      <c r="D583" s="16" t="str">
        <f>VLOOKUP(B583,Sheet3!$B$2:$E$312,3,)</f>
        <v>#N/A</v>
      </c>
      <c r="E583" s="16" t="str">
        <f>VLOOKUP(B583,Sheet3!$B$2:$E$312,4,)</f>
        <v>#N/A</v>
      </c>
    </row>
    <row r="584" ht="15.75" customHeight="1">
      <c r="B584" s="16"/>
      <c r="C584" s="16" t="str">
        <f>VLOOKUP(B584,Sheet3!$B$2:$E$312,2,FALSE)</f>
        <v>#N/A</v>
      </c>
      <c r="D584" s="16" t="str">
        <f>VLOOKUP(B584,Sheet3!$B$2:$E$312,3,)</f>
        <v>#N/A</v>
      </c>
      <c r="E584" s="16" t="str">
        <f>VLOOKUP(B584,Sheet3!$B$2:$E$312,4,)</f>
        <v>#N/A</v>
      </c>
    </row>
    <row r="585" ht="15.75" customHeight="1">
      <c r="B585" s="16"/>
      <c r="C585" s="16" t="str">
        <f>VLOOKUP(B585,Sheet3!$B$2:$E$312,2,FALSE)</f>
        <v>#N/A</v>
      </c>
      <c r="D585" s="16" t="str">
        <f>VLOOKUP(B585,Sheet3!$B$2:$E$312,3,)</f>
        <v>#N/A</v>
      </c>
      <c r="E585" s="16" t="str">
        <f>VLOOKUP(B585,Sheet3!$B$2:$E$312,4,)</f>
        <v>#N/A</v>
      </c>
    </row>
    <row r="586" ht="15.75" customHeight="1">
      <c r="B586" s="16"/>
      <c r="C586" s="16" t="str">
        <f>VLOOKUP(B586,Sheet3!$B$2:$E$312,2,FALSE)</f>
        <v>#N/A</v>
      </c>
      <c r="D586" s="16" t="str">
        <f>VLOOKUP(B586,Sheet3!$B$2:$E$312,3,)</f>
        <v>#N/A</v>
      </c>
      <c r="E586" s="16" t="str">
        <f>VLOOKUP(B586,Sheet3!$B$2:$E$312,4,)</f>
        <v>#N/A</v>
      </c>
    </row>
    <row r="587" ht="15.75" customHeight="1">
      <c r="B587" s="16"/>
      <c r="C587" s="16" t="str">
        <f>VLOOKUP(B587,Sheet3!$B$2:$E$312,2,FALSE)</f>
        <v>#N/A</v>
      </c>
      <c r="D587" s="16" t="str">
        <f>VLOOKUP(B587,Sheet3!$B$2:$E$312,3,)</f>
        <v>#N/A</v>
      </c>
      <c r="E587" s="16" t="str">
        <f>VLOOKUP(B587,Sheet3!$B$2:$E$312,4,)</f>
        <v>#N/A</v>
      </c>
    </row>
    <row r="588" ht="15.75" customHeight="1">
      <c r="B588" s="16"/>
      <c r="C588" s="16" t="str">
        <f>VLOOKUP(B588,Sheet3!$B$2:$E$312,2,FALSE)</f>
        <v>#N/A</v>
      </c>
      <c r="D588" s="16" t="str">
        <f>VLOOKUP(B588,Sheet3!$B$2:$E$312,3,)</f>
        <v>#N/A</v>
      </c>
      <c r="E588" s="16" t="str">
        <f>VLOOKUP(B588,Sheet3!$B$2:$E$312,4,)</f>
        <v>#N/A</v>
      </c>
    </row>
    <row r="589" ht="15.75" customHeight="1">
      <c r="B589" s="16"/>
      <c r="C589" s="16" t="str">
        <f>VLOOKUP(B589,Sheet3!$B$2:$E$312,2,FALSE)</f>
        <v>#N/A</v>
      </c>
      <c r="D589" s="16" t="str">
        <f>VLOOKUP(B589,Sheet3!$B$2:$E$312,3,)</f>
        <v>#N/A</v>
      </c>
      <c r="E589" s="16" t="str">
        <f>VLOOKUP(B589,Sheet3!$B$2:$E$312,4,)</f>
        <v>#N/A</v>
      </c>
    </row>
    <row r="590" ht="15.75" customHeight="1">
      <c r="B590" s="16"/>
      <c r="C590" s="16" t="str">
        <f>VLOOKUP(B590,Sheet3!$B$2:$E$312,2,FALSE)</f>
        <v>#N/A</v>
      </c>
      <c r="D590" s="16" t="str">
        <f>VLOOKUP(B590,Sheet3!$B$2:$E$312,3,)</f>
        <v>#N/A</v>
      </c>
      <c r="E590" s="16" t="str">
        <f>VLOOKUP(B590,Sheet3!$B$2:$E$312,4,)</f>
        <v>#N/A</v>
      </c>
    </row>
    <row r="591" ht="15.75" customHeight="1">
      <c r="B591" s="16"/>
      <c r="C591" s="16" t="str">
        <f>VLOOKUP(B591,Sheet3!$B$2:$E$312,2,FALSE)</f>
        <v>#N/A</v>
      </c>
      <c r="D591" s="16" t="str">
        <f>VLOOKUP(B591,Sheet3!$B$2:$E$312,3,)</f>
        <v>#N/A</v>
      </c>
      <c r="E591" s="16" t="str">
        <f>VLOOKUP(B591,Sheet3!$B$2:$E$312,4,)</f>
        <v>#N/A</v>
      </c>
    </row>
    <row r="592" ht="15.75" customHeight="1">
      <c r="B592" s="16"/>
      <c r="C592" s="16" t="str">
        <f>VLOOKUP(B592,Sheet3!$B$2:$E$312,2,FALSE)</f>
        <v>#N/A</v>
      </c>
      <c r="D592" s="16" t="str">
        <f>VLOOKUP(B592,Sheet3!$B$2:$E$312,3,)</f>
        <v>#N/A</v>
      </c>
      <c r="E592" s="16" t="str">
        <f>VLOOKUP(B592,Sheet3!$B$2:$E$312,4,)</f>
        <v>#N/A</v>
      </c>
    </row>
    <row r="593" ht="15.75" customHeight="1">
      <c r="B593" s="16"/>
      <c r="C593" s="16" t="str">
        <f>VLOOKUP(B593,Sheet3!$B$2:$E$312,2,FALSE)</f>
        <v>#N/A</v>
      </c>
      <c r="D593" s="16" t="str">
        <f>VLOOKUP(B593,Sheet3!$B$2:$E$312,3,)</f>
        <v>#N/A</v>
      </c>
      <c r="E593" s="16" t="str">
        <f>VLOOKUP(B593,Sheet3!$B$2:$E$312,4,)</f>
        <v>#N/A</v>
      </c>
    </row>
    <row r="594" ht="15.75" customHeight="1">
      <c r="B594" s="16"/>
      <c r="C594" s="16" t="str">
        <f>VLOOKUP(B594,Sheet3!$B$2:$E$312,2,FALSE)</f>
        <v>#N/A</v>
      </c>
      <c r="D594" s="16" t="str">
        <f>VLOOKUP(B594,Sheet3!$B$2:$E$312,3,)</f>
        <v>#N/A</v>
      </c>
      <c r="E594" s="16" t="str">
        <f>VLOOKUP(B594,Sheet3!$B$2:$E$312,4,)</f>
        <v>#N/A</v>
      </c>
    </row>
    <row r="595" ht="15.75" customHeight="1">
      <c r="B595" s="16"/>
      <c r="C595" s="16" t="str">
        <f>VLOOKUP(B595,Sheet3!$B$2:$E$312,2,FALSE)</f>
        <v>#N/A</v>
      </c>
      <c r="D595" s="16" t="str">
        <f>VLOOKUP(B595,Sheet3!$B$2:$E$312,3,)</f>
        <v>#N/A</v>
      </c>
      <c r="E595" s="16" t="str">
        <f>VLOOKUP(B595,Sheet3!$B$2:$E$312,4,)</f>
        <v>#N/A</v>
      </c>
    </row>
    <row r="596" ht="15.75" customHeight="1">
      <c r="B596" s="16"/>
      <c r="C596" s="16" t="str">
        <f>VLOOKUP(B596,Sheet3!$B$2:$E$312,2,FALSE)</f>
        <v>#N/A</v>
      </c>
      <c r="D596" s="16" t="str">
        <f>VLOOKUP(B596,Sheet3!$B$2:$E$312,3,)</f>
        <v>#N/A</v>
      </c>
      <c r="E596" s="16" t="str">
        <f>VLOOKUP(B596,Sheet3!$B$2:$E$312,4,)</f>
        <v>#N/A</v>
      </c>
    </row>
    <row r="597" ht="15.75" customHeight="1">
      <c r="B597" s="16"/>
      <c r="C597" s="16" t="str">
        <f>VLOOKUP(B597,Sheet3!$B$2:$E$312,2,FALSE)</f>
        <v>#N/A</v>
      </c>
      <c r="D597" s="16" t="str">
        <f>VLOOKUP(B597,Sheet3!$B$2:$E$312,3,)</f>
        <v>#N/A</v>
      </c>
      <c r="E597" s="16" t="str">
        <f>VLOOKUP(B597,Sheet3!$B$2:$E$312,4,)</f>
        <v>#N/A</v>
      </c>
    </row>
    <row r="598" ht="15.75" customHeight="1">
      <c r="B598" s="16"/>
      <c r="C598" s="16" t="str">
        <f>VLOOKUP(B598,Sheet3!$B$2:$E$312,2,FALSE)</f>
        <v>#N/A</v>
      </c>
      <c r="D598" s="16" t="str">
        <f>VLOOKUP(B598,Sheet3!$B$2:$E$312,3,)</f>
        <v>#N/A</v>
      </c>
      <c r="E598" s="16" t="str">
        <f>VLOOKUP(B598,Sheet3!$B$2:$E$312,4,)</f>
        <v>#N/A</v>
      </c>
    </row>
    <row r="599" ht="15.75" customHeight="1">
      <c r="B599" s="16"/>
      <c r="C599" s="16" t="str">
        <f>VLOOKUP(B599,Sheet3!$B$2:$E$312,2,FALSE)</f>
        <v>#N/A</v>
      </c>
      <c r="D599" s="16" t="str">
        <f>VLOOKUP(B599,Sheet3!$B$2:$E$312,3,)</f>
        <v>#N/A</v>
      </c>
      <c r="E599" s="16" t="str">
        <f>VLOOKUP(B599,Sheet3!$B$2:$E$312,4,)</f>
        <v>#N/A</v>
      </c>
    </row>
    <row r="600" ht="15.75" customHeight="1">
      <c r="B600" s="16"/>
      <c r="C600" s="16" t="str">
        <f>VLOOKUP(B600,Sheet3!$B$2:$E$312,2,FALSE)</f>
        <v>#N/A</v>
      </c>
      <c r="D600" s="16" t="str">
        <f>VLOOKUP(B600,Sheet3!$B$2:$E$312,3,)</f>
        <v>#N/A</v>
      </c>
      <c r="E600" s="16" t="str">
        <f>VLOOKUP(B600,Sheet3!$B$2:$E$312,4,)</f>
        <v>#N/A</v>
      </c>
    </row>
    <row r="601" ht="15.75" customHeight="1">
      <c r="B601" s="16"/>
      <c r="C601" s="16" t="str">
        <f>VLOOKUP(B601,Sheet3!$B$2:$E$312,2,FALSE)</f>
        <v>#N/A</v>
      </c>
      <c r="D601" s="16" t="str">
        <f>VLOOKUP(B601,Sheet3!$B$2:$E$312,3,)</f>
        <v>#N/A</v>
      </c>
      <c r="E601" s="16" t="str">
        <f>VLOOKUP(B601,Sheet3!$B$2:$E$312,4,)</f>
        <v>#N/A</v>
      </c>
    </row>
    <row r="602" ht="15.75" customHeight="1">
      <c r="B602" s="16"/>
      <c r="C602" s="16" t="str">
        <f>VLOOKUP(B602,Sheet3!$B$2:$E$312,2,FALSE)</f>
        <v>#N/A</v>
      </c>
      <c r="D602" s="16" t="str">
        <f>VLOOKUP(B602,Sheet3!$B$2:$E$312,3,)</f>
        <v>#N/A</v>
      </c>
      <c r="E602" s="16" t="str">
        <f>VLOOKUP(B602,Sheet3!$B$2:$E$312,4,)</f>
        <v>#N/A</v>
      </c>
    </row>
    <row r="603" ht="15.75" customHeight="1">
      <c r="B603" s="16"/>
      <c r="C603" s="16" t="str">
        <f>VLOOKUP(B603,Sheet3!$B$2:$E$312,2,FALSE)</f>
        <v>#N/A</v>
      </c>
      <c r="D603" s="16" t="str">
        <f>VLOOKUP(B603,Sheet3!$B$2:$E$312,3,)</f>
        <v>#N/A</v>
      </c>
      <c r="E603" s="16" t="str">
        <f>VLOOKUP(B603,Sheet3!$B$2:$E$312,4,)</f>
        <v>#N/A</v>
      </c>
    </row>
    <row r="604" ht="15.75" customHeight="1">
      <c r="B604" s="16"/>
      <c r="C604" s="16" t="str">
        <f>VLOOKUP(B604,Sheet3!$B$2:$E$312,2,FALSE)</f>
        <v>#N/A</v>
      </c>
      <c r="D604" s="16" t="str">
        <f>VLOOKUP(B604,Sheet3!$B$2:$E$312,3,)</f>
        <v>#N/A</v>
      </c>
      <c r="E604" s="16" t="str">
        <f>VLOOKUP(B604,Sheet3!$B$2:$E$312,4,)</f>
        <v>#N/A</v>
      </c>
    </row>
    <row r="605" ht="15.75" customHeight="1">
      <c r="B605" s="16"/>
      <c r="C605" s="16" t="str">
        <f>VLOOKUP(B605,Sheet3!$B$2:$E$312,2,FALSE)</f>
        <v>#N/A</v>
      </c>
      <c r="D605" s="16" t="str">
        <f>VLOOKUP(B605,Sheet3!$B$2:$E$312,3,)</f>
        <v>#N/A</v>
      </c>
      <c r="E605" s="16" t="str">
        <f>VLOOKUP(B605,Sheet3!$B$2:$E$312,4,)</f>
        <v>#N/A</v>
      </c>
    </row>
    <row r="606" ht="15.75" customHeight="1">
      <c r="B606" s="16"/>
      <c r="C606" s="16" t="str">
        <f>VLOOKUP(B606,Sheet3!$B$2:$E$312,2,FALSE)</f>
        <v>#N/A</v>
      </c>
      <c r="D606" s="16" t="str">
        <f>VLOOKUP(B606,Sheet3!$B$2:$E$312,3,)</f>
        <v>#N/A</v>
      </c>
      <c r="E606" s="16" t="str">
        <f>VLOOKUP(B606,Sheet3!$B$2:$E$312,4,)</f>
        <v>#N/A</v>
      </c>
    </row>
    <row r="607" ht="15.75" customHeight="1">
      <c r="B607" s="16"/>
      <c r="C607" s="16" t="str">
        <f>VLOOKUP(B607,Sheet3!$B$2:$E$312,2,FALSE)</f>
        <v>#N/A</v>
      </c>
      <c r="D607" s="16" t="str">
        <f>VLOOKUP(B607,Sheet3!$B$2:$E$312,3,)</f>
        <v>#N/A</v>
      </c>
      <c r="E607" s="16" t="str">
        <f>VLOOKUP(B607,Sheet3!$B$2:$E$312,4,)</f>
        <v>#N/A</v>
      </c>
    </row>
    <row r="608" ht="15.75" customHeight="1">
      <c r="B608" s="16"/>
      <c r="C608" s="16" t="str">
        <f>VLOOKUP(B608,Sheet3!$B$2:$E$312,2,FALSE)</f>
        <v>#N/A</v>
      </c>
      <c r="D608" s="16" t="str">
        <f>VLOOKUP(B608,Sheet3!$B$2:$E$312,3,)</f>
        <v>#N/A</v>
      </c>
      <c r="E608" s="16" t="str">
        <f>VLOOKUP(B608,Sheet3!$B$2:$E$312,4,)</f>
        <v>#N/A</v>
      </c>
    </row>
    <row r="609" ht="15.75" customHeight="1">
      <c r="B609" s="16"/>
      <c r="C609" s="16" t="str">
        <f>VLOOKUP(B609,Sheet3!$B$2:$E$312,2,FALSE)</f>
        <v>#N/A</v>
      </c>
      <c r="D609" s="16" t="str">
        <f>VLOOKUP(B609,Sheet3!$B$2:$E$312,3,)</f>
        <v>#N/A</v>
      </c>
      <c r="E609" s="16" t="str">
        <f>VLOOKUP(B609,Sheet3!$B$2:$E$312,4,)</f>
        <v>#N/A</v>
      </c>
    </row>
    <row r="610" ht="15.75" customHeight="1">
      <c r="B610" s="16"/>
      <c r="C610" s="16" t="str">
        <f>VLOOKUP(B610,Sheet3!$B$2:$E$312,2,FALSE)</f>
        <v>#N/A</v>
      </c>
      <c r="D610" s="16" t="str">
        <f>VLOOKUP(B610,Sheet3!$B$2:$E$312,3,)</f>
        <v>#N/A</v>
      </c>
      <c r="E610" s="16" t="str">
        <f>VLOOKUP(B610,Sheet3!$B$2:$E$312,4,)</f>
        <v>#N/A</v>
      </c>
    </row>
    <row r="611" ht="15.75" customHeight="1">
      <c r="B611" s="16"/>
      <c r="C611" s="16" t="str">
        <f>VLOOKUP(B611,Sheet3!$B$2:$E$312,2,FALSE)</f>
        <v>#N/A</v>
      </c>
      <c r="D611" s="16" t="str">
        <f>VLOOKUP(B611,Sheet3!$B$2:$E$312,3,)</f>
        <v>#N/A</v>
      </c>
      <c r="E611" s="16" t="str">
        <f>VLOOKUP(B611,Sheet3!$B$2:$E$312,4,)</f>
        <v>#N/A</v>
      </c>
    </row>
    <row r="612" ht="15.75" customHeight="1">
      <c r="B612" s="16"/>
      <c r="C612" s="16" t="str">
        <f>VLOOKUP(B612,Sheet3!$B$2:$E$312,2,FALSE)</f>
        <v>#N/A</v>
      </c>
      <c r="D612" s="16" t="str">
        <f>VLOOKUP(B612,Sheet3!$B$2:$E$312,3,)</f>
        <v>#N/A</v>
      </c>
      <c r="E612" s="16" t="str">
        <f>VLOOKUP(B612,Sheet3!$B$2:$E$312,4,)</f>
        <v>#N/A</v>
      </c>
    </row>
    <row r="613" ht="15.75" customHeight="1">
      <c r="B613" s="16"/>
      <c r="C613" s="16" t="str">
        <f>VLOOKUP(B613,Sheet3!$B$2:$E$312,2,FALSE)</f>
        <v>#N/A</v>
      </c>
      <c r="D613" s="16" t="str">
        <f>VLOOKUP(B613,Sheet3!$B$2:$E$312,3,)</f>
        <v>#N/A</v>
      </c>
      <c r="E613" s="16" t="str">
        <f>VLOOKUP(B613,Sheet3!$B$2:$E$312,4,)</f>
        <v>#N/A</v>
      </c>
    </row>
    <row r="614" ht="15.75" customHeight="1">
      <c r="B614" s="16"/>
      <c r="C614" s="16" t="str">
        <f>VLOOKUP(B614,Sheet3!$B$2:$E$312,2,FALSE)</f>
        <v>#N/A</v>
      </c>
      <c r="D614" s="16" t="str">
        <f>VLOOKUP(B614,Sheet3!$B$2:$E$312,3,)</f>
        <v>#N/A</v>
      </c>
      <c r="E614" s="16" t="str">
        <f>VLOOKUP(B614,Sheet3!$B$2:$E$312,4,)</f>
        <v>#N/A</v>
      </c>
    </row>
    <row r="615" ht="15.75" customHeight="1">
      <c r="B615" s="16"/>
      <c r="C615" s="16" t="str">
        <f>VLOOKUP(B615,Sheet3!$B$2:$E$312,2,FALSE)</f>
        <v>#N/A</v>
      </c>
      <c r="D615" s="16" t="str">
        <f>VLOOKUP(B615,Sheet3!$B$2:$E$312,3,)</f>
        <v>#N/A</v>
      </c>
      <c r="E615" s="16" t="str">
        <f>VLOOKUP(B615,Sheet3!$B$2:$E$312,4,)</f>
        <v>#N/A</v>
      </c>
    </row>
    <row r="616" ht="15.75" customHeight="1">
      <c r="B616" s="16"/>
      <c r="C616" s="16" t="str">
        <f>VLOOKUP(B616,Sheet3!$B$2:$E$312,2,FALSE)</f>
        <v>#N/A</v>
      </c>
      <c r="D616" s="16" t="str">
        <f>VLOOKUP(B616,Sheet3!$B$2:$E$312,3,)</f>
        <v>#N/A</v>
      </c>
      <c r="E616" s="16" t="str">
        <f>VLOOKUP(B616,Sheet3!$B$2:$E$312,4,)</f>
        <v>#N/A</v>
      </c>
    </row>
    <row r="617" ht="15.75" customHeight="1">
      <c r="B617" s="16"/>
      <c r="C617" s="16" t="str">
        <f>VLOOKUP(B617,Sheet3!$B$2:$E$312,2,FALSE)</f>
        <v>#N/A</v>
      </c>
      <c r="D617" s="16" t="str">
        <f>VLOOKUP(B617,Sheet3!$B$2:$E$312,3,)</f>
        <v>#N/A</v>
      </c>
      <c r="E617" s="16" t="str">
        <f>VLOOKUP(B617,Sheet3!$B$2:$E$312,4,)</f>
        <v>#N/A</v>
      </c>
    </row>
    <row r="618" ht="15.75" customHeight="1">
      <c r="B618" s="16"/>
      <c r="C618" s="16" t="str">
        <f>VLOOKUP(B618,Sheet3!$B$2:$E$312,2,FALSE)</f>
        <v>#N/A</v>
      </c>
      <c r="D618" s="16" t="str">
        <f>VLOOKUP(B618,Sheet3!$B$2:$E$312,3,)</f>
        <v>#N/A</v>
      </c>
      <c r="E618" s="16" t="str">
        <f>VLOOKUP(B618,Sheet3!$B$2:$E$312,4,)</f>
        <v>#N/A</v>
      </c>
    </row>
    <row r="619" ht="15.75" customHeight="1">
      <c r="B619" s="16"/>
      <c r="C619" s="16" t="str">
        <f>VLOOKUP(B619,Sheet3!$B$2:$E$312,2,FALSE)</f>
        <v>#N/A</v>
      </c>
      <c r="D619" s="16" t="str">
        <f>VLOOKUP(B619,Sheet3!$B$2:$E$312,3,)</f>
        <v>#N/A</v>
      </c>
      <c r="E619" s="16" t="str">
        <f>VLOOKUP(B619,Sheet3!$B$2:$E$312,4,)</f>
        <v>#N/A</v>
      </c>
    </row>
    <row r="620" ht="15.75" customHeight="1">
      <c r="B620" s="16"/>
      <c r="C620" s="16" t="str">
        <f>VLOOKUP(B620,Sheet3!$B$2:$E$312,2,FALSE)</f>
        <v>#N/A</v>
      </c>
      <c r="D620" s="16" t="str">
        <f>VLOOKUP(B620,Sheet3!$B$2:$E$312,3,)</f>
        <v>#N/A</v>
      </c>
      <c r="E620" s="16" t="str">
        <f>VLOOKUP(B620,Sheet3!$B$2:$E$312,4,)</f>
        <v>#N/A</v>
      </c>
    </row>
    <row r="621" ht="15.75" customHeight="1">
      <c r="B621" s="16"/>
      <c r="C621" s="16" t="str">
        <f>VLOOKUP(B621,Sheet3!$B$2:$E$312,2,FALSE)</f>
        <v>#N/A</v>
      </c>
      <c r="D621" s="16" t="str">
        <f>VLOOKUP(B621,Sheet3!$B$2:$E$312,3,)</f>
        <v>#N/A</v>
      </c>
      <c r="E621" s="16" t="str">
        <f>VLOOKUP(B621,Sheet3!$B$2:$E$312,4,)</f>
        <v>#N/A</v>
      </c>
    </row>
    <row r="622" ht="15.75" customHeight="1">
      <c r="B622" s="16"/>
      <c r="C622" s="16" t="str">
        <f>VLOOKUP(B622,Sheet3!$B$2:$E$312,2,FALSE)</f>
        <v>#N/A</v>
      </c>
      <c r="D622" s="16" t="str">
        <f>VLOOKUP(B622,Sheet3!$B$2:$E$312,3,)</f>
        <v>#N/A</v>
      </c>
      <c r="E622" s="16" t="str">
        <f>VLOOKUP(B622,Sheet3!$B$2:$E$312,4,)</f>
        <v>#N/A</v>
      </c>
    </row>
    <row r="623" ht="15.75" customHeight="1">
      <c r="B623" s="16"/>
      <c r="C623" s="16" t="str">
        <f>VLOOKUP(B623,Sheet3!$B$2:$E$312,2,FALSE)</f>
        <v>#N/A</v>
      </c>
      <c r="D623" s="16" t="str">
        <f>VLOOKUP(B623,Sheet3!$B$2:$E$312,3,)</f>
        <v>#N/A</v>
      </c>
      <c r="E623" s="16" t="str">
        <f>VLOOKUP(B623,Sheet3!$B$2:$E$312,4,)</f>
        <v>#N/A</v>
      </c>
    </row>
    <row r="624" ht="15.75" customHeight="1">
      <c r="B624" s="16"/>
      <c r="C624" s="16" t="str">
        <f>VLOOKUP(B624,Sheet3!$B$2:$E$312,2,FALSE)</f>
        <v>#N/A</v>
      </c>
      <c r="D624" s="16" t="str">
        <f>VLOOKUP(B624,Sheet3!$B$2:$E$312,3,)</f>
        <v>#N/A</v>
      </c>
      <c r="E624" s="16" t="str">
        <f>VLOOKUP(B624,Sheet3!$B$2:$E$312,4,)</f>
        <v>#N/A</v>
      </c>
    </row>
    <row r="625" ht="15.75" customHeight="1">
      <c r="B625" s="16"/>
      <c r="C625" s="16" t="str">
        <f>VLOOKUP(B625,Sheet3!$B$2:$E$312,2,FALSE)</f>
        <v>#N/A</v>
      </c>
      <c r="D625" s="16" t="str">
        <f>VLOOKUP(B625,Sheet3!$B$2:$E$312,3,)</f>
        <v>#N/A</v>
      </c>
      <c r="E625" s="16" t="str">
        <f>VLOOKUP(B625,Sheet3!$B$2:$E$312,4,)</f>
        <v>#N/A</v>
      </c>
    </row>
    <row r="626" ht="15.75" customHeight="1">
      <c r="B626" s="16"/>
      <c r="C626" s="16" t="str">
        <f>VLOOKUP(B626,Sheet3!$B$2:$E$312,2,FALSE)</f>
        <v>#N/A</v>
      </c>
      <c r="D626" s="16" t="str">
        <f>VLOOKUP(B626,Sheet3!$B$2:$E$312,3,)</f>
        <v>#N/A</v>
      </c>
      <c r="E626" s="16" t="str">
        <f>VLOOKUP(B626,Sheet3!$B$2:$E$312,4,)</f>
        <v>#N/A</v>
      </c>
    </row>
    <row r="627" ht="15.75" customHeight="1">
      <c r="B627" s="16"/>
      <c r="C627" s="16" t="str">
        <f>VLOOKUP(B627,Sheet3!$B$2:$E$312,2,FALSE)</f>
        <v>#N/A</v>
      </c>
      <c r="D627" s="16" t="str">
        <f>VLOOKUP(B627,Sheet3!$B$2:$E$312,3,)</f>
        <v>#N/A</v>
      </c>
      <c r="E627" s="16" t="str">
        <f>VLOOKUP(B627,Sheet3!$B$2:$E$312,4,)</f>
        <v>#N/A</v>
      </c>
    </row>
    <row r="628" ht="15.75" customHeight="1">
      <c r="B628" s="16"/>
      <c r="C628" s="16" t="str">
        <f>VLOOKUP(B628,Sheet3!$B$2:$E$312,2,FALSE)</f>
        <v>#N/A</v>
      </c>
      <c r="D628" s="16" t="str">
        <f>VLOOKUP(B628,Sheet3!$B$2:$E$312,3,)</f>
        <v>#N/A</v>
      </c>
      <c r="E628" s="16" t="str">
        <f>VLOOKUP(B628,Sheet3!$B$2:$E$312,4,)</f>
        <v>#N/A</v>
      </c>
    </row>
    <row r="629" ht="15.75" customHeight="1">
      <c r="B629" s="16"/>
      <c r="C629" s="16" t="str">
        <f>VLOOKUP(B629,Sheet3!$B$2:$E$312,2,FALSE)</f>
        <v>#N/A</v>
      </c>
      <c r="D629" s="16" t="str">
        <f>VLOOKUP(B629,Sheet3!$B$2:$E$312,3,)</f>
        <v>#N/A</v>
      </c>
      <c r="E629" s="16" t="str">
        <f>VLOOKUP(B629,Sheet3!$B$2:$E$312,4,)</f>
        <v>#N/A</v>
      </c>
    </row>
    <row r="630" ht="15.75" customHeight="1">
      <c r="B630" s="16"/>
      <c r="C630" s="16" t="str">
        <f>VLOOKUP(B630,Sheet3!$B$2:$E$312,2,FALSE)</f>
        <v>#N/A</v>
      </c>
      <c r="D630" s="16" t="str">
        <f>VLOOKUP(B630,Sheet3!$B$2:$E$312,3,)</f>
        <v>#N/A</v>
      </c>
      <c r="E630" s="16" t="str">
        <f>VLOOKUP(B630,Sheet3!$B$2:$E$312,4,)</f>
        <v>#N/A</v>
      </c>
    </row>
    <row r="631" ht="15.75" customHeight="1">
      <c r="B631" s="16"/>
      <c r="C631" s="16" t="str">
        <f>VLOOKUP(B631,Sheet3!$B$2:$E$312,2,FALSE)</f>
        <v>#N/A</v>
      </c>
      <c r="D631" s="16" t="str">
        <f>VLOOKUP(B631,Sheet3!$B$2:$E$312,3,)</f>
        <v>#N/A</v>
      </c>
      <c r="E631" s="16" t="str">
        <f>VLOOKUP(B631,Sheet3!$B$2:$E$312,4,)</f>
        <v>#N/A</v>
      </c>
    </row>
    <row r="632" ht="15.75" customHeight="1">
      <c r="B632" s="16"/>
      <c r="C632" s="16" t="str">
        <f>VLOOKUP(B632,Sheet3!$B$2:$E$312,2,FALSE)</f>
        <v>#N/A</v>
      </c>
      <c r="D632" s="16" t="str">
        <f>VLOOKUP(B632,Sheet3!$B$2:$E$312,3,)</f>
        <v>#N/A</v>
      </c>
      <c r="E632" s="16" t="str">
        <f>VLOOKUP(B632,Sheet3!$B$2:$E$312,4,)</f>
        <v>#N/A</v>
      </c>
    </row>
    <row r="633" ht="15.75" customHeight="1">
      <c r="B633" s="16"/>
      <c r="C633" s="16" t="str">
        <f>VLOOKUP(B633,Sheet3!$B$2:$E$312,2,FALSE)</f>
        <v>#N/A</v>
      </c>
      <c r="D633" s="16" t="str">
        <f>VLOOKUP(B633,Sheet3!$B$2:$E$312,3,)</f>
        <v>#N/A</v>
      </c>
      <c r="E633" s="16" t="str">
        <f>VLOOKUP(B633,Sheet3!$B$2:$E$312,4,)</f>
        <v>#N/A</v>
      </c>
    </row>
    <row r="634" ht="15.75" customHeight="1">
      <c r="B634" s="16"/>
      <c r="C634" s="16" t="str">
        <f>VLOOKUP(B634,Sheet3!$B$2:$E$312,2,FALSE)</f>
        <v>#N/A</v>
      </c>
      <c r="D634" s="16" t="str">
        <f>VLOOKUP(B634,Sheet3!$B$2:$E$312,3,)</f>
        <v>#N/A</v>
      </c>
      <c r="E634" s="16" t="str">
        <f>VLOOKUP(B634,Sheet3!$B$2:$E$312,4,)</f>
        <v>#N/A</v>
      </c>
    </row>
    <row r="635" ht="15.75" customHeight="1">
      <c r="B635" s="16"/>
      <c r="C635" s="16" t="str">
        <f>VLOOKUP(B635,Sheet3!$B$2:$E$312,2,FALSE)</f>
        <v>#N/A</v>
      </c>
      <c r="D635" s="16" t="str">
        <f>VLOOKUP(B635,Sheet3!$B$2:$E$312,3,)</f>
        <v>#N/A</v>
      </c>
      <c r="E635" s="16" t="str">
        <f>VLOOKUP(B635,Sheet3!$B$2:$E$312,4,)</f>
        <v>#N/A</v>
      </c>
    </row>
    <row r="636" ht="15.75" customHeight="1">
      <c r="B636" s="16"/>
      <c r="C636" s="16" t="str">
        <f>VLOOKUP(B636,Sheet3!$B$2:$E$312,2,FALSE)</f>
        <v>#N/A</v>
      </c>
      <c r="D636" s="16" t="str">
        <f>VLOOKUP(B636,Sheet3!$B$2:$E$312,3,)</f>
        <v>#N/A</v>
      </c>
      <c r="E636" s="16" t="str">
        <f>VLOOKUP(B636,Sheet3!$B$2:$E$312,4,)</f>
        <v>#N/A</v>
      </c>
    </row>
    <row r="637" ht="15.75" customHeight="1">
      <c r="B637" s="16"/>
      <c r="C637" s="16" t="str">
        <f>VLOOKUP(B637,Sheet3!$B$2:$E$312,2,FALSE)</f>
        <v>#N/A</v>
      </c>
      <c r="D637" s="16" t="str">
        <f>VLOOKUP(B637,Sheet3!$B$2:$E$312,3,)</f>
        <v>#N/A</v>
      </c>
      <c r="E637" s="16" t="str">
        <f>VLOOKUP(B637,Sheet3!$B$2:$E$312,4,)</f>
        <v>#N/A</v>
      </c>
    </row>
    <row r="638" ht="15.75" customHeight="1">
      <c r="B638" s="16"/>
      <c r="C638" s="16" t="str">
        <f>VLOOKUP(B638,Sheet3!$B$2:$E$312,2,FALSE)</f>
        <v>#N/A</v>
      </c>
      <c r="D638" s="16" t="str">
        <f>VLOOKUP(B638,Sheet3!$B$2:$E$312,3,)</f>
        <v>#N/A</v>
      </c>
      <c r="E638" s="16" t="str">
        <f>VLOOKUP(B638,Sheet3!$B$2:$E$312,4,)</f>
        <v>#N/A</v>
      </c>
    </row>
    <row r="639" ht="15.75" customHeight="1">
      <c r="B639" s="16"/>
      <c r="C639" s="16" t="str">
        <f>VLOOKUP(B639,Sheet3!$B$2:$E$312,2,FALSE)</f>
        <v>#N/A</v>
      </c>
      <c r="D639" s="16" t="str">
        <f>VLOOKUP(B639,Sheet3!$B$2:$E$312,3,)</f>
        <v>#N/A</v>
      </c>
      <c r="E639" s="16" t="str">
        <f>VLOOKUP(B639,Sheet3!$B$2:$E$312,4,)</f>
        <v>#N/A</v>
      </c>
    </row>
    <row r="640" ht="15.75" customHeight="1">
      <c r="B640" s="16"/>
      <c r="C640" s="16" t="str">
        <f>VLOOKUP(B640,Sheet3!$B$2:$E$312,2,FALSE)</f>
        <v>#N/A</v>
      </c>
      <c r="D640" s="16" t="str">
        <f>VLOOKUP(B640,Sheet3!$B$2:$E$312,3,)</f>
        <v>#N/A</v>
      </c>
      <c r="E640" s="16" t="str">
        <f>VLOOKUP(B640,Sheet3!$B$2:$E$312,4,)</f>
        <v>#N/A</v>
      </c>
    </row>
    <row r="641" ht="15.75" customHeight="1">
      <c r="B641" s="16"/>
      <c r="C641" s="16" t="str">
        <f>VLOOKUP(B641,Sheet3!$B$2:$E$312,2,FALSE)</f>
        <v>#N/A</v>
      </c>
      <c r="D641" s="16" t="str">
        <f>VLOOKUP(B641,Sheet3!$B$2:$E$312,3,)</f>
        <v>#N/A</v>
      </c>
      <c r="E641" s="16" t="str">
        <f>VLOOKUP(B641,Sheet3!$B$2:$E$312,4,)</f>
        <v>#N/A</v>
      </c>
    </row>
    <row r="642" ht="15.75" customHeight="1">
      <c r="B642" s="16"/>
      <c r="C642" s="16" t="str">
        <f>VLOOKUP(B642,Sheet3!$B$2:$E$312,2,FALSE)</f>
        <v>#N/A</v>
      </c>
      <c r="D642" s="16" t="str">
        <f>VLOOKUP(B642,Sheet3!$B$2:$E$312,3,)</f>
        <v>#N/A</v>
      </c>
      <c r="E642" s="16" t="str">
        <f>VLOOKUP(B642,Sheet3!$B$2:$E$312,4,)</f>
        <v>#N/A</v>
      </c>
    </row>
    <row r="643" ht="15.75" customHeight="1">
      <c r="B643" s="16"/>
      <c r="C643" s="16" t="str">
        <f>VLOOKUP(B643,Sheet3!$B$2:$E$312,2,FALSE)</f>
        <v>#N/A</v>
      </c>
      <c r="D643" s="16" t="str">
        <f>VLOOKUP(B643,Sheet3!$B$2:$E$312,3,)</f>
        <v>#N/A</v>
      </c>
      <c r="E643" s="16" t="str">
        <f>VLOOKUP(B643,Sheet3!$B$2:$E$312,4,)</f>
        <v>#N/A</v>
      </c>
    </row>
    <row r="644" ht="15.75" customHeight="1">
      <c r="B644" s="16"/>
      <c r="C644" s="16" t="str">
        <f>VLOOKUP(B644,Sheet3!$B$2:$E$312,2,FALSE)</f>
        <v>#N/A</v>
      </c>
      <c r="D644" s="16" t="str">
        <f>VLOOKUP(B644,Sheet3!$B$2:$E$312,3,)</f>
        <v>#N/A</v>
      </c>
      <c r="E644" s="16" t="str">
        <f>VLOOKUP(B644,Sheet3!$B$2:$E$312,4,)</f>
        <v>#N/A</v>
      </c>
    </row>
    <row r="645" ht="15.75" customHeight="1">
      <c r="B645" s="16"/>
      <c r="C645" s="16" t="str">
        <f>VLOOKUP(B645,Sheet3!$B$2:$E$312,2,FALSE)</f>
        <v>#N/A</v>
      </c>
      <c r="D645" s="16" t="str">
        <f>VLOOKUP(B645,Sheet3!$B$2:$E$312,3,)</f>
        <v>#N/A</v>
      </c>
      <c r="E645" s="16" t="str">
        <f>VLOOKUP(B645,Sheet3!$B$2:$E$312,4,)</f>
        <v>#N/A</v>
      </c>
    </row>
    <row r="646" ht="15.75" customHeight="1">
      <c r="B646" s="16"/>
      <c r="C646" s="16" t="str">
        <f>VLOOKUP(B646,Sheet3!$B$2:$E$312,2,FALSE)</f>
        <v>#N/A</v>
      </c>
      <c r="D646" s="16" t="str">
        <f>VLOOKUP(B646,Sheet3!$B$2:$E$312,3,)</f>
        <v>#N/A</v>
      </c>
      <c r="E646" s="16" t="str">
        <f>VLOOKUP(B646,Sheet3!$B$2:$E$312,4,)</f>
        <v>#N/A</v>
      </c>
    </row>
    <row r="647" ht="15.75" customHeight="1">
      <c r="B647" s="16"/>
      <c r="C647" s="16" t="str">
        <f>VLOOKUP(B647,Sheet3!$B$2:$E$312,2,FALSE)</f>
        <v>#N/A</v>
      </c>
      <c r="D647" s="16" t="str">
        <f>VLOOKUP(B647,Sheet3!$B$2:$E$312,3,)</f>
        <v>#N/A</v>
      </c>
      <c r="E647" s="16" t="str">
        <f>VLOOKUP(B647,Sheet3!$B$2:$E$312,4,)</f>
        <v>#N/A</v>
      </c>
    </row>
    <row r="648" ht="15.75" customHeight="1">
      <c r="B648" s="16"/>
      <c r="C648" s="16" t="str">
        <f>VLOOKUP(B648,Sheet3!$B$2:$E$312,2,FALSE)</f>
        <v>#N/A</v>
      </c>
      <c r="D648" s="16" t="str">
        <f>VLOOKUP(B648,Sheet3!$B$2:$E$312,3,)</f>
        <v>#N/A</v>
      </c>
      <c r="E648" s="16" t="str">
        <f>VLOOKUP(B648,Sheet3!$B$2:$E$312,4,)</f>
        <v>#N/A</v>
      </c>
    </row>
    <row r="649" ht="15.75" customHeight="1">
      <c r="B649" s="16"/>
      <c r="C649" s="16" t="str">
        <f>VLOOKUP(B649,Sheet3!$B$2:$E$312,2,FALSE)</f>
        <v>#N/A</v>
      </c>
      <c r="D649" s="16" t="str">
        <f>VLOOKUP(B649,Sheet3!$B$2:$E$312,3,)</f>
        <v>#N/A</v>
      </c>
      <c r="E649" s="16" t="str">
        <f>VLOOKUP(B649,Sheet3!$B$2:$E$312,4,)</f>
        <v>#N/A</v>
      </c>
    </row>
    <row r="650" ht="15.75" customHeight="1">
      <c r="B650" s="16"/>
      <c r="C650" s="16" t="str">
        <f>VLOOKUP(B650,Sheet3!$B$2:$E$312,2,FALSE)</f>
        <v>#N/A</v>
      </c>
      <c r="D650" s="16" t="str">
        <f>VLOOKUP(B650,Sheet3!$B$2:$E$312,3,)</f>
        <v>#N/A</v>
      </c>
      <c r="E650" s="16" t="str">
        <f>VLOOKUP(B650,Sheet3!$B$2:$E$312,4,)</f>
        <v>#N/A</v>
      </c>
    </row>
    <row r="651" ht="15.75" customHeight="1">
      <c r="B651" s="16"/>
      <c r="C651" s="16" t="str">
        <f>VLOOKUP(B651,Sheet3!$B$2:$E$312,2,FALSE)</f>
        <v>#N/A</v>
      </c>
      <c r="D651" s="16" t="str">
        <f>VLOOKUP(B651,Sheet3!$B$2:$E$312,3,)</f>
        <v>#N/A</v>
      </c>
      <c r="E651" s="16" t="str">
        <f>VLOOKUP(B651,Sheet3!$B$2:$E$312,4,)</f>
        <v>#N/A</v>
      </c>
    </row>
    <row r="652" ht="15.75" customHeight="1">
      <c r="B652" s="16"/>
      <c r="C652" s="16" t="str">
        <f>VLOOKUP(B652,Sheet3!$B$2:$E$312,2,FALSE)</f>
        <v>#N/A</v>
      </c>
      <c r="D652" s="16" t="str">
        <f>VLOOKUP(B652,Sheet3!$B$2:$E$312,3,)</f>
        <v>#N/A</v>
      </c>
      <c r="E652" s="16" t="str">
        <f>VLOOKUP(B652,Sheet3!$B$2:$E$312,4,)</f>
        <v>#N/A</v>
      </c>
    </row>
    <row r="653" ht="15.75" customHeight="1">
      <c r="B653" s="16"/>
      <c r="C653" s="16" t="str">
        <f>VLOOKUP(B653,Sheet3!$B$2:$E$312,2,FALSE)</f>
        <v>#N/A</v>
      </c>
      <c r="D653" s="16" t="str">
        <f>VLOOKUP(B653,Sheet3!$B$2:$E$312,3,)</f>
        <v>#N/A</v>
      </c>
      <c r="E653" s="16" t="str">
        <f>VLOOKUP(B653,Sheet3!$B$2:$E$312,4,)</f>
        <v>#N/A</v>
      </c>
    </row>
    <row r="654" ht="15.75" customHeight="1">
      <c r="B654" s="16"/>
      <c r="C654" s="16" t="str">
        <f>VLOOKUP(B654,Sheet3!$B$2:$E$312,2,FALSE)</f>
        <v>#N/A</v>
      </c>
      <c r="D654" s="16" t="str">
        <f>VLOOKUP(B654,Sheet3!$B$2:$E$312,3,)</f>
        <v>#N/A</v>
      </c>
      <c r="E654" s="16" t="str">
        <f>VLOOKUP(B654,Sheet3!$B$2:$E$312,4,)</f>
        <v>#N/A</v>
      </c>
    </row>
    <row r="655" ht="15.75" customHeight="1">
      <c r="B655" s="16"/>
      <c r="C655" s="16" t="str">
        <f>VLOOKUP(B655,Sheet3!$B$2:$E$312,2,FALSE)</f>
        <v>#N/A</v>
      </c>
      <c r="D655" s="16" t="str">
        <f>VLOOKUP(B655,Sheet3!$B$2:$E$312,3,)</f>
        <v>#N/A</v>
      </c>
      <c r="E655" s="16" t="str">
        <f>VLOOKUP(B655,Sheet3!$B$2:$E$312,4,)</f>
        <v>#N/A</v>
      </c>
    </row>
    <row r="656" ht="15.75" customHeight="1">
      <c r="B656" s="16"/>
      <c r="C656" s="16" t="str">
        <f>VLOOKUP(B656,Sheet3!$B$2:$E$312,2,FALSE)</f>
        <v>#N/A</v>
      </c>
      <c r="D656" s="16" t="str">
        <f>VLOOKUP(B656,Sheet3!$B$2:$E$312,3,)</f>
        <v>#N/A</v>
      </c>
      <c r="E656" s="16" t="str">
        <f>VLOOKUP(B656,Sheet3!$B$2:$E$312,4,)</f>
        <v>#N/A</v>
      </c>
    </row>
    <row r="657" ht="15.75" customHeight="1">
      <c r="B657" s="16"/>
      <c r="C657" s="16" t="str">
        <f>VLOOKUP(B657,Sheet3!$B$2:$E$312,2,FALSE)</f>
        <v>#N/A</v>
      </c>
      <c r="D657" s="16" t="str">
        <f>VLOOKUP(B657,Sheet3!$B$2:$E$312,3,)</f>
        <v>#N/A</v>
      </c>
      <c r="E657" s="16" t="str">
        <f>VLOOKUP(B657,Sheet3!$B$2:$E$312,4,)</f>
        <v>#N/A</v>
      </c>
    </row>
    <row r="658" ht="15.75" customHeight="1">
      <c r="B658" s="16"/>
      <c r="C658" s="16" t="str">
        <f>VLOOKUP(B658,Sheet3!$B$2:$E$312,2,FALSE)</f>
        <v>#N/A</v>
      </c>
      <c r="D658" s="16" t="str">
        <f>VLOOKUP(B658,Sheet3!$B$2:$E$312,3,)</f>
        <v>#N/A</v>
      </c>
      <c r="E658" s="16" t="str">
        <f>VLOOKUP(B658,Sheet3!$B$2:$E$312,4,)</f>
        <v>#N/A</v>
      </c>
    </row>
    <row r="659" ht="15.75" customHeight="1">
      <c r="B659" s="16"/>
      <c r="C659" s="16" t="str">
        <f>VLOOKUP(B659,Sheet3!$B$2:$E$312,2,FALSE)</f>
        <v>#N/A</v>
      </c>
      <c r="D659" s="16" t="str">
        <f>VLOOKUP(B659,Sheet3!$B$2:$E$312,3,)</f>
        <v>#N/A</v>
      </c>
      <c r="E659" s="16" t="str">
        <f>VLOOKUP(B659,Sheet3!$B$2:$E$312,4,)</f>
        <v>#N/A</v>
      </c>
    </row>
    <row r="660" ht="15.75" customHeight="1">
      <c r="B660" s="16"/>
      <c r="C660" s="16" t="str">
        <f>VLOOKUP(B660,Sheet3!$B$2:$E$312,2,FALSE)</f>
        <v>#N/A</v>
      </c>
      <c r="D660" s="16" t="str">
        <f>VLOOKUP(B660,Sheet3!$B$2:$E$312,3,)</f>
        <v>#N/A</v>
      </c>
      <c r="E660" s="16" t="str">
        <f>VLOOKUP(B660,Sheet3!$B$2:$E$312,4,)</f>
        <v>#N/A</v>
      </c>
    </row>
    <row r="661" ht="15.75" customHeight="1">
      <c r="B661" s="16"/>
      <c r="C661" s="16" t="str">
        <f>VLOOKUP(B661,Sheet3!$B$2:$E$312,2,FALSE)</f>
        <v>#N/A</v>
      </c>
      <c r="D661" s="16" t="str">
        <f>VLOOKUP(B661,Sheet3!$B$2:$E$312,3,)</f>
        <v>#N/A</v>
      </c>
      <c r="E661" s="16" t="str">
        <f>VLOOKUP(B661,Sheet3!$B$2:$E$312,4,)</f>
        <v>#N/A</v>
      </c>
    </row>
    <row r="662" ht="15.75" customHeight="1">
      <c r="B662" s="16"/>
      <c r="C662" s="16" t="str">
        <f>VLOOKUP(B662,Sheet3!$B$2:$E$312,2,FALSE)</f>
        <v>#N/A</v>
      </c>
      <c r="D662" s="16" t="str">
        <f>VLOOKUP(B662,Sheet3!$B$2:$E$312,3,)</f>
        <v>#N/A</v>
      </c>
      <c r="E662" s="16" t="str">
        <f>VLOOKUP(B662,Sheet3!$B$2:$E$312,4,)</f>
        <v>#N/A</v>
      </c>
    </row>
    <row r="663" ht="15.75" customHeight="1">
      <c r="B663" s="16"/>
      <c r="C663" s="16" t="str">
        <f>VLOOKUP(B663,Sheet3!$B$2:$E$312,2,FALSE)</f>
        <v>#N/A</v>
      </c>
      <c r="D663" s="16" t="str">
        <f>VLOOKUP(B663,Sheet3!$B$2:$E$312,3,)</f>
        <v>#N/A</v>
      </c>
      <c r="E663" s="16" t="str">
        <f>VLOOKUP(B663,Sheet3!$B$2:$E$312,4,)</f>
        <v>#N/A</v>
      </c>
    </row>
    <row r="664" ht="15.75" customHeight="1">
      <c r="B664" s="16"/>
      <c r="C664" s="16" t="str">
        <f>VLOOKUP(B664,Sheet3!$B$2:$E$312,2,FALSE)</f>
        <v>#N/A</v>
      </c>
      <c r="D664" s="16" t="str">
        <f>VLOOKUP(B664,Sheet3!$B$2:$E$312,3,)</f>
        <v>#N/A</v>
      </c>
      <c r="E664" s="16" t="str">
        <f>VLOOKUP(B664,Sheet3!$B$2:$E$312,4,)</f>
        <v>#N/A</v>
      </c>
    </row>
    <row r="665" ht="15.75" customHeight="1">
      <c r="B665" s="16"/>
      <c r="C665" s="16" t="str">
        <f>VLOOKUP(B665,Sheet3!$B$2:$E$312,2,FALSE)</f>
        <v>#N/A</v>
      </c>
      <c r="D665" s="16" t="str">
        <f>VLOOKUP(B665,Sheet3!$B$2:$E$312,3,)</f>
        <v>#N/A</v>
      </c>
      <c r="E665" s="16" t="str">
        <f>VLOOKUP(B665,Sheet3!$B$2:$E$312,4,)</f>
        <v>#N/A</v>
      </c>
    </row>
    <row r="666" ht="15.75" customHeight="1">
      <c r="B666" s="16"/>
      <c r="C666" s="16" t="str">
        <f>VLOOKUP(B666,Sheet3!$B$2:$E$312,2,FALSE)</f>
        <v>#N/A</v>
      </c>
      <c r="D666" s="16" t="str">
        <f>VLOOKUP(B666,Sheet3!$B$2:$E$312,3,)</f>
        <v>#N/A</v>
      </c>
      <c r="E666" s="16" t="str">
        <f>VLOOKUP(B666,Sheet3!$B$2:$E$312,4,)</f>
        <v>#N/A</v>
      </c>
    </row>
    <row r="667" ht="15.75" customHeight="1">
      <c r="B667" s="16"/>
      <c r="C667" s="16" t="str">
        <f>VLOOKUP(B667,Sheet3!$B$2:$E$312,2,FALSE)</f>
        <v>#N/A</v>
      </c>
      <c r="D667" s="16" t="str">
        <f>VLOOKUP(B667,Sheet3!$B$2:$E$312,3,)</f>
        <v>#N/A</v>
      </c>
      <c r="E667" s="16" t="str">
        <f>VLOOKUP(B667,Sheet3!$B$2:$E$312,4,)</f>
        <v>#N/A</v>
      </c>
    </row>
    <row r="668" ht="15.75" customHeight="1">
      <c r="B668" s="16"/>
      <c r="C668" s="16" t="str">
        <f>VLOOKUP(B668,Sheet3!$B$2:$E$312,2,FALSE)</f>
        <v>#N/A</v>
      </c>
      <c r="D668" s="16" t="str">
        <f>VLOOKUP(B668,Sheet3!$B$2:$E$312,3,)</f>
        <v>#N/A</v>
      </c>
      <c r="E668" s="16" t="str">
        <f>VLOOKUP(B668,Sheet3!$B$2:$E$312,4,)</f>
        <v>#N/A</v>
      </c>
    </row>
    <row r="669" ht="15.75" customHeight="1">
      <c r="B669" s="16"/>
      <c r="C669" s="16" t="str">
        <f>VLOOKUP(B669,Sheet3!$B$2:$E$312,2,FALSE)</f>
        <v>#N/A</v>
      </c>
      <c r="D669" s="16" t="str">
        <f>VLOOKUP(B669,Sheet3!$B$2:$E$312,3,)</f>
        <v>#N/A</v>
      </c>
      <c r="E669" s="16" t="str">
        <f>VLOOKUP(B669,Sheet3!$B$2:$E$312,4,)</f>
        <v>#N/A</v>
      </c>
    </row>
    <row r="670" ht="15.75" customHeight="1">
      <c r="B670" s="16"/>
      <c r="C670" s="16" t="str">
        <f>VLOOKUP(B670,Sheet3!$B$2:$E$312,2,FALSE)</f>
        <v>#N/A</v>
      </c>
      <c r="D670" s="16" t="str">
        <f>VLOOKUP(B670,Sheet3!$B$2:$E$312,3,)</f>
        <v>#N/A</v>
      </c>
      <c r="E670" s="16" t="str">
        <f>VLOOKUP(B670,Sheet3!$B$2:$E$312,4,)</f>
        <v>#N/A</v>
      </c>
    </row>
    <row r="671" ht="15.75" customHeight="1">
      <c r="B671" s="16"/>
      <c r="C671" s="16" t="str">
        <f>VLOOKUP(B671,Sheet3!$B$2:$E$312,2,FALSE)</f>
        <v>#N/A</v>
      </c>
      <c r="D671" s="16" t="str">
        <f>VLOOKUP(B671,Sheet3!$B$2:$E$312,3,)</f>
        <v>#N/A</v>
      </c>
      <c r="E671" s="16" t="str">
        <f>VLOOKUP(B671,Sheet3!$B$2:$E$312,4,)</f>
        <v>#N/A</v>
      </c>
    </row>
    <row r="672" ht="15.75" customHeight="1">
      <c r="B672" s="16"/>
      <c r="C672" s="16" t="str">
        <f>VLOOKUP(B672,Sheet3!$B$2:$E$312,2,FALSE)</f>
        <v>#N/A</v>
      </c>
      <c r="D672" s="16" t="str">
        <f>VLOOKUP(B672,Sheet3!$B$2:$E$312,3,)</f>
        <v>#N/A</v>
      </c>
      <c r="E672" s="16" t="str">
        <f>VLOOKUP(B672,Sheet3!$B$2:$E$312,4,)</f>
        <v>#N/A</v>
      </c>
    </row>
    <row r="673" ht="15.75" customHeight="1">
      <c r="B673" s="16"/>
      <c r="C673" s="16" t="str">
        <f>VLOOKUP(B673,Sheet3!$B$2:$E$312,2,FALSE)</f>
        <v>#N/A</v>
      </c>
      <c r="D673" s="16" t="str">
        <f>VLOOKUP(B673,Sheet3!$B$2:$E$312,3,)</f>
        <v>#N/A</v>
      </c>
      <c r="E673" s="16" t="str">
        <f>VLOOKUP(B673,Sheet3!$B$2:$E$312,4,)</f>
        <v>#N/A</v>
      </c>
    </row>
    <row r="674" ht="15.75" customHeight="1">
      <c r="B674" s="16"/>
      <c r="C674" s="16" t="str">
        <f>VLOOKUP(B674,Sheet3!$B$2:$E$312,2,FALSE)</f>
        <v>#N/A</v>
      </c>
      <c r="D674" s="16" t="str">
        <f>VLOOKUP(B674,Sheet3!$B$2:$E$312,3,)</f>
        <v>#N/A</v>
      </c>
      <c r="E674" s="16" t="str">
        <f>VLOOKUP(B674,Sheet3!$B$2:$E$312,4,)</f>
        <v>#N/A</v>
      </c>
    </row>
    <row r="675" ht="15.75" customHeight="1">
      <c r="B675" s="16"/>
      <c r="C675" s="16" t="str">
        <f>VLOOKUP(B675,Sheet3!$B$2:$E$312,2,FALSE)</f>
        <v>#N/A</v>
      </c>
      <c r="D675" s="16" t="str">
        <f>VLOOKUP(B675,Sheet3!$B$2:$E$312,3,)</f>
        <v>#N/A</v>
      </c>
      <c r="E675" s="16" t="str">
        <f>VLOOKUP(B675,Sheet3!$B$2:$E$312,4,)</f>
        <v>#N/A</v>
      </c>
    </row>
    <row r="676" ht="15.75" customHeight="1">
      <c r="B676" s="16"/>
      <c r="C676" s="16" t="str">
        <f>VLOOKUP(B676,Sheet3!$B$2:$E$312,2,FALSE)</f>
        <v>#N/A</v>
      </c>
      <c r="D676" s="16" t="str">
        <f>VLOOKUP(B676,Sheet3!$B$2:$E$312,3,)</f>
        <v>#N/A</v>
      </c>
      <c r="E676" s="16" t="str">
        <f>VLOOKUP(B676,Sheet3!$B$2:$E$312,4,)</f>
        <v>#N/A</v>
      </c>
    </row>
    <row r="677" ht="15.75" customHeight="1">
      <c r="B677" s="16"/>
      <c r="C677" s="16" t="str">
        <f>VLOOKUP(B677,Sheet3!$B$2:$E$312,2,FALSE)</f>
        <v>#N/A</v>
      </c>
      <c r="D677" s="16" t="str">
        <f>VLOOKUP(B677,Sheet3!$B$2:$E$312,3,)</f>
        <v>#N/A</v>
      </c>
      <c r="E677" s="16" t="str">
        <f>VLOOKUP(B677,Sheet3!$B$2:$E$312,4,)</f>
        <v>#N/A</v>
      </c>
    </row>
    <row r="678" ht="15.75" customHeight="1">
      <c r="B678" s="16"/>
      <c r="C678" s="16" t="str">
        <f>VLOOKUP(B678,Sheet3!$B$2:$E$312,2,FALSE)</f>
        <v>#N/A</v>
      </c>
      <c r="D678" s="16" t="str">
        <f>VLOOKUP(B678,Sheet3!$B$2:$E$312,3,)</f>
        <v>#N/A</v>
      </c>
      <c r="E678" s="16" t="str">
        <f>VLOOKUP(B678,Sheet3!$B$2:$E$312,4,)</f>
        <v>#N/A</v>
      </c>
    </row>
    <row r="679" ht="15.75" customHeight="1">
      <c r="B679" s="16"/>
      <c r="C679" s="16" t="str">
        <f>VLOOKUP(B679,Sheet3!$B$2:$E$312,2,FALSE)</f>
        <v>#N/A</v>
      </c>
      <c r="D679" s="16" t="str">
        <f>VLOOKUP(B679,Sheet3!$B$2:$E$312,3,)</f>
        <v>#N/A</v>
      </c>
      <c r="E679" s="16" t="str">
        <f>VLOOKUP(B679,Sheet3!$B$2:$E$312,4,)</f>
        <v>#N/A</v>
      </c>
    </row>
    <row r="680" ht="15.75" customHeight="1">
      <c r="B680" s="16"/>
      <c r="C680" s="16" t="str">
        <f>VLOOKUP(B680,Sheet3!$B$2:$E$312,2,FALSE)</f>
        <v>#N/A</v>
      </c>
      <c r="D680" s="16" t="str">
        <f>VLOOKUP(B680,Sheet3!$B$2:$E$312,3,)</f>
        <v>#N/A</v>
      </c>
      <c r="E680" s="16" t="str">
        <f>VLOOKUP(B680,Sheet3!$B$2:$E$312,4,)</f>
        <v>#N/A</v>
      </c>
    </row>
    <row r="681" ht="15.75" customHeight="1">
      <c r="B681" s="16"/>
      <c r="C681" s="16" t="str">
        <f>VLOOKUP(B681,Sheet3!$B$2:$E$312,2,FALSE)</f>
        <v>#N/A</v>
      </c>
      <c r="D681" s="16" t="str">
        <f>VLOOKUP(B681,Sheet3!$B$2:$E$312,3,)</f>
        <v>#N/A</v>
      </c>
      <c r="E681" s="16" t="str">
        <f>VLOOKUP(B681,Sheet3!$B$2:$E$312,4,)</f>
        <v>#N/A</v>
      </c>
    </row>
    <row r="682" ht="15.75" customHeight="1">
      <c r="B682" s="16"/>
      <c r="C682" s="16" t="str">
        <f>VLOOKUP(B682,Sheet3!$B$2:$E$312,2,FALSE)</f>
        <v>#N/A</v>
      </c>
      <c r="D682" s="16" t="str">
        <f>VLOOKUP(B682,Sheet3!$B$2:$E$312,3,)</f>
        <v>#N/A</v>
      </c>
      <c r="E682" s="16" t="str">
        <f>VLOOKUP(B682,Sheet3!$B$2:$E$312,4,)</f>
        <v>#N/A</v>
      </c>
    </row>
    <row r="683" ht="15.75" customHeight="1">
      <c r="B683" s="16"/>
      <c r="C683" s="16" t="str">
        <f>VLOOKUP(B683,Sheet3!$B$2:$E$312,2,FALSE)</f>
        <v>#N/A</v>
      </c>
      <c r="D683" s="16" t="str">
        <f>VLOOKUP(B683,Sheet3!$B$2:$E$312,3,)</f>
        <v>#N/A</v>
      </c>
      <c r="E683" s="16" t="str">
        <f>VLOOKUP(B683,Sheet3!$B$2:$E$312,4,)</f>
        <v>#N/A</v>
      </c>
    </row>
    <row r="684" ht="15.75" customHeight="1">
      <c r="B684" s="16"/>
      <c r="C684" s="16" t="str">
        <f>VLOOKUP(B684,Sheet3!$B$2:$E$312,2,FALSE)</f>
        <v>#N/A</v>
      </c>
      <c r="D684" s="16" t="str">
        <f>VLOOKUP(B684,Sheet3!$B$2:$E$312,3,)</f>
        <v>#N/A</v>
      </c>
      <c r="E684" s="16" t="str">
        <f>VLOOKUP(B684,Sheet3!$B$2:$E$312,4,)</f>
        <v>#N/A</v>
      </c>
    </row>
    <row r="685" ht="15.75" customHeight="1">
      <c r="B685" s="16"/>
      <c r="C685" s="16" t="str">
        <f>VLOOKUP(B685,Sheet3!$B$2:$E$312,2,FALSE)</f>
        <v>#N/A</v>
      </c>
      <c r="D685" s="16" t="str">
        <f>VLOOKUP(B685,Sheet3!$B$2:$E$312,3,)</f>
        <v>#N/A</v>
      </c>
      <c r="E685" s="16" t="str">
        <f>VLOOKUP(B685,Sheet3!$B$2:$E$312,4,)</f>
        <v>#N/A</v>
      </c>
    </row>
    <row r="686" ht="15.75" customHeight="1">
      <c r="B686" s="16"/>
      <c r="C686" s="16" t="str">
        <f>VLOOKUP(B686,Sheet3!$B$2:$E$312,2,FALSE)</f>
        <v>#N/A</v>
      </c>
      <c r="D686" s="16" t="str">
        <f>VLOOKUP(B686,Sheet3!$B$2:$E$312,3,)</f>
        <v>#N/A</v>
      </c>
      <c r="E686" s="16" t="str">
        <f>VLOOKUP(B686,Sheet3!$B$2:$E$312,4,)</f>
        <v>#N/A</v>
      </c>
    </row>
    <row r="687" ht="15.75" customHeight="1">
      <c r="B687" s="16"/>
      <c r="C687" s="16" t="str">
        <f>VLOOKUP(B687,Sheet3!$B$2:$E$312,2,FALSE)</f>
        <v>#N/A</v>
      </c>
      <c r="D687" s="16" t="str">
        <f>VLOOKUP(B687,Sheet3!$B$2:$E$312,3,)</f>
        <v>#N/A</v>
      </c>
      <c r="E687" s="16" t="str">
        <f>VLOOKUP(B687,Sheet3!$B$2:$E$312,4,)</f>
        <v>#N/A</v>
      </c>
    </row>
    <row r="688" ht="15.75" customHeight="1">
      <c r="B688" s="16"/>
      <c r="C688" s="16" t="str">
        <f>VLOOKUP(B688,Sheet3!$B$2:$E$312,2,FALSE)</f>
        <v>#N/A</v>
      </c>
      <c r="D688" s="16" t="str">
        <f>VLOOKUP(B688,Sheet3!$B$2:$E$312,3,)</f>
        <v>#N/A</v>
      </c>
      <c r="E688" s="16" t="str">
        <f>VLOOKUP(B688,Sheet3!$B$2:$E$312,4,)</f>
        <v>#N/A</v>
      </c>
    </row>
    <row r="689" ht="15.75" customHeight="1">
      <c r="B689" s="16"/>
      <c r="C689" s="16" t="str">
        <f>VLOOKUP(B689,Sheet3!$B$2:$E$312,2,FALSE)</f>
        <v>#N/A</v>
      </c>
      <c r="D689" s="16" t="str">
        <f>VLOOKUP(B689,Sheet3!$B$2:$E$312,3,)</f>
        <v>#N/A</v>
      </c>
      <c r="E689" s="16" t="str">
        <f>VLOOKUP(B689,Sheet3!$B$2:$E$312,4,)</f>
        <v>#N/A</v>
      </c>
    </row>
    <row r="690" ht="15.75" customHeight="1">
      <c r="B690" s="16"/>
      <c r="C690" s="16" t="str">
        <f>VLOOKUP(B690,Sheet3!$B$2:$E$312,2,FALSE)</f>
        <v>#N/A</v>
      </c>
      <c r="D690" s="16" t="str">
        <f>VLOOKUP(B690,Sheet3!$B$2:$E$312,3,)</f>
        <v>#N/A</v>
      </c>
      <c r="E690" s="16" t="str">
        <f>VLOOKUP(B690,Sheet3!$B$2:$E$312,4,)</f>
        <v>#N/A</v>
      </c>
    </row>
    <row r="691" ht="15.75" customHeight="1">
      <c r="B691" s="16"/>
      <c r="C691" s="16" t="str">
        <f>VLOOKUP(B691,Sheet3!$B$2:$E$312,2,FALSE)</f>
        <v>#N/A</v>
      </c>
      <c r="D691" s="16" t="str">
        <f>VLOOKUP(B691,Sheet3!$B$2:$E$312,3,)</f>
        <v>#N/A</v>
      </c>
      <c r="E691" s="16" t="str">
        <f>VLOOKUP(B691,Sheet3!$B$2:$E$312,4,)</f>
        <v>#N/A</v>
      </c>
    </row>
    <row r="692" ht="15.75" customHeight="1">
      <c r="B692" s="16"/>
      <c r="C692" s="16" t="str">
        <f>VLOOKUP(B692,Sheet3!$B$2:$E$312,2,FALSE)</f>
        <v>#N/A</v>
      </c>
      <c r="D692" s="16" t="str">
        <f>VLOOKUP(B692,Sheet3!$B$2:$E$312,3,)</f>
        <v>#N/A</v>
      </c>
      <c r="E692" s="16" t="str">
        <f>VLOOKUP(B692,Sheet3!$B$2:$E$312,4,)</f>
        <v>#N/A</v>
      </c>
    </row>
    <row r="693" ht="15.75" customHeight="1">
      <c r="B693" s="16"/>
      <c r="C693" s="16" t="str">
        <f>VLOOKUP(B693,Sheet3!$B$2:$E$312,2,FALSE)</f>
        <v>#N/A</v>
      </c>
      <c r="D693" s="16" t="str">
        <f>VLOOKUP(B693,Sheet3!$B$2:$E$312,3,)</f>
        <v>#N/A</v>
      </c>
      <c r="E693" s="16" t="str">
        <f>VLOOKUP(B693,Sheet3!$B$2:$E$312,4,)</f>
        <v>#N/A</v>
      </c>
    </row>
    <row r="694" ht="15.75" customHeight="1">
      <c r="B694" s="16"/>
      <c r="C694" s="16" t="str">
        <f>VLOOKUP(B694,Sheet3!$B$2:$E$312,2,FALSE)</f>
        <v>#N/A</v>
      </c>
      <c r="D694" s="16" t="str">
        <f>VLOOKUP(B694,Sheet3!$B$2:$E$312,3,)</f>
        <v>#N/A</v>
      </c>
      <c r="E694" s="16" t="str">
        <f>VLOOKUP(B694,Sheet3!$B$2:$E$312,4,)</f>
        <v>#N/A</v>
      </c>
    </row>
    <row r="695" ht="15.75" customHeight="1">
      <c r="B695" s="16"/>
      <c r="C695" s="16" t="str">
        <f>VLOOKUP(B695,Sheet3!$B$2:$E$312,2,FALSE)</f>
        <v>#N/A</v>
      </c>
      <c r="D695" s="16" t="str">
        <f>VLOOKUP(B695,Sheet3!$B$2:$E$312,3,)</f>
        <v>#N/A</v>
      </c>
      <c r="E695" s="16" t="str">
        <f>VLOOKUP(B695,Sheet3!$B$2:$E$312,4,)</f>
        <v>#N/A</v>
      </c>
    </row>
    <row r="696" ht="15.75" customHeight="1">
      <c r="B696" s="16"/>
      <c r="C696" s="16" t="str">
        <f>VLOOKUP(B696,Sheet3!$B$2:$E$312,2,FALSE)</f>
        <v>#N/A</v>
      </c>
      <c r="D696" s="16" t="str">
        <f>VLOOKUP(B696,Sheet3!$B$2:$E$312,3,)</f>
        <v>#N/A</v>
      </c>
      <c r="E696" s="16" t="str">
        <f>VLOOKUP(B696,Sheet3!$B$2:$E$312,4,)</f>
        <v>#N/A</v>
      </c>
    </row>
    <row r="697" ht="15.75" customHeight="1">
      <c r="B697" s="16"/>
      <c r="C697" s="16" t="str">
        <f>VLOOKUP(B697,Sheet3!$B$2:$E$312,2,FALSE)</f>
        <v>#N/A</v>
      </c>
      <c r="D697" s="16" t="str">
        <f>VLOOKUP(B697,Sheet3!$B$2:$E$312,3,)</f>
        <v>#N/A</v>
      </c>
      <c r="E697" s="16" t="str">
        <f>VLOOKUP(B697,Sheet3!$B$2:$E$312,4,)</f>
        <v>#N/A</v>
      </c>
    </row>
    <row r="698" ht="15.75" customHeight="1">
      <c r="B698" s="16"/>
      <c r="C698" s="16" t="str">
        <f>VLOOKUP(B698,Sheet3!$B$2:$E$312,2,FALSE)</f>
        <v>#N/A</v>
      </c>
      <c r="D698" s="16" t="str">
        <f>VLOOKUP(B698,Sheet3!$B$2:$E$312,3,)</f>
        <v>#N/A</v>
      </c>
      <c r="E698" s="16" t="str">
        <f>VLOOKUP(B698,Sheet3!$B$2:$E$312,4,)</f>
        <v>#N/A</v>
      </c>
    </row>
    <row r="699" ht="15.75" customHeight="1">
      <c r="B699" s="16"/>
      <c r="C699" s="16" t="str">
        <f>VLOOKUP(B699,Sheet3!$B$2:$E$312,2,FALSE)</f>
        <v>#N/A</v>
      </c>
      <c r="D699" s="16" t="str">
        <f>VLOOKUP(B699,Sheet3!$B$2:$E$312,3,)</f>
        <v>#N/A</v>
      </c>
      <c r="E699" s="16" t="str">
        <f>VLOOKUP(B699,Sheet3!$B$2:$E$312,4,)</f>
        <v>#N/A</v>
      </c>
    </row>
    <row r="700" ht="15.75" customHeight="1">
      <c r="B700" s="16"/>
      <c r="C700" s="16" t="str">
        <f>VLOOKUP(B700,Sheet3!$B$2:$E$312,2,FALSE)</f>
        <v>#N/A</v>
      </c>
      <c r="D700" s="16" t="str">
        <f>VLOOKUP(B700,Sheet3!$B$2:$E$312,3,)</f>
        <v>#N/A</v>
      </c>
      <c r="E700" s="16" t="str">
        <f>VLOOKUP(B700,Sheet3!$B$2:$E$312,4,)</f>
        <v>#N/A</v>
      </c>
    </row>
    <row r="701" ht="15.75" customHeight="1">
      <c r="B701" s="16"/>
      <c r="C701" s="16" t="str">
        <f>VLOOKUP(B701,Sheet3!$B$2:$E$312,2,FALSE)</f>
        <v>#N/A</v>
      </c>
      <c r="D701" s="16" t="str">
        <f>VLOOKUP(B701,Sheet3!$B$2:$E$312,3,)</f>
        <v>#N/A</v>
      </c>
      <c r="E701" s="16" t="str">
        <f>VLOOKUP(B701,Sheet3!$B$2:$E$312,4,)</f>
        <v>#N/A</v>
      </c>
    </row>
    <row r="702" ht="15.75" customHeight="1">
      <c r="B702" s="16"/>
      <c r="C702" s="16" t="str">
        <f>VLOOKUP(B702,Sheet3!$B$2:$E$312,2,FALSE)</f>
        <v>#N/A</v>
      </c>
      <c r="D702" s="16" t="str">
        <f>VLOOKUP(B702,Sheet3!$B$2:$E$312,3,)</f>
        <v>#N/A</v>
      </c>
      <c r="E702" s="16" t="str">
        <f>VLOOKUP(B702,Sheet3!$B$2:$E$312,4,)</f>
        <v>#N/A</v>
      </c>
    </row>
    <row r="703" ht="15.75" customHeight="1">
      <c r="B703" s="16"/>
      <c r="C703" s="16" t="str">
        <f>VLOOKUP(B703,Sheet3!$B$2:$E$312,2,FALSE)</f>
        <v>#N/A</v>
      </c>
      <c r="D703" s="16" t="str">
        <f>VLOOKUP(B703,Sheet3!$B$2:$E$312,3,)</f>
        <v>#N/A</v>
      </c>
      <c r="E703" s="16" t="str">
        <f>VLOOKUP(B703,Sheet3!$B$2:$E$312,4,)</f>
        <v>#N/A</v>
      </c>
    </row>
    <row r="704" ht="15.75" customHeight="1">
      <c r="B704" s="16"/>
      <c r="C704" s="16" t="str">
        <f>VLOOKUP(B704,Sheet3!$B$2:$E$312,2,FALSE)</f>
        <v>#N/A</v>
      </c>
      <c r="D704" s="16" t="str">
        <f>VLOOKUP(B704,Sheet3!$B$2:$E$312,3,)</f>
        <v>#N/A</v>
      </c>
      <c r="E704" s="16" t="str">
        <f>VLOOKUP(B704,Sheet3!$B$2:$E$312,4,)</f>
        <v>#N/A</v>
      </c>
    </row>
    <row r="705" ht="15.75" customHeight="1">
      <c r="B705" s="16"/>
      <c r="C705" s="16" t="str">
        <f>VLOOKUP(B705,Sheet3!$B$2:$E$312,2,FALSE)</f>
        <v>#N/A</v>
      </c>
      <c r="D705" s="16" t="str">
        <f>VLOOKUP(B705,Sheet3!$B$2:$E$312,3,)</f>
        <v>#N/A</v>
      </c>
      <c r="E705" s="16" t="str">
        <f>VLOOKUP(B705,Sheet3!$B$2:$E$312,4,)</f>
        <v>#N/A</v>
      </c>
    </row>
    <row r="706" ht="15.75" customHeight="1">
      <c r="B706" s="16"/>
      <c r="C706" s="16" t="str">
        <f>VLOOKUP(B706,Sheet3!$B$2:$E$312,2,FALSE)</f>
        <v>#N/A</v>
      </c>
      <c r="D706" s="16" t="str">
        <f>VLOOKUP(B706,Sheet3!$B$2:$E$312,3,)</f>
        <v>#N/A</v>
      </c>
      <c r="E706" s="16" t="str">
        <f>VLOOKUP(B706,Sheet3!$B$2:$E$312,4,)</f>
        <v>#N/A</v>
      </c>
    </row>
    <row r="707" ht="15.75" customHeight="1">
      <c r="B707" s="16"/>
      <c r="C707" s="16" t="str">
        <f>VLOOKUP(B707,Sheet3!$B$2:$E$312,2,FALSE)</f>
        <v>#N/A</v>
      </c>
      <c r="D707" s="16" t="str">
        <f>VLOOKUP(B707,Sheet3!$B$2:$E$312,3,)</f>
        <v>#N/A</v>
      </c>
      <c r="E707" s="16" t="str">
        <f>VLOOKUP(B707,Sheet3!$B$2:$E$312,4,)</f>
        <v>#N/A</v>
      </c>
    </row>
    <row r="708" ht="15.75" customHeight="1">
      <c r="B708" s="16"/>
      <c r="C708" s="16" t="str">
        <f>VLOOKUP(B708,Sheet3!$B$2:$E$312,2,FALSE)</f>
        <v>#N/A</v>
      </c>
      <c r="D708" s="16" t="str">
        <f>VLOOKUP(B708,Sheet3!$B$2:$E$312,3,)</f>
        <v>#N/A</v>
      </c>
      <c r="E708" s="16" t="str">
        <f>VLOOKUP(B708,Sheet3!$B$2:$E$312,4,)</f>
        <v>#N/A</v>
      </c>
    </row>
    <row r="709" ht="15.75" customHeight="1">
      <c r="B709" s="16"/>
      <c r="C709" s="16" t="str">
        <f>VLOOKUP(B709,Sheet3!$B$2:$E$312,2,FALSE)</f>
        <v>#N/A</v>
      </c>
      <c r="D709" s="16" t="str">
        <f>VLOOKUP(B709,Sheet3!$B$2:$E$312,3,)</f>
        <v>#N/A</v>
      </c>
      <c r="E709" s="16" t="str">
        <f>VLOOKUP(B709,Sheet3!$B$2:$E$312,4,)</f>
        <v>#N/A</v>
      </c>
    </row>
    <row r="710" ht="15.75" customHeight="1">
      <c r="B710" s="16"/>
      <c r="C710" s="16" t="str">
        <f>VLOOKUP(B710,Sheet3!$B$2:$E$312,2,FALSE)</f>
        <v>#N/A</v>
      </c>
      <c r="D710" s="16" t="str">
        <f>VLOOKUP(B710,Sheet3!$B$2:$E$312,3,)</f>
        <v>#N/A</v>
      </c>
      <c r="E710" s="16" t="str">
        <f>VLOOKUP(B710,Sheet3!$B$2:$E$312,4,)</f>
        <v>#N/A</v>
      </c>
    </row>
    <row r="711" ht="15.75" customHeight="1">
      <c r="B711" s="16"/>
      <c r="C711" s="16" t="str">
        <f>VLOOKUP(B711,Sheet3!$B$2:$E$312,2,FALSE)</f>
        <v>#N/A</v>
      </c>
      <c r="D711" s="16" t="str">
        <f>VLOOKUP(B711,Sheet3!$B$2:$E$312,3,)</f>
        <v>#N/A</v>
      </c>
      <c r="E711" s="16" t="str">
        <f>VLOOKUP(B711,Sheet3!$B$2:$E$312,4,)</f>
        <v>#N/A</v>
      </c>
    </row>
    <row r="712" ht="15.75" customHeight="1">
      <c r="B712" s="16"/>
      <c r="C712" s="16" t="str">
        <f>VLOOKUP(B712,Sheet3!$B$2:$E$312,2,FALSE)</f>
        <v>#N/A</v>
      </c>
      <c r="D712" s="16" t="str">
        <f>VLOOKUP(B712,Sheet3!$B$2:$E$312,3,)</f>
        <v>#N/A</v>
      </c>
      <c r="E712" s="16" t="str">
        <f>VLOOKUP(B712,Sheet3!$B$2:$E$312,4,)</f>
        <v>#N/A</v>
      </c>
    </row>
    <row r="713" ht="15.75" customHeight="1">
      <c r="B713" s="16"/>
      <c r="C713" s="16" t="str">
        <f>VLOOKUP(B713,Sheet3!$B$2:$E$312,2,FALSE)</f>
        <v>#N/A</v>
      </c>
      <c r="D713" s="16" t="str">
        <f>VLOOKUP(B713,Sheet3!$B$2:$E$312,3,)</f>
        <v>#N/A</v>
      </c>
      <c r="E713" s="16" t="str">
        <f>VLOOKUP(B713,Sheet3!$B$2:$E$312,4,)</f>
        <v>#N/A</v>
      </c>
    </row>
    <row r="714" ht="15.75" customHeight="1">
      <c r="B714" s="16"/>
      <c r="C714" s="16" t="str">
        <f>VLOOKUP(B714,Sheet3!$B$2:$E$312,2,FALSE)</f>
        <v>#N/A</v>
      </c>
      <c r="D714" s="16" t="str">
        <f>VLOOKUP(B714,Sheet3!$B$2:$E$312,3,)</f>
        <v>#N/A</v>
      </c>
      <c r="E714" s="16" t="str">
        <f>VLOOKUP(B714,Sheet3!$B$2:$E$312,4,)</f>
        <v>#N/A</v>
      </c>
    </row>
    <row r="715" ht="15.75" customHeight="1">
      <c r="B715" s="16"/>
      <c r="C715" s="16" t="str">
        <f>VLOOKUP(B715,Sheet3!$B$2:$E$312,2,FALSE)</f>
        <v>#N/A</v>
      </c>
      <c r="D715" s="16" t="str">
        <f>VLOOKUP(B715,Sheet3!$B$2:$E$312,3,)</f>
        <v>#N/A</v>
      </c>
      <c r="E715" s="16" t="str">
        <f>VLOOKUP(B715,Sheet3!$B$2:$E$312,4,)</f>
        <v>#N/A</v>
      </c>
    </row>
    <row r="716" ht="15.75" customHeight="1">
      <c r="B716" s="16"/>
      <c r="C716" s="16" t="str">
        <f>VLOOKUP(B716,Sheet3!$B$2:$E$312,2,FALSE)</f>
        <v>#N/A</v>
      </c>
      <c r="D716" s="16" t="str">
        <f>VLOOKUP(B716,Sheet3!$B$2:$E$312,3,)</f>
        <v>#N/A</v>
      </c>
      <c r="E716" s="16" t="str">
        <f>VLOOKUP(B716,Sheet3!$B$2:$E$312,4,)</f>
        <v>#N/A</v>
      </c>
    </row>
    <row r="717" ht="15.75" customHeight="1">
      <c r="B717" s="16"/>
      <c r="C717" s="16" t="str">
        <f>VLOOKUP(B717,Sheet3!$B$2:$E$312,2,FALSE)</f>
        <v>#N/A</v>
      </c>
      <c r="D717" s="16" t="str">
        <f>VLOOKUP(B717,Sheet3!$B$2:$E$312,3,)</f>
        <v>#N/A</v>
      </c>
      <c r="E717" s="16" t="str">
        <f>VLOOKUP(B717,Sheet3!$B$2:$E$312,4,)</f>
        <v>#N/A</v>
      </c>
    </row>
    <row r="718" ht="15.75" customHeight="1">
      <c r="B718" s="16"/>
      <c r="C718" s="16" t="str">
        <f>VLOOKUP(B718,Sheet3!$B$2:$E$312,2,FALSE)</f>
        <v>#N/A</v>
      </c>
      <c r="D718" s="16" t="str">
        <f>VLOOKUP(B718,Sheet3!$B$2:$E$312,3,)</f>
        <v>#N/A</v>
      </c>
      <c r="E718" s="16" t="str">
        <f>VLOOKUP(B718,Sheet3!$B$2:$E$312,4,)</f>
        <v>#N/A</v>
      </c>
    </row>
    <row r="719" ht="15.75" customHeight="1">
      <c r="B719" s="16"/>
      <c r="C719" s="16" t="str">
        <f>VLOOKUP(B719,Sheet3!$B$2:$E$312,2,FALSE)</f>
        <v>#N/A</v>
      </c>
      <c r="D719" s="16" t="str">
        <f>VLOOKUP(B719,Sheet3!$B$2:$E$312,3,)</f>
        <v>#N/A</v>
      </c>
      <c r="E719" s="16" t="str">
        <f>VLOOKUP(B719,Sheet3!$B$2:$E$312,4,)</f>
        <v>#N/A</v>
      </c>
    </row>
    <row r="720" ht="15.75" customHeight="1">
      <c r="B720" s="16"/>
      <c r="C720" s="16" t="str">
        <f>VLOOKUP(B720,Sheet3!$B$2:$E$312,2,FALSE)</f>
        <v>#N/A</v>
      </c>
      <c r="D720" s="16" t="str">
        <f>VLOOKUP(B720,Sheet3!$B$2:$E$312,3,)</f>
        <v>#N/A</v>
      </c>
      <c r="E720" s="16" t="str">
        <f>VLOOKUP(B720,Sheet3!$B$2:$E$312,4,)</f>
        <v>#N/A</v>
      </c>
    </row>
    <row r="721" ht="15.75" customHeight="1">
      <c r="B721" s="16"/>
      <c r="C721" s="16" t="str">
        <f>VLOOKUP(B721,Sheet3!$B$2:$E$312,2,FALSE)</f>
        <v>#N/A</v>
      </c>
      <c r="D721" s="16" t="str">
        <f>VLOOKUP(B721,Sheet3!$B$2:$E$312,3,)</f>
        <v>#N/A</v>
      </c>
      <c r="E721" s="16" t="str">
        <f>VLOOKUP(B721,Sheet3!$B$2:$E$312,4,)</f>
        <v>#N/A</v>
      </c>
    </row>
    <row r="722" ht="15.75" customHeight="1">
      <c r="B722" s="16"/>
      <c r="C722" s="16" t="str">
        <f>VLOOKUP(B722,Sheet3!$B$2:$E$312,2,FALSE)</f>
        <v>#N/A</v>
      </c>
      <c r="D722" s="16" t="str">
        <f>VLOOKUP(B722,Sheet3!$B$2:$E$312,3,)</f>
        <v>#N/A</v>
      </c>
      <c r="E722" s="16" t="str">
        <f>VLOOKUP(B722,Sheet3!$B$2:$E$312,4,)</f>
        <v>#N/A</v>
      </c>
    </row>
    <row r="723" ht="15.75" customHeight="1">
      <c r="B723" s="16"/>
      <c r="C723" s="16" t="str">
        <f>VLOOKUP(B723,Sheet3!$B$2:$E$312,2,FALSE)</f>
        <v>#N/A</v>
      </c>
      <c r="D723" s="16" t="str">
        <f>VLOOKUP(B723,Sheet3!$B$2:$E$312,3,)</f>
        <v>#N/A</v>
      </c>
      <c r="E723" s="16" t="str">
        <f>VLOOKUP(B723,Sheet3!$B$2:$E$312,4,)</f>
        <v>#N/A</v>
      </c>
    </row>
    <row r="724" ht="15.75" customHeight="1">
      <c r="B724" s="16"/>
      <c r="C724" s="16" t="str">
        <f>VLOOKUP(B724,Sheet3!$B$2:$E$312,2,FALSE)</f>
        <v>#N/A</v>
      </c>
      <c r="D724" s="16" t="str">
        <f>VLOOKUP(B724,Sheet3!$B$2:$E$312,3,)</f>
        <v>#N/A</v>
      </c>
      <c r="E724" s="16" t="str">
        <f>VLOOKUP(B724,Sheet3!$B$2:$E$312,4,)</f>
        <v>#N/A</v>
      </c>
    </row>
    <row r="725" ht="15.75" customHeight="1">
      <c r="B725" s="16"/>
      <c r="C725" s="16" t="str">
        <f>VLOOKUP(B725,Sheet3!$B$2:$E$312,2,FALSE)</f>
        <v>#N/A</v>
      </c>
      <c r="D725" s="16" t="str">
        <f>VLOOKUP(B725,Sheet3!$B$2:$E$312,3,)</f>
        <v>#N/A</v>
      </c>
      <c r="E725" s="16" t="str">
        <f>VLOOKUP(B725,Sheet3!$B$2:$E$312,4,)</f>
        <v>#N/A</v>
      </c>
    </row>
    <row r="726" ht="15.75" customHeight="1">
      <c r="B726" s="16"/>
      <c r="C726" s="16" t="str">
        <f>VLOOKUP(B726,Sheet3!$B$2:$E$312,2,FALSE)</f>
        <v>#N/A</v>
      </c>
      <c r="D726" s="16" t="str">
        <f>VLOOKUP(B726,Sheet3!$B$2:$E$312,3,)</f>
        <v>#N/A</v>
      </c>
      <c r="E726" s="16" t="str">
        <f>VLOOKUP(B726,Sheet3!$B$2:$E$312,4,)</f>
        <v>#N/A</v>
      </c>
    </row>
    <row r="727" ht="15.75" customHeight="1">
      <c r="B727" s="16"/>
      <c r="C727" s="16" t="str">
        <f>VLOOKUP(B727,Sheet3!$B$2:$E$312,2,FALSE)</f>
        <v>#N/A</v>
      </c>
      <c r="D727" s="16" t="str">
        <f>VLOOKUP(B727,Sheet3!$B$2:$E$312,3,)</f>
        <v>#N/A</v>
      </c>
      <c r="E727" s="16" t="str">
        <f>VLOOKUP(B727,Sheet3!$B$2:$E$312,4,)</f>
        <v>#N/A</v>
      </c>
    </row>
    <row r="728" ht="15.75" customHeight="1">
      <c r="B728" s="16"/>
      <c r="C728" s="16" t="str">
        <f>VLOOKUP(B728,Sheet3!$B$2:$E$312,2,FALSE)</f>
        <v>#N/A</v>
      </c>
      <c r="D728" s="16" t="str">
        <f>VLOOKUP(B728,Sheet3!$B$2:$E$312,3,)</f>
        <v>#N/A</v>
      </c>
      <c r="E728" s="16" t="str">
        <f>VLOOKUP(B728,Sheet3!$B$2:$E$312,4,)</f>
        <v>#N/A</v>
      </c>
    </row>
    <row r="729" ht="15.75" customHeight="1">
      <c r="B729" s="16"/>
      <c r="C729" s="16" t="str">
        <f>VLOOKUP(B729,Sheet3!$B$2:$E$312,2,FALSE)</f>
        <v>#N/A</v>
      </c>
      <c r="D729" s="16" t="str">
        <f>VLOOKUP(B729,Sheet3!$B$2:$E$312,3,)</f>
        <v>#N/A</v>
      </c>
      <c r="E729" s="16" t="str">
        <f>VLOOKUP(B729,Sheet3!$B$2:$E$312,4,)</f>
        <v>#N/A</v>
      </c>
    </row>
    <row r="730" ht="15.75" customHeight="1">
      <c r="B730" s="16"/>
      <c r="C730" s="16" t="str">
        <f>VLOOKUP(B730,Sheet3!$B$2:$E$312,2,FALSE)</f>
        <v>#N/A</v>
      </c>
      <c r="D730" s="16" t="str">
        <f>VLOOKUP(B730,Sheet3!$B$2:$E$312,3,)</f>
        <v>#N/A</v>
      </c>
      <c r="E730" s="16" t="str">
        <f>VLOOKUP(B730,Sheet3!$B$2:$E$312,4,)</f>
        <v>#N/A</v>
      </c>
    </row>
    <row r="731" ht="15.75" customHeight="1">
      <c r="B731" s="16"/>
      <c r="C731" s="16" t="str">
        <f>VLOOKUP(B731,Sheet3!$B$2:$E$312,2,FALSE)</f>
        <v>#N/A</v>
      </c>
      <c r="D731" s="16" t="str">
        <f>VLOOKUP(B731,Sheet3!$B$2:$E$312,3,)</f>
        <v>#N/A</v>
      </c>
      <c r="E731" s="16" t="str">
        <f>VLOOKUP(B731,Sheet3!$B$2:$E$312,4,)</f>
        <v>#N/A</v>
      </c>
    </row>
    <row r="732" ht="15.75" customHeight="1">
      <c r="B732" s="16"/>
      <c r="C732" s="16" t="str">
        <f>VLOOKUP(B732,Sheet3!$B$2:$E$312,2,FALSE)</f>
        <v>#N/A</v>
      </c>
      <c r="D732" s="16" t="str">
        <f>VLOOKUP(B732,Sheet3!$B$2:$E$312,3,)</f>
        <v>#N/A</v>
      </c>
      <c r="E732" s="16" t="str">
        <f>VLOOKUP(B732,Sheet3!$B$2:$E$312,4,)</f>
        <v>#N/A</v>
      </c>
    </row>
    <row r="733" ht="15.75" customHeight="1">
      <c r="B733" s="16"/>
      <c r="C733" s="16" t="str">
        <f>VLOOKUP(B733,Sheet3!$B$2:$E$312,2,FALSE)</f>
        <v>#N/A</v>
      </c>
      <c r="D733" s="16" t="str">
        <f>VLOOKUP(B733,Sheet3!$B$2:$E$312,3,)</f>
        <v>#N/A</v>
      </c>
      <c r="E733" s="16" t="str">
        <f>VLOOKUP(B733,Sheet3!$B$2:$E$312,4,)</f>
        <v>#N/A</v>
      </c>
    </row>
    <row r="734" ht="15.75" customHeight="1">
      <c r="B734" s="16"/>
      <c r="C734" s="16" t="str">
        <f>VLOOKUP(B734,Sheet3!$B$2:$E$312,2,FALSE)</f>
        <v>#N/A</v>
      </c>
      <c r="D734" s="16" t="str">
        <f>VLOOKUP(B734,Sheet3!$B$2:$E$312,3,)</f>
        <v>#N/A</v>
      </c>
      <c r="E734" s="16" t="str">
        <f>VLOOKUP(B734,Sheet3!$B$2:$E$312,4,)</f>
        <v>#N/A</v>
      </c>
    </row>
    <row r="735" ht="15.75" customHeight="1">
      <c r="B735" s="16"/>
      <c r="C735" s="16" t="str">
        <f>VLOOKUP(B735,Sheet3!$B$2:$E$312,2,FALSE)</f>
        <v>#N/A</v>
      </c>
      <c r="D735" s="16" t="str">
        <f>VLOOKUP(B735,Sheet3!$B$2:$E$312,3,)</f>
        <v>#N/A</v>
      </c>
      <c r="E735" s="16" t="str">
        <f>VLOOKUP(B735,Sheet3!$B$2:$E$312,4,)</f>
        <v>#N/A</v>
      </c>
    </row>
    <row r="736" ht="15.75" customHeight="1">
      <c r="B736" s="16"/>
      <c r="C736" s="16" t="str">
        <f>VLOOKUP(B736,Sheet3!$B$2:$E$312,2,FALSE)</f>
        <v>#N/A</v>
      </c>
      <c r="D736" s="16" t="str">
        <f>VLOOKUP(B736,Sheet3!$B$2:$E$312,3,)</f>
        <v>#N/A</v>
      </c>
      <c r="E736" s="16" t="str">
        <f>VLOOKUP(B736,Sheet3!$B$2:$E$312,4,)</f>
        <v>#N/A</v>
      </c>
    </row>
    <row r="737" ht="15.75" customHeight="1">
      <c r="B737" s="16"/>
      <c r="C737" s="16" t="str">
        <f>VLOOKUP(B737,Sheet3!$B$2:$E$312,2,FALSE)</f>
        <v>#N/A</v>
      </c>
      <c r="D737" s="16" t="str">
        <f>VLOOKUP(B737,Sheet3!$B$2:$E$312,3,)</f>
        <v>#N/A</v>
      </c>
      <c r="E737" s="16" t="str">
        <f>VLOOKUP(B737,Sheet3!$B$2:$E$312,4,)</f>
        <v>#N/A</v>
      </c>
    </row>
    <row r="738" ht="15.75" customHeight="1">
      <c r="B738" s="16"/>
      <c r="C738" s="16" t="str">
        <f>VLOOKUP(B738,Sheet3!$B$2:$E$312,2,FALSE)</f>
        <v>#N/A</v>
      </c>
      <c r="D738" s="16" t="str">
        <f>VLOOKUP(B738,Sheet3!$B$2:$E$312,3,)</f>
        <v>#N/A</v>
      </c>
    </row>
    <row r="739" ht="15.75" customHeight="1">
      <c r="B739" s="16"/>
      <c r="C739" s="16" t="str">
        <f>VLOOKUP(B739,Sheet3!$B$2:$E$312,2,FALSE)</f>
        <v>#N/A</v>
      </c>
      <c r="D739" s="16" t="str">
        <f>VLOOKUP(B739,Sheet3!$B$2:$E$312,3,)</f>
        <v>#N/A</v>
      </c>
    </row>
    <row r="740" ht="15.75" customHeight="1">
      <c r="B740" s="16"/>
      <c r="C740" s="16" t="str">
        <f>VLOOKUP(B740,Sheet3!$B$2:$E$312,2,FALSE)</f>
        <v>#N/A</v>
      </c>
      <c r="D740" s="16" t="str">
        <f>VLOOKUP(B740,Sheet3!$B$2:$E$312,3,)</f>
        <v>#N/A</v>
      </c>
    </row>
    <row r="741" ht="15.75" customHeight="1">
      <c r="B741" s="16"/>
      <c r="C741" s="16" t="str">
        <f>VLOOKUP(B741,Sheet3!$B$2:$E$312,2,FALSE)</f>
        <v>#N/A</v>
      </c>
      <c r="D741" s="16" t="str">
        <f>VLOOKUP(B741,Sheet3!$B$2:$E$312,3,)</f>
        <v>#N/A</v>
      </c>
    </row>
    <row r="742" ht="15.75" customHeight="1">
      <c r="B742" s="16"/>
      <c r="C742" s="16" t="str">
        <f>VLOOKUP(B742,Sheet3!$B$2:$E$312,2,FALSE)</f>
        <v>#N/A</v>
      </c>
      <c r="D742" s="16" t="str">
        <f>VLOOKUP(B742,Sheet3!$B$2:$E$312,3,)</f>
        <v>#N/A</v>
      </c>
    </row>
    <row r="743" ht="15.75" customHeight="1">
      <c r="B743" s="16"/>
      <c r="C743" s="16" t="str">
        <f>VLOOKUP(B743,Sheet3!$B$2:$E$312,2,FALSE)</f>
        <v>#N/A</v>
      </c>
      <c r="D743" s="16" t="str">
        <f>VLOOKUP(B743,Sheet3!$B$2:$E$312,3,)</f>
        <v>#N/A</v>
      </c>
    </row>
    <row r="744" ht="15.75" customHeight="1">
      <c r="B744" s="16"/>
      <c r="C744" s="16" t="str">
        <f>VLOOKUP(B744,Sheet3!$B$2:$E$312,2,FALSE)</f>
        <v>#N/A</v>
      </c>
      <c r="D744" s="16" t="str">
        <f>VLOOKUP(B744,Sheet3!$B$2:$E$312,3,)</f>
        <v>#N/A</v>
      </c>
    </row>
    <row r="745" ht="15.75" customHeight="1">
      <c r="B745" s="16"/>
      <c r="C745" s="16" t="str">
        <f>VLOOKUP(B745,Sheet3!$B$2:$E$312,2,FALSE)</f>
        <v>#N/A</v>
      </c>
      <c r="D745" s="16" t="str">
        <f>VLOOKUP(B745,Sheet3!$B$2:$E$312,3,)</f>
        <v>#N/A</v>
      </c>
    </row>
    <row r="746" ht="15.75" customHeight="1">
      <c r="B746" s="16"/>
      <c r="C746" s="16" t="str">
        <f>VLOOKUP(B746,Sheet3!$B$2:$E$312,2,FALSE)</f>
        <v>#N/A</v>
      </c>
    </row>
    <row r="747" ht="15.75" customHeight="1">
      <c r="B747" s="16"/>
      <c r="C747" s="16" t="str">
        <f>VLOOKUP(B747,Sheet3!$B$2:$E$312,2,FALSE)</f>
        <v>#N/A</v>
      </c>
    </row>
    <row r="748" ht="15.75" customHeight="1">
      <c r="B748" s="16"/>
    </row>
    <row r="749" ht="15.75" customHeight="1">
      <c r="B749" s="16"/>
    </row>
    <row r="750" ht="15.75" customHeight="1">
      <c r="B750" s="16"/>
    </row>
    <row r="751" ht="15.75" customHeight="1">
      <c r="B751" s="16"/>
    </row>
    <row r="752" ht="15.75" customHeight="1">
      <c r="B752" s="16"/>
    </row>
    <row r="753" ht="15.75" customHeight="1">
      <c r="B753" s="16"/>
    </row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133 B135:B138 B140:B214 B216:B233 B235:B753">
      <formula1>'DATA PER 111225'!$B$2:$B$311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2.86"/>
    <col customWidth="1" min="3" max="3" width="9.29"/>
    <col customWidth="1" min="4" max="4" width="27.29"/>
    <col customWidth="1" min="5" max="5" width="12.0"/>
    <col customWidth="1" min="6" max="6" width="11.86"/>
    <col customWidth="1" min="7" max="7" width="21.0"/>
    <col customWidth="1" min="8" max="8" width="16.71"/>
    <col customWidth="1" min="9" max="9" width="8.71"/>
    <col customWidth="1" min="10" max="10" width="16.57"/>
    <col customWidth="1" min="11" max="26" width="8.71"/>
  </cols>
  <sheetData>
    <row r="1">
      <c r="A1" s="30" t="s">
        <v>1510</v>
      </c>
      <c r="B1" s="1" t="s">
        <v>2</v>
      </c>
      <c r="C1" s="1" t="s">
        <v>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5" t="s">
        <v>60</v>
      </c>
      <c r="J1" s="25" t="s">
        <v>1511</v>
      </c>
    </row>
    <row r="2">
      <c r="A2" s="31">
        <v>46113.0</v>
      </c>
      <c r="B2" s="21" t="s">
        <v>298</v>
      </c>
      <c r="C2" s="6" t="str">
        <f>VLOOKUP(B2,Sheet3!$B$2:$E$312,2,FALSE)</f>
        <v>B001-125</v>
      </c>
      <c r="D2" s="8" t="str">
        <f>VLOOKUP(B2,Sheet3!$B$2:$E$312,3,)</f>
        <v>bahan baku</v>
      </c>
      <c r="E2" s="8" t="str">
        <f>VLOOKUP(B2,Sheet3!$B$2:$E$312,4,)</f>
        <v>GR</v>
      </c>
      <c r="F2" s="22">
        <v>62.0</v>
      </c>
      <c r="G2" s="22" t="s">
        <v>1445</v>
      </c>
      <c r="H2" s="22" t="s">
        <v>1290</v>
      </c>
      <c r="I2" s="32" t="s">
        <v>1444</v>
      </c>
      <c r="J2" s="28"/>
    </row>
    <row r="3">
      <c r="A3" s="33"/>
      <c r="B3" s="21" t="s">
        <v>211</v>
      </c>
      <c r="C3" s="6" t="str">
        <f>VLOOKUP(B3,Sheet3!$B$2:$E$312,2,FALSE)</f>
        <v>B001-088</v>
      </c>
      <c r="D3" s="8" t="str">
        <f>VLOOKUP(B3,Sheet3!$B$2:$E$312,3,)</f>
        <v>bahan baku</v>
      </c>
      <c r="E3" s="8" t="str">
        <f>VLOOKUP(B3,Sheet3!$B$2:$E$312,4,)</f>
        <v>GR</v>
      </c>
      <c r="F3" s="22">
        <v>3380.0</v>
      </c>
      <c r="G3" s="22" t="s">
        <v>1445</v>
      </c>
      <c r="H3" s="22" t="s">
        <v>1441</v>
      </c>
      <c r="I3" s="32" t="s">
        <v>1444</v>
      </c>
      <c r="J3" s="28"/>
    </row>
    <row r="4">
      <c r="A4" s="33"/>
      <c r="B4" s="21" t="s">
        <v>653</v>
      </c>
      <c r="C4" s="6" t="str">
        <f>VLOOKUP(B4,Sheet3!$B$2:$E$312,2,FALSE)</f>
        <v>P004-022</v>
      </c>
      <c r="D4" s="6" t="str">
        <f>VLOOKUP(B4,Sheet3!$B$2:$E$312,3,)</f>
        <v>barang jadi &amp; bahan baku</v>
      </c>
      <c r="E4" s="8" t="str">
        <f>VLOOKUP(B4,Sheet3!$B$2:$E$312,4,)</f>
        <v>CC</v>
      </c>
      <c r="F4" s="22">
        <v>1900.0</v>
      </c>
      <c r="G4" s="22" t="s">
        <v>1216</v>
      </c>
      <c r="H4" s="22" t="s">
        <v>1512</v>
      </c>
      <c r="I4" s="32" t="s">
        <v>1444</v>
      </c>
      <c r="J4" s="28"/>
    </row>
    <row r="5">
      <c r="A5" s="33"/>
      <c r="B5" s="21" t="s">
        <v>657</v>
      </c>
      <c r="C5" s="6" t="str">
        <f>VLOOKUP(B5,Sheet3!$B$2:$E$312,2,FALSE)</f>
        <v>P004-023</v>
      </c>
      <c r="D5" s="6" t="str">
        <f>VLOOKUP(B5,Sheet3!$B$2:$E$312,3,)</f>
        <v>barang jadi &amp; bahan baku</v>
      </c>
      <c r="E5" s="8" t="str">
        <f>VLOOKUP(B5,Sheet3!$B$2:$E$312,4,)</f>
        <v>CC</v>
      </c>
      <c r="F5" s="22">
        <v>2500.0</v>
      </c>
      <c r="G5" s="22" t="s">
        <v>1216</v>
      </c>
      <c r="H5" s="22" t="s">
        <v>1512</v>
      </c>
      <c r="I5" s="32" t="s">
        <v>1444</v>
      </c>
      <c r="J5" s="28"/>
    </row>
    <row r="6">
      <c r="A6" s="33"/>
      <c r="B6" s="21" t="s">
        <v>664</v>
      </c>
      <c r="C6" s="6" t="str">
        <f>VLOOKUP(B6,Sheet3!$B$2:$E$312,2,FALSE)</f>
        <v>P004-025</v>
      </c>
      <c r="D6" s="6" t="str">
        <f>VLOOKUP(B6,Sheet3!$B$2:$E$312,3,)</f>
        <v>barang jadi &amp; bahan baku</v>
      </c>
      <c r="E6" s="8" t="str">
        <f>VLOOKUP(B6,Sheet3!$B$2:$E$312,4,)</f>
        <v>ML</v>
      </c>
      <c r="F6" s="22">
        <v>300.0</v>
      </c>
      <c r="G6" s="22" t="s">
        <v>1216</v>
      </c>
      <c r="H6" s="22" t="s">
        <v>1512</v>
      </c>
      <c r="I6" s="32" t="s">
        <v>1444</v>
      </c>
      <c r="J6" s="28"/>
    </row>
    <row r="7">
      <c r="A7" s="34"/>
      <c r="B7" s="21" t="s">
        <v>632</v>
      </c>
      <c r="C7" s="6" t="str">
        <f>VLOOKUP(B7,Sheet3!$B$2:$E$312,2,FALSE)</f>
        <v>P004-013</v>
      </c>
      <c r="D7" s="6" t="str">
        <f>VLOOKUP(B7,Sheet3!$B$2:$E$312,3,)</f>
        <v>barang jadi &amp; bahan baku</v>
      </c>
      <c r="E7" s="8" t="str">
        <f>VLOOKUP(B7,Sheet3!$B$2:$E$312,4,)</f>
        <v>PCS</v>
      </c>
      <c r="F7" s="22">
        <v>12.0</v>
      </c>
      <c r="G7" s="22" t="s">
        <v>1216</v>
      </c>
      <c r="H7" s="22" t="s">
        <v>1305</v>
      </c>
      <c r="I7" s="32" t="s">
        <v>1446</v>
      </c>
      <c r="J7" s="32" t="s">
        <v>1513</v>
      </c>
    </row>
    <row r="8">
      <c r="A8" s="35">
        <v>46057.0</v>
      </c>
      <c r="B8" s="21" t="s">
        <v>691</v>
      </c>
      <c r="C8" s="6" t="str">
        <f>VLOOKUP(B8,Sheet3!$B$2:$E$312,2,FALSE)</f>
        <v>P004-036</v>
      </c>
      <c r="D8" s="6" t="str">
        <f>VLOOKUP(B8,Sheet3!$B$2:$E$312,3,)</f>
        <v>barang jadi &amp; bahan baku</v>
      </c>
      <c r="E8" s="8" t="str">
        <f>VLOOKUP(B8,Sheet3!$B$2:$E$312,4,)</f>
        <v>GR</v>
      </c>
      <c r="F8" s="22">
        <v>3700.0</v>
      </c>
      <c r="G8" s="22" t="s">
        <v>1164</v>
      </c>
      <c r="H8" s="22" t="s">
        <v>1514</v>
      </c>
      <c r="I8" s="32" t="s">
        <v>1444</v>
      </c>
      <c r="J8" s="28"/>
    </row>
    <row r="9">
      <c r="A9" s="33"/>
      <c r="B9" s="21" t="s">
        <v>677</v>
      </c>
      <c r="C9" s="6" t="str">
        <f>VLOOKUP(B9,Sheet3!$B$2:$E$312,2,FALSE)</f>
        <v>P004-031</v>
      </c>
      <c r="D9" s="6" t="str">
        <f>VLOOKUP(B9,Sheet3!$B$2:$E$312,3,)</f>
        <v>barang jadi &amp; bahan baku</v>
      </c>
      <c r="E9" s="8" t="str">
        <f>VLOOKUP(B9,Sheet3!$B$2:$E$312,4,)</f>
        <v>GR</v>
      </c>
      <c r="F9" s="22">
        <v>350.0</v>
      </c>
      <c r="G9" s="22" t="s">
        <v>1164</v>
      </c>
      <c r="H9" s="22" t="s">
        <v>1514</v>
      </c>
      <c r="I9" s="32" t="s">
        <v>1444</v>
      </c>
      <c r="J9" s="28"/>
    </row>
    <row r="10">
      <c r="A10" s="33"/>
      <c r="B10" s="21" t="s">
        <v>653</v>
      </c>
      <c r="C10" s="6" t="str">
        <f>VLOOKUP(B10,Sheet3!$B$2:$E$312,2,FALSE)</f>
        <v>P004-022</v>
      </c>
      <c r="D10" s="6" t="str">
        <f>VLOOKUP(B10,Sheet3!$B$2:$E$312,3,)</f>
        <v>barang jadi &amp; bahan baku</v>
      </c>
      <c r="E10" s="8" t="str">
        <f>VLOOKUP(B10,Sheet3!$B$2:$E$312,4,)</f>
        <v>CC</v>
      </c>
      <c r="F10" s="22">
        <v>1500.0</v>
      </c>
      <c r="G10" s="22" t="s">
        <v>1462</v>
      </c>
      <c r="H10" s="22" t="s">
        <v>1514</v>
      </c>
      <c r="I10" s="32" t="s">
        <v>1444</v>
      </c>
      <c r="J10" s="28"/>
    </row>
    <row r="11">
      <c r="A11" s="33"/>
      <c r="B11" s="21" t="s">
        <v>657</v>
      </c>
      <c r="C11" s="6" t="str">
        <f>VLOOKUP(B11,Sheet3!$B$2:$E$312,2,FALSE)</f>
        <v>P004-023</v>
      </c>
      <c r="D11" s="6" t="str">
        <f>VLOOKUP(B11,Sheet3!$B$2:$E$312,3,)</f>
        <v>barang jadi &amp; bahan baku</v>
      </c>
      <c r="E11" s="8" t="str">
        <f>VLOOKUP(B11,Sheet3!$B$2:$E$312,4,)</f>
        <v>CC</v>
      </c>
      <c r="F11" s="22">
        <v>1600.0</v>
      </c>
      <c r="G11" s="22" t="s">
        <v>1164</v>
      </c>
      <c r="H11" s="22" t="s">
        <v>1514</v>
      </c>
      <c r="I11" s="32" t="s">
        <v>1444</v>
      </c>
      <c r="J11" s="28"/>
    </row>
    <row r="12">
      <c r="A12" s="33"/>
      <c r="B12" s="21" t="s">
        <v>664</v>
      </c>
      <c r="C12" s="6" t="str">
        <f>VLOOKUP(B12,Sheet3!$B$2:$E$312,2,FALSE)</f>
        <v>P004-025</v>
      </c>
      <c r="D12" s="6" t="str">
        <f>VLOOKUP(B12,Sheet3!$B$2:$E$312,3,)</f>
        <v>barang jadi &amp; bahan baku</v>
      </c>
      <c r="E12" s="8" t="str">
        <f>VLOOKUP(B12,Sheet3!$B$2:$E$312,4,)</f>
        <v>ML</v>
      </c>
      <c r="F12" s="22">
        <v>2600.0</v>
      </c>
      <c r="G12" s="22" t="s">
        <v>1164</v>
      </c>
      <c r="H12" s="22" t="s">
        <v>1514</v>
      </c>
      <c r="I12" s="32" t="s">
        <v>1444</v>
      </c>
      <c r="J12" s="28"/>
    </row>
    <row r="13">
      <c r="A13" s="33"/>
      <c r="B13" s="21" t="s">
        <v>211</v>
      </c>
      <c r="C13" s="6" t="str">
        <f>VLOOKUP(B13,Sheet3!$B$2:$E$312,2,FALSE)</f>
        <v>B001-088</v>
      </c>
      <c r="D13" s="6" t="str">
        <f>VLOOKUP(B13,Sheet3!$B$2:$E$312,3,)</f>
        <v>bahan baku</v>
      </c>
      <c r="E13" s="8" t="str">
        <f>VLOOKUP(B13,Sheet3!$B$2:$E$312,4,)</f>
        <v>GR</v>
      </c>
      <c r="F13" s="22">
        <v>5200.0</v>
      </c>
      <c r="G13" s="22" t="s">
        <v>1445</v>
      </c>
      <c r="H13" s="22" t="s">
        <v>1417</v>
      </c>
      <c r="I13" s="32" t="s">
        <v>1444</v>
      </c>
      <c r="J13" s="28"/>
    </row>
    <row r="14">
      <c r="A14" s="33"/>
      <c r="B14" s="21" t="s">
        <v>532</v>
      </c>
      <c r="C14" s="6" t="str">
        <f>VLOOKUP(B14,Sheet3!$B$2:$E$312,2,FALSE)</f>
        <v>S002-007</v>
      </c>
      <c r="D14" s="6" t="str">
        <f>VLOOKUP(B14,Sheet3!$B$2:$E$312,3,)</f>
        <v>barang jadi</v>
      </c>
      <c r="E14" s="8" t="str">
        <f>VLOOKUP(B14,Sheet3!$B$2:$E$312,4,)</f>
        <v>PORSI</v>
      </c>
      <c r="F14" s="22">
        <v>1.0</v>
      </c>
      <c r="G14" s="22" t="s">
        <v>1216</v>
      </c>
      <c r="H14" s="22" t="s">
        <v>1417</v>
      </c>
      <c r="I14" s="32" t="s">
        <v>1444</v>
      </c>
      <c r="J14" s="28"/>
    </row>
    <row r="15">
      <c r="A15" s="33"/>
      <c r="B15" s="21" t="s">
        <v>632</v>
      </c>
      <c r="C15" s="6" t="str">
        <f>VLOOKUP(B15,Sheet3!$B$2:$E$312,2,FALSE)</f>
        <v>P004-013</v>
      </c>
      <c r="D15" s="6" t="str">
        <f>VLOOKUP(B15,Sheet3!$B$2:$E$312,3,)</f>
        <v>barang jadi &amp; bahan baku</v>
      </c>
      <c r="E15" s="8" t="str">
        <f>VLOOKUP(B15,Sheet3!$B$2:$E$312,4,)</f>
        <v>PCS</v>
      </c>
      <c r="F15" s="22">
        <v>17.0</v>
      </c>
      <c r="G15" s="22" t="s">
        <v>1216</v>
      </c>
      <c r="H15" s="22" t="s">
        <v>1305</v>
      </c>
      <c r="I15" s="32" t="s">
        <v>1444</v>
      </c>
      <c r="J15" s="28"/>
      <c r="K15" s="16">
        <f>2220/130</f>
        <v>17.07692308</v>
      </c>
    </row>
    <row r="16">
      <c r="A16" s="33"/>
      <c r="B16" s="21" t="s">
        <v>28</v>
      </c>
      <c r="C16" s="6" t="str">
        <f>VLOOKUP(B16,Sheet3!$B$2:$E$312,2,FALSE)</f>
        <v>B001-006</v>
      </c>
      <c r="D16" s="6" t="str">
        <f>VLOOKUP(B16,Sheet3!$B$2:$E$312,3,)</f>
        <v>bahan baku</v>
      </c>
      <c r="E16" s="8" t="str">
        <f>VLOOKUP(B16,Sheet3!$B$2:$E$312,4,)</f>
        <v>GR</v>
      </c>
      <c r="F16" s="25">
        <v>25.0</v>
      </c>
      <c r="G16" s="25" t="s">
        <v>1445</v>
      </c>
      <c r="H16" s="25" t="s">
        <v>1509</v>
      </c>
      <c r="I16" s="32" t="s">
        <v>1444</v>
      </c>
      <c r="J16" s="28"/>
    </row>
    <row r="17">
      <c r="A17" s="33"/>
      <c r="B17" s="21" t="s">
        <v>148</v>
      </c>
      <c r="C17" s="6" t="str">
        <f>VLOOKUP(B17,Sheet3!$B$2:$E$312,2,FALSE)</f>
        <v>B001-064</v>
      </c>
      <c r="D17" s="6" t="str">
        <f>VLOOKUP(B17,Sheet3!$B$2:$E$312,3,)</f>
        <v>bahan baku</v>
      </c>
      <c r="E17" s="8" t="str">
        <f>VLOOKUP(B17,Sheet3!$B$2:$E$312,4,)</f>
        <v>GR</v>
      </c>
      <c r="F17" s="25">
        <v>42.0</v>
      </c>
      <c r="G17" s="25" t="s">
        <v>1445</v>
      </c>
      <c r="H17" s="25" t="s">
        <v>1509</v>
      </c>
      <c r="I17" s="32" t="s">
        <v>1444</v>
      </c>
      <c r="J17" s="28"/>
    </row>
    <row r="18">
      <c r="A18" s="34"/>
      <c r="B18" s="21" t="s">
        <v>698</v>
      </c>
      <c r="C18" s="6" t="str">
        <f>VLOOKUP(B18,Sheet3!$B$2:$E$312,2,FALSE)</f>
        <v>P004-038</v>
      </c>
      <c r="D18" s="6" t="str">
        <f>VLOOKUP(B18,Sheet3!$B$2:$E$312,3,)</f>
        <v>barang jadi &amp; bahan baku</v>
      </c>
      <c r="E18" s="8" t="str">
        <f>VLOOKUP(B18,Sheet3!$B$2:$E$312,4,)</f>
        <v>PCS</v>
      </c>
      <c r="F18" s="22">
        <v>1.0</v>
      </c>
      <c r="G18" s="22" t="s">
        <v>1515</v>
      </c>
      <c r="H18" s="22" t="s">
        <v>1509</v>
      </c>
      <c r="I18" s="32" t="s">
        <v>1444</v>
      </c>
      <c r="J18" s="28"/>
    </row>
    <row r="19">
      <c r="A19" s="35">
        <v>46085.0</v>
      </c>
      <c r="B19" s="21" t="s">
        <v>805</v>
      </c>
      <c r="C19" s="6" t="str">
        <f>VLOOKUP(B19,Sheet3!$B$2:$E$312,2,FALSE)</f>
        <v>#N/A</v>
      </c>
      <c r="D19" s="6" t="str">
        <f>VLOOKUP(B19,Sheet3!$B$2:$E$312,3,)</f>
        <v>#N/A</v>
      </c>
      <c r="E19" s="8" t="str">
        <f>VLOOKUP(B19,Sheet3!$B$2:$E$312,4,)</f>
        <v>#N/A</v>
      </c>
      <c r="F19" s="22">
        <v>3000.0</v>
      </c>
      <c r="G19" s="22" t="s">
        <v>1216</v>
      </c>
      <c r="H19" s="22" t="s">
        <v>1384</v>
      </c>
      <c r="I19" s="32" t="s">
        <v>1444</v>
      </c>
      <c r="J19" s="28"/>
    </row>
    <row r="20">
      <c r="A20" s="33"/>
      <c r="B20" s="21" t="s">
        <v>653</v>
      </c>
      <c r="C20" s="6" t="str">
        <f>VLOOKUP(B20,Sheet3!$B$2:$E$312,2,FALSE)</f>
        <v>P004-022</v>
      </c>
      <c r="D20" s="6" t="str">
        <f>VLOOKUP(B20,Sheet3!$B$2:$E$312,3,)</f>
        <v>barang jadi &amp; bahan baku</v>
      </c>
      <c r="E20" s="8" t="str">
        <f>VLOOKUP(B20,Sheet3!$B$2:$E$312,4,)</f>
        <v>CC</v>
      </c>
      <c r="F20" s="22">
        <v>1500.0</v>
      </c>
      <c r="G20" s="22" t="s">
        <v>1216</v>
      </c>
      <c r="H20" s="22" t="s">
        <v>1384</v>
      </c>
      <c r="I20" s="32" t="s">
        <v>1444</v>
      </c>
      <c r="J20" s="28"/>
    </row>
    <row r="21" ht="15.75" customHeight="1">
      <c r="A21" s="33"/>
      <c r="B21" s="21" t="s">
        <v>657</v>
      </c>
      <c r="C21" s="6" t="str">
        <f>VLOOKUP(B21,Sheet3!$B$2:$E$312,2,FALSE)</f>
        <v>P004-023</v>
      </c>
      <c r="D21" s="6" t="str">
        <f>VLOOKUP(B21,Sheet3!$B$2:$E$312,3,)</f>
        <v>barang jadi &amp; bahan baku</v>
      </c>
      <c r="E21" s="8" t="str">
        <f>VLOOKUP(B21,Sheet3!$B$2:$E$312,4,)</f>
        <v>CC</v>
      </c>
      <c r="F21" s="22">
        <v>1500.0</v>
      </c>
      <c r="G21" s="22" t="s">
        <v>1216</v>
      </c>
      <c r="H21" s="22" t="s">
        <v>1384</v>
      </c>
      <c r="I21" s="32" t="s">
        <v>1444</v>
      </c>
      <c r="J21" s="28"/>
    </row>
    <row r="22" ht="15.75" customHeight="1">
      <c r="A22" s="33"/>
      <c r="B22" s="21" t="s">
        <v>664</v>
      </c>
      <c r="C22" s="6" t="str">
        <f>VLOOKUP(B22,Sheet3!$B$2:$E$312,2,FALSE)</f>
        <v>P004-025</v>
      </c>
      <c r="D22" s="6" t="str">
        <f>VLOOKUP(B22,Sheet3!$B$2:$E$312,3,)</f>
        <v>barang jadi &amp; bahan baku</v>
      </c>
      <c r="E22" s="8" t="str">
        <f>VLOOKUP(B22,Sheet3!$B$2:$E$312,4,)</f>
        <v>ML</v>
      </c>
      <c r="F22" s="22">
        <v>580.0</v>
      </c>
      <c r="G22" s="22" t="s">
        <v>1216</v>
      </c>
      <c r="H22" s="22" t="s">
        <v>1384</v>
      </c>
      <c r="I22" s="32" t="s">
        <v>1444</v>
      </c>
      <c r="J22" s="28"/>
    </row>
    <row r="23" ht="15.75" customHeight="1">
      <c r="A23" s="33"/>
      <c r="B23" s="21" t="s">
        <v>532</v>
      </c>
      <c r="C23" s="6" t="str">
        <f>VLOOKUP(B23,Sheet3!$B$2:$E$312,2,FALSE)</f>
        <v>S002-007</v>
      </c>
      <c r="D23" s="6" t="str">
        <f>VLOOKUP(B23,Sheet3!$B$2:$E$312,3,)</f>
        <v>barang jadi</v>
      </c>
      <c r="E23" s="8" t="str">
        <f>VLOOKUP(B23,Sheet3!$B$2:$E$312,4,)</f>
        <v>PORSI</v>
      </c>
      <c r="F23" s="22">
        <v>1.0</v>
      </c>
      <c r="G23" s="22" t="s">
        <v>1216</v>
      </c>
      <c r="H23" s="22" t="s">
        <v>1225</v>
      </c>
      <c r="I23" s="32" t="s">
        <v>1446</v>
      </c>
      <c r="J23" s="32" t="s">
        <v>1502</v>
      </c>
    </row>
    <row r="24" ht="15.75" customHeight="1">
      <c r="A24" s="33"/>
      <c r="B24" s="21" t="s">
        <v>502</v>
      </c>
      <c r="C24" s="6" t="str">
        <f>VLOOKUP(B24,Sheet3!$B$2:$E$312,2,FALSE)</f>
        <v>S001-002</v>
      </c>
      <c r="D24" s="6" t="str">
        <f>VLOOKUP(B24,Sheet3!$B$2:$E$312,3,)</f>
        <v>barang jadi</v>
      </c>
      <c r="E24" s="8" t="str">
        <f>VLOOKUP(B24,Sheet3!$B$2:$E$312,4,)</f>
        <v>PORSI</v>
      </c>
      <c r="F24" s="22">
        <v>2.0</v>
      </c>
      <c r="G24" s="22" t="s">
        <v>1216</v>
      </c>
      <c r="H24" s="22" t="s">
        <v>1225</v>
      </c>
      <c r="I24" s="32" t="s">
        <v>1446</v>
      </c>
      <c r="J24" s="32" t="s">
        <v>1487</v>
      </c>
    </row>
    <row r="25" ht="15.75" customHeight="1">
      <c r="A25" s="33"/>
      <c r="B25" s="21" t="s">
        <v>632</v>
      </c>
      <c r="C25" s="6" t="str">
        <f>VLOOKUP(B25,Sheet3!$B$2:$E$312,2,FALSE)</f>
        <v>P004-013</v>
      </c>
      <c r="D25" s="6" t="str">
        <f>VLOOKUP(B25,Sheet3!$B$2:$E$312,3,)</f>
        <v>barang jadi &amp; bahan baku</v>
      </c>
      <c r="E25" s="8" t="str">
        <f>VLOOKUP(B25,Sheet3!$B$2:$E$312,4,)</f>
        <v>PCS</v>
      </c>
      <c r="F25" s="22">
        <v>20.0</v>
      </c>
      <c r="G25" s="22" t="s">
        <v>1216</v>
      </c>
      <c r="H25" s="22" t="s">
        <v>1225</v>
      </c>
      <c r="I25" s="32" t="s">
        <v>1444</v>
      </c>
      <c r="J25" s="28"/>
    </row>
    <row r="26" ht="15.75" customHeight="1">
      <c r="A26" s="33"/>
      <c r="B26" s="21" t="s">
        <v>132</v>
      </c>
      <c r="C26" s="6" t="str">
        <f>VLOOKUP(B26,Sheet3!$B$2:$E$312,2,FALSE)</f>
        <v>B001-057</v>
      </c>
      <c r="D26" s="6" t="str">
        <f>VLOOKUP(B26,Sheet3!$B$2:$E$312,3,)</f>
        <v>bahan baku</v>
      </c>
      <c r="E26" s="8" t="str">
        <f>VLOOKUP(B26,Sheet3!$B$2:$E$312,4,)</f>
        <v>GR</v>
      </c>
      <c r="F26" s="22">
        <v>235.0</v>
      </c>
      <c r="G26" s="22" t="s">
        <v>1245</v>
      </c>
      <c r="H26" s="22" t="s">
        <v>1290</v>
      </c>
      <c r="I26" s="32" t="s">
        <v>1444</v>
      </c>
      <c r="J26" s="28"/>
    </row>
    <row r="27" ht="15.75" customHeight="1">
      <c r="A27" s="33"/>
      <c r="B27" s="21" t="s">
        <v>211</v>
      </c>
      <c r="C27" s="6" t="str">
        <f>VLOOKUP(B27,Sheet3!$B$2:$E$312,2,FALSE)</f>
        <v>B001-088</v>
      </c>
      <c r="D27" s="6" t="str">
        <f>VLOOKUP(B27,Sheet3!$B$2:$E$312,3,)</f>
        <v>bahan baku</v>
      </c>
      <c r="E27" s="8" t="str">
        <f>VLOOKUP(B27,Sheet3!$B$2:$E$312,4,)</f>
        <v>GR</v>
      </c>
      <c r="F27" s="22">
        <v>7760.0</v>
      </c>
      <c r="G27" s="22" t="s">
        <v>1445</v>
      </c>
      <c r="H27" s="22" t="s">
        <v>1417</v>
      </c>
      <c r="I27" s="32" t="s">
        <v>1444</v>
      </c>
      <c r="J27" s="28"/>
    </row>
    <row r="28" ht="15.75" customHeight="1">
      <c r="A28" s="34"/>
      <c r="B28" s="21" t="s">
        <v>86</v>
      </c>
      <c r="C28" s="6" t="str">
        <f>VLOOKUP(B28,Sheet3!$B$2:$E$312,2,FALSE)</f>
        <v>B001-036</v>
      </c>
      <c r="D28" s="6" t="str">
        <f>VLOOKUP(B28,Sheet3!$B$2:$E$312,3,)</f>
        <v>bahan baku</v>
      </c>
      <c r="E28" s="8" t="str">
        <f>VLOOKUP(B28,Sheet3!$B$2:$E$312,4,)</f>
        <v>GR</v>
      </c>
      <c r="F28" s="22">
        <v>9.0</v>
      </c>
      <c r="G28" s="22" t="s">
        <v>1516</v>
      </c>
      <c r="H28" s="22" t="s">
        <v>1512</v>
      </c>
      <c r="I28" s="32" t="s">
        <v>1444</v>
      </c>
      <c r="J28" s="28"/>
    </row>
    <row r="29" ht="15.75" customHeight="1">
      <c r="A29" s="35">
        <v>46116.0</v>
      </c>
      <c r="B29" s="21" t="s">
        <v>86</v>
      </c>
      <c r="C29" s="6" t="str">
        <f>VLOOKUP(B29,Sheet3!$B$2:$E$312,2,FALSE)</f>
        <v>B001-036</v>
      </c>
      <c r="D29" s="6" t="str">
        <f>VLOOKUP(B29,Sheet3!$B$2:$E$312,3,)</f>
        <v>bahan baku</v>
      </c>
      <c r="E29" s="8" t="str">
        <f>VLOOKUP(B29,Sheet3!$B$2:$E$312,4,)</f>
        <v>GR</v>
      </c>
      <c r="F29" s="22">
        <v>5.0</v>
      </c>
      <c r="G29" s="22" t="s">
        <v>1516</v>
      </c>
      <c r="H29" s="22" t="s">
        <v>1512</v>
      </c>
      <c r="I29" s="32" t="s">
        <v>1444</v>
      </c>
      <c r="J29" s="28"/>
    </row>
    <row r="30" ht="15.75" customHeight="1">
      <c r="A30" s="33"/>
      <c r="B30" s="21" t="s">
        <v>111</v>
      </c>
      <c r="C30" s="6" t="str">
        <f>VLOOKUP(B30,Sheet3!$B$2:$E$312,2,FALSE)</f>
        <v>B001-047</v>
      </c>
      <c r="D30" s="6" t="str">
        <f>VLOOKUP(B30,Sheet3!$B$2:$E$312,3,)</f>
        <v>bahan baku</v>
      </c>
      <c r="E30" s="8" t="str">
        <f>VLOOKUP(B30,Sheet3!$B$2:$E$312,4,)</f>
        <v>GR</v>
      </c>
      <c r="F30" s="22">
        <v>67.0</v>
      </c>
      <c r="G30" s="22" t="s">
        <v>1164</v>
      </c>
      <c r="H30" s="22" t="s">
        <v>1514</v>
      </c>
      <c r="I30" s="32" t="s">
        <v>1444</v>
      </c>
      <c r="J30" s="28"/>
    </row>
    <row r="31" ht="15.75" customHeight="1">
      <c r="A31" s="33"/>
      <c r="B31" s="21" t="s">
        <v>653</v>
      </c>
      <c r="C31" s="6" t="str">
        <f>VLOOKUP(B31,Sheet3!$B$2:$E$312,2,FALSE)</f>
        <v>P004-022</v>
      </c>
      <c r="D31" s="6" t="str">
        <f>VLOOKUP(B31,Sheet3!$B$2:$E$312,3,)</f>
        <v>barang jadi &amp; bahan baku</v>
      </c>
      <c r="E31" s="8" t="str">
        <f>VLOOKUP(B31,Sheet3!$B$2:$E$312,4,)</f>
        <v>CC</v>
      </c>
      <c r="F31" s="22">
        <v>788.0</v>
      </c>
      <c r="G31" s="22" t="s">
        <v>1216</v>
      </c>
      <c r="H31" s="22" t="s">
        <v>1514</v>
      </c>
      <c r="I31" s="32" t="s">
        <v>1444</v>
      </c>
      <c r="J31" s="28"/>
    </row>
    <row r="32" ht="15.75" customHeight="1">
      <c r="A32" s="33"/>
      <c r="B32" s="21" t="s">
        <v>657</v>
      </c>
      <c r="C32" s="6" t="str">
        <f>VLOOKUP(B32,Sheet3!$B$2:$E$312,2,FALSE)</f>
        <v>P004-023</v>
      </c>
      <c r="D32" s="6" t="str">
        <f>VLOOKUP(B32,Sheet3!$B$2:$E$312,3,)</f>
        <v>barang jadi &amp; bahan baku</v>
      </c>
      <c r="E32" s="8" t="str">
        <f>VLOOKUP(B32,Sheet3!$B$2:$E$312,4,)</f>
        <v>CC</v>
      </c>
      <c r="F32" s="22">
        <v>2151.0</v>
      </c>
      <c r="G32" s="22" t="s">
        <v>1216</v>
      </c>
      <c r="H32" s="22" t="s">
        <v>1514</v>
      </c>
      <c r="I32" s="32" t="s">
        <v>1444</v>
      </c>
      <c r="J32" s="28"/>
    </row>
    <row r="33" ht="15.75" customHeight="1">
      <c r="A33" s="33"/>
      <c r="B33" s="21" t="s">
        <v>664</v>
      </c>
      <c r="C33" s="6" t="str">
        <f>VLOOKUP(B33,Sheet3!$B$2:$E$312,2,FALSE)</f>
        <v>P004-025</v>
      </c>
      <c r="D33" s="6" t="str">
        <f>VLOOKUP(B33,Sheet3!$B$2:$E$312,3,)</f>
        <v>barang jadi &amp; bahan baku</v>
      </c>
      <c r="E33" s="8" t="str">
        <f>VLOOKUP(B33,Sheet3!$B$2:$E$312,4,)</f>
        <v>ML</v>
      </c>
      <c r="F33" s="22">
        <v>1074.0</v>
      </c>
      <c r="G33" s="22" t="s">
        <v>1216</v>
      </c>
      <c r="H33" s="22" t="s">
        <v>1514</v>
      </c>
      <c r="I33" s="32" t="s">
        <v>1444</v>
      </c>
      <c r="J33" s="28"/>
    </row>
    <row r="34" ht="15.75" customHeight="1">
      <c r="A34" s="33"/>
      <c r="B34" s="21" t="s">
        <v>805</v>
      </c>
      <c r="C34" s="6" t="str">
        <f>VLOOKUP(B34,Sheet3!$B$2:$E$312,2,FALSE)</f>
        <v>#N/A</v>
      </c>
      <c r="D34" s="6" t="str">
        <f>VLOOKUP(B34,Sheet3!$B$2:$E$312,3,)</f>
        <v>#N/A</v>
      </c>
      <c r="E34" s="8" t="str">
        <f>VLOOKUP(B34,Sheet3!$B$2:$E$312,4,)</f>
        <v>#N/A</v>
      </c>
      <c r="F34" s="22">
        <v>1545.0</v>
      </c>
      <c r="G34" s="22" t="s">
        <v>1216</v>
      </c>
      <c r="H34" s="22" t="s">
        <v>1514</v>
      </c>
      <c r="I34" s="32" t="s">
        <v>1444</v>
      </c>
      <c r="J34" s="28"/>
    </row>
    <row r="35" ht="15.75" customHeight="1">
      <c r="A35" s="33"/>
      <c r="B35" s="21" t="s">
        <v>79</v>
      </c>
      <c r="C35" s="6" t="str">
        <f>VLOOKUP(B35,Sheet3!$B$2:$E$312,2,FALSE)</f>
        <v>B001-033</v>
      </c>
      <c r="D35" s="6" t="str">
        <f>VLOOKUP(B35,Sheet3!$B$2:$E$312,3,)</f>
        <v>bahan baku</v>
      </c>
      <c r="E35" s="8" t="str">
        <f>VLOOKUP(B35,Sheet3!$B$2:$E$312,4,)</f>
        <v>PCS</v>
      </c>
      <c r="F35" s="22">
        <v>29.0</v>
      </c>
      <c r="G35" s="22" t="s">
        <v>1411</v>
      </c>
      <c r="H35" s="22" t="s">
        <v>1514</v>
      </c>
      <c r="I35" s="32" t="s">
        <v>1446</v>
      </c>
      <c r="J35" s="32" t="s">
        <v>1517</v>
      </c>
    </row>
    <row r="36" ht="15.75" customHeight="1">
      <c r="A36" s="33"/>
      <c r="B36" s="21" t="s">
        <v>1518</v>
      </c>
      <c r="C36" s="6" t="str">
        <f>VLOOKUP(B36,Sheet3!$B$2:$E$312,2,FALSE)</f>
        <v>#N/A</v>
      </c>
      <c r="D36" s="6" t="str">
        <f>VLOOKUP(B36,Sheet3!$B$2:$E$312,3,)</f>
        <v>#N/A</v>
      </c>
      <c r="E36" s="8" t="str">
        <f>VLOOKUP(B36,Sheet3!$B$2:$E$312,4,)</f>
        <v>#N/A</v>
      </c>
      <c r="F36" s="22" t="s">
        <v>1519</v>
      </c>
      <c r="G36" s="22" t="s">
        <v>1216</v>
      </c>
      <c r="H36" s="22" t="s">
        <v>1514</v>
      </c>
      <c r="I36" s="32" t="s">
        <v>1444</v>
      </c>
      <c r="J36" s="28"/>
    </row>
    <row r="37" ht="15.75" customHeight="1">
      <c r="A37" s="33"/>
      <c r="B37" s="21" t="s">
        <v>632</v>
      </c>
      <c r="C37" s="6" t="str">
        <f>VLOOKUP(B37,Sheet3!$B$2:$E$312,2,FALSE)</f>
        <v>P004-013</v>
      </c>
      <c r="D37" s="6" t="str">
        <f>VLOOKUP(B37,Sheet3!$B$2:$E$312,3,)</f>
        <v>barang jadi &amp; bahan baku</v>
      </c>
      <c r="E37" s="8" t="str">
        <f>VLOOKUP(B37,Sheet3!$B$2:$E$312,4,)</f>
        <v>PCS</v>
      </c>
      <c r="F37" s="22">
        <v>15.0</v>
      </c>
      <c r="G37" s="22" t="s">
        <v>1216</v>
      </c>
      <c r="H37" s="22" t="s">
        <v>1225</v>
      </c>
      <c r="I37" s="32" t="s">
        <v>1444</v>
      </c>
      <c r="J37" s="28"/>
    </row>
    <row r="38" ht="15.75" customHeight="1">
      <c r="A38" s="33"/>
      <c r="B38" s="21" t="s">
        <v>502</v>
      </c>
      <c r="C38" s="6" t="str">
        <f>VLOOKUP(B38,Sheet3!$B$2:$E$312,2,FALSE)</f>
        <v>S001-002</v>
      </c>
      <c r="D38" s="6" t="str">
        <f>VLOOKUP(B38,Sheet3!$B$2:$E$312,3,)</f>
        <v>barang jadi</v>
      </c>
      <c r="E38" s="8" t="str">
        <f>VLOOKUP(B38,Sheet3!$B$2:$E$312,4,)</f>
        <v>PORSI</v>
      </c>
      <c r="F38" s="22">
        <v>4.0</v>
      </c>
      <c r="G38" s="22" t="s">
        <v>1216</v>
      </c>
      <c r="H38" s="22" t="s">
        <v>1225</v>
      </c>
      <c r="I38" s="32" t="s">
        <v>1444</v>
      </c>
      <c r="J38" s="28"/>
    </row>
    <row r="39" ht="15.75" customHeight="1">
      <c r="A39" s="34"/>
      <c r="B39" s="21" t="s">
        <v>211</v>
      </c>
      <c r="C39" s="6" t="str">
        <f>VLOOKUP(B39,Sheet3!$B$2:$E$312,2,FALSE)</f>
        <v>B001-088</v>
      </c>
      <c r="D39" s="6" t="str">
        <f>VLOOKUP(B39,Sheet3!$B$2:$E$312,3,)</f>
        <v>bahan baku</v>
      </c>
      <c r="E39" s="8" t="str">
        <f>VLOOKUP(B39,Sheet3!$B$2:$E$312,4,)</f>
        <v>GR</v>
      </c>
      <c r="F39" s="22">
        <v>12760.0</v>
      </c>
      <c r="G39" s="22" t="s">
        <v>1520</v>
      </c>
      <c r="H39" s="22" t="s">
        <v>1290</v>
      </c>
      <c r="I39" s="32" t="s">
        <v>1444</v>
      </c>
      <c r="J39" s="28"/>
    </row>
    <row r="40" ht="15.75" customHeight="1">
      <c r="A40" s="35">
        <v>46146.0</v>
      </c>
      <c r="B40" s="21" t="s">
        <v>653</v>
      </c>
      <c r="C40" s="6" t="str">
        <f>VLOOKUP(B40,Sheet3!$B$2:$E$312,2,FALSE)</f>
        <v>P004-022</v>
      </c>
      <c r="D40" s="6" t="str">
        <f>VLOOKUP(B40,Sheet3!$B$2:$E$312,3,)</f>
        <v>barang jadi &amp; bahan baku</v>
      </c>
      <c r="E40" s="8" t="str">
        <f>VLOOKUP(B40,Sheet3!$B$2:$E$312,4,)</f>
        <v>CC</v>
      </c>
      <c r="F40" s="22">
        <v>483.0</v>
      </c>
      <c r="G40" s="22" t="s">
        <v>1164</v>
      </c>
      <c r="H40" s="22" t="s">
        <v>1514</v>
      </c>
      <c r="I40" s="32" t="s">
        <v>1444</v>
      </c>
      <c r="J40" s="28"/>
    </row>
    <row r="41" ht="15.75" customHeight="1">
      <c r="A41" s="33"/>
      <c r="B41" s="21" t="s">
        <v>657</v>
      </c>
      <c r="C41" s="6" t="str">
        <f>VLOOKUP(B41,Sheet3!$B$2:$E$312,2,FALSE)</f>
        <v>P004-023</v>
      </c>
      <c r="D41" s="6" t="str">
        <f>VLOOKUP(B41,Sheet3!$B$2:$E$312,3,)</f>
        <v>barang jadi &amp; bahan baku</v>
      </c>
      <c r="E41" s="8" t="str">
        <f>VLOOKUP(B41,Sheet3!$B$2:$E$312,4,)</f>
        <v>CC</v>
      </c>
      <c r="F41" s="22">
        <v>1092.0</v>
      </c>
      <c r="G41" s="22" t="s">
        <v>1164</v>
      </c>
      <c r="H41" s="22" t="s">
        <v>1514</v>
      </c>
      <c r="I41" s="32" t="s">
        <v>1444</v>
      </c>
      <c r="J41" s="28"/>
    </row>
    <row r="42" ht="15.75" customHeight="1">
      <c r="A42" s="33"/>
      <c r="B42" s="21" t="s">
        <v>211</v>
      </c>
      <c r="C42" s="6" t="str">
        <f>VLOOKUP(B42,Sheet3!$B$2:$E$312,2,FALSE)</f>
        <v>B001-088</v>
      </c>
      <c r="D42" s="6" t="str">
        <f>VLOOKUP(B42,Sheet3!$B$2:$E$312,3,)</f>
        <v>bahan baku</v>
      </c>
      <c r="E42" s="8" t="str">
        <f>VLOOKUP(B42,Sheet3!$B$2:$E$312,4,)</f>
        <v>GR</v>
      </c>
      <c r="F42" s="22">
        <v>8015.0</v>
      </c>
      <c r="G42" s="22" t="s">
        <v>1520</v>
      </c>
      <c r="H42" s="22" t="s">
        <v>1441</v>
      </c>
      <c r="I42" s="32" t="s">
        <v>1444</v>
      </c>
      <c r="J42" s="28"/>
    </row>
    <row r="43" ht="15.75" customHeight="1">
      <c r="A43" s="33"/>
      <c r="B43" s="21" t="s">
        <v>805</v>
      </c>
      <c r="C43" s="6" t="str">
        <f>VLOOKUP(B43,Sheet3!$B$2:$E$312,2,FALSE)</f>
        <v>#N/A</v>
      </c>
      <c r="D43" s="6" t="str">
        <f>VLOOKUP(B43,Sheet3!$B$2:$E$312,3,)</f>
        <v>#N/A</v>
      </c>
      <c r="E43" s="8" t="str">
        <f>VLOOKUP(B43,Sheet3!$B$2:$E$312,4,)</f>
        <v>#N/A</v>
      </c>
      <c r="F43" s="22">
        <v>791.0</v>
      </c>
      <c r="G43" s="22" t="s">
        <v>1216</v>
      </c>
      <c r="H43" s="22" t="s">
        <v>1514</v>
      </c>
      <c r="I43" s="32" t="s">
        <v>1444</v>
      </c>
      <c r="J43" s="28"/>
    </row>
    <row r="44" ht="15.75" customHeight="1">
      <c r="A44" s="33"/>
      <c r="B44" s="21" t="s">
        <v>664</v>
      </c>
      <c r="C44" s="6" t="str">
        <f>VLOOKUP(B44,Sheet3!$B$2:$E$312,2,FALSE)</f>
        <v>P004-025</v>
      </c>
      <c r="D44" s="6" t="str">
        <f>VLOOKUP(B44,Sheet3!$B$2:$E$312,3,)</f>
        <v>barang jadi &amp; bahan baku</v>
      </c>
      <c r="E44" s="8" t="str">
        <f>VLOOKUP(B44,Sheet3!$B$2:$E$312,4,)</f>
        <v>ML</v>
      </c>
      <c r="F44" s="22">
        <v>2326.0</v>
      </c>
      <c r="G44" s="22" t="s">
        <v>1216</v>
      </c>
      <c r="H44" s="22" t="s">
        <v>1514</v>
      </c>
      <c r="I44" s="32" t="s">
        <v>1444</v>
      </c>
      <c r="J44" s="28"/>
    </row>
    <row r="45" ht="15.75" customHeight="1">
      <c r="A45" s="33"/>
      <c r="B45" s="21" t="s">
        <v>632</v>
      </c>
      <c r="C45" s="6" t="str">
        <f>VLOOKUP(B45,Sheet3!$B$2:$E$312,2,FALSE)</f>
        <v>P004-013</v>
      </c>
      <c r="D45" s="6" t="str">
        <f>VLOOKUP(B45,Sheet3!$B$2:$E$312,3,)</f>
        <v>barang jadi &amp; bahan baku</v>
      </c>
      <c r="E45" s="8" t="str">
        <f>VLOOKUP(B45,Sheet3!$B$2:$E$312,4,)</f>
        <v>PCS</v>
      </c>
      <c r="F45" s="22">
        <v>14.0</v>
      </c>
      <c r="G45" s="22" t="s">
        <v>1333</v>
      </c>
      <c r="H45" s="22" t="s">
        <v>1225</v>
      </c>
      <c r="I45" s="32" t="s">
        <v>1444</v>
      </c>
      <c r="J45" s="28"/>
    </row>
    <row r="46" ht="15.75" customHeight="1">
      <c r="A46" s="33"/>
      <c r="B46" s="21" t="s">
        <v>502</v>
      </c>
      <c r="C46" s="6" t="str">
        <f>VLOOKUP(B46,Sheet3!$B$2:$E$312,2,FALSE)</f>
        <v>S001-002</v>
      </c>
      <c r="D46" s="6" t="str">
        <f>VLOOKUP(B46,Sheet3!$B$2:$E$312,3,)</f>
        <v>barang jadi</v>
      </c>
      <c r="E46" s="8" t="str">
        <f>VLOOKUP(B46,Sheet3!$B$2:$E$312,4,)</f>
        <v>PORSI</v>
      </c>
      <c r="F46" s="22">
        <v>3.0</v>
      </c>
      <c r="G46" s="22" t="s">
        <v>1216</v>
      </c>
      <c r="H46" s="22" t="s">
        <v>1225</v>
      </c>
      <c r="I46" s="32" t="s">
        <v>1446</v>
      </c>
      <c r="J46" s="32" t="s">
        <v>1480</v>
      </c>
    </row>
    <row r="47" ht="15.75" customHeight="1">
      <c r="A47" s="34"/>
      <c r="B47" s="21" t="s">
        <v>28</v>
      </c>
      <c r="C47" s="6" t="str">
        <f>VLOOKUP(B47,Sheet3!$B$2:$E$312,2,FALSE)</f>
        <v>B001-006</v>
      </c>
      <c r="D47" s="6" t="str">
        <f>VLOOKUP(B47,Sheet3!$B$2:$E$312,3,)</f>
        <v>bahan baku</v>
      </c>
      <c r="E47" s="8" t="str">
        <f>VLOOKUP(B47,Sheet3!$B$2:$E$312,4,)</f>
        <v>GR</v>
      </c>
      <c r="F47" s="25">
        <v>56.0</v>
      </c>
      <c r="G47" s="25" t="s">
        <v>1445</v>
      </c>
      <c r="H47" s="25" t="s">
        <v>1290</v>
      </c>
      <c r="I47" s="32" t="s">
        <v>1444</v>
      </c>
      <c r="J47" s="28"/>
    </row>
    <row r="48" ht="15.75" customHeight="1">
      <c r="A48" s="35">
        <v>46177.0</v>
      </c>
      <c r="B48" s="21" t="s">
        <v>211</v>
      </c>
      <c r="C48" s="6" t="str">
        <f>VLOOKUP(B48,Sheet3!$B$2:$E$312,2,FALSE)</f>
        <v>B001-088</v>
      </c>
      <c r="D48" s="6" t="str">
        <f>VLOOKUP(B48,Sheet3!$B$2:$E$312,3,)</f>
        <v>bahan baku</v>
      </c>
      <c r="E48" s="8" t="str">
        <f>VLOOKUP(B48,Sheet3!$B$2:$E$312,4,)</f>
        <v>GR</v>
      </c>
      <c r="F48" s="22">
        <v>3735.0</v>
      </c>
      <c r="G48" s="22" t="s">
        <v>1521</v>
      </c>
      <c r="H48" s="22" t="s">
        <v>1441</v>
      </c>
      <c r="I48" s="32" t="s">
        <v>1444</v>
      </c>
      <c r="J48" s="28"/>
    </row>
    <row r="49" ht="15.75" customHeight="1">
      <c r="A49" s="33"/>
      <c r="B49" s="21" t="s">
        <v>208</v>
      </c>
      <c r="C49" s="6" t="str">
        <f>VLOOKUP(B49,Sheet3!$B$2:$E$312,2,FALSE)</f>
        <v>B001-087</v>
      </c>
      <c r="D49" s="6" t="str">
        <f>VLOOKUP(B49,Sheet3!$B$2:$E$312,3,)</f>
        <v>bahan baku</v>
      </c>
      <c r="E49" s="8" t="str">
        <f>VLOOKUP(B49,Sheet3!$B$2:$E$312,4,)</f>
        <v>PCS</v>
      </c>
      <c r="F49" s="22">
        <v>3.0</v>
      </c>
      <c r="G49" s="22" t="s">
        <v>1224</v>
      </c>
      <c r="H49" s="22" t="s">
        <v>1290</v>
      </c>
      <c r="I49" s="32" t="s">
        <v>1444</v>
      </c>
      <c r="J49" s="28"/>
    </row>
    <row r="50" ht="15.75" customHeight="1">
      <c r="A50" s="33"/>
      <c r="B50" s="21" t="s">
        <v>101</v>
      </c>
      <c r="C50" s="6" t="str">
        <f>VLOOKUP(B50,Sheet3!$B$2:$E$312,2,FALSE)</f>
        <v>B001-043</v>
      </c>
      <c r="D50" s="6" t="str">
        <f>VLOOKUP(B50,Sheet3!$B$2:$E$312,3,)</f>
        <v>bahan baku</v>
      </c>
      <c r="E50" s="8" t="str">
        <f>VLOOKUP(B50,Sheet3!$B$2:$E$312,4,)</f>
        <v>GR</v>
      </c>
      <c r="F50" s="22">
        <v>148.0</v>
      </c>
      <c r="G50" s="22" t="s">
        <v>1245</v>
      </c>
      <c r="H50" s="22" t="s">
        <v>1225</v>
      </c>
      <c r="I50" s="32" t="s">
        <v>1444</v>
      </c>
      <c r="J50" s="28"/>
    </row>
    <row r="51" ht="15.75" customHeight="1">
      <c r="A51" s="33"/>
      <c r="B51" s="21" t="s">
        <v>211</v>
      </c>
      <c r="C51" s="6" t="str">
        <f>VLOOKUP(B51,Sheet3!$B$2:$E$312,2,FALSE)</f>
        <v>B001-088</v>
      </c>
      <c r="D51" s="6" t="str">
        <f>VLOOKUP(B51,Sheet3!$B$2:$E$312,3,)</f>
        <v>bahan baku</v>
      </c>
      <c r="E51" s="8" t="str">
        <f>VLOOKUP(B51,Sheet3!$B$2:$E$312,4,)</f>
        <v>GR</v>
      </c>
      <c r="F51" s="22">
        <v>2485.0</v>
      </c>
      <c r="G51" s="22" t="s">
        <v>1520</v>
      </c>
      <c r="H51" s="22" t="s">
        <v>1441</v>
      </c>
      <c r="I51" s="32" t="s">
        <v>1444</v>
      </c>
      <c r="J51" s="28"/>
    </row>
    <row r="52" ht="15.75" customHeight="1">
      <c r="A52" s="33"/>
      <c r="B52" s="21" t="s">
        <v>502</v>
      </c>
      <c r="C52" s="6" t="str">
        <f>VLOOKUP(B52,Sheet3!$B$2:$E$312,2,FALSE)</f>
        <v>S001-002</v>
      </c>
      <c r="D52" s="6" t="str">
        <f>VLOOKUP(B52,Sheet3!$B$2:$E$312,3,)</f>
        <v>barang jadi</v>
      </c>
      <c r="E52" s="8" t="str">
        <f>VLOOKUP(B52,Sheet3!$B$2:$E$312,4,)</f>
        <v>PORSI</v>
      </c>
      <c r="F52" s="22">
        <v>3.0</v>
      </c>
      <c r="G52" s="22" t="s">
        <v>1462</v>
      </c>
      <c r="H52" s="22" t="s">
        <v>1225</v>
      </c>
      <c r="I52" s="32" t="s">
        <v>1446</v>
      </c>
      <c r="J52" s="32" t="s">
        <v>1480</v>
      </c>
    </row>
    <row r="53" ht="15.75" customHeight="1">
      <c r="A53" s="33"/>
      <c r="B53" s="21" t="s">
        <v>632</v>
      </c>
      <c r="C53" s="6" t="str">
        <f>VLOOKUP(B53,Sheet3!$B$2:$E$312,2,FALSE)</f>
        <v>P004-013</v>
      </c>
      <c r="D53" s="6" t="str">
        <f>VLOOKUP(B53,Sheet3!$B$2:$E$312,3,)</f>
        <v>barang jadi &amp; bahan baku</v>
      </c>
      <c r="E53" s="8" t="str">
        <f>VLOOKUP(B53,Sheet3!$B$2:$E$312,4,)</f>
        <v>PCS</v>
      </c>
      <c r="F53" s="22">
        <v>5.0</v>
      </c>
      <c r="G53" s="22" t="s">
        <v>1216</v>
      </c>
      <c r="H53" s="22" t="s">
        <v>1225</v>
      </c>
      <c r="I53" s="32" t="s">
        <v>1446</v>
      </c>
      <c r="J53" s="32" t="s">
        <v>1522</v>
      </c>
    </row>
    <row r="54" ht="15.75" customHeight="1">
      <c r="A54" s="33"/>
      <c r="B54" s="21" t="s">
        <v>805</v>
      </c>
      <c r="C54" s="6" t="str">
        <f>VLOOKUP(B54,Sheet3!$B$2:$E$312,2,FALSE)</f>
        <v>#N/A</v>
      </c>
      <c r="D54" s="6" t="str">
        <f>VLOOKUP(B54,Sheet3!$B$2:$E$312,3,)</f>
        <v>#N/A</v>
      </c>
      <c r="E54" s="8" t="str">
        <f>VLOOKUP(B54,Sheet3!$B$2:$E$312,4,)</f>
        <v>#N/A</v>
      </c>
      <c r="F54" s="22">
        <v>545.0</v>
      </c>
      <c r="G54" s="22" t="s">
        <v>1216</v>
      </c>
      <c r="H54" s="22" t="s">
        <v>1512</v>
      </c>
      <c r="I54" s="32" t="s">
        <v>1444</v>
      </c>
      <c r="J54" s="28"/>
    </row>
    <row r="55" ht="15.75" customHeight="1">
      <c r="A55" s="33"/>
      <c r="B55" s="21" t="s">
        <v>653</v>
      </c>
      <c r="C55" s="6" t="str">
        <f>VLOOKUP(B55,Sheet3!$B$2:$E$312,2,FALSE)</f>
        <v>P004-022</v>
      </c>
      <c r="D55" s="6" t="str">
        <f>VLOOKUP(B55,Sheet3!$B$2:$E$312,3,)</f>
        <v>barang jadi &amp; bahan baku</v>
      </c>
      <c r="E55" s="8" t="str">
        <f>VLOOKUP(B55,Sheet3!$B$2:$E$312,4,)</f>
        <v>CC</v>
      </c>
      <c r="F55" s="22">
        <v>430.0</v>
      </c>
      <c r="G55" s="22" t="s">
        <v>1216</v>
      </c>
      <c r="H55" s="22" t="s">
        <v>1512</v>
      </c>
      <c r="I55" s="32" t="s">
        <v>1444</v>
      </c>
      <c r="J55" s="28"/>
    </row>
    <row r="56" ht="15.75" customHeight="1">
      <c r="A56" s="34"/>
      <c r="B56" s="21" t="s">
        <v>657</v>
      </c>
      <c r="C56" s="6" t="str">
        <f>VLOOKUP(B56,Sheet3!$B$2:$E$312,2,FALSE)</f>
        <v>P004-023</v>
      </c>
      <c r="D56" s="6" t="str">
        <f>VLOOKUP(B56,Sheet3!$B$2:$E$312,3,)</f>
        <v>barang jadi &amp; bahan baku</v>
      </c>
      <c r="E56" s="8" t="str">
        <f>VLOOKUP(B56,Sheet3!$B$2:$E$312,4,)</f>
        <v>CC</v>
      </c>
      <c r="F56" s="22">
        <v>505.0</v>
      </c>
      <c r="G56" s="22" t="s">
        <v>1216</v>
      </c>
      <c r="H56" s="22" t="s">
        <v>1512</v>
      </c>
      <c r="I56" s="32" t="s">
        <v>1444</v>
      </c>
      <c r="J56" s="28"/>
    </row>
    <row r="57" ht="15.75" customHeight="1">
      <c r="A57" s="35">
        <v>46207.0</v>
      </c>
      <c r="B57" s="21" t="s">
        <v>216</v>
      </c>
      <c r="C57" s="6" t="str">
        <f>VLOOKUP(B57,Sheet3!$B$2:$E$312,2,FALSE)</f>
        <v>B001-093</v>
      </c>
      <c r="D57" s="6" t="str">
        <f>VLOOKUP(B57,Sheet3!$B$2:$E$312,3,)</f>
        <v>bahan baku</v>
      </c>
      <c r="E57" s="8" t="str">
        <f>VLOOKUP(B57,Sheet3!$B$2:$E$312,4,)</f>
        <v>ML</v>
      </c>
      <c r="F57" s="22">
        <v>573.0</v>
      </c>
      <c r="G57" s="22" t="s">
        <v>1164</v>
      </c>
      <c r="H57" s="22" t="s">
        <v>1523</v>
      </c>
      <c r="I57" s="32" t="s">
        <v>1444</v>
      </c>
      <c r="J57" s="28"/>
    </row>
    <row r="58" ht="15.75" customHeight="1">
      <c r="A58" s="33"/>
      <c r="B58" s="21" t="s">
        <v>28</v>
      </c>
      <c r="C58" s="6" t="str">
        <f>VLOOKUP(B58,Sheet3!$B$2:$E$312,2,FALSE)</f>
        <v>B001-006</v>
      </c>
      <c r="D58" s="6" t="str">
        <f>VLOOKUP(B58,Sheet3!$B$2:$E$312,3,)</f>
        <v>bahan baku</v>
      </c>
      <c r="E58" s="8" t="str">
        <f>VLOOKUP(B58,Sheet3!$B$2:$E$312,4,)</f>
        <v>GR</v>
      </c>
      <c r="F58" s="22">
        <v>274.0</v>
      </c>
      <c r="G58" s="22" t="s">
        <v>1224</v>
      </c>
      <c r="H58" s="22" t="s">
        <v>1509</v>
      </c>
      <c r="I58" s="32" t="s">
        <v>1444</v>
      </c>
      <c r="J58" s="28"/>
    </row>
    <row r="59" ht="15.75" customHeight="1">
      <c r="A59" s="33"/>
      <c r="B59" s="21" t="s">
        <v>298</v>
      </c>
      <c r="C59" s="6" t="str">
        <f>VLOOKUP(B59,Sheet3!$B$2:$E$312,2,FALSE)</f>
        <v>B001-125</v>
      </c>
      <c r="D59" s="6" t="str">
        <f>VLOOKUP(B59,Sheet3!$B$2:$E$312,3,)</f>
        <v>bahan baku</v>
      </c>
      <c r="E59" s="8" t="str">
        <f>VLOOKUP(B59,Sheet3!$B$2:$E$312,4,)</f>
        <v>GR</v>
      </c>
      <c r="F59" s="22">
        <v>86.0</v>
      </c>
      <c r="G59" s="22" t="s">
        <v>1462</v>
      </c>
      <c r="H59" s="22" t="s">
        <v>1509</v>
      </c>
      <c r="I59" s="32" t="s">
        <v>1444</v>
      </c>
      <c r="J59" s="28"/>
    </row>
    <row r="60" ht="15.75" customHeight="1">
      <c r="A60" s="33"/>
      <c r="B60" s="21" t="s">
        <v>250</v>
      </c>
      <c r="C60" s="6" t="str">
        <f>VLOOKUP(B60,Sheet3!$B$2:$E$312,2,FALSE)</f>
        <v>B001-110</v>
      </c>
      <c r="D60" s="6" t="str">
        <f>VLOOKUP(B60,Sheet3!$B$2:$E$312,3,)</f>
        <v>bahan baku</v>
      </c>
      <c r="E60" s="8" t="str">
        <f>VLOOKUP(B60,Sheet3!$B$2:$E$312,4,)</f>
        <v>GR</v>
      </c>
      <c r="F60" s="22">
        <v>551.0</v>
      </c>
      <c r="G60" s="22" t="s">
        <v>1245</v>
      </c>
      <c r="H60" s="22" t="s">
        <v>1523</v>
      </c>
      <c r="I60" s="32" t="s">
        <v>1444</v>
      </c>
      <c r="J60" s="28"/>
    </row>
    <row r="61" ht="15.75" customHeight="1">
      <c r="A61" s="33"/>
      <c r="B61" s="21" t="s">
        <v>632</v>
      </c>
      <c r="C61" s="6" t="str">
        <f>VLOOKUP(B61,Sheet3!$B$2:$E$312,2,FALSE)</f>
        <v>P004-013</v>
      </c>
      <c r="D61" s="6" t="str">
        <f>VLOOKUP(B61,Sheet3!$B$2:$E$312,3,)</f>
        <v>barang jadi &amp; bahan baku</v>
      </c>
      <c r="E61" s="8" t="str">
        <f>VLOOKUP(B61,Sheet3!$B$2:$E$312,4,)</f>
        <v>PCS</v>
      </c>
      <c r="F61" s="22">
        <v>11.0</v>
      </c>
      <c r="G61" s="22" t="s">
        <v>1216</v>
      </c>
      <c r="H61" s="22" t="s">
        <v>1305</v>
      </c>
      <c r="I61" s="32" t="s">
        <v>1446</v>
      </c>
      <c r="J61" s="32" t="s">
        <v>1524</v>
      </c>
    </row>
    <row r="62" ht="15.75" customHeight="1">
      <c r="A62" s="33"/>
      <c r="B62" s="21" t="s">
        <v>502</v>
      </c>
      <c r="C62" s="6" t="str">
        <f>VLOOKUP(B62,Sheet3!$B$2:$E$312,2,FALSE)</f>
        <v>S001-002</v>
      </c>
      <c r="D62" s="6" t="str">
        <f>VLOOKUP(B62,Sheet3!$B$2:$E$312,3,)</f>
        <v>barang jadi</v>
      </c>
      <c r="E62" s="8" t="str">
        <f>VLOOKUP(B62,Sheet3!$B$2:$E$312,4,)</f>
        <v>PORSI</v>
      </c>
      <c r="F62" s="22">
        <v>5.0</v>
      </c>
      <c r="G62" s="22" t="s">
        <v>1216</v>
      </c>
      <c r="H62" s="22" t="s">
        <v>1305</v>
      </c>
      <c r="I62" s="32" t="s">
        <v>1446</v>
      </c>
      <c r="J62" s="32" t="s">
        <v>1522</v>
      </c>
    </row>
    <row r="63" ht="15.75" customHeight="1">
      <c r="A63" s="33"/>
      <c r="B63" s="21" t="s">
        <v>298</v>
      </c>
      <c r="C63" s="6" t="str">
        <f>VLOOKUP(B63,Sheet3!$B$2:$E$312,2,FALSE)</f>
        <v>B001-125</v>
      </c>
      <c r="D63" s="6" t="str">
        <f>VLOOKUP(B63,Sheet3!$B$2:$E$312,3,)</f>
        <v>bahan baku</v>
      </c>
      <c r="E63" s="8" t="str">
        <f>VLOOKUP(B63,Sheet3!$B$2:$E$312,4,)</f>
        <v>GR</v>
      </c>
      <c r="F63" s="22">
        <v>63.0</v>
      </c>
      <c r="G63" s="22" t="s">
        <v>1525</v>
      </c>
      <c r="H63" s="22" t="s">
        <v>1290</v>
      </c>
      <c r="I63" s="32" t="s">
        <v>1444</v>
      </c>
      <c r="J63" s="28"/>
    </row>
    <row r="64" ht="15.75" customHeight="1">
      <c r="A64" s="33"/>
      <c r="B64" s="21" t="s">
        <v>211</v>
      </c>
      <c r="C64" s="6" t="str">
        <f>VLOOKUP(B64,Sheet3!$B$2:$E$312,2,FALSE)</f>
        <v>B001-088</v>
      </c>
      <c r="D64" s="21" t="s">
        <v>316</v>
      </c>
      <c r="E64" s="8" t="str">
        <f>VLOOKUP(B64,Sheet3!$B$2:$E$312,4,)</f>
        <v>GR</v>
      </c>
      <c r="F64" s="22">
        <v>3005.0</v>
      </c>
      <c r="G64" s="22" t="s">
        <v>1445</v>
      </c>
      <c r="H64" s="22" t="s">
        <v>1417</v>
      </c>
      <c r="I64" s="32" t="s">
        <v>1444</v>
      </c>
      <c r="J64" s="28"/>
    </row>
    <row r="65" ht="15.75" customHeight="1">
      <c r="A65" s="33"/>
      <c r="B65" s="21" t="s">
        <v>657</v>
      </c>
      <c r="C65" s="6" t="str">
        <f>VLOOKUP(B65,Sheet3!$B$2:$E$312,2,FALSE)</f>
        <v>P004-023</v>
      </c>
      <c r="D65" s="6" t="str">
        <f>VLOOKUP(B65,Sheet3!$B$2:$E$312,3,)</f>
        <v>barang jadi &amp; bahan baku</v>
      </c>
      <c r="E65" s="8" t="str">
        <f>VLOOKUP(B65,Sheet3!$B$2:$E$312,4,)</f>
        <v>CC</v>
      </c>
      <c r="F65" s="22">
        <v>1709.0</v>
      </c>
      <c r="G65" s="22" t="s">
        <v>1216</v>
      </c>
      <c r="H65" s="22" t="s">
        <v>1373</v>
      </c>
      <c r="I65" s="32" t="s">
        <v>1444</v>
      </c>
      <c r="J65" s="28"/>
    </row>
    <row r="66" ht="15.75" customHeight="1">
      <c r="A66" s="33"/>
      <c r="B66" s="21" t="s">
        <v>653</v>
      </c>
      <c r="C66" s="6" t="str">
        <f>VLOOKUP(B66,Sheet3!$B$2:$E$312,2,FALSE)</f>
        <v>P004-022</v>
      </c>
      <c r="D66" s="6" t="str">
        <f>VLOOKUP(B66,Sheet3!$B$2:$E$312,3,)</f>
        <v>barang jadi &amp; bahan baku</v>
      </c>
      <c r="E66" s="8" t="str">
        <f>VLOOKUP(B66,Sheet3!$B$2:$E$312,4,)</f>
        <v>CC</v>
      </c>
      <c r="F66" s="22">
        <v>692.0</v>
      </c>
      <c r="G66" s="22" t="s">
        <v>1216</v>
      </c>
      <c r="H66" s="22" t="s">
        <v>1373</v>
      </c>
      <c r="I66" s="32" t="s">
        <v>1444</v>
      </c>
      <c r="J66" s="28"/>
    </row>
    <row r="67" ht="15.75" customHeight="1">
      <c r="A67" s="33"/>
      <c r="B67" s="21" t="s">
        <v>720</v>
      </c>
      <c r="C67" s="6" t="str">
        <f>VLOOKUP(B67,Sheet3!$B$2:$E$312,2,FALSE)</f>
        <v>B002-005</v>
      </c>
      <c r="D67" s="6" t="str">
        <f>VLOOKUP(B67,Sheet3!$B$2:$E$312,3,)</f>
        <v>others</v>
      </c>
      <c r="E67" s="8" t="str">
        <f>VLOOKUP(B67,Sheet3!$B$2:$E$312,4,)</f>
        <v>PCS</v>
      </c>
      <c r="F67" s="22">
        <v>121.0</v>
      </c>
      <c r="G67" s="22" t="s">
        <v>1369</v>
      </c>
      <c r="H67" s="22" t="s">
        <v>1373</v>
      </c>
      <c r="I67" s="32" t="s">
        <v>1444</v>
      </c>
      <c r="J67" s="28"/>
    </row>
    <row r="68" ht="15.75" customHeight="1">
      <c r="A68" s="34"/>
      <c r="B68" s="21" t="s">
        <v>79</v>
      </c>
      <c r="C68" s="6" t="str">
        <f>VLOOKUP(B68,Sheet3!$B$2:$E$312,2,FALSE)</f>
        <v>B001-033</v>
      </c>
      <c r="D68" s="6" t="str">
        <f>VLOOKUP(B68,Sheet3!$B$2:$E$312,3,)</f>
        <v>bahan baku</v>
      </c>
      <c r="E68" s="8" t="str">
        <f>VLOOKUP(B68,Sheet3!$B$2:$E$312,4,)</f>
        <v>PCS</v>
      </c>
      <c r="F68" s="22">
        <v>20.0</v>
      </c>
      <c r="G68" s="22" t="s">
        <v>1411</v>
      </c>
      <c r="H68" s="22" t="s">
        <v>1373</v>
      </c>
      <c r="I68" s="32" t="s">
        <v>1444</v>
      </c>
      <c r="J68" s="28"/>
    </row>
    <row r="69" ht="15.75" customHeight="1">
      <c r="A69" s="43">
        <v>46120.0</v>
      </c>
      <c r="B69" s="44" t="s">
        <v>86</v>
      </c>
      <c r="C69" s="6" t="str">
        <f>VLOOKUP(B69,Sheet3!$B$2:$E$312,2,FALSE)</f>
        <v>B001-036</v>
      </c>
      <c r="D69" s="6" t="str">
        <f>VLOOKUP(B69,Sheet3!$B$2:$E$312,3,)</f>
        <v>bahan baku</v>
      </c>
      <c r="E69" s="8" t="str">
        <f>VLOOKUP(B69,Sheet3!$B$2:$E$312,4,)</f>
        <v>GR</v>
      </c>
      <c r="F69" s="45">
        <v>38.0</v>
      </c>
      <c r="G69" s="46" t="s">
        <v>1516</v>
      </c>
      <c r="H69" s="47" t="s">
        <v>1523</v>
      </c>
      <c r="I69" s="32" t="s">
        <v>1444</v>
      </c>
      <c r="J69" s="28"/>
    </row>
    <row r="70" ht="15.75" customHeight="1">
      <c r="A70" s="48"/>
      <c r="B70" s="49" t="s">
        <v>86</v>
      </c>
      <c r="C70" s="6" t="str">
        <f>VLOOKUP(B70,Sheet3!$B$2:$E$312,2,FALSE)</f>
        <v>B001-036</v>
      </c>
      <c r="D70" s="6" t="str">
        <f>VLOOKUP(B70,Sheet3!$B$2:$E$312,3,)</f>
        <v>bahan baku</v>
      </c>
      <c r="E70" s="8" t="str">
        <f>VLOOKUP(B70,Sheet3!$B$2:$E$312,4,)</f>
        <v>GR</v>
      </c>
      <c r="F70" s="50">
        <v>143.0</v>
      </c>
      <c r="G70" s="51" t="s">
        <v>1530</v>
      </c>
      <c r="H70" s="52" t="s">
        <v>1523</v>
      </c>
      <c r="I70" s="32" t="s">
        <v>1444</v>
      </c>
      <c r="J70" s="28"/>
    </row>
    <row r="71" ht="15.75" customHeight="1">
      <c r="A71" s="48"/>
      <c r="B71" s="49" t="s">
        <v>135</v>
      </c>
      <c r="C71" s="6" t="str">
        <f>VLOOKUP(B71,Sheet3!$B$2:$E$312,2,FALSE)</f>
        <v>B001-058</v>
      </c>
      <c r="D71" s="6" t="str">
        <f>VLOOKUP(B71,Sheet3!$B$2:$E$312,3,)</f>
        <v>bahan baku</v>
      </c>
      <c r="E71" s="8" t="str">
        <f>VLOOKUP(B71,Sheet3!$B$2:$E$312,4,)</f>
        <v>GR</v>
      </c>
      <c r="F71" s="50">
        <v>111.0</v>
      </c>
      <c r="G71" s="51" t="s">
        <v>1462</v>
      </c>
      <c r="H71" s="52" t="s">
        <v>1290</v>
      </c>
      <c r="I71" s="32" t="s">
        <v>1444</v>
      </c>
      <c r="J71" s="28"/>
    </row>
    <row r="72" ht="15.75" customHeight="1">
      <c r="A72" s="48"/>
      <c r="B72" s="49" t="s">
        <v>148</v>
      </c>
      <c r="C72" s="6" t="str">
        <f>VLOOKUP(B72,Sheet3!$B$2:$E$312,2,FALSE)</f>
        <v>B001-064</v>
      </c>
      <c r="D72" s="6" t="str">
        <f>VLOOKUP(B72,Sheet3!$B$2:$E$312,3,)</f>
        <v>bahan baku</v>
      </c>
      <c r="E72" s="8" t="str">
        <f>VLOOKUP(B72,Sheet3!$B$2:$E$312,4,)</f>
        <v>GR</v>
      </c>
      <c r="F72" s="50">
        <v>137.0</v>
      </c>
      <c r="G72" s="51" t="s">
        <v>1455</v>
      </c>
      <c r="H72" s="52" t="s">
        <v>1290</v>
      </c>
      <c r="I72" s="32" t="s">
        <v>1444</v>
      </c>
      <c r="J72" s="28"/>
    </row>
    <row r="73" ht="15.75" customHeight="1">
      <c r="A73" s="48"/>
      <c r="B73" s="49" t="s">
        <v>298</v>
      </c>
      <c r="C73" s="6" t="str">
        <f>VLOOKUP(B73,Sheet3!$B$2:$E$312,2,FALSE)</f>
        <v>B001-125</v>
      </c>
      <c r="D73" s="6" t="str">
        <f>VLOOKUP(B73,Sheet3!$B$2:$E$312,3,)</f>
        <v>bahan baku</v>
      </c>
      <c r="E73" s="8" t="str">
        <f>VLOOKUP(B73,Sheet3!$B$2:$E$312,4,)</f>
        <v>GR</v>
      </c>
      <c r="F73" s="50">
        <v>55.0</v>
      </c>
      <c r="G73" s="51" t="s">
        <v>1525</v>
      </c>
      <c r="H73" s="52" t="s">
        <v>1290</v>
      </c>
      <c r="I73" s="32" t="s">
        <v>1444</v>
      </c>
      <c r="J73" s="28"/>
    </row>
    <row r="74" ht="15.75" customHeight="1">
      <c r="A74" s="48"/>
      <c r="B74" s="49" t="s">
        <v>632</v>
      </c>
      <c r="C74" s="6" t="str">
        <f>VLOOKUP(B74,Sheet3!$B$2:$E$312,2,FALSE)</f>
        <v>P004-013</v>
      </c>
      <c r="D74" s="6" t="str">
        <f>VLOOKUP(B74,Sheet3!$B$2:$E$312,3,)</f>
        <v>barang jadi &amp; bahan baku</v>
      </c>
      <c r="E74" s="8" t="str">
        <f>VLOOKUP(B74,Sheet3!$B$2:$E$312,4,)</f>
        <v>PCS</v>
      </c>
      <c r="F74" s="50">
        <v>9.0</v>
      </c>
      <c r="G74" s="51" t="s">
        <v>1333</v>
      </c>
      <c r="H74" s="52" t="s">
        <v>1225</v>
      </c>
      <c r="I74" s="32" t="s">
        <v>1446</v>
      </c>
      <c r="J74" s="32" t="s">
        <v>1531</v>
      </c>
    </row>
    <row r="75" ht="15.75" customHeight="1">
      <c r="A75" s="48"/>
      <c r="B75" s="49" t="s">
        <v>502</v>
      </c>
      <c r="C75" s="6" t="str">
        <f>VLOOKUP(B75,Sheet3!$B$2:$E$312,2,FALSE)</f>
        <v>S001-002</v>
      </c>
      <c r="D75" s="6" t="str">
        <f>VLOOKUP(B75,Sheet3!$B$2:$E$312,3,)</f>
        <v>barang jadi</v>
      </c>
      <c r="E75" s="8" t="str">
        <f>VLOOKUP(B75,Sheet3!$B$2:$E$312,4,)</f>
        <v>PORSI</v>
      </c>
      <c r="F75" s="50">
        <v>1.0</v>
      </c>
      <c r="G75" s="51" t="s">
        <v>1164</v>
      </c>
      <c r="H75" s="52" t="s">
        <v>1225</v>
      </c>
      <c r="I75" s="32" t="s">
        <v>1444</v>
      </c>
      <c r="J75" s="28"/>
    </row>
    <row r="76" ht="15.75" customHeight="1">
      <c r="A76" s="48"/>
      <c r="B76" s="49" t="s">
        <v>211</v>
      </c>
      <c r="C76" s="6" t="str">
        <f>VLOOKUP(B76,Sheet3!$B$2:$E$312,2,FALSE)</f>
        <v>B001-088</v>
      </c>
      <c r="D76" s="6" t="str">
        <f>VLOOKUP(B76,Sheet3!$B$2:$E$312,3,)</f>
        <v>bahan baku</v>
      </c>
      <c r="E76" s="8" t="str">
        <f>VLOOKUP(B76,Sheet3!$B$2:$E$312,4,)</f>
        <v>GR</v>
      </c>
      <c r="F76" s="50">
        <v>2090.0</v>
      </c>
      <c r="G76" s="51" t="s">
        <v>1333</v>
      </c>
      <c r="H76" s="52" t="s">
        <v>1417</v>
      </c>
      <c r="I76" s="32" t="s">
        <v>1444</v>
      </c>
      <c r="J76" s="28"/>
    </row>
    <row r="77" ht="15.75" customHeight="1">
      <c r="A77" s="48"/>
      <c r="B77" s="49" t="s">
        <v>653</v>
      </c>
      <c r="C77" s="6" t="str">
        <f>VLOOKUP(B77,Sheet3!$B$2:$E$312,2,FALSE)</f>
        <v>P004-022</v>
      </c>
      <c r="D77" s="6" t="str">
        <f>VLOOKUP(B77,Sheet3!$B$2:$E$312,3,)</f>
        <v>barang jadi &amp; bahan baku</v>
      </c>
      <c r="E77" s="8" t="str">
        <f>VLOOKUP(B77,Sheet3!$B$2:$E$312,4,)</f>
        <v>CC</v>
      </c>
      <c r="F77" s="50">
        <v>611.0</v>
      </c>
      <c r="G77" s="51" t="s">
        <v>1216</v>
      </c>
      <c r="H77" s="52" t="s">
        <v>1512</v>
      </c>
      <c r="I77" s="32" t="s">
        <v>1444</v>
      </c>
      <c r="J77" s="28"/>
    </row>
    <row r="78" ht="15.75" customHeight="1">
      <c r="A78" s="48"/>
      <c r="B78" s="49" t="s">
        <v>805</v>
      </c>
      <c r="C78" s="6" t="str">
        <f>VLOOKUP(B78,Sheet3!$B$2:$E$312,2,FALSE)</f>
        <v>#N/A</v>
      </c>
      <c r="D78" s="6" t="str">
        <f>VLOOKUP(B78,Sheet3!$B$2:$E$312,3,)</f>
        <v>#N/A</v>
      </c>
      <c r="E78" s="8" t="str">
        <f>VLOOKUP(B78,Sheet3!$B$2:$E$312,4,)</f>
        <v>#N/A</v>
      </c>
      <c r="F78" s="50">
        <v>2200.0</v>
      </c>
      <c r="G78" s="51" t="s">
        <v>1216</v>
      </c>
      <c r="H78" s="52" t="s">
        <v>1512</v>
      </c>
      <c r="I78" s="32" t="s">
        <v>1444</v>
      </c>
      <c r="J78" s="28"/>
    </row>
    <row r="79" ht="15.75" customHeight="1">
      <c r="A79" s="48"/>
      <c r="B79" s="49" t="s">
        <v>657</v>
      </c>
      <c r="C79" s="6" t="str">
        <f>VLOOKUP(B79,Sheet3!$B$2:$E$312,2,FALSE)</f>
        <v>P004-023</v>
      </c>
      <c r="D79" s="6" t="str">
        <f>VLOOKUP(B79,Sheet3!$B$2:$E$312,3,)</f>
        <v>barang jadi &amp; bahan baku</v>
      </c>
      <c r="E79" s="8" t="str">
        <f>VLOOKUP(B79,Sheet3!$B$2:$E$312,4,)</f>
        <v>CC</v>
      </c>
      <c r="F79" s="50">
        <v>1867.0</v>
      </c>
      <c r="G79" s="51" t="s">
        <v>1216</v>
      </c>
      <c r="H79" s="52" t="s">
        <v>1512</v>
      </c>
      <c r="I79" s="32" t="s">
        <v>1444</v>
      </c>
      <c r="J79" s="28"/>
    </row>
    <row r="80" ht="15.75" customHeight="1">
      <c r="A80" s="59"/>
      <c r="B80" s="49" t="s">
        <v>664</v>
      </c>
      <c r="C80" s="6" t="str">
        <f>VLOOKUP(B80,Sheet3!$B$2:$E$312,2,FALSE)</f>
        <v>P004-025</v>
      </c>
      <c r="D80" s="6" t="str">
        <f>VLOOKUP(B80,Sheet3!$B$2:$E$312,3,)</f>
        <v>barang jadi &amp; bahan baku</v>
      </c>
      <c r="E80" s="8" t="str">
        <f>VLOOKUP(B80,Sheet3!$B$2:$E$312,4,)</f>
        <v>ML</v>
      </c>
      <c r="F80" s="50">
        <v>788.0</v>
      </c>
      <c r="G80" s="51" t="s">
        <v>1216</v>
      </c>
      <c r="H80" s="52" t="s">
        <v>1512</v>
      </c>
      <c r="I80" s="32" t="s">
        <v>1444</v>
      </c>
      <c r="J80" s="28"/>
    </row>
    <row r="81" ht="15.75" customHeight="1">
      <c r="A81" s="60">
        <v>46121.0</v>
      </c>
      <c r="B81" s="49" t="s">
        <v>677</v>
      </c>
      <c r="C81" s="6" t="str">
        <f>VLOOKUP(B81,Sheet3!$B$2:$E$312,2,FALSE)</f>
        <v>P004-031</v>
      </c>
      <c r="D81" s="6" t="str">
        <f>VLOOKUP(B81,Sheet3!$B$2:$E$312,3,)</f>
        <v>barang jadi &amp; bahan baku</v>
      </c>
      <c r="E81" s="8" t="str">
        <f>VLOOKUP(B81,Sheet3!$B$2:$E$312,4,)</f>
        <v>GR</v>
      </c>
      <c r="F81" s="50">
        <v>2657.0</v>
      </c>
      <c r="G81" s="51" t="s">
        <v>1164</v>
      </c>
      <c r="H81" s="52" t="s">
        <v>1384</v>
      </c>
      <c r="I81" s="32" t="s">
        <v>1444</v>
      </c>
      <c r="J81" s="28"/>
    </row>
    <row r="82" ht="15.75" customHeight="1">
      <c r="A82" s="48"/>
      <c r="B82" s="49" t="s">
        <v>691</v>
      </c>
      <c r="C82" s="6" t="str">
        <f>VLOOKUP(B82,Sheet3!$B$2:$E$312,2,FALSE)</f>
        <v>P004-036</v>
      </c>
      <c r="D82" s="6" t="str">
        <f>VLOOKUP(B82,Sheet3!$B$2:$E$312,3,)</f>
        <v>barang jadi &amp; bahan baku</v>
      </c>
      <c r="E82" s="8" t="str">
        <f>VLOOKUP(B82,Sheet3!$B$2:$E$312,4,)</f>
        <v>GR</v>
      </c>
      <c r="F82" s="50">
        <v>3376.0</v>
      </c>
      <c r="G82" s="51" t="s">
        <v>1164</v>
      </c>
      <c r="H82" s="52" t="s">
        <v>1384</v>
      </c>
      <c r="I82" s="32" t="s">
        <v>1444</v>
      </c>
      <c r="J82" s="28"/>
    </row>
    <row r="83" ht="15.75" customHeight="1">
      <c r="A83" s="48"/>
      <c r="B83" s="49" t="s">
        <v>111</v>
      </c>
      <c r="C83" s="6" t="str">
        <f>VLOOKUP(B83,Sheet3!$B$2:$E$312,2,FALSE)</f>
        <v>B001-047</v>
      </c>
      <c r="D83" s="6" t="str">
        <f>VLOOKUP(B83,Sheet3!$B$2:$E$312,3,)</f>
        <v>bahan baku</v>
      </c>
      <c r="E83" s="8" t="str">
        <f>VLOOKUP(B83,Sheet3!$B$2:$E$312,4,)</f>
        <v>GR</v>
      </c>
      <c r="F83" s="50">
        <v>126.0</v>
      </c>
      <c r="G83" s="51" t="s">
        <v>1164</v>
      </c>
      <c r="H83" s="52" t="s">
        <v>1523</v>
      </c>
      <c r="I83" s="32" t="s">
        <v>1444</v>
      </c>
      <c r="J83" s="28"/>
    </row>
    <row r="84" ht="15.75" customHeight="1">
      <c r="A84" s="48"/>
      <c r="B84" s="49" t="s">
        <v>132</v>
      </c>
      <c r="C84" s="6" t="str">
        <f>VLOOKUP(B84,Sheet3!$B$2:$E$312,2,FALSE)</f>
        <v>B001-057</v>
      </c>
      <c r="D84" s="6" t="str">
        <f>VLOOKUP(B84,Sheet3!$B$2:$E$312,3,)</f>
        <v>bahan baku</v>
      </c>
      <c r="E84" s="8" t="str">
        <f>VLOOKUP(B84,Sheet3!$B$2:$E$312,4,)</f>
        <v>GR</v>
      </c>
      <c r="F84" s="50">
        <v>70.0</v>
      </c>
      <c r="G84" s="51" t="s">
        <v>1245</v>
      </c>
      <c r="H84" s="52" t="s">
        <v>1290</v>
      </c>
      <c r="I84" s="32" t="s">
        <v>1444</v>
      </c>
      <c r="J84" s="28"/>
    </row>
    <row r="85" ht="15.75" customHeight="1">
      <c r="A85" s="48"/>
      <c r="B85" s="49" t="s">
        <v>28</v>
      </c>
      <c r="C85" s="6" t="str">
        <f>VLOOKUP(B85,Sheet3!$B$2:$E$312,2,FALSE)</f>
        <v>B001-006</v>
      </c>
      <c r="D85" s="6" t="str">
        <f>VLOOKUP(B85,Sheet3!$B$2:$E$312,3,)</f>
        <v>bahan baku</v>
      </c>
      <c r="E85" s="8" t="str">
        <f>VLOOKUP(B85,Sheet3!$B$2:$E$312,4,)</f>
        <v>GR</v>
      </c>
      <c r="F85" s="50">
        <v>13.0</v>
      </c>
      <c r="G85" s="51" t="s">
        <v>1445</v>
      </c>
      <c r="H85" s="52" t="s">
        <v>1290</v>
      </c>
      <c r="I85" s="32" t="s">
        <v>1444</v>
      </c>
      <c r="J85" s="28"/>
    </row>
    <row r="86" ht="15.75" customHeight="1">
      <c r="A86" s="48"/>
      <c r="B86" s="49" t="s">
        <v>139</v>
      </c>
      <c r="C86" s="6" t="str">
        <f>VLOOKUP(B86,Sheet3!$B$2:$E$312,2,FALSE)</f>
        <v>B001-061</v>
      </c>
      <c r="D86" s="6" t="str">
        <f>VLOOKUP(B86,Sheet3!$B$2:$E$312,3,)</f>
        <v>bahan baku</v>
      </c>
      <c r="E86" s="8" t="str">
        <f>VLOOKUP(B86,Sheet3!$B$2:$E$312,4,)</f>
        <v>GR</v>
      </c>
      <c r="F86" s="50">
        <v>10.0</v>
      </c>
      <c r="G86" s="51" t="s">
        <v>1164</v>
      </c>
      <c r="H86" s="52" t="s">
        <v>1290</v>
      </c>
      <c r="I86" s="32" t="s">
        <v>1444</v>
      </c>
      <c r="J86" s="28"/>
    </row>
    <row r="87" ht="15.75" customHeight="1">
      <c r="A87" s="48"/>
      <c r="B87" s="49" t="s">
        <v>211</v>
      </c>
      <c r="C87" s="6" t="str">
        <f>VLOOKUP(B87,Sheet3!$B$2:$E$312,2,FALSE)</f>
        <v>B001-088</v>
      </c>
      <c r="D87" s="6" t="str">
        <f>VLOOKUP(B87,Sheet3!$B$2:$E$312,3,)</f>
        <v>bahan baku</v>
      </c>
      <c r="E87" s="8" t="str">
        <f>VLOOKUP(B87,Sheet3!$B$2:$E$312,4,)</f>
        <v>GR</v>
      </c>
      <c r="F87" s="50">
        <v>2085.0</v>
      </c>
      <c r="G87" s="51" t="s">
        <v>1445</v>
      </c>
      <c r="H87" s="52" t="s">
        <v>1441</v>
      </c>
      <c r="I87" s="32" t="s">
        <v>1444</v>
      </c>
      <c r="J87" s="28"/>
    </row>
    <row r="88" ht="15.75" customHeight="1">
      <c r="A88" s="48"/>
      <c r="B88" s="49" t="s">
        <v>648</v>
      </c>
      <c r="C88" s="6" t="str">
        <f>VLOOKUP(B88,Sheet3!$B$2:$E$312,2,FALSE)</f>
        <v>P004-020</v>
      </c>
      <c r="D88" s="6" t="str">
        <f>VLOOKUP(B88,Sheet3!$B$2:$E$312,3,)</f>
        <v>barang jadi &amp; bahan baku</v>
      </c>
      <c r="E88" s="8" t="str">
        <f>VLOOKUP(B88,Sheet3!$B$2:$E$312,4,)</f>
        <v>GR</v>
      </c>
      <c r="F88" s="50">
        <v>66.0</v>
      </c>
      <c r="G88" s="51" t="s">
        <v>1164</v>
      </c>
      <c r="H88" s="52" t="s">
        <v>1523</v>
      </c>
      <c r="I88" s="32" t="s">
        <v>1444</v>
      </c>
      <c r="J88" s="28"/>
    </row>
    <row r="89" ht="15.75" customHeight="1">
      <c r="A89" s="48"/>
      <c r="B89" s="49" t="s">
        <v>805</v>
      </c>
      <c r="C89" s="6" t="str">
        <f>VLOOKUP(B89,Sheet3!$B$2:$E$312,2,FALSE)</f>
        <v>#N/A</v>
      </c>
      <c r="D89" s="6" t="str">
        <f>VLOOKUP(B89,Sheet3!$B$2:$E$312,3,)</f>
        <v>#N/A</v>
      </c>
      <c r="E89" s="8" t="str">
        <f>VLOOKUP(B89,Sheet3!$B$2:$E$312,4,)</f>
        <v>#N/A</v>
      </c>
      <c r="F89" s="50">
        <v>208.0</v>
      </c>
      <c r="G89" s="51" t="s">
        <v>1216</v>
      </c>
      <c r="H89" s="52" t="s">
        <v>1523</v>
      </c>
      <c r="I89" s="32" t="s">
        <v>1444</v>
      </c>
      <c r="J89" s="28"/>
    </row>
    <row r="90" ht="15.75" customHeight="1">
      <c r="A90" s="48"/>
      <c r="B90" s="49" t="s">
        <v>664</v>
      </c>
      <c r="C90" s="6" t="str">
        <f>VLOOKUP(B90,Sheet3!$B$2:$E$312,2,FALSE)</f>
        <v>P004-025</v>
      </c>
      <c r="D90" s="6" t="str">
        <f>VLOOKUP(B90,Sheet3!$B$2:$E$312,3,)</f>
        <v>barang jadi &amp; bahan baku</v>
      </c>
      <c r="E90" s="8" t="str">
        <f>VLOOKUP(B90,Sheet3!$B$2:$E$312,4,)</f>
        <v>ML</v>
      </c>
      <c r="F90" s="50">
        <v>934.0</v>
      </c>
      <c r="G90" s="51" t="s">
        <v>1216</v>
      </c>
      <c r="H90" s="52" t="s">
        <v>1523</v>
      </c>
      <c r="I90" s="32" t="s">
        <v>1444</v>
      </c>
      <c r="J90" s="28"/>
    </row>
    <row r="91" ht="15.75" customHeight="1">
      <c r="A91" s="48"/>
      <c r="B91" s="49" t="s">
        <v>657</v>
      </c>
      <c r="C91" s="6" t="str">
        <f>VLOOKUP(B91,Sheet3!$B$2:$E$312,2,FALSE)</f>
        <v>P004-023</v>
      </c>
      <c r="D91" s="6" t="str">
        <f>VLOOKUP(B91,Sheet3!$B$2:$E$312,3,)</f>
        <v>barang jadi &amp; bahan baku</v>
      </c>
      <c r="E91" s="8" t="str">
        <f>VLOOKUP(B91,Sheet3!$B$2:$E$312,4,)</f>
        <v>CC</v>
      </c>
      <c r="F91" s="50">
        <v>2529.0</v>
      </c>
      <c r="G91" s="51" t="s">
        <v>1216</v>
      </c>
      <c r="H91" s="52" t="s">
        <v>1523</v>
      </c>
      <c r="I91" s="32" t="s">
        <v>1444</v>
      </c>
      <c r="J91" s="28"/>
    </row>
    <row r="92" ht="15.75" customHeight="1">
      <c r="A92" s="48"/>
      <c r="B92" s="49" t="s">
        <v>653</v>
      </c>
      <c r="C92" s="6" t="str">
        <f>VLOOKUP(B92,Sheet3!$B$2:$E$312,2,FALSE)</f>
        <v>P004-022</v>
      </c>
      <c r="D92" s="6" t="str">
        <f>VLOOKUP(B92,Sheet3!$B$2:$E$312,3,)</f>
        <v>barang jadi &amp; bahan baku</v>
      </c>
      <c r="E92" s="8" t="str">
        <f>VLOOKUP(B92,Sheet3!$B$2:$E$312,4,)</f>
        <v>CC</v>
      </c>
      <c r="F92" s="50">
        <v>2098.0</v>
      </c>
      <c r="G92" s="51" t="s">
        <v>1216</v>
      </c>
      <c r="H92" s="52" t="s">
        <v>1523</v>
      </c>
      <c r="I92" s="32" t="s">
        <v>1444</v>
      </c>
      <c r="J92" s="28"/>
    </row>
    <row r="93" ht="15.75" customHeight="1">
      <c r="A93" s="48"/>
      <c r="B93" s="49" t="s">
        <v>165</v>
      </c>
      <c r="C93" s="6" t="str">
        <f>VLOOKUP(B93,Sheet3!$B$2:$E$312,2,FALSE)</f>
        <v>B001-071</v>
      </c>
      <c r="D93" s="6" t="str">
        <f>VLOOKUP(B93,Sheet3!$B$2:$E$312,3,)</f>
        <v>bahan baku</v>
      </c>
      <c r="E93" s="8" t="str">
        <f>VLOOKUP(B93,Sheet3!$B$2:$E$312,4,)</f>
        <v>GR</v>
      </c>
      <c r="F93" s="50">
        <v>495.0</v>
      </c>
      <c r="G93" s="51" t="s">
        <v>1164</v>
      </c>
      <c r="H93" s="52" t="s">
        <v>1523</v>
      </c>
      <c r="I93" s="32" t="s">
        <v>1444</v>
      </c>
      <c r="J93" s="28"/>
    </row>
    <row r="94" ht="15.75" customHeight="1">
      <c r="A94" s="59"/>
      <c r="B94" s="49" t="s">
        <v>632</v>
      </c>
      <c r="C94" s="6" t="str">
        <f>VLOOKUP(B94,Sheet3!$B$2:$E$312,2,FALSE)</f>
        <v>P004-013</v>
      </c>
      <c r="D94" s="6" t="str">
        <f>VLOOKUP(B94,Sheet3!$B$2:$E$312,3,)</f>
        <v>barang jadi &amp; bahan baku</v>
      </c>
      <c r="E94" s="8" t="str">
        <f>VLOOKUP(B94,Sheet3!$B$2:$E$312,4,)</f>
        <v>PCS</v>
      </c>
      <c r="F94" s="50">
        <v>8.0</v>
      </c>
      <c r="G94" s="51" t="s">
        <v>1216</v>
      </c>
      <c r="H94" s="52" t="s">
        <v>1225</v>
      </c>
      <c r="I94" s="32" t="s">
        <v>1446</v>
      </c>
      <c r="J94" s="32" t="s">
        <v>1553</v>
      </c>
    </row>
    <row r="95" ht="15.75" customHeight="1">
      <c r="A95" s="73">
        <v>46299.0</v>
      </c>
      <c r="B95" s="49" t="s">
        <v>298</v>
      </c>
      <c r="C95" s="6" t="str">
        <f>VLOOKUP(B95,Sheet3!$B$2:$E$312,2,FALSE)</f>
        <v>B001-125</v>
      </c>
      <c r="D95" s="6" t="str">
        <f>VLOOKUP(B95,Sheet3!$B$2:$E$312,3,)</f>
        <v>bahan baku</v>
      </c>
      <c r="E95" s="8" t="str">
        <f>VLOOKUP(B95,Sheet3!$B$2:$E$312,4,)</f>
        <v>GR</v>
      </c>
      <c r="F95" s="50">
        <v>155.0</v>
      </c>
      <c r="G95" s="51" t="s">
        <v>1164</v>
      </c>
      <c r="H95" s="52" t="s">
        <v>1528</v>
      </c>
      <c r="I95" s="32" t="s">
        <v>1444</v>
      </c>
      <c r="J95" s="28"/>
    </row>
    <row r="96" ht="15.75" customHeight="1">
      <c r="A96" s="48"/>
      <c r="B96" s="49" t="s">
        <v>28</v>
      </c>
      <c r="C96" s="6" t="str">
        <f>VLOOKUP(B96,Sheet3!$B$2:$E$312,2,FALSE)</f>
        <v>B001-006</v>
      </c>
      <c r="D96" s="6" t="str">
        <f>VLOOKUP(B96,Sheet3!$B$2:$E$312,3,)</f>
        <v>bahan baku</v>
      </c>
      <c r="E96" s="8" t="str">
        <f>VLOOKUP(B96,Sheet3!$B$2:$E$312,4,)</f>
        <v>GR</v>
      </c>
      <c r="F96" s="50">
        <v>5.0</v>
      </c>
      <c r="G96" s="51" t="s">
        <v>1445</v>
      </c>
      <c r="H96" s="52" t="s">
        <v>1528</v>
      </c>
      <c r="I96" s="32" t="s">
        <v>1444</v>
      </c>
      <c r="J96" s="28"/>
    </row>
    <row r="97" ht="15.75" customHeight="1">
      <c r="A97" s="48"/>
      <c r="B97" s="49" t="s">
        <v>261</v>
      </c>
      <c r="C97" s="6" t="str">
        <f>VLOOKUP(B97,Sheet3!$B$2:$E$312,2,FALSE)</f>
        <v>B001-115</v>
      </c>
      <c r="D97" s="6" t="str">
        <f>VLOOKUP(B97,Sheet3!$B$2:$E$312,3,)</f>
        <v>bahan baku</v>
      </c>
      <c r="E97" s="8" t="str">
        <f>VLOOKUP(B97,Sheet3!$B$2:$E$312,4,)</f>
        <v>GR</v>
      </c>
      <c r="F97" s="50">
        <v>844.0</v>
      </c>
      <c r="G97" s="51" t="s">
        <v>1164</v>
      </c>
      <c r="H97" s="75" t="s">
        <v>1528</v>
      </c>
      <c r="I97" s="32" t="s">
        <v>1444</v>
      </c>
      <c r="J97" s="28"/>
    </row>
    <row r="98" ht="15.75" customHeight="1">
      <c r="A98" s="48"/>
      <c r="B98" s="49" t="s">
        <v>720</v>
      </c>
      <c r="C98" s="6" t="str">
        <f>VLOOKUP(B98,Sheet3!$B$2:$E$312,2,FALSE)</f>
        <v>B002-005</v>
      </c>
      <c r="D98" s="6" t="str">
        <f>VLOOKUP(B98,Sheet3!$B$2:$E$312,3,)</f>
        <v>others</v>
      </c>
      <c r="E98" s="8" t="str">
        <f>VLOOKUP(B98,Sheet3!$B$2:$E$312,4,)</f>
        <v>PCS</v>
      </c>
      <c r="F98" s="50">
        <v>104.0</v>
      </c>
      <c r="G98" s="51" t="s">
        <v>1369</v>
      </c>
      <c r="H98" s="75" t="s">
        <v>1512</v>
      </c>
      <c r="I98" s="32" t="s">
        <v>1444</v>
      </c>
      <c r="J98" s="28"/>
    </row>
    <row r="99" ht="15.75" customHeight="1">
      <c r="A99" s="48"/>
      <c r="B99" s="49" t="s">
        <v>211</v>
      </c>
      <c r="C99" s="6" t="str">
        <f>VLOOKUP(B99,Sheet3!$B$2:$E$312,2,FALSE)</f>
        <v>B001-088</v>
      </c>
      <c r="D99" s="6" t="str">
        <f>VLOOKUP(B99,Sheet3!$B$2:$E$312,3,)</f>
        <v>bahan baku</v>
      </c>
      <c r="E99" s="8" t="str">
        <f>VLOOKUP(B99,Sheet3!$B$2:$E$312,4,)</f>
        <v>GR</v>
      </c>
      <c r="F99" s="50">
        <v>8435.0</v>
      </c>
      <c r="G99" s="51" t="s">
        <v>1445</v>
      </c>
      <c r="H99" s="75" t="s">
        <v>1441</v>
      </c>
      <c r="I99" s="32" t="s">
        <v>1444</v>
      </c>
      <c r="J99" s="28"/>
    </row>
    <row r="100" ht="15.75" customHeight="1">
      <c r="A100" s="48"/>
      <c r="B100" s="49" t="s">
        <v>805</v>
      </c>
      <c r="C100" s="6" t="str">
        <f>VLOOKUP(B100,Sheet3!$B$2:$E$312,2,FALSE)</f>
        <v>#N/A</v>
      </c>
      <c r="D100" s="6" t="str">
        <f>VLOOKUP(B100,Sheet3!$B$2:$E$312,3,)</f>
        <v>#N/A</v>
      </c>
      <c r="E100" s="8" t="str">
        <f>VLOOKUP(B100,Sheet3!$B$2:$E$312,4,)</f>
        <v>#N/A</v>
      </c>
      <c r="F100" s="50">
        <v>2315.0</v>
      </c>
      <c r="G100" s="51" t="s">
        <v>1216</v>
      </c>
      <c r="H100" s="75" t="s">
        <v>1523</v>
      </c>
      <c r="I100" s="32" t="s">
        <v>1444</v>
      </c>
      <c r="J100" s="28"/>
    </row>
    <row r="101" ht="15.75" customHeight="1">
      <c r="A101" s="48"/>
      <c r="B101" s="49" t="s">
        <v>664</v>
      </c>
      <c r="C101" s="6" t="str">
        <f>VLOOKUP(B101,Sheet3!$B$2:$E$312,2,FALSE)</f>
        <v>P004-025</v>
      </c>
      <c r="D101" s="6" t="str">
        <f>VLOOKUP(B101,Sheet3!$B$2:$E$312,3,)</f>
        <v>barang jadi &amp; bahan baku</v>
      </c>
      <c r="E101" s="8" t="str">
        <f>VLOOKUP(B101,Sheet3!$B$2:$E$312,4,)</f>
        <v>ML</v>
      </c>
      <c r="F101" s="50">
        <v>2184.0</v>
      </c>
      <c r="G101" s="51" t="s">
        <v>1216</v>
      </c>
      <c r="H101" s="75" t="s">
        <v>1523</v>
      </c>
      <c r="I101" s="32" t="s">
        <v>1444</v>
      </c>
      <c r="J101" s="28"/>
    </row>
    <row r="102" ht="15.75" customHeight="1">
      <c r="A102" s="48"/>
      <c r="B102" s="49" t="s">
        <v>657</v>
      </c>
      <c r="C102" s="6" t="str">
        <f>VLOOKUP(B102,Sheet3!$B$2:$E$312,2,FALSE)</f>
        <v>P004-023</v>
      </c>
      <c r="D102" s="6" t="str">
        <f>VLOOKUP(B102,Sheet3!$B$2:$E$312,3,)</f>
        <v>barang jadi &amp; bahan baku</v>
      </c>
      <c r="E102" s="8" t="str">
        <f>VLOOKUP(B102,Sheet3!$B$2:$E$312,4,)</f>
        <v>CC</v>
      </c>
      <c r="F102" s="50">
        <v>2909.0</v>
      </c>
      <c r="G102" s="51" t="s">
        <v>1216</v>
      </c>
      <c r="H102" s="52" t="s">
        <v>1523</v>
      </c>
      <c r="I102" s="32" t="s">
        <v>1444</v>
      </c>
      <c r="J102" s="28"/>
    </row>
    <row r="103" ht="15.75" customHeight="1">
      <c r="A103" s="48"/>
      <c r="B103" s="49" t="s">
        <v>653</v>
      </c>
      <c r="C103" s="6" t="str">
        <f>VLOOKUP(B103,Sheet3!$B$2:$E$312,2,FALSE)</f>
        <v>P004-022</v>
      </c>
      <c r="D103" s="6" t="str">
        <f>VLOOKUP(B103,Sheet3!$B$2:$E$312,3,)</f>
        <v>barang jadi &amp; bahan baku</v>
      </c>
      <c r="E103" s="8" t="str">
        <f>VLOOKUP(B103,Sheet3!$B$2:$E$312,4,)</f>
        <v>CC</v>
      </c>
      <c r="F103" s="50">
        <v>2233.0</v>
      </c>
      <c r="G103" s="51" t="s">
        <v>1216</v>
      </c>
      <c r="H103" s="52" t="s">
        <v>1523</v>
      </c>
      <c r="I103" s="32" t="s">
        <v>1444</v>
      </c>
      <c r="J103" s="28"/>
    </row>
    <row r="104" ht="15.75" customHeight="1">
      <c r="A104" s="48"/>
      <c r="B104" s="49" t="s">
        <v>632</v>
      </c>
      <c r="C104" s="6" t="str">
        <f>VLOOKUP(B104,Sheet3!$B$2:$E$312,2,FALSE)</f>
        <v>P004-013</v>
      </c>
      <c r="D104" s="6" t="str">
        <f>VLOOKUP(B104,Sheet3!$B$2:$E$312,3,)</f>
        <v>barang jadi &amp; bahan baku</v>
      </c>
      <c r="E104" s="8" t="str">
        <f>VLOOKUP(B104,Sheet3!$B$2:$E$312,4,)</f>
        <v>PCS</v>
      </c>
      <c r="F104" s="50">
        <v>7.0</v>
      </c>
      <c r="G104" s="51" t="s">
        <v>1216</v>
      </c>
      <c r="H104" s="75" t="s">
        <v>1305</v>
      </c>
      <c r="I104" s="32" t="s">
        <v>1446</v>
      </c>
      <c r="J104" s="32" t="s">
        <v>1566</v>
      </c>
    </row>
    <row r="105" ht="15.75" customHeight="1">
      <c r="A105" s="48"/>
      <c r="B105" s="49" t="s">
        <v>502</v>
      </c>
      <c r="C105" s="6" t="str">
        <f>VLOOKUP(B105,Sheet3!$B$2:$E$312,2,FALSE)</f>
        <v>S001-002</v>
      </c>
      <c r="D105" s="6" t="str">
        <f>VLOOKUP(B105,Sheet3!$B$2:$E$312,3,)</f>
        <v>barang jadi</v>
      </c>
      <c r="E105" s="8" t="str">
        <f>VLOOKUP(B105,Sheet3!$B$2:$E$312,4,)</f>
        <v>PORSI</v>
      </c>
      <c r="F105" s="76">
        <v>3.0</v>
      </c>
      <c r="G105" s="51" t="s">
        <v>1216</v>
      </c>
      <c r="H105" s="75" t="s">
        <v>1305</v>
      </c>
      <c r="I105" s="32" t="s">
        <v>1446</v>
      </c>
      <c r="J105" s="32" t="s">
        <v>1480</v>
      </c>
    </row>
    <row r="106" ht="15.75" customHeight="1">
      <c r="A106" s="48"/>
      <c r="B106" s="49" t="s">
        <v>412</v>
      </c>
      <c r="C106" s="6" t="str">
        <f>VLOOKUP(B106,Sheet3!$B$2:$E$312,2,FALSE)</f>
        <v>J001-002</v>
      </c>
      <c r="D106" s="6" t="str">
        <f>VLOOKUP(B106,Sheet3!$B$2:$E$312,3,)</f>
        <v>barang jadi</v>
      </c>
      <c r="E106" s="8" t="str">
        <f>VLOOKUP(B106,Sheet3!$B$2:$E$312,4,)</f>
        <v>PORSI</v>
      </c>
      <c r="F106" s="50">
        <v>2.0</v>
      </c>
      <c r="G106" s="51" t="s">
        <v>1216</v>
      </c>
      <c r="H106" s="75" t="s">
        <v>1305</v>
      </c>
      <c r="I106" s="32" t="s">
        <v>1444</v>
      </c>
      <c r="J106" s="28"/>
    </row>
    <row r="107" ht="15.75" customHeight="1">
      <c r="A107" s="48"/>
      <c r="B107" s="77" t="s">
        <v>532</v>
      </c>
      <c r="C107" s="6" t="str">
        <f>VLOOKUP(B107,Sheet3!$B$2:$E$312,2,FALSE)</f>
        <v>S002-007</v>
      </c>
      <c r="D107" s="6" t="str">
        <f>VLOOKUP(B107,Sheet3!$B$2:$E$312,3,)</f>
        <v>barang jadi</v>
      </c>
      <c r="E107" s="8" t="str">
        <f>VLOOKUP(B107,Sheet3!$B$2:$E$312,4,)</f>
        <v>PORSI</v>
      </c>
      <c r="F107" s="76">
        <v>1.0</v>
      </c>
      <c r="G107" s="51" t="s">
        <v>1216</v>
      </c>
      <c r="H107" s="75" t="s">
        <v>1305</v>
      </c>
      <c r="I107" s="32" t="s">
        <v>1446</v>
      </c>
      <c r="J107" s="32" t="s">
        <v>1502</v>
      </c>
    </row>
    <row r="108" ht="15.75" customHeight="1">
      <c r="A108" s="48"/>
      <c r="B108" s="49" t="s">
        <v>298</v>
      </c>
      <c r="C108" s="6" t="str">
        <f>VLOOKUP(B108,Sheet3!$B$2:$E$312,2,FALSE)</f>
        <v>B001-125</v>
      </c>
      <c r="D108" s="6" t="str">
        <f>VLOOKUP(B108,Sheet3!$B$2:$E$312,3,)</f>
        <v>bahan baku</v>
      </c>
      <c r="E108" s="8" t="str">
        <f>VLOOKUP(B108,Sheet3!$B$2:$E$312,4,)</f>
        <v>GR</v>
      </c>
      <c r="F108" s="50">
        <v>37.0</v>
      </c>
      <c r="G108" s="51" t="s">
        <v>1525</v>
      </c>
      <c r="H108" s="52" t="s">
        <v>1290</v>
      </c>
      <c r="I108" s="32" t="s">
        <v>1444</v>
      </c>
      <c r="J108" s="28"/>
    </row>
    <row r="109" ht="15.75" customHeight="1">
      <c r="A109" s="59"/>
      <c r="B109" s="49" t="s">
        <v>137</v>
      </c>
      <c r="C109" s="6" t="str">
        <f>VLOOKUP(B109,Sheet3!$B$2:$E$312,2,FALSE)</f>
        <v>B001-060</v>
      </c>
      <c r="D109" s="6" t="str">
        <f>VLOOKUP(B109,Sheet3!$B$2:$E$312,3,)</f>
        <v>bahan baku</v>
      </c>
      <c r="E109" s="8" t="str">
        <f>VLOOKUP(B109,Sheet3!$B$2:$E$312,4,)</f>
        <v>GR</v>
      </c>
      <c r="F109" s="50">
        <v>52.0</v>
      </c>
      <c r="G109" s="51" t="s">
        <v>1525</v>
      </c>
      <c r="H109" s="52" t="s">
        <v>1290</v>
      </c>
      <c r="I109" s="32" t="s">
        <v>1444</v>
      </c>
      <c r="J109" s="28"/>
    </row>
    <row r="110" ht="15.75" customHeight="1">
      <c r="A110" s="35">
        <v>46330.0</v>
      </c>
      <c r="B110" s="79" t="s">
        <v>298</v>
      </c>
      <c r="C110" s="6" t="str">
        <f>VLOOKUP(B110,Sheet3!$B$2:$E$312,2,FALSE)</f>
        <v>B001-125</v>
      </c>
      <c r="D110" s="6" t="str">
        <f>VLOOKUP(B110,Sheet3!$B$2:$E$312,3,)</f>
        <v>bahan baku</v>
      </c>
      <c r="E110" s="8" t="str">
        <f>VLOOKUP(B110,Sheet3!$B$2:$E$312,4,)</f>
        <v>GR</v>
      </c>
      <c r="F110" s="80">
        <v>35.0</v>
      </c>
      <c r="G110" s="80" t="s">
        <v>1164</v>
      </c>
      <c r="H110" s="80" t="s">
        <v>1509</v>
      </c>
      <c r="I110" s="32" t="s">
        <v>1444</v>
      </c>
      <c r="J110" s="28"/>
    </row>
    <row r="111" ht="15.75" customHeight="1">
      <c r="A111" s="33"/>
      <c r="B111" s="79" t="s">
        <v>1574</v>
      </c>
      <c r="C111" s="6" t="str">
        <f>VLOOKUP(B111,Sheet3!$B$2:$E$312,2,FALSE)</f>
        <v>#N/A</v>
      </c>
      <c r="D111" s="6" t="str">
        <f>VLOOKUP(B111,Sheet3!$B$2:$E$312,3,)</f>
        <v>#N/A</v>
      </c>
      <c r="E111" s="8" t="str">
        <f>VLOOKUP(B111,Sheet3!$B$2:$E$312,4,)</f>
        <v>#N/A</v>
      </c>
      <c r="F111" s="80">
        <v>66.0</v>
      </c>
      <c r="G111" s="80" t="s">
        <v>1164</v>
      </c>
      <c r="H111" s="80" t="s">
        <v>1509</v>
      </c>
      <c r="I111" s="32" t="s">
        <v>1444</v>
      </c>
      <c r="J111" s="28"/>
    </row>
    <row r="112" ht="15.75" customHeight="1">
      <c r="A112" s="33"/>
      <c r="B112" s="81" t="s">
        <v>208</v>
      </c>
      <c r="C112" s="6" t="str">
        <f>VLOOKUP(B112,Sheet3!$B$2:$E$312,2,FALSE)</f>
        <v>B001-087</v>
      </c>
      <c r="D112" s="6" t="str">
        <f>VLOOKUP(B112,Sheet3!$B$2:$E$312,3,)</f>
        <v>bahan baku</v>
      </c>
      <c r="E112" s="8" t="str">
        <f>VLOOKUP(B112,Sheet3!$B$2:$E$312,4,)</f>
        <v>PCS</v>
      </c>
      <c r="F112" s="82">
        <v>2.0</v>
      </c>
      <c r="G112" s="82" t="s">
        <v>1577</v>
      </c>
      <c r="H112" s="82" t="s">
        <v>1509</v>
      </c>
      <c r="I112" s="32" t="s">
        <v>1444</v>
      </c>
      <c r="J112" s="32" t="s">
        <v>1578</v>
      </c>
    </row>
    <row r="113" ht="15.75" customHeight="1">
      <c r="A113" s="33"/>
      <c r="B113" s="79" t="s">
        <v>805</v>
      </c>
      <c r="C113" s="6" t="str">
        <f>VLOOKUP(B113,Sheet3!$B$2:$E$312,2,FALSE)</f>
        <v>#N/A</v>
      </c>
      <c r="D113" s="6" t="str">
        <f>VLOOKUP(B113,Sheet3!$B$2:$E$312,3,)</f>
        <v>#N/A</v>
      </c>
      <c r="E113" s="8" t="str">
        <f>VLOOKUP(B113,Sheet3!$B$2:$E$312,4,)</f>
        <v>#N/A</v>
      </c>
      <c r="F113" s="80">
        <v>1012.0</v>
      </c>
      <c r="G113" s="80" t="s">
        <v>1164</v>
      </c>
      <c r="H113" s="80" t="s">
        <v>1580</v>
      </c>
      <c r="I113" s="32" t="s">
        <v>1444</v>
      </c>
      <c r="J113" s="28"/>
    </row>
    <row r="114" ht="15.75" customHeight="1">
      <c r="A114" s="33"/>
      <c r="B114" s="79" t="s">
        <v>657</v>
      </c>
      <c r="C114" s="6" t="str">
        <f>VLOOKUP(B114,Sheet3!$B$2:$E$312,2,FALSE)</f>
        <v>P004-023</v>
      </c>
      <c r="D114" s="6" t="str">
        <f>VLOOKUP(B114,Sheet3!$B$2:$E$312,3,)</f>
        <v>barang jadi &amp; bahan baku</v>
      </c>
      <c r="E114" s="8" t="str">
        <f>VLOOKUP(B114,Sheet3!$B$2:$E$312,4,)</f>
        <v>CC</v>
      </c>
      <c r="F114" s="80">
        <v>2265.0</v>
      </c>
      <c r="G114" s="80" t="s">
        <v>1164</v>
      </c>
      <c r="H114" s="80" t="s">
        <v>1580</v>
      </c>
      <c r="I114" s="32" t="s">
        <v>1444</v>
      </c>
      <c r="J114" s="28"/>
    </row>
    <row r="115" ht="15.75" customHeight="1">
      <c r="A115" s="33"/>
      <c r="B115" s="79" t="s">
        <v>653</v>
      </c>
      <c r="C115" s="6" t="str">
        <f>VLOOKUP(B115,Sheet3!$B$2:$E$312,2,FALSE)</f>
        <v>P004-022</v>
      </c>
      <c r="D115" s="6" t="str">
        <f>VLOOKUP(B115,Sheet3!$B$2:$E$312,3,)</f>
        <v>barang jadi &amp; bahan baku</v>
      </c>
      <c r="E115" s="8" t="str">
        <f>VLOOKUP(B115,Sheet3!$B$2:$E$312,4,)</f>
        <v>CC</v>
      </c>
      <c r="F115" s="80">
        <v>2471.0</v>
      </c>
      <c r="G115" s="80" t="s">
        <v>1164</v>
      </c>
      <c r="H115" s="83" t="s">
        <v>1580</v>
      </c>
      <c r="I115" s="32" t="s">
        <v>1444</v>
      </c>
      <c r="J115" s="28"/>
    </row>
    <row r="116" ht="15.75" customHeight="1">
      <c r="A116" s="33"/>
      <c r="B116" s="79" t="s">
        <v>532</v>
      </c>
      <c r="C116" s="6" t="str">
        <f>VLOOKUP(B116,Sheet3!$B$2:$E$312,2,FALSE)</f>
        <v>S002-007</v>
      </c>
      <c r="D116" s="6" t="str">
        <f>VLOOKUP(B116,Sheet3!$B$2:$E$312,3,)</f>
        <v>barang jadi</v>
      </c>
      <c r="E116" s="8" t="str">
        <f>VLOOKUP(B116,Sheet3!$B$2:$E$312,4,)</f>
        <v>PORSI</v>
      </c>
      <c r="F116" s="80">
        <v>1.0</v>
      </c>
      <c r="G116" s="80" t="s">
        <v>1216</v>
      </c>
      <c r="H116" s="83" t="s">
        <v>1581</v>
      </c>
      <c r="I116" s="32" t="s">
        <v>1446</v>
      </c>
      <c r="J116" s="28"/>
    </row>
    <row r="117" ht="15.75" customHeight="1">
      <c r="A117" s="34"/>
      <c r="B117" s="79" t="s">
        <v>211</v>
      </c>
      <c r="C117" s="6" t="str">
        <f>VLOOKUP(B117,Sheet3!$B$2:$E$312,2,FALSE)</f>
        <v>B001-088</v>
      </c>
      <c r="D117" s="6" t="str">
        <f>VLOOKUP(B117,Sheet3!$B$2:$E$312,3,)</f>
        <v>bahan baku</v>
      </c>
      <c r="E117" s="8" t="str">
        <f>VLOOKUP(B117,Sheet3!$B$2:$E$312,4,)</f>
        <v>GR</v>
      </c>
      <c r="F117" s="80">
        <v>4615.0</v>
      </c>
      <c r="G117" s="80" t="s">
        <v>1445</v>
      </c>
      <c r="H117" s="80" t="s">
        <v>1441</v>
      </c>
      <c r="I117" s="32" t="s">
        <v>1444</v>
      </c>
      <c r="J117" s="28"/>
    </row>
    <row r="118" ht="15.75" customHeight="1">
      <c r="A118" s="84">
        <v>46360.0</v>
      </c>
      <c r="B118" s="79" t="s">
        <v>294</v>
      </c>
      <c r="C118" s="6" t="str">
        <f>VLOOKUP(B118,Sheet3!$B$2:$E$312,2,FALSE)</f>
        <v>B001-123</v>
      </c>
      <c r="D118" s="6" t="str">
        <f>VLOOKUP(B118,Sheet3!$B$2:$E$312,3,)</f>
        <v>bahan baku</v>
      </c>
      <c r="E118" s="8" t="str">
        <f>VLOOKUP(B118,Sheet3!$B$2:$E$312,4,)</f>
        <v>PCS</v>
      </c>
      <c r="F118" s="80">
        <v>2.0</v>
      </c>
      <c r="G118" s="80" t="s">
        <v>1515</v>
      </c>
      <c r="H118" s="80" t="s">
        <v>1509</v>
      </c>
      <c r="I118" s="32" t="s">
        <v>1444</v>
      </c>
      <c r="J118" s="28"/>
    </row>
    <row r="119" ht="15.75" customHeight="1">
      <c r="A119" s="33"/>
      <c r="B119" s="81" t="s">
        <v>65</v>
      </c>
      <c r="C119" s="6" t="str">
        <f>VLOOKUP(B119,Sheet3!$B$2:$E$312,2,FALSE)</f>
        <v>B001-023</v>
      </c>
      <c r="D119" s="6" t="str">
        <f>VLOOKUP(B119,Sheet3!$B$2:$E$312,3,)</f>
        <v>bahan baku</v>
      </c>
      <c r="E119" s="8" t="str">
        <f>VLOOKUP(B119,Sheet3!$B$2:$E$312,4,)</f>
        <v>GR</v>
      </c>
      <c r="F119" s="82">
        <v>8.0</v>
      </c>
      <c r="G119" s="80" t="s">
        <v>1377</v>
      </c>
      <c r="H119" s="80" t="s">
        <v>1509</v>
      </c>
      <c r="I119" s="32" t="s">
        <v>1446</v>
      </c>
      <c r="J119" s="32" t="s">
        <v>1585</v>
      </c>
    </row>
    <row r="120" ht="15.75" customHeight="1">
      <c r="A120" s="33"/>
      <c r="B120" s="79" t="s">
        <v>221</v>
      </c>
      <c r="C120" s="6" t="str">
        <f>VLOOKUP(B120,Sheet3!$B$2:$E$312,2,FALSE)</f>
        <v>B001-098</v>
      </c>
      <c r="D120" s="6" t="str">
        <f>VLOOKUP(B120,Sheet3!$B$2:$E$312,3,)</f>
        <v>bahan baku</v>
      </c>
      <c r="E120" s="8" t="str">
        <f>VLOOKUP(B120,Sheet3!$B$2:$E$312,4,)</f>
        <v>GR</v>
      </c>
      <c r="F120" s="80">
        <v>35.0</v>
      </c>
      <c r="G120" s="80" t="s">
        <v>1224</v>
      </c>
      <c r="H120" s="80" t="s">
        <v>1509</v>
      </c>
      <c r="I120" s="32" t="s">
        <v>1444</v>
      </c>
      <c r="J120" s="28"/>
    </row>
    <row r="121" ht="15.75" customHeight="1">
      <c r="A121" s="33"/>
      <c r="B121" s="79" t="s">
        <v>28</v>
      </c>
      <c r="C121" s="6" t="str">
        <f>VLOOKUP(B121,Sheet3!$B$2:$E$312,2,FALSE)</f>
        <v>B001-006</v>
      </c>
      <c r="D121" s="6" t="str">
        <f>VLOOKUP(B121,Sheet3!$B$2:$E$312,3,)</f>
        <v>bahan baku</v>
      </c>
      <c r="E121" s="8" t="str">
        <f>VLOOKUP(B121,Sheet3!$B$2:$E$312,4,)</f>
        <v>GR</v>
      </c>
      <c r="F121" s="80">
        <v>35.0</v>
      </c>
      <c r="G121" s="80" t="s">
        <v>1445</v>
      </c>
      <c r="H121" s="80" t="s">
        <v>1528</v>
      </c>
      <c r="I121" s="32" t="s">
        <v>1444</v>
      </c>
      <c r="J121" s="28"/>
    </row>
    <row r="122" ht="15.75" customHeight="1">
      <c r="A122" s="33"/>
      <c r="B122" s="79" t="s">
        <v>298</v>
      </c>
      <c r="C122" s="6" t="str">
        <f>VLOOKUP(B122,Sheet3!$B$2:$E$312,2,FALSE)</f>
        <v>B001-125</v>
      </c>
      <c r="D122" s="6" t="str">
        <f>VLOOKUP(B122,Sheet3!$B$2:$E$312,3,)</f>
        <v>bahan baku</v>
      </c>
      <c r="E122" s="8" t="str">
        <f>VLOOKUP(B122,Sheet3!$B$2:$E$312,4,)</f>
        <v>GR</v>
      </c>
      <c r="F122" s="80">
        <v>35.0</v>
      </c>
      <c r="G122" s="80" t="s">
        <v>1525</v>
      </c>
      <c r="H122" s="80" t="s">
        <v>1528</v>
      </c>
      <c r="I122" s="32" t="s">
        <v>1444</v>
      </c>
      <c r="J122" s="28"/>
    </row>
    <row r="123" ht="15.75" customHeight="1">
      <c r="A123" s="33"/>
      <c r="B123" s="79" t="s">
        <v>625</v>
      </c>
      <c r="C123" s="6" t="str">
        <f>VLOOKUP(B123,Sheet3!$B$2:$E$312,2,FALSE)</f>
        <v>P004-011</v>
      </c>
      <c r="D123" s="6" t="str">
        <f>VLOOKUP(B123,Sheet3!$B$2:$E$312,3,)</f>
        <v>barang jadi &amp; bahan baku</v>
      </c>
      <c r="E123" s="8" t="str">
        <f>VLOOKUP(B123,Sheet3!$B$2:$E$312,4,)</f>
        <v>GR</v>
      </c>
      <c r="F123" s="80">
        <v>31.0</v>
      </c>
      <c r="G123" s="80" t="s">
        <v>1164</v>
      </c>
      <c r="H123" s="80" t="s">
        <v>1528</v>
      </c>
      <c r="I123" s="32" t="s">
        <v>1444</v>
      </c>
      <c r="J123" s="28"/>
    </row>
    <row r="124" ht="15.75" customHeight="1">
      <c r="A124" s="33"/>
      <c r="B124" s="79" t="s">
        <v>720</v>
      </c>
      <c r="C124" s="6" t="str">
        <f>VLOOKUP(B124,Sheet3!$B$2:$E$312,2,FALSE)</f>
        <v>B002-005</v>
      </c>
      <c r="D124" s="6" t="str">
        <f>VLOOKUP(B124,Sheet3!$B$2:$E$312,3,)</f>
        <v>others</v>
      </c>
      <c r="E124" s="8" t="str">
        <f>VLOOKUP(B124,Sheet3!$B$2:$E$312,4,)</f>
        <v>PCS</v>
      </c>
      <c r="F124" s="80">
        <v>259.0</v>
      </c>
      <c r="G124" s="80" t="s">
        <v>1369</v>
      </c>
      <c r="H124" s="80" t="s">
        <v>1523</v>
      </c>
      <c r="I124" s="32" t="s">
        <v>1444</v>
      </c>
      <c r="J124" s="28"/>
    </row>
    <row r="125" ht="15.75" customHeight="1">
      <c r="A125" s="33"/>
      <c r="B125" s="79" t="s">
        <v>664</v>
      </c>
      <c r="C125" s="6" t="str">
        <f>VLOOKUP(B125,Sheet3!$B$2:$E$312,2,FALSE)</f>
        <v>P004-025</v>
      </c>
      <c r="D125" s="6" t="str">
        <f>VLOOKUP(B125,Sheet3!$B$2:$E$312,3,)</f>
        <v>barang jadi &amp; bahan baku</v>
      </c>
      <c r="E125" s="8" t="str">
        <f>VLOOKUP(B125,Sheet3!$B$2:$E$312,4,)</f>
        <v>ML</v>
      </c>
      <c r="F125" s="80">
        <v>879.0</v>
      </c>
      <c r="G125" s="80" t="s">
        <v>1216</v>
      </c>
      <c r="H125" s="80" t="s">
        <v>1523</v>
      </c>
      <c r="I125" s="32" t="s">
        <v>1444</v>
      </c>
      <c r="J125" s="28"/>
    </row>
    <row r="126" ht="15.75" customHeight="1">
      <c r="A126" s="33"/>
      <c r="B126" s="79" t="s">
        <v>653</v>
      </c>
      <c r="C126" s="6" t="str">
        <f>VLOOKUP(B126,Sheet3!$B$2:$E$312,2,FALSE)</f>
        <v>P004-022</v>
      </c>
      <c r="D126" s="6" t="str">
        <f>VLOOKUP(B126,Sheet3!$B$2:$E$312,3,)</f>
        <v>barang jadi &amp; bahan baku</v>
      </c>
      <c r="E126" s="8" t="str">
        <f>VLOOKUP(B126,Sheet3!$B$2:$E$312,4,)</f>
        <v>CC</v>
      </c>
      <c r="F126" s="80">
        <v>969.0</v>
      </c>
      <c r="G126" s="80" t="s">
        <v>1216</v>
      </c>
      <c r="H126" s="83" t="s">
        <v>1523</v>
      </c>
      <c r="I126" s="32" t="s">
        <v>1444</v>
      </c>
      <c r="J126" s="28"/>
    </row>
    <row r="127" ht="15.75" customHeight="1">
      <c r="A127" s="33"/>
      <c r="B127" s="79" t="s">
        <v>111</v>
      </c>
      <c r="C127" s="6" t="str">
        <f>VLOOKUP(B127,Sheet3!$B$2:$E$312,2,FALSE)</f>
        <v>B001-047</v>
      </c>
      <c r="D127" s="6" t="str">
        <f>VLOOKUP(B127,Sheet3!$B$2:$E$312,3,)</f>
        <v>bahan baku</v>
      </c>
      <c r="E127" s="8" t="str">
        <f>VLOOKUP(B127,Sheet3!$B$2:$E$312,4,)</f>
        <v>GR</v>
      </c>
      <c r="F127" s="80">
        <v>8.0</v>
      </c>
      <c r="G127" s="80" t="s">
        <v>1224</v>
      </c>
      <c r="H127" s="83" t="s">
        <v>1523</v>
      </c>
      <c r="I127" s="32" t="s">
        <v>1444</v>
      </c>
      <c r="J127" s="28"/>
    </row>
    <row r="128" ht="15.75" customHeight="1">
      <c r="A128" s="33"/>
      <c r="B128" s="79" t="s">
        <v>805</v>
      </c>
      <c r="C128" s="6" t="str">
        <f>VLOOKUP(B128,Sheet3!$B$2:$E$312,2,FALSE)</f>
        <v>#N/A</v>
      </c>
      <c r="D128" s="6" t="str">
        <f>VLOOKUP(B128,Sheet3!$B$2:$E$312,3,)</f>
        <v>#N/A</v>
      </c>
      <c r="E128" s="8" t="str">
        <f>VLOOKUP(B128,Sheet3!$B$2:$E$312,4,)</f>
        <v>#N/A</v>
      </c>
      <c r="F128" s="80">
        <v>2289.0</v>
      </c>
      <c r="G128" s="80" t="s">
        <v>1216</v>
      </c>
      <c r="H128" s="80" t="s">
        <v>1523</v>
      </c>
      <c r="I128" s="32" t="s">
        <v>1444</v>
      </c>
      <c r="J128" s="28"/>
    </row>
    <row r="129" ht="15.75" customHeight="1">
      <c r="A129" s="33"/>
      <c r="B129" s="79" t="s">
        <v>632</v>
      </c>
      <c r="C129" s="6" t="str">
        <f>VLOOKUP(B129,Sheet3!$B$2:$E$312,2,FALSE)</f>
        <v>P004-013</v>
      </c>
      <c r="D129" s="6" t="str">
        <f>VLOOKUP(B129,Sheet3!$B$2:$E$312,3,)</f>
        <v>barang jadi &amp; bahan baku</v>
      </c>
      <c r="E129" s="8" t="str">
        <f>VLOOKUP(B129,Sheet3!$B$2:$E$312,4,)</f>
        <v>PCS</v>
      </c>
      <c r="F129" s="82">
        <v>19.0</v>
      </c>
      <c r="G129" s="80" t="s">
        <v>1216</v>
      </c>
      <c r="H129" s="80" t="s">
        <v>1305</v>
      </c>
      <c r="I129" s="32" t="s">
        <v>1446</v>
      </c>
      <c r="J129" s="32" t="s">
        <v>1595</v>
      </c>
    </row>
    <row r="130" ht="15.75" customHeight="1">
      <c r="A130" s="33"/>
      <c r="B130" s="79" t="s">
        <v>532</v>
      </c>
      <c r="C130" s="6" t="str">
        <f>VLOOKUP(B130,Sheet3!$B$2:$E$312,2,FALSE)</f>
        <v>S002-007</v>
      </c>
      <c r="D130" s="6" t="str">
        <f>VLOOKUP(B130,Sheet3!$B$2:$E$312,3,)</f>
        <v>barang jadi</v>
      </c>
      <c r="E130" s="8" t="str">
        <f>VLOOKUP(B130,Sheet3!$B$2:$E$312,4,)</f>
        <v>PORSI</v>
      </c>
      <c r="F130" s="80">
        <f>135/100</f>
        <v>1.35</v>
      </c>
      <c r="G130" s="80" t="s">
        <v>1216</v>
      </c>
      <c r="H130" s="80" t="s">
        <v>1305</v>
      </c>
      <c r="I130" s="32" t="s">
        <v>1446</v>
      </c>
      <c r="J130" s="28"/>
    </row>
    <row r="131" ht="15.75" customHeight="1">
      <c r="A131" s="33"/>
      <c r="B131" s="79" t="s">
        <v>502</v>
      </c>
      <c r="C131" s="6" t="str">
        <f>VLOOKUP(B131,Sheet3!$B$2:$E$312,2,FALSE)</f>
        <v>S001-002</v>
      </c>
      <c r="D131" s="6" t="str">
        <f>VLOOKUP(B131,Sheet3!$B$2:$E$312,3,)</f>
        <v>barang jadi</v>
      </c>
      <c r="E131" s="8" t="str">
        <f>VLOOKUP(B131,Sheet3!$B$2:$E$312,4,)</f>
        <v>PORSI</v>
      </c>
      <c r="F131" s="82">
        <v>4.0</v>
      </c>
      <c r="G131" s="80" t="s">
        <v>1216</v>
      </c>
      <c r="H131" s="83" t="s">
        <v>1305</v>
      </c>
      <c r="I131" s="32" t="s">
        <v>1446</v>
      </c>
      <c r="J131" s="32" t="s">
        <v>1484</v>
      </c>
    </row>
    <row r="132" ht="15.75" customHeight="1">
      <c r="A132" s="34"/>
      <c r="B132" s="79" t="s">
        <v>148</v>
      </c>
      <c r="C132" s="6" t="str">
        <f>VLOOKUP(B132,Sheet3!$B$2:$E$312,2,FALSE)</f>
        <v>B001-064</v>
      </c>
      <c r="D132" s="6" t="str">
        <f>VLOOKUP(B132,Sheet3!$B$2:$E$312,3,)</f>
        <v>bahan baku</v>
      </c>
      <c r="E132" s="8" t="str">
        <f>VLOOKUP(B132,Sheet3!$B$2:$E$312,4,)</f>
        <v>GR</v>
      </c>
      <c r="F132" s="80">
        <v>568.0</v>
      </c>
      <c r="G132" s="80" t="s">
        <v>1455</v>
      </c>
      <c r="H132" s="80" t="s">
        <v>1290</v>
      </c>
      <c r="I132" s="32" t="s">
        <v>1444</v>
      </c>
      <c r="J132" s="28"/>
    </row>
    <row r="133" ht="15.75" customHeight="1">
      <c r="A133" s="88" t="s">
        <v>1597</v>
      </c>
      <c r="B133" s="21" t="s">
        <v>146</v>
      </c>
      <c r="C133" s="6" t="str">
        <f>VLOOKUP(B133,Sheet3!$B$2:$E$312,2,FALSE)</f>
        <v>B001-063</v>
      </c>
      <c r="D133" s="6" t="str">
        <f>VLOOKUP(B133,Sheet3!$B$2:$E$312,3,)</f>
        <v>bahan baku</v>
      </c>
      <c r="E133" s="8" t="str">
        <f>VLOOKUP(B133,Sheet3!$B$2:$E$312,4,)</f>
        <v>GR</v>
      </c>
      <c r="F133" s="22">
        <v>50.0</v>
      </c>
      <c r="G133" s="22" t="s">
        <v>1245</v>
      </c>
      <c r="H133" s="22" t="s">
        <v>1290</v>
      </c>
      <c r="I133" s="32" t="s">
        <v>1444</v>
      </c>
      <c r="J133" s="28"/>
    </row>
    <row r="134" ht="15.75" customHeight="1">
      <c r="A134" s="33"/>
      <c r="B134" s="21" t="s">
        <v>643</v>
      </c>
      <c r="C134" s="6" t="str">
        <f>VLOOKUP(B134,Sheet3!$B$2:$E$312,2,FALSE)</f>
        <v>P004-018</v>
      </c>
      <c r="D134" s="6" t="str">
        <f>VLOOKUP(B134,Sheet3!$B$2:$E$312,3,)</f>
        <v>barang jadi &amp; bahan baku</v>
      </c>
      <c r="E134" s="8" t="str">
        <f>VLOOKUP(B134,Sheet3!$B$2:$E$312,4,)</f>
        <v>GR</v>
      </c>
      <c r="F134" s="22">
        <v>245.0</v>
      </c>
      <c r="G134" s="22" t="s">
        <v>1245</v>
      </c>
      <c r="H134" s="22" t="s">
        <v>1290</v>
      </c>
      <c r="I134" s="32" t="s">
        <v>1444</v>
      </c>
      <c r="J134" s="28"/>
    </row>
    <row r="135" ht="15.75" customHeight="1">
      <c r="A135" s="33"/>
      <c r="B135" s="21" t="s">
        <v>211</v>
      </c>
      <c r="C135" s="6" t="str">
        <f>VLOOKUP(B135,Sheet3!$B$2:$E$312,2,FALSE)</f>
        <v>B001-088</v>
      </c>
      <c r="D135" s="6" t="str">
        <f>VLOOKUP(B135,Sheet3!$B$2:$E$312,3,)</f>
        <v>bahan baku</v>
      </c>
      <c r="E135" s="8" t="str">
        <f>VLOOKUP(B135,Sheet3!$B$2:$E$312,4,)</f>
        <v>GR</v>
      </c>
      <c r="F135" s="22">
        <v>5045.0</v>
      </c>
      <c r="G135" s="22" t="s">
        <v>1445</v>
      </c>
      <c r="H135" s="22" t="s">
        <v>1441</v>
      </c>
      <c r="I135" s="32" t="s">
        <v>1444</v>
      </c>
      <c r="J135" s="28"/>
    </row>
    <row r="136" ht="15.75" customHeight="1">
      <c r="A136" s="33"/>
      <c r="B136" s="21" t="s">
        <v>664</v>
      </c>
      <c r="C136" s="6" t="str">
        <f>VLOOKUP(B136,Sheet3!$B$2:$E$312,2,FALSE)</f>
        <v>P004-025</v>
      </c>
      <c r="D136" s="6" t="str">
        <f>VLOOKUP(B136,Sheet3!$B$2:$E$312,3,)</f>
        <v>barang jadi &amp; bahan baku</v>
      </c>
      <c r="E136" s="8" t="str">
        <f>VLOOKUP(B136,Sheet3!$B$2:$E$312,4,)</f>
        <v>ML</v>
      </c>
      <c r="F136" s="22">
        <v>1081.0</v>
      </c>
      <c r="G136" s="22" t="s">
        <v>1216</v>
      </c>
      <c r="H136" s="22" t="s">
        <v>1514</v>
      </c>
      <c r="I136" s="32" t="s">
        <v>1444</v>
      </c>
      <c r="J136" s="28"/>
    </row>
    <row r="137" ht="15.75" customHeight="1">
      <c r="A137" s="33"/>
      <c r="B137" s="21" t="s">
        <v>657</v>
      </c>
      <c r="C137" s="6" t="str">
        <f>VLOOKUP(B137,Sheet3!$B$2:$E$312,2,FALSE)</f>
        <v>P004-023</v>
      </c>
      <c r="D137" s="6" t="str">
        <f>VLOOKUP(B137,Sheet3!$B$2:$E$312,3,)</f>
        <v>barang jadi &amp; bahan baku</v>
      </c>
      <c r="E137" s="8" t="str">
        <f>VLOOKUP(B137,Sheet3!$B$2:$E$312,4,)</f>
        <v>CC</v>
      </c>
      <c r="F137" s="22">
        <v>1036.0</v>
      </c>
      <c r="G137" s="22" t="s">
        <v>1216</v>
      </c>
      <c r="H137" s="22" t="s">
        <v>1514</v>
      </c>
      <c r="I137" s="32" t="s">
        <v>1444</v>
      </c>
      <c r="J137" s="28"/>
    </row>
    <row r="138" ht="15.75" customHeight="1">
      <c r="A138" s="33"/>
      <c r="B138" s="21" t="s">
        <v>653</v>
      </c>
      <c r="C138" s="6" t="str">
        <f>VLOOKUP(B138,Sheet3!$B$2:$E$312,2,FALSE)</f>
        <v>P004-022</v>
      </c>
      <c r="D138" s="6" t="str">
        <f>VLOOKUP(B138,Sheet3!$B$2:$E$312,3,)</f>
        <v>barang jadi &amp; bahan baku</v>
      </c>
      <c r="E138" s="8" t="str">
        <f>VLOOKUP(B138,Sheet3!$B$2:$E$312,4,)</f>
        <v>CC</v>
      </c>
      <c r="F138" s="22">
        <f>1544+3651</f>
        <v>5195</v>
      </c>
      <c r="G138" s="22" t="s">
        <v>1216</v>
      </c>
      <c r="H138" s="22" t="s">
        <v>1514</v>
      </c>
      <c r="I138" s="32" t="s">
        <v>1444</v>
      </c>
      <c r="J138" s="32" t="s">
        <v>1604</v>
      </c>
    </row>
    <row r="139" ht="15.75" customHeight="1">
      <c r="A139" s="33"/>
      <c r="B139" s="90" t="s">
        <v>33</v>
      </c>
      <c r="C139" s="91" t="str">
        <f>VLOOKUP(B139,Sheet3!$B$2:$E$312,2,FALSE)</f>
        <v>B001-008</v>
      </c>
      <c r="D139" s="91" t="str">
        <f>VLOOKUP(B139,Sheet3!$B$2:$E$312,3,)</f>
        <v>bahan baku</v>
      </c>
      <c r="E139" s="92" t="str">
        <f>VLOOKUP(B139,Sheet3!$B$2:$E$312,4,)</f>
        <v>GR</v>
      </c>
      <c r="F139" s="93">
        <v>519.0</v>
      </c>
      <c r="G139" s="93" t="s">
        <v>1216</v>
      </c>
      <c r="H139" s="93" t="s">
        <v>1305</v>
      </c>
      <c r="I139" s="32"/>
      <c r="J139" s="28"/>
    </row>
    <row r="140" ht="15.75" customHeight="1">
      <c r="A140" s="33"/>
      <c r="B140" s="90" t="s">
        <v>129</v>
      </c>
      <c r="C140" s="91" t="str">
        <f>VLOOKUP(B140,Sheet3!$B$2:$E$312,2,FALSE)</f>
        <v>B001-056</v>
      </c>
      <c r="D140" s="91" t="str">
        <f>VLOOKUP(B140,Sheet3!$B$2:$E$312,3,)</f>
        <v>bahan baku</v>
      </c>
      <c r="E140" s="92" t="str">
        <f>VLOOKUP(B140,Sheet3!$B$2:$E$312,4,)</f>
        <v>ML</v>
      </c>
      <c r="F140" s="93">
        <v>5.0</v>
      </c>
      <c r="G140" s="93" t="s">
        <v>1216</v>
      </c>
      <c r="H140" s="93" t="s">
        <v>1305</v>
      </c>
      <c r="I140" s="32"/>
      <c r="J140" s="28"/>
    </row>
    <row r="141" ht="15.75" customHeight="1">
      <c r="A141" s="33"/>
      <c r="B141" s="21" t="s">
        <v>502</v>
      </c>
      <c r="C141" s="6" t="str">
        <f>VLOOKUP(B141,Sheet3!$B$2:$E$312,2,FALSE)</f>
        <v>S001-002</v>
      </c>
      <c r="D141" s="6" t="str">
        <f>VLOOKUP(B141,Sheet3!$B$2:$E$312,3,)</f>
        <v>barang jadi</v>
      </c>
      <c r="E141" s="8" t="str">
        <f>VLOOKUP(B141,Sheet3!$B$2:$E$312,4,)</f>
        <v>PORSI</v>
      </c>
      <c r="F141" s="22">
        <v>4.0</v>
      </c>
      <c r="G141" s="22" t="s">
        <v>1216</v>
      </c>
      <c r="H141" s="22" t="s">
        <v>1305</v>
      </c>
      <c r="I141" s="32" t="s">
        <v>1607</v>
      </c>
      <c r="J141" s="32" t="s">
        <v>1480</v>
      </c>
    </row>
    <row r="142" ht="15.75" customHeight="1">
      <c r="A142" s="33"/>
      <c r="B142" s="21" t="s">
        <v>148</v>
      </c>
      <c r="C142" s="6" t="str">
        <f>VLOOKUP(B142,Sheet3!$B$2:$E$312,2,FALSE)</f>
        <v>B001-064</v>
      </c>
      <c r="D142" s="6" t="str">
        <f>VLOOKUP(B142,Sheet3!$B$2:$E$312,3,)</f>
        <v>bahan baku</v>
      </c>
      <c r="E142" s="8" t="str">
        <f>VLOOKUP(B142,Sheet3!$B$2:$E$312,4,)</f>
        <v>GR</v>
      </c>
      <c r="F142" s="22">
        <v>135.0</v>
      </c>
      <c r="G142" s="22" t="s">
        <v>1445</v>
      </c>
      <c r="H142" s="22" t="s">
        <v>1509</v>
      </c>
      <c r="I142" s="32" t="s">
        <v>1444</v>
      </c>
      <c r="J142" s="28"/>
    </row>
    <row r="143" ht="15.75" customHeight="1">
      <c r="A143" s="34"/>
      <c r="B143" s="21" t="s">
        <v>28</v>
      </c>
      <c r="C143" s="6" t="str">
        <f>VLOOKUP(B143,Sheet3!$B$2:$E$312,2,FALSE)</f>
        <v>B001-006</v>
      </c>
      <c r="D143" s="6" t="str">
        <f>VLOOKUP(B143,Sheet3!$B$2:$E$312,3,)</f>
        <v>bahan baku</v>
      </c>
      <c r="E143" s="8" t="str">
        <f>VLOOKUP(B143,Sheet3!$B$2:$E$312,4,)</f>
        <v>GR</v>
      </c>
      <c r="F143" s="22">
        <v>14.0</v>
      </c>
      <c r="G143" s="22" t="s">
        <v>1445</v>
      </c>
      <c r="H143" s="22" t="s">
        <v>1509</v>
      </c>
      <c r="I143" s="32" t="s">
        <v>1444</v>
      </c>
      <c r="J143" s="28"/>
    </row>
    <row r="144" ht="15.75" customHeight="1">
      <c r="A144" s="88" t="s">
        <v>1608</v>
      </c>
      <c r="B144" s="21" t="s">
        <v>36</v>
      </c>
      <c r="C144" s="6" t="str">
        <f>VLOOKUP(B144,Sheet3!$B$2:$E$312,2,FALSE)</f>
        <v>B001-009</v>
      </c>
      <c r="D144" s="6" t="str">
        <f>VLOOKUP(B144,Sheet3!$B$2:$E$312,3,)</f>
        <v>bahan baku</v>
      </c>
      <c r="E144" s="8" t="str">
        <f>VLOOKUP(B144,Sheet3!$B$2:$E$312,4,)</f>
        <v>GR</v>
      </c>
      <c r="F144" s="22">
        <v>40.0</v>
      </c>
      <c r="G144" s="22" t="s">
        <v>1609</v>
      </c>
      <c r="H144" s="22" t="s">
        <v>1523</v>
      </c>
      <c r="I144" s="32" t="s">
        <v>1444</v>
      </c>
      <c r="J144" s="28"/>
    </row>
    <row r="145" ht="15.75" customHeight="1">
      <c r="A145" s="33"/>
      <c r="B145" s="21" t="s">
        <v>111</v>
      </c>
      <c r="C145" s="6" t="str">
        <f>VLOOKUP(B145,Sheet3!$B$2:$E$312,2,FALSE)</f>
        <v>B001-047</v>
      </c>
      <c r="D145" s="6" t="str">
        <f>VLOOKUP(B145,Sheet3!$B$2:$E$312,3,)</f>
        <v>bahan baku</v>
      </c>
      <c r="E145" s="8" t="str">
        <f>VLOOKUP(B145,Sheet3!$B$2:$E$312,4,)</f>
        <v>GR</v>
      </c>
      <c r="F145" s="22">
        <v>74.0</v>
      </c>
      <c r="G145" s="22" t="s">
        <v>1224</v>
      </c>
      <c r="H145" s="22" t="s">
        <v>1523</v>
      </c>
      <c r="I145" s="32" t="s">
        <v>1444</v>
      </c>
      <c r="J145" s="28"/>
    </row>
    <row r="146" ht="15.75" customHeight="1">
      <c r="A146" s="33"/>
      <c r="B146" s="21" t="s">
        <v>36</v>
      </c>
      <c r="C146" s="6" t="str">
        <f>VLOOKUP(B146,Sheet3!$B$2:$E$312,2,FALSE)</f>
        <v>B001-009</v>
      </c>
      <c r="D146" s="6" t="str">
        <f>VLOOKUP(B146,Sheet3!$B$2:$E$312,3,)</f>
        <v>bahan baku</v>
      </c>
      <c r="E146" s="8" t="str">
        <f>VLOOKUP(B146,Sheet3!$B$2:$E$312,4,)</f>
        <v>GR</v>
      </c>
      <c r="F146" s="22">
        <v>14.0</v>
      </c>
      <c r="G146" s="22" t="s">
        <v>1609</v>
      </c>
      <c r="H146" s="22" t="s">
        <v>1523</v>
      </c>
      <c r="I146" s="32" t="s">
        <v>1444</v>
      </c>
      <c r="J146" s="28"/>
    </row>
    <row r="147" ht="15.75" customHeight="1">
      <c r="A147" s="33"/>
      <c r="B147" s="21" t="s">
        <v>653</v>
      </c>
      <c r="C147" s="6" t="str">
        <f>VLOOKUP(B147,Sheet3!$B$2:$E$312,2,FALSE)</f>
        <v>P004-022</v>
      </c>
      <c r="D147" s="6" t="str">
        <f>VLOOKUP(B147,Sheet3!$B$2:$E$312,3,)</f>
        <v>barang jadi &amp; bahan baku</v>
      </c>
      <c r="E147" s="8" t="str">
        <f>VLOOKUP(B147,Sheet3!$B$2:$E$312,4,)</f>
        <v>CC</v>
      </c>
      <c r="F147" s="22">
        <f>1323</f>
        <v>1323</v>
      </c>
      <c r="G147" s="22" t="s">
        <v>1216</v>
      </c>
      <c r="H147" s="22" t="s">
        <v>1523</v>
      </c>
      <c r="I147" s="32" t="s">
        <v>1444</v>
      </c>
      <c r="J147" s="28"/>
    </row>
    <row r="148" ht="15.75" customHeight="1">
      <c r="A148" s="33"/>
      <c r="B148" s="21" t="s">
        <v>657</v>
      </c>
      <c r="C148" s="6" t="str">
        <f>VLOOKUP(B148,Sheet3!$B$2:$E$312,2,FALSE)</f>
        <v>P004-023</v>
      </c>
      <c r="D148" s="6" t="str">
        <f>VLOOKUP(B148,Sheet3!$B$2:$E$312,3,)</f>
        <v>barang jadi &amp; bahan baku</v>
      </c>
      <c r="E148" s="8" t="str">
        <f>VLOOKUP(B148,Sheet3!$B$2:$E$312,4,)</f>
        <v>CC</v>
      </c>
      <c r="F148" s="22">
        <v>900.0</v>
      </c>
      <c r="G148" s="22" t="s">
        <v>1216</v>
      </c>
      <c r="H148" s="22" t="s">
        <v>1523</v>
      </c>
      <c r="I148" s="32" t="s">
        <v>1444</v>
      </c>
      <c r="J148" s="28"/>
    </row>
    <row r="149" ht="15.75" customHeight="1">
      <c r="A149" s="33"/>
      <c r="B149" s="21" t="s">
        <v>805</v>
      </c>
      <c r="C149" s="6" t="str">
        <f>VLOOKUP(B149,Sheet3!$B$2:$E$312,2,FALSE)</f>
        <v>#N/A</v>
      </c>
      <c r="D149" s="6" t="str">
        <f>VLOOKUP(B149,Sheet3!$B$2:$E$312,3,)</f>
        <v>#N/A</v>
      </c>
      <c r="E149" s="8" t="str">
        <f>VLOOKUP(B149,Sheet3!$B$2:$E$312,4,)</f>
        <v>#N/A</v>
      </c>
      <c r="F149" s="22">
        <v>665.0</v>
      </c>
      <c r="G149" s="22" t="s">
        <v>1216</v>
      </c>
      <c r="H149" s="22" t="s">
        <v>1523</v>
      </c>
      <c r="I149" s="32" t="s">
        <v>1444</v>
      </c>
      <c r="J149" s="28"/>
    </row>
    <row r="150" ht="15.75" customHeight="1">
      <c r="A150" s="33"/>
      <c r="B150" s="21" t="s">
        <v>664</v>
      </c>
      <c r="C150" s="6" t="str">
        <f>VLOOKUP(B150,Sheet3!$B$2:$E$312,2,FALSE)</f>
        <v>P004-025</v>
      </c>
      <c r="D150" s="6" t="str">
        <f>VLOOKUP(B150,Sheet3!$B$2:$E$312,3,)</f>
        <v>barang jadi &amp; bahan baku</v>
      </c>
      <c r="E150" s="8" t="str">
        <f>VLOOKUP(B150,Sheet3!$B$2:$E$312,4,)</f>
        <v>ML</v>
      </c>
      <c r="F150" s="22">
        <v>666.0</v>
      </c>
      <c r="G150" s="22" t="s">
        <v>1216</v>
      </c>
      <c r="H150" s="22" t="s">
        <v>1523</v>
      </c>
      <c r="I150" s="32" t="s">
        <v>1444</v>
      </c>
      <c r="J150" s="28"/>
    </row>
    <row r="151" ht="15.75" customHeight="1">
      <c r="A151" s="33"/>
      <c r="B151" s="21" t="s">
        <v>211</v>
      </c>
      <c r="C151" s="6" t="str">
        <f>VLOOKUP(B151,Sheet3!$B$2:$E$312,2,FALSE)</f>
        <v>B001-088</v>
      </c>
      <c r="D151" s="6" t="str">
        <f>VLOOKUP(B151,Sheet3!$B$2:$E$312,3,)</f>
        <v>bahan baku</v>
      </c>
      <c r="E151" s="8" t="str">
        <f>VLOOKUP(B151,Sheet3!$B$2:$E$312,4,)</f>
        <v>GR</v>
      </c>
      <c r="F151" s="22">
        <v>2460.0</v>
      </c>
      <c r="G151" s="22" t="s">
        <v>1333</v>
      </c>
      <c r="H151" s="22" t="s">
        <v>1417</v>
      </c>
      <c r="I151" s="32" t="s">
        <v>1444</v>
      </c>
      <c r="J151" s="28"/>
    </row>
    <row r="152" ht="15.75" customHeight="1">
      <c r="A152" s="34"/>
      <c r="B152" s="21" t="s">
        <v>502</v>
      </c>
      <c r="C152" s="6" t="str">
        <f>VLOOKUP(B152,Sheet3!$B$2:$E$312,2,FALSE)</f>
        <v>S001-002</v>
      </c>
      <c r="D152" s="6" t="str">
        <f>VLOOKUP(B152,Sheet3!$B$2:$E$312,3,)</f>
        <v>barang jadi</v>
      </c>
      <c r="E152" s="8" t="str">
        <f>VLOOKUP(B152,Sheet3!$B$2:$E$312,4,)</f>
        <v>PORSI</v>
      </c>
      <c r="F152" s="22">
        <v>2.0</v>
      </c>
      <c r="G152" s="22" t="s">
        <v>1164</v>
      </c>
      <c r="H152" s="22" t="s">
        <v>1225</v>
      </c>
      <c r="I152" s="32" t="s">
        <v>1607</v>
      </c>
      <c r="J152" s="32" t="s">
        <v>1487</v>
      </c>
    </row>
    <row r="153" ht="15.75" customHeight="1">
      <c r="A153" s="94" t="s">
        <v>1614</v>
      </c>
      <c r="B153" s="21" t="s">
        <v>28</v>
      </c>
      <c r="C153" s="6" t="str">
        <f>VLOOKUP(B153,Sheet3!$B$2:$E$312,2,FALSE)</f>
        <v>B001-006</v>
      </c>
      <c r="D153" s="6" t="str">
        <f>VLOOKUP(B153,Sheet3!$B$2:$E$312,3,)</f>
        <v>bahan baku</v>
      </c>
      <c r="E153" s="8" t="str">
        <f>VLOOKUP(B153,Sheet3!$B$2:$E$312,4,)</f>
        <v>GR</v>
      </c>
      <c r="F153" s="22">
        <v>19.0</v>
      </c>
      <c r="G153" s="22" t="s">
        <v>1445</v>
      </c>
      <c r="H153" s="22" t="s">
        <v>1528</v>
      </c>
      <c r="I153" s="32" t="s">
        <v>1444</v>
      </c>
      <c r="J153" s="28"/>
    </row>
    <row r="154" ht="15.75" hidden="1" customHeight="1">
      <c r="A154" s="33"/>
      <c r="B154" s="21" t="s">
        <v>150</v>
      </c>
      <c r="C154" s="6" t="str">
        <f>VLOOKUP(B154,Sheet3!$B$2:$E$312,2,FALSE)</f>
        <v>B001-066</v>
      </c>
      <c r="D154" s="6" t="str">
        <f>VLOOKUP(B154,Sheet3!$B$2:$E$312,3,)</f>
        <v>bahan baku</v>
      </c>
      <c r="E154" s="8" t="str">
        <f>VLOOKUP(B154,Sheet3!$B$2:$E$312,4,)</f>
        <v>PCS</v>
      </c>
      <c r="F154" s="22">
        <v>2.0</v>
      </c>
      <c r="G154" s="22" t="s">
        <v>1617</v>
      </c>
      <c r="H154" s="22" t="s">
        <v>1384</v>
      </c>
      <c r="I154" s="32" t="s">
        <v>1444</v>
      </c>
      <c r="J154" s="28"/>
    </row>
    <row r="155" ht="15.75" hidden="1" customHeight="1">
      <c r="A155" s="33"/>
      <c r="B155" s="21" t="s">
        <v>620</v>
      </c>
      <c r="C155" s="6" t="str">
        <f>VLOOKUP(B155,Sheet3!$B$2:$E$312,2,FALSE)</f>
        <v>P004-009</v>
      </c>
      <c r="D155" s="6" t="str">
        <f>VLOOKUP(B155,Sheet3!$B$2:$E$312,3,)</f>
        <v>barang jadi &amp; bahan baku</v>
      </c>
      <c r="E155" s="8" t="str">
        <f>VLOOKUP(B155,Sheet3!$B$2:$E$312,4,)</f>
        <v>GR</v>
      </c>
      <c r="F155" s="22">
        <v>40.0</v>
      </c>
      <c r="G155" s="22" t="s">
        <v>1617</v>
      </c>
      <c r="H155" s="22" t="s">
        <v>1384</v>
      </c>
      <c r="I155" s="32" t="s">
        <v>1444</v>
      </c>
      <c r="J155" s="28"/>
    </row>
    <row r="156" ht="15.75" hidden="1" customHeight="1">
      <c r="A156" s="33"/>
      <c r="B156" s="21" t="s">
        <v>625</v>
      </c>
      <c r="C156" s="6" t="str">
        <f>VLOOKUP(B156,Sheet3!$B$2:$E$312,2,FALSE)</f>
        <v>P004-011</v>
      </c>
      <c r="D156" s="6" t="str">
        <f>VLOOKUP(B156,Sheet3!$B$2:$E$312,3,)</f>
        <v>barang jadi &amp; bahan baku</v>
      </c>
      <c r="E156" s="8" t="str">
        <f>VLOOKUP(B156,Sheet3!$B$2:$E$312,4,)</f>
        <v>GR</v>
      </c>
      <c r="F156" s="22">
        <v>40.0</v>
      </c>
      <c r="G156" s="22" t="s">
        <v>1617</v>
      </c>
      <c r="H156" s="22" t="s">
        <v>1384</v>
      </c>
      <c r="I156" s="32" t="s">
        <v>1444</v>
      </c>
      <c r="J156" s="28"/>
    </row>
    <row r="157" ht="15.75" customHeight="1">
      <c r="A157" s="33"/>
      <c r="B157" s="21" t="s">
        <v>298</v>
      </c>
      <c r="C157" s="6" t="str">
        <f>VLOOKUP(B157,Sheet3!$B$2:$E$312,2,FALSE)</f>
        <v>B001-125</v>
      </c>
      <c r="D157" s="6" t="str">
        <f>VLOOKUP(B157,Sheet3!$B$2:$E$312,3,)</f>
        <v>bahan baku</v>
      </c>
      <c r="E157" s="8" t="str">
        <f>VLOOKUP(B157,Sheet3!$B$2:$E$312,4,)</f>
        <v>GR</v>
      </c>
      <c r="F157" s="22">
        <v>89.0</v>
      </c>
      <c r="G157" s="22" t="s">
        <v>1164</v>
      </c>
      <c r="H157" s="22" t="s">
        <v>1539</v>
      </c>
      <c r="I157" s="32" t="s">
        <v>1444</v>
      </c>
      <c r="J157" s="28"/>
    </row>
    <row r="158" ht="15.75" customHeight="1">
      <c r="A158" s="33"/>
      <c r="B158" s="21" t="s">
        <v>28</v>
      </c>
      <c r="C158" s="6" t="str">
        <f>VLOOKUP(B158,Sheet3!$B$2:$E$312,2,FALSE)</f>
        <v>B001-006</v>
      </c>
      <c r="D158" s="6" t="str">
        <f>VLOOKUP(B158,Sheet3!$B$2:$E$312,3,)</f>
        <v>bahan baku</v>
      </c>
      <c r="E158" s="8" t="str">
        <f>VLOOKUP(B158,Sheet3!$B$2:$E$312,4,)</f>
        <v>GR</v>
      </c>
      <c r="F158" s="22">
        <v>7.0</v>
      </c>
      <c r="G158" s="22" t="s">
        <v>1445</v>
      </c>
      <c r="H158" s="22" t="s">
        <v>1539</v>
      </c>
      <c r="I158" s="32" t="s">
        <v>1444</v>
      </c>
      <c r="J158" s="28"/>
    </row>
    <row r="159" ht="15.75" customHeight="1">
      <c r="A159" s="33"/>
      <c r="B159" s="21" t="s">
        <v>634</v>
      </c>
      <c r="C159" s="6" t="str">
        <f>VLOOKUP(B159,Sheet3!$B$2:$E$312,2,FALSE)</f>
        <v>P004-014</v>
      </c>
      <c r="D159" s="6" t="str">
        <f>VLOOKUP(B159,Sheet3!$B$2:$E$312,3,)</f>
        <v>barang jadi &amp; bahan baku</v>
      </c>
      <c r="E159" s="8" t="str">
        <f>VLOOKUP(B159,Sheet3!$B$2:$E$312,4,)</f>
        <v>GR</v>
      </c>
      <c r="F159" s="22">
        <v>619.0</v>
      </c>
      <c r="G159" s="22" t="s">
        <v>1164</v>
      </c>
      <c r="H159" s="22" t="s">
        <v>1539</v>
      </c>
      <c r="I159" s="32" t="s">
        <v>1444</v>
      </c>
      <c r="J159" s="28"/>
    </row>
    <row r="160" ht="15.75" customHeight="1">
      <c r="A160" s="33"/>
      <c r="B160" s="21" t="s">
        <v>132</v>
      </c>
      <c r="C160" s="6" t="str">
        <f>VLOOKUP(B160,Sheet3!$B$2:$E$312,2,FALSE)</f>
        <v>B001-057</v>
      </c>
      <c r="D160" s="6" t="str">
        <f>VLOOKUP(B160,Sheet3!$B$2:$E$312,3,)</f>
        <v>bahan baku</v>
      </c>
      <c r="E160" s="8" t="str">
        <f>VLOOKUP(B160,Sheet3!$B$2:$E$312,4,)</f>
        <v>GR</v>
      </c>
      <c r="F160" s="22">
        <v>17.0</v>
      </c>
      <c r="G160" s="22" t="s">
        <v>1164</v>
      </c>
      <c r="H160" s="22" t="s">
        <v>1539</v>
      </c>
      <c r="I160" s="32" t="s">
        <v>1444</v>
      </c>
      <c r="J160" s="28"/>
    </row>
    <row r="161" ht="15.75" customHeight="1">
      <c r="A161" s="33"/>
      <c r="B161" s="21" t="s">
        <v>211</v>
      </c>
      <c r="C161" s="6" t="str">
        <f>VLOOKUP(B161,Sheet3!$B$2:$E$312,2,FALSE)</f>
        <v>B001-088</v>
      </c>
      <c r="D161" s="6" t="str">
        <f>VLOOKUP(B161,Sheet3!$B$2:$E$312,3,)</f>
        <v>bahan baku</v>
      </c>
      <c r="E161" s="8" t="str">
        <f>VLOOKUP(B161,Sheet3!$B$2:$E$312,4,)</f>
        <v>GR</v>
      </c>
      <c r="F161" s="22">
        <v>3275.0</v>
      </c>
      <c r="G161" s="22" t="s">
        <v>1445</v>
      </c>
      <c r="H161" s="22" t="s">
        <v>1567</v>
      </c>
      <c r="I161" s="32" t="s">
        <v>1444</v>
      </c>
      <c r="J161" s="28"/>
    </row>
    <row r="162" ht="15.75" customHeight="1">
      <c r="A162" s="33"/>
      <c r="B162" s="21" t="s">
        <v>805</v>
      </c>
      <c r="C162" s="6" t="str">
        <f>VLOOKUP(B162,Sheet3!$B$2:$E$312,2,FALSE)</f>
        <v>#N/A</v>
      </c>
      <c r="D162" s="6" t="str">
        <f>VLOOKUP(B162,Sheet3!$B$2:$E$312,3,)</f>
        <v>#N/A</v>
      </c>
      <c r="E162" s="8" t="str">
        <f>VLOOKUP(B162,Sheet3!$B$2:$E$312,4,)</f>
        <v>#N/A</v>
      </c>
      <c r="F162" s="22">
        <v>1820.0</v>
      </c>
      <c r="G162" s="22" t="s">
        <v>1216</v>
      </c>
      <c r="H162" s="22" t="s">
        <v>1512</v>
      </c>
      <c r="I162" s="32" t="s">
        <v>1444</v>
      </c>
      <c r="J162" s="28"/>
    </row>
    <row r="163" ht="15.75" customHeight="1">
      <c r="A163" s="33"/>
      <c r="B163" s="21" t="s">
        <v>664</v>
      </c>
      <c r="C163" s="6" t="str">
        <f>VLOOKUP(B163,Sheet3!$B$2:$E$312,2,FALSE)</f>
        <v>P004-025</v>
      </c>
      <c r="D163" s="6" t="str">
        <f>VLOOKUP(B163,Sheet3!$B$2:$E$312,3,)</f>
        <v>barang jadi &amp; bahan baku</v>
      </c>
      <c r="E163" s="8" t="str">
        <f>VLOOKUP(B163,Sheet3!$B$2:$E$312,4,)</f>
        <v>ML</v>
      </c>
      <c r="F163" s="22">
        <v>2285.0</v>
      </c>
      <c r="G163" s="22" t="s">
        <v>1216</v>
      </c>
      <c r="H163" s="22" t="s">
        <v>1512</v>
      </c>
      <c r="I163" s="32" t="s">
        <v>1444</v>
      </c>
      <c r="J163" s="28"/>
    </row>
    <row r="164" ht="15.75" customHeight="1">
      <c r="A164" s="33"/>
      <c r="B164" s="21" t="s">
        <v>653</v>
      </c>
      <c r="C164" s="6" t="str">
        <f>VLOOKUP(B164,Sheet3!$B$2:$E$312,2,FALSE)</f>
        <v>P004-022</v>
      </c>
      <c r="D164" s="6" t="str">
        <f>VLOOKUP(B164,Sheet3!$B$2:$E$312,3,)</f>
        <v>barang jadi &amp; bahan baku</v>
      </c>
      <c r="E164" s="8" t="str">
        <f>VLOOKUP(B164,Sheet3!$B$2:$E$312,4,)</f>
        <v>CC</v>
      </c>
      <c r="F164" s="22">
        <v>668.0</v>
      </c>
      <c r="G164" s="22" t="s">
        <v>1216</v>
      </c>
      <c r="H164" s="22" t="s">
        <v>1512</v>
      </c>
      <c r="I164" s="32" t="s">
        <v>1444</v>
      </c>
      <c r="J164" s="28"/>
    </row>
    <row r="165" ht="15.75" customHeight="1">
      <c r="A165" s="33"/>
      <c r="B165" s="21" t="s">
        <v>657</v>
      </c>
      <c r="C165" s="6" t="str">
        <f>VLOOKUP(B165,Sheet3!$B$2:$E$312,2,FALSE)</f>
        <v>P004-023</v>
      </c>
      <c r="D165" s="6" t="str">
        <f>VLOOKUP(B165,Sheet3!$B$2:$E$312,3,)</f>
        <v>barang jadi &amp; bahan baku</v>
      </c>
      <c r="E165" s="8" t="str">
        <f>VLOOKUP(B165,Sheet3!$B$2:$E$312,4,)</f>
        <v>CC</v>
      </c>
      <c r="F165" s="22">
        <v>2411.0</v>
      </c>
      <c r="G165" s="22" t="s">
        <v>1216</v>
      </c>
      <c r="H165" s="22" t="s">
        <v>1512</v>
      </c>
      <c r="I165" s="32" t="s">
        <v>1444</v>
      </c>
      <c r="J165" s="28"/>
    </row>
    <row r="166" ht="15.75" customHeight="1">
      <c r="A166" s="34"/>
      <c r="B166" s="21" t="s">
        <v>720</v>
      </c>
      <c r="C166" s="6" t="str">
        <f>VLOOKUP(B166,Sheet3!$B$2:$E$312,2,FALSE)</f>
        <v>B002-005</v>
      </c>
      <c r="D166" s="6" t="str">
        <f>VLOOKUP(B166,Sheet3!$B$2:$E$312,3,)</f>
        <v>others</v>
      </c>
      <c r="E166" s="8" t="str">
        <f>VLOOKUP(B166,Sheet3!$B$2:$E$312,4,)</f>
        <v>PCS</v>
      </c>
      <c r="F166" s="22">
        <v>58.0</v>
      </c>
      <c r="G166" s="22" t="s">
        <v>1369</v>
      </c>
      <c r="H166" s="22" t="s">
        <v>1512</v>
      </c>
      <c r="I166" s="32" t="s">
        <v>1444</v>
      </c>
      <c r="J166" s="28"/>
    </row>
    <row r="167" ht="15.75" customHeight="1">
      <c r="A167" s="88" t="s">
        <v>1625</v>
      </c>
      <c r="B167" s="21" t="s">
        <v>86</v>
      </c>
      <c r="C167" s="6" t="str">
        <f>VLOOKUP(B167,Sheet3!$B$2:$E$312,2,FALSE)</f>
        <v>B001-036</v>
      </c>
      <c r="D167" s="6" t="str">
        <f>VLOOKUP(B167,Sheet3!$B$2:$E$312,3,)</f>
        <v>bahan baku</v>
      </c>
      <c r="E167" s="8" t="str">
        <f>VLOOKUP(B167,Sheet3!$B$2:$E$312,4,)</f>
        <v>GR</v>
      </c>
      <c r="F167" s="22">
        <v>29.0</v>
      </c>
      <c r="G167" s="22" t="s">
        <v>1516</v>
      </c>
      <c r="H167" s="22" t="s">
        <v>1514</v>
      </c>
      <c r="I167" s="32" t="s">
        <v>1444</v>
      </c>
      <c r="J167" s="28"/>
    </row>
    <row r="168" ht="15.75" customHeight="1">
      <c r="A168" s="33"/>
      <c r="B168" s="21" t="s">
        <v>653</v>
      </c>
      <c r="C168" s="6" t="str">
        <f>VLOOKUP(B168,Sheet3!$B$2:$E$312,2,FALSE)</f>
        <v>P004-022</v>
      </c>
      <c r="D168" s="6" t="str">
        <f>VLOOKUP(B168,Sheet3!$B$2:$E$312,3,)</f>
        <v>barang jadi &amp; bahan baku</v>
      </c>
      <c r="E168" s="8" t="str">
        <f>VLOOKUP(B168,Sheet3!$B$2:$E$312,4,)</f>
        <v>CC</v>
      </c>
      <c r="F168" s="22">
        <v>449.0</v>
      </c>
      <c r="G168" s="22" t="s">
        <v>1216</v>
      </c>
      <c r="H168" s="22" t="s">
        <v>1514</v>
      </c>
      <c r="I168" s="32" t="s">
        <v>1444</v>
      </c>
      <c r="J168" s="28"/>
    </row>
    <row r="169" ht="15.75" customHeight="1">
      <c r="A169" s="33"/>
      <c r="B169" s="21" t="s">
        <v>657</v>
      </c>
      <c r="C169" s="6" t="str">
        <f>VLOOKUP(B169,Sheet3!$B$2:$E$312,2,FALSE)</f>
        <v>P004-023</v>
      </c>
      <c r="D169" s="6" t="str">
        <f>VLOOKUP(B169,Sheet3!$B$2:$E$312,3,)</f>
        <v>barang jadi &amp; bahan baku</v>
      </c>
      <c r="E169" s="8" t="str">
        <f>VLOOKUP(B169,Sheet3!$B$2:$E$312,4,)</f>
        <v>CC</v>
      </c>
      <c r="F169" s="22">
        <v>1914.0</v>
      </c>
      <c r="G169" s="22" t="s">
        <v>1216</v>
      </c>
      <c r="H169" s="22" t="s">
        <v>1514</v>
      </c>
      <c r="I169" s="32" t="s">
        <v>1444</v>
      </c>
      <c r="J169" s="28"/>
    </row>
    <row r="170" ht="15.75" customHeight="1">
      <c r="A170" s="33"/>
      <c r="B170" s="21" t="s">
        <v>805</v>
      </c>
      <c r="C170" s="6" t="str">
        <f>VLOOKUP(B170,Sheet3!$B$2:$E$312,2,FALSE)</f>
        <v>#N/A</v>
      </c>
      <c r="D170" s="6" t="str">
        <f>VLOOKUP(B170,Sheet3!$B$2:$E$312,3,)</f>
        <v>#N/A</v>
      </c>
      <c r="E170" s="8" t="str">
        <f>VLOOKUP(B170,Sheet3!$B$2:$E$312,4,)</f>
        <v>#N/A</v>
      </c>
      <c r="F170" s="22">
        <v>1470.0</v>
      </c>
      <c r="G170" s="22" t="s">
        <v>1216</v>
      </c>
      <c r="H170" s="22" t="s">
        <v>1514</v>
      </c>
      <c r="I170" s="32" t="s">
        <v>1444</v>
      </c>
      <c r="J170" s="28"/>
    </row>
    <row r="171" ht="15.75" customHeight="1">
      <c r="A171" s="33"/>
      <c r="B171" s="21" t="s">
        <v>664</v>
      </c>
      <c r="C171" s="6" t="str">
        <f>VLOOKUP(B171,Sheet3!$B$2:$E$312,2,FALSE)</f>
        <v>P004-025</v>
      </c>
      <c r="D171" s="6" t="str">
        <f>VLOOKUP(B171,Sheet3!$B$2:$E$312,3,)</f>
        <v>barang jadi &amp; bahan baku</v>
      </c>
      <c r="E171" s="8" t="str">
        <f>VLOOKUP(B171,Sheet3!$B$2:$E$312,4,)</f>
        <v>ML</v>
      </c>
      <c r="F171" s="22">
        <v>1186.0</v>
      </c>
      <c r="G171" s="22" t="s">
        <v>1216</v>
      </c>
      <c r="H171" s="22" t="s">
        <v>1514</v>
      </c>
      <c r="I171" s="32" t="s">
        <v>1444</v>
      </c>
      <c r="J171" s="28"/>
    </row>
    <row r="172" ht="15.75" customHeight="1">
      <c r="A172" s="33"/>
      <c r="B172" s="21" t="s">
        <v>720</v>
      </c>
      <c r="C172" s="6" t="str">
        <f>VLOOKUP(B172,Sheet3!$B$2:$E$312,2,FALSE)</f>
        <v>B002-005</v>
      </c>
      <c r="D172" s="6" t="str">
        <f>VLOOKUP(B172,Sheet3!$B$2:$E$312,3,)</f>
        <v>others</v>
      </c>
      <c r="E172" s="8" t="str">
        <f>VLOOKUP(B172,Sheet3!$B$2:$E$312,4,)</f>
        <v>PCS</v>
      </c>
      <c r="F172" s="22">
        <v>104.0</v>
      </c>
      <c r="G172" s="22" t="s">
        <v>1369</v>
      </c>
      <c r="H172" s="22" t="s">
        <v>1514</v>
      </c>
      <c r="I172" s="32" t="s">
        <v>1444</v>
      </c>
      <c r="J172" s="28"/>
    </row>
    <row r="173" ht="15.75" customHeight="1">
      <c r="A173" s="33"/>
      <c r="B173" s="21" t="s">
        <v>698</v>
      </c>
      <c r="C173" s="6" t="str">
        <f>VLOOKUP(B173,Sheet3!$B$2:$E$312,2,FALSE)</f>
        <v>P004-038</v>
      </c>
      <c r="D173" s="6" t="str">
        <f>VLOOKUP(B173,Sheet3!$B$2:$E$312,3,)</f>
        <v>barang jadi &amp; bahan baku</v>
      </c>
      <c r="E173" s="8" t="str">
        <f>VLOOKUP(B173,Sheet3!$B$2:$E$312,4,)</f>
        <v>PCS</v>
      </c>
      <c r="F173" s="22">
        <v>1.0</v>
      </c>
      <c r="G173" s="22" t="s">
        <v>1628</v>
      </c>
      <c r="H173" s="22" t="s">
        <v>1539</v>
      </c>
      <c r="I173" s="32" t="s">
        <v>1444</v>
      </c>
      <c r="J173" s="28"/>
    </row>
    <row r="174" ht="15.75" customHeight="1">
      <c r="A174" s="33"/>
      <c r="B174" s="21" t="s">
        <v>137</v>
      </c>
      <c r="C174" s="6" t="str">
        <f>VLOOKUP(B174,Sheet3!$B$2:$E$312,2,FALSE)</f>
        <v>B001-060</v>
      </c>
      <c r="D174" s="6" t="str">
        <f>VLOOKUP(B174,Sheet3!$B$2:$E$312,3,)</f>
        <v>bahan baku</v>
      </c>
      <c r="E174" s="8" t="str">
        <f>VLOOKUP(B174,Sheet3!$B$2:$E$312,4,)</f>
        <v>GR</v>
      </c>
      <c r="F174" s="22">
        <v>35.0</v>
      </c>
      <c r="G174" s="22" t="s">
        <v>1164</v>
      </c>
      <c r="H174" s="22" t="s">
        <v>1539</v>
      </c>
      <c r="I174" s="32" t="s">
        <v>1444</v>
      </c>
      <c r="J174" s="28"/>
    </row>
    <row r="175" ht="15.75" customHeight="1">
      <c r="A175" s="33"/>
      <c r="B175" s="21" t="s">
        <v>28</v>
      </c>
      <c r="C175" s="6" t="str">
        <f>VLOOKUP(B175,Sheet3!$B$2:$E$312,2,FALSE)</f>
        <v>B001-006</v>
      </c>
      <c r="D175" s="6" t="str">
        <f>VLOOKUP(B175,Sheet3!$B$2:$E$312,3,)</f>
        <v>bahan baku</v>
      </c>
      <c r="E175" s="8" t="str">
        <f>VLOOKUP(B175,Sheet3!$B$2:$E$312,4,)</f>
        <v>GR</v>
      </c>
      <c r="F175" s="22">
        <v>39.0</v>
      </c>
      <c r="G175" s="22" t="s">
        <v>1445</v>
      </c>
      <c r="H175" s="22" t="s">
        <v>1539</v>
      </c>
      <c r="I175" s="32" t="s">
        <v>1444</v>
      </c>
      <c r="J175" s="28"/>
    </row>
    <row r="176" ht="15.75" customHeight="1">
      <c r="A176" s="33"/>
      <c r="B176" s="21" t="s">
        <v>211</v>
      </c>
      <c r="C176" s="6" t="str">
        <f>VLOOKUP(B176,Sheet3!$B$2:$E$312,2,FALSE)</f>
        <v>B001-088</v>
      </c>
      <c r="D176" s="6" t="str">
        <f>VLOOKUP(B176,Sheet3!$B$2:$E$312,3,)</f>
        <v>bahan baku</v>
      </c>
      <c r="E176" s="8" t="str">
        <f>VLOOKUP(B176,Sheet3!$B$2:$E$312,4,)</f>
        <v>GR</v>
      </c>
      <c r="F176" s="22">
        <v>8250.0</v>
      </c>
      <c r="G176" s="22" t="s">
        <v>1445</v>
      </c>
      <c r="H176" s="22" t="s">
        <v>1290</v>
      </c>
      <c r="I176" s="32" t="s">
        <v>1444</v>
      </c>
      <c r="J176" s="28"/>
    </row>
    <row r="177" ht="15.75" customHeight="1">
      <c r="A177" s="33"/>
      <c r="B177" s="21" t="s">
        <v>33</v>
      </c>
      <c r="C177" s="6" t="str">
        <f>VLOOKUP(B177,Sheet3!$B$2:$E$312,2,FALSE)</f>
        <v>B001-008</v>
      </c>
      <c r="D177" s="6" t="str">
        <f>VLOOKUP(B177,Sheet3!$B$2:$E$312,3,)</f>
        <v>bahan baku</v>
      </c>
      <c r="E177" s="8" t="str">
        <f>VLOOKUP(B177,Sheet3!$B$2:$E$312,4,)</f>
        <v>GR</v>
      </c>
      <c r="F177" s="27">
        <v>1032.0</v>
      </c>
      <c r="G177" s="22" t="s">
        <v>1633</v>
      </c>
      <c r="H177" s="22" t="s">
        <v>1634</v>
      </c>
      <c r="I177" s="32" t="s">
        <v>1444</v>
      </c>
      <c r="J177" s="28"/>
    </row>
    <row r="178" ht="15.75" customHeight="1">
      <c r="A178" s="34"/>
      <c r="B178" s="21" t="s">
        <v>129</v>
      </c>
      <c r="C178" s="6" t="str">
        <f>VLOOKUP(B178,Sheet3!$B$2:$E$312,2,FALSE)</f>
        <v>B001-056</v>
      </c>
      <c r="D178" s="6" t="str">
        <f>VLOOKUP(B178,Sheet3!$B$2:$E$312,3,)</f>
        <v>bahan baku</v>
      </c>
      <c r="E178" s="8" t="str">
        <f>VLOOKUP(B178,Sheet3!$B$2:$E$312,4,)</f>
        <v>ML</v>
      </c>
      <c r="F178" s="22">
        <v>10.0</v>
      </c>
      <c r="G178" s="22" t="s">
        <v>1633</v>
      </c>
      <c r="H178" s="22" t="s">
        <v>1634</v>
      </c>
      <c r="I178" s="32" t="s">
        <v>1444</v>
      </c>
      <c r="J178" s="28"/>
    </row>
    <row r="179" ht="15.75" customHeight="1">
      <c r="A179" s="88" t="s">
        <v>1636</v>
      </c>
      <c r="B179" s="21" t="s">
        <v>629</v>
      </c>
      <c r="C179" s="6" t="str">
        <f>VLOOKUP(B179,Sheet3!$B$2:$E$312,2,FALSE)</f>
        <v>P004-012</v>
      </c>
      <c r="D179" s="6" t="str">
        <f>VLOOKUP(B179,Sheet3!$B$2:$E$312,3,)</f>
        <v>barang jadi &amp; bahan baku</v>
      </c>
      <c r="E179" s="8" t="str">
        <f>VLOOKUP(B179,Sheet3!$B$2:$E$312,4,)</f>
        <v>GR</v>
      </c>
      <c r="F179" s="22">
        <v>148.0</v>
      </c>
      <c r="G179" s="22" t="s">
        <v>1245</v>
      </c>
      <c r="H179" s="22" t="s">
        <v>1528</v>
      </c>
      <c r="I179" s="32" t="s">
        <v>1444</v>
      </c>
      <c r="J179" s="28"/>
    </row>
    <row r="180" ht="15.75" customHeight="1">
      <c r="A180" s="33"/>
      <c r="B180" s="21" t="s">
        <v>625</v>
      </c>
      <c r="C180" s="6" t="str">
        <f>VLOOKUP(B180,Sheet3!$B$2:$E$312,2,FALSE)</f>
        <v>P004-011</v>
      </c>
      <c r="D180" s="6" t="str">
        <f>VLOOKUP(B180,Sheet3!$B$2:$E$312,3,)</f>
        <v>barang jadi &amp; bahan baku</v>
      </c>
      <c r="E180" s="8" t="str">
        <f>VLOOKUP(B180,Sheet3!$B$2:$E$312,4,)</f>
        <v>GR</v>
      </c>
      <c r="F180" s="25">
        <v>20.0</v>
      </c>
      <c r="G180" s="25" t="s">
        <v>1164</v>
      </c>
      <c r="H180" s="32" t="s">
        <v>1528</v>
      </c>
      <c r="I180" s="32" t="s">
        <v>1444</v>
      </c>
      <c r="J180" s="28"/>
    </row>
    <row r="181" ht="15.75" customHeight="1">
      <c r="A181" s="33"/>
      <c r="B181" s="21" t="s">
        <v>148</v>
      </c>
      <c r="C181" s="6" t="str">
        <f>VLOOKUP(B181,Sheet3!$B$2:$E$312,2,FALSE)</f>
        <v>B001-064</v>
      </c>
      <c r="D181" s="6" t="str">
        <f>VLOOKUP(B181,Sheet3!$B$2:$E$312,3,)</f>
        <v>bahan baku</v>
      </c>
      <c r="E181" s="8" t="str">
        <f>VLOOKUP(B181,Sheet3!$B$2:$E$312,4,)</f>
        <v>GR</v>
      </c>
      <c r="F181" s="22">
        <v>924.0</v>
      </c>
      <c r="G181" s="22" t="s">
        <v>1224</v>
      </c>
      <c r="H181" s="22" t="s">
        <v>1528</v>
      </c>
      <c r="I181" s="32" t="s">
        <v>1444</v>
      </c>
      <c r="J181" s="28"/>
    </row>
    <row r="182" ht="15.75" customHeight="1">
      <c r="A182" s="33"/>
      <c r="B182" s="21" t="s">
        <v>221</v>
      </c>
      <c r="C182" s="6" t="str">
        <f>VLOOKUP(B182,Sheet3!$B$2:$E$312,2,FALSE)</f>
        <v>B001-098</v>
      </c>
      <c r="D182" s="6" t="str">
        <f>VLOOKUP(B182,Sheet3!$B$2:$E$312,3,)</f>
        <v>bahan baku</v>
      </c>
      <c r="E182" s="8" t="str">
        <f>VLOOKUP(B182,Sheet3!$B$2:$E$312,4,)</f>
        <v>GR</v>
      </c>
      <c r="F182" s="22">
        <v>15.0</v>
      </c>
      <c r="G182" s="22" t="s">
        <v>1224</v>
      </c>
      <c r="H182" s="22" t="s">
        <v>1528</v>
      </c>
      <c r="I182" s="32" t="s">
        <v>1444</v>
      </c>
      <c r="J182" s="28"/>
    </row>
    <row r="183" ht="15.75" customHeight="1">
      <c r="A183" s="33"/>
      <c r="B183" s="21" t="s">
        <v>1518</v>
      </c>
      <c r="C183" s="6" t="str">
        <f>VLOOKUP(B183,Sheet3!$B$2:$E$312,2,FALSE)</f>
        <v>#N/A</v>
      </c>
      <c r="D183" s="6" t="str">
        <f>VLOOKUP(B183,Sheet3!$B$2:$E$312,3,)</f>
        <v>#N/A</v>
      </c>
      <c r="E183" s="8" t="str">
        <f>VLOOKUP(B183,Sheet3!$B$2:$E$312,4,)</f>
        <v>#N/A</v>
      </c>
      <c r="F183" s="22">
        <v>700.0</v>
      </c>
      <c r="G183" s="22" t="s">
        <v>1164</v>
      </c>
      <c r="H183" s="22" t="s">
        <v>1514</v>
      </c>
      <c r="I183" s="32" t="s">
        <v>1444</v>
      </c>
      <c r="J183" s="28"/>
    </row>
    <row r="184" ht="15.75" customHeight="1">
      <c r="A184" s="33"/>
      <c r="B184" s="21" t="s">
        <v>677</v>
      </c>
      <c r="C184" s="6" t="str">
        <f>VLOOKUP(B184,Sheet3!$B$2:$E$312,2,FALSE)</f>
        <v>P004-031</v>
      </c>
      <c r="D184" s="6" t="str">
        <f>VLOOKUP(B184,Sheet3!$B$2:$E$312,3,)</f>
        <v>barang jadi &amp; bahan baku</v>
      </c>
      <c r="E184" s="8" t="str">
        <f>VLOOKUP(B184,Sheet3!$B$2:$E$312,4,)</f>
        <v>GR</v>
      </c>
      <c r="F184" s="22">
        <v>786.0</v>
      </c>
      <c r="G184" s="22" t="s">
        <v>1624</v>
      </c>
      <c r="H184" s="22" t="s">
        <v>1514</v>
      </c>
      <c r="I184" s="32" t="s">
        <v>1444</v>
      </c>
      <c r="J184" s="28"/>
    </row>
    <row r="185" ht="15.75" customHeight="1">
      <c r="A185" s="33"/>
      <c r="B185" s="21" t="s">
        <v>653</v>
      </c>
      <c r="C185" s="6" t="str">
        <f>VLOOKUP(B185,Sheet3!$B$2:$E$312,2,FALSE)</f>
        <v>P004-022</v>
      </c>
      <c r="D185" s="6" t="str">
        <f>VLOOKUP(B185,Sheet3!$B$2:$E$312,3,)</f>
        <v>barang jadi &amp; bahan baku</v>
      </c>
      <c r="E185" s="8" t="str">
        <f>VLOOKUP(B185,Sheet3!$B$2:$E$312,4,)</f>
        <v>CC</v>
      </c>
      <c r="F185" s="22">
        <v>1384.0</v>
      </c>
      <c r="G185" s="22" t="s">
        <v>1216</v>
      </c>
      <c r="H185" s="22" t="s">
        <v>1514</v>
      </c>
      <c r="I185" s="32" t="s">
        <v>1444</v>
      </c>
      <c r="J185" s="28"/>
    </row>
    <row r="186" ht="15.75" customHeight="1">
      <c r="A186" s="33"/>
      <c r="B186" s="21" t="s">
        <v>657</v>
      </c>
      <c r="C186" s="6" t="str">
        <f>VLOOKUP(B186,Sheet3!$B$2:$E$312,2,FALSE)</f>
        <v>P004-023</v>
      </c>
      <c r="D186" s="6" t="str">
        <f>VLOOKUP(B186,Sheet3!$B$2:$E$312,3,)</f>
        <v>barang jadi &amp; bahan baku</v>
      </c>
      <c r="E186" s="8" t="str">
        <f>VLOOKUP(B186,Sheet3!$B$2:$E$312,4,)</f>
        <v>CC</v>
      </c>
      <c r="F186" s="22">
        <v>2018.0</v>
      </c>
      <c r="G186" s="22" t="s">
        <v>1216</v>
      </c>
      <c r="H186" s="22" t="s">
        <v>1514</v>
      </c>
      <c r="I186" s="32" t="s">
        <v>1444</v>
      </c>
      <c r="J186" s="28"/>
    </row>
    <row r="187" ht="15.75" customHeight="1">
      <c r="A187" s="33"/>
      <c r="B187" s="21" t="s">
        <v>664</v>
      </c>
      <c r="C187" s="6" t="str">
        <f>VLOOKUP(B187,Sheet3!$B$2:$E$312,2,FALSE)</f>
        <v>P004-025</v>
      </c>
      <c r="D187" s="6" t="str">
        <f>VLOOKUP(B187,Sheet3!$B$2:$E$312,3,)</f>
        <v>barang jadi &amp; bahan baku</v>
      </c>
      <c r="E187" s="8" t="str">
        <f>VLOOKUP(B187,Sheet3!$B$2:$E$312,4,)</f>
        <v>ML</v>
      </c>
      <c r="F187" s="22">
        <v>1791.0</v>
      </c>
      <c r="G187" s="22" t="s">
        <v>1216</v>
      </c>
      <c r="H187" s="22" t="s">
        <v>1514</v>
      </c>
      <c r="I187" s="32" t="s">
        <v>1444</v>
      </c>
      <c r="J187" s="28"/>
    </row>
    <row r="188" ht="15.75" customHeight="1">
      <c r="A188" s="33"/>
      <c r="B188" s="21" t="s">
        <v>805</v>
      </c>
      <c r="C188" s="6" t="str">
        <f>VLOOKUP(B188,Sheet3!$B$2:$E$312,2,FALSE)</f>
        <v>#N/A</v>
      </c>
      <c r="D188" s="6" t="str">
        <f>VLOOKUP(B188,Sheet3!$B$2:$E$312,3,)</f>
        <v>#N/A</v>
      </c>
      <c r="E188" s="8" t="str">
        <f>VLOOKUP(B188,Sheet3!$B$2:$E$312,4,)</f>
        <v>#N/A</v>
      </c>
      <c r="F188" s="22">
        <v>679.0</v>
      </c>
      <c r="G188" s="22" t="s">
        <v>1216</v>
      </c>
      <c r="H188" s="22" t="s">
        <v>1514</v>
      </c>
      <c r="I188" s="32" t="s">
        <v>1444</v>
      </c>
      <c r="J188" s="28"/>
    </row>
    <row r="189" ht="15.75" customHeight="1">
      <c r="A189" s="33"/>
      <c r="B189" s="21" t="s">
        <v>211</v>
      </c>
      <c r="C189" s="6" t="str">
        <f>VLOOKUP(B189,Sheet3!$B$2:$E$312,2,FALSE)</f>
        <v>B001-088</v>
      </c>
      <c r="D189" s="6" t="str">
        <f>VLOOKUP(B189,Sheet3!$B$2:$E$312,3,)</f>
        <v>bahan baku</v>
      </c>
      <c r="E189" s="8" t="str">
        <f>VLOOKUP(B189,Sheet3!$B$2:$E$312,4,)</f>
        <v>GR</v>
      </c>
      <c r="F189" s="22">
        <v>6235.0</v>
      </c>
      <c r="G189" s="22" t="s">
        <v>1445</v>
      </c>
      <c r="H189" s="22" t="s">
        <v>1384</v>
      </c>
      <c r="I189" s="32" t="s">
        <v>1444</v>
      </c>
      <c r="J189" s="28"/>
    </row>
    <row r="190" ht="15.75" customHeight="1">
      <c r="A190" s="33"/>
      <c r="B190" s="21" t="s">
        <v>28</v>
      </c>
      <c r="C190" s="6" t="str">
        <f>VLOOKUP(B190,Sheet3!$B$2:$E$312,2,FALSE)</f>
        <v>B001-006</v>
      </c>
      <c r="D190" s="6" t="str">
        <f>VLOOKUP(B190,Sheet3!$B$2:$E$312,3,)</f>
        <v>bahan baku</v>
      </c>
      <c r="E190" s="8" t="str">
        <f>VLOOKUP(B190,Sheet3!$B$2:$E$312,4,)</f>
        <v>GR</v>
      </c>
      <c r="F190" s="22">
        <v>26.0</v>
      </c>
      <c r="G190" s="22" t="s">
        <v>1445</v>
      </c>
      <c r="H190" s="22" t="s">
        <v>1539</v>
      </c>
      <c r="I190" s="32" t="s">
        <v>1444</v>
      </c>
      <c r="J190" s="28"/>
    </row>
    <row r="191" ht="15.75" customHeight="1">
      <c r="A191" s="33"/>
      <c r="B191" s="21" t="s">
        <v>252</v>
      </c>
      <c r="C191" s="6" t="str">
        <f>VLOOKUP(B191,Sheet3!$B$2:$E$312,2,FALSE)</f>
        <v>B001-111</v>
      </c>
      <c r="D191" s="6" t="str">
        <f>VLOOKUP(B191,Sheet3!$B$2:$E$312,3,)</f>
        <v>bahan baku</v>
      </c>
      <c r="E191" s="8" t="str">
        <f>VLOOKUP(B191,Sheet3!$B$2:$E$312,4,)</f>
        <v>GR</v>
      </c>
      <c r="F191" s="22">
        <v>32.0</v>
      </c>
      <c r="G191" s="22" t="s">
        <v>1164</v>
      </c>
      <c r="H191" s="22" t="s">
        <v>1539</v>
      </c>
      <c r="I191" s="32" t="s">
        <v>1444</v>
      </c>
      <c r="J191" s="28"/>
    </row>
    <row r="192" ht="15.75" customHeight="1">
      <c r="A192" s="33"/>
      <c r="B192" s="21" t="s">
        <v>33</v>
      </c>
      <c r="C192" s="6" t="str">
        <f>VLOOKUP(B192,Sheet3!$B$2:$E$312,2,FALSE)</f>
        <v>B001-008</v>
      </c>
      <c r="D192" s="6" t="str">
        <f>VLOOKUP(B192,Sheet3!$B$2:$E$312,3,)</f>
        <v>bahan baku</v>
      </c>
      <c r="E192" s="8" t="str">
        <f>VLOOKUP(B192,Sheet3!$B$2:$E$312,4,)</f>
        <v>GR</v>
      </c>
      <c r="F192" s="22">
        <v>846.0</v>
      </c>
      <c r="G192" s="22" t="s">
        <v>1633</v>
      </c>
      <c r="H192" s="22" t="s">
        <v>1305</v>
      </c>
      <c r="I192" s="32" t="s">
        <v>1444</v>
      </c>
      <c r="J192" s="28"/>
    </row>
    <row r="193" ht="15.75" customHeight="1">
      <c r="A193" s="33"/>
      <c r="B193" s="21" t="s">
        <v>129</v>
      </c>
      <c r="C193" s="6" t="str">
        <f>VLOOKUP(B193,Sheet3!$B$2:$E$312,2,FALSE)</f>
        <v>B001-056</v>
      </c>
      <c r="D193" s="6" t="str">
        <f>VLOOKUP(B193,Sheet3!$B$2:$E$312,3,)</f>
        <v>bahan baku</v>
      </c>
      <c r="E193" s="8" t="str">
        <f>VLOOKUP(B193,Sheet3!$B$2:$E$312,4,)</f>
        <v>ML</v>
      </c>
      <c r="F193" s="22">
        <v>8.0</v>
      </c>
      <c r="G193" s="22" t="s">
        <v>1633</v>
      </c>
      <c r="H193" s="22" t="s">
        <v>1305</v>
      </c>
      <c r="I193" s="32" t="s">
        <v>1444</v>
      </c>
      <c r="J193" s="28"/>
    </row>
    <row r="194" ht="15.75" customHeight="1">
      <c r="A194" s="33"/>
      <c r="B194" s="90" t="s">
        <v>18</v>
      </c>
      <c r="C194" s="91"/>
      <c r="D194" s="91"/>
      <c r="E194" s="93" t="s">
        <v>20</v>
      </c>
      <c r="F194" s="93">
        <v>75.0</v>
      </c>
      <c r="G194" s="93" t="s">
        <v>1216</v>
      </c>
      <c r="H194" s="93" t="s">
        <v>1305</v>
      </c>
      <c r="I194" s="96"/>
      <c r="J194" s="97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ht="15.75" customHeight="1">
      <c r="A195" s="34"/>
      <c r="B195" s="21" t="s">
        <v>502</v>
      </c>
      <c r="C195" s="6" t="str">
        <f>VLOOKUP(B195,Sheet3!$B$2:$E$312,2,FALSE)</f>
        <v>S001-002</v>
      </c>
      <c r="D195" s="6" t="str">
        <f>VLOOKUP(B195,Sheet3!$B$2:$E$312,3,)</f>
        <v>barang jadi</v>
      </c>
      <c r="E195" s="8" t="str">
        <f>VLOOKUP(B195,Sheet3!$B$2:$E$312,4,)</f>
        <v>PORSI</v>
      </c>
      <c r="F195" s="22">
        <v>5.0</v>
      </c>
      <c r="G195" s="22" t="s">
        <v>1216</v>
      </c>
      <c r="H195" s="22" t="s">
        <v>1305</v>
      </c>
      <c r="I195" s="32" t="s">
        <v>1446</v>
      </c>
      <c r="J195" s="32" t="s">
        <v>1484</v>
      </c>
    </row>
    <row r="196" ht="15.75" customHeight="1">
      <c r="A196" s="88" t="s">
        <v>1648</v>
      </c>
      <c r="B196" s="21" t="s">
        <v>601</v>
      </c>
      <c r="C196" s="6" t="str">
        <f>VLOOKUP(B196,Sheet3!$B$2:$E$312,2,FALSE)</f>
        <v>D003-004</v>
      </c>
      <c r="D196" s="6" t="str">
        <f>VLOOKUP(B196,Sheet3!$B$2:$E$312,3,)</f>
        <v>barang jadi &amp; bahan baku</v>
      </c>
      <c r="E196" s="8" t="str">
        <f>VLOOKUP(B196,Sheet3!$B$2:$E$312,4,)</f>
        <v>PORSI</v>
      </c>
      <c r="F196" s="22">
        <v>2.0</v>
      </c>
      <c r="G196" s="22" t="s">
        <v>1650</v>
      </c>
      <c r="H196" s="22" t="s">
        <v>1523</v>
      </c>
      <c r="I196" s="32" t="s">
        <v>1444</v>
      </c>
      <c r="J196" s="28"/>
    </row>
    <row r="197" ht="15.75" customHeight="1">
      <c r="A197" s="33"/>
      <c r="B197" s="21" t="s">
        <v>664</v>
      </c>
      <c r="C197" s="6" t="str">
        <f>VLOOKUP(B197,Sheet3!$B$2:$E$312,2,FALSE)</f>
        <v>P004-025</v>
      </c>
      <c r="D197" s="6" t="str">
        <f>VLOOKUP(B197,Sheet3!$B$2:$E$312,3,)</f>
        <v>barang jadi &amp; bahan baku</v>
      </c>
      <c r="E197" s="8" t="str">
        <f>VLOOKUP(B197,Sheet3!$B$2:$E$312,4,)</f>
        <v>ML</v>
      </c>
      <c r="F197" s="22">
        <v>121.0</v>
      </c>
      <c r="G197" s="22" t="s">
        <v>1216</v>
      </c>
      <c r="H197" s="22" t="s">
        <v>1512</v>
      </c>
      <c r="I197" s="32" t="s">
        <v>1444</v>
      </c>
      <c r="J197" s="28"/>
    </row>
    <row r="198" ht="15.75" customHeight="1">
      <c r="A198" s="33"/>
      <c r="B198" s="21" t="s">
        <v>805</v>
      </c>
      <c r="C198" s="6" t="str">
        <f>VLOOKUP(B198,Sheet3!$B$2:$E$312,2,FALSE)</f>
        <v>#N/A</v>
      </c>
      <c r="D198" s="6" t="str">
        <f>VLOOKUP(B198,Sheet3!$B$2:$E$312,3,)</f>
        <v>#N/A</v>
      </c>
      <c r="E198" s="8" t="str">
        <f>VLOOKUP(B198,Sheet3!$B$2:$E$312,4,)</f>
        <v>#N/A</v>
      </c>
      <c r="F198" s="22">
        <v>3973.0</v>
      </c>
      <c r="G198" s="22" t="s">
        <v>1216</v>
      </c>
      <c r="H198" s="22" t="s">
        <v>1512</v>
      </c>
      <c r="I198" s="32" t="s">
        <v>1444</v>
      </c>
      <c r="J198" s="28"/>
    </row>
    <row r="199" ht="15.75" customHeight="1">
      <c r="A199" s="33"/>
      <c r="B199" s="21" t="s">
        <v>657</v>
      </c>
      <c r="C199" s="6" t="str">
        <f>VLOOKUP(B199,Sheet3!$B$2:$E$312,2,FALSE)</f>
        <v>P004-023</v>
      </c>
      <c r="D199" s="6" t="str">
        <f>VLOOKUP(B199,Sheet3!$B$2:$E$312,3,)</f>
        <v>barang jadi &amp; bahan baku</v>
      </c>
      <c r="E199" s="8" t="str">
        <f>VLOOKUP(B199,Sheet3!$B$2:$E$312,4,)</f>
        <v>CC</v>
      </c>
      <c r="F199" s="22">
        <v>636.0</v>
      </c>
      <c r="G199" s="22" t="s">
        <v>1216</v>
      </c>
      <c r="H199" s="22" t="s">
        <v>1512</v>
      </c>
      <c r="I199" s="32" t="s">
        <v>1444</v>
      </c>
      <c r="J199" s="28"/>
    </row>
    <row r="200" ht="15.75" customHeight="1">
      <c r="A200" s="33"/>
      <c r="B200" s="21" t="s">
        <v>28</v>
      </c>
      <c r="C200" s="6" t="str">
        <f>VLOOKUP(B200,Sheet3!$B$2:$E$312,2,FALSE)</f>
        <v>B001-006</v>
      </c>
      <c r="D200" s="6" t="str">
        <f>VLOOKUP(B200,Sheet3!$B$2:$E$312,3,)</f>
        <v>bahan baku</v>
      </c>
      <c r="E200" s="8" t="str">
        <f>VLOOKUP(B200,Sheet3!$B$2:$E$312,4,)</f>
        <v>GR</v>
      </c>
      <c r="F200" s="22">
        <v>38.0</v>
      </c>
      <c r="G200" s="22" t="s">
        <v>1216</v>
      </c>
      <c r="H200" s="22" t="s">
        <v>1539</v>
      </c>
      <c r="I200" s="32" t="s">
        <v>1444</v>
      </c>
      <c r="J200" s="28"/>
    </row>
    <row r="201" ht="15.75" customHeight="1">
      <c r="A201" s="33"/>
      <c r="B201" s="21" t="s">
        <v>221</v>
      </c>
      <c r="C201" s="6" t="str">
        <f>VLOOKUP(B201,Sheet3!$B$2:$E$312,2,FALSE)</f>
        <v>B001-098</v>
      </c>
      <c r="D201" s="6" t="str">
        <f>VLOOKUP(B201,Sheet3!$B$2:$E$312,3,)</f>
        <v>bahan baku</v>
      </c>
      <c r="E201" s="8" t="str">
        <f>VLOOKUP(B201,Sheet3!$B$2:$E$312,4,)</f>
        <v>GR</v>
      </c>
      <c r="F201" s="22">
        <v>7.0</v>
      </c>
      <c r="G201" s="22" t="s">
        <v>1224</v>
      </c>
      <c r="H201" s="22" t="s">
        <v>1539</v>
      </c>
      <c r="I201" s="32" t="s">
        <v>1444</v>
      </c>
      <c r="J201" s="28"/>
    </row>
    <row r="202" ht="15.75" customHeight="1">
      <c r="A202" s="33"/>
      <c r="B202" s="21" t="s">
        <v>298</v>
      </c>
      <c r="C202" s="6" t="str">
        <f>VLOOKUP(B202,Sheet3!$B$2:$E$312,2,FALSE)</f>
        <v>B001-125</v>
      </c>
      <c r="D202" s="6" t="str">
        <f>VLOOKUP(B202,Sheet3!$B$2:$E$312,3,)</f>
        <v>bahan baku</v>
      </c>
      <c r="E202" s="8" t="str">
        <f>VLOOKUP(B202,Sheet3!$B$2:$E$312,4,)</f>
        <v>GR</v>
      </c>
      <c r="F202" s="22">
        <v>31.0</v>
      </c>
      <c r="G202" s="22" t="s">
        <v>1224</v>
      </c>
      <c r="H202" s="22" t="s">
        <v>1539</v>
      </c>
      <c r="I202" s="32" t="s">
        <v>1444</v>
      </c>
      <c r="J202" s="28"/>
    </row>
    <row r="203" ht="15.75" customHeight="1">
      <c r="A203" s="33"/>
      <c r="B203" s="21" t="s">
        <v>148</v>
      </c>
      <c r="C203" s="6" t="str">
        <f>VLOOKUP(B203,Sheet3!$B$2:$E$312,2,FALSE)</f>
        <v>B001-064</v>
      </c>
      <c r="D203" s="6" t="str">
        <f>VLOOKUP(B203,Sheet3!$B$2:$E$312,3,)</f>
        <v>bahan baku</v>
      </c>
      <c r="E203" s="8" t="str">
        <f>VLOOKUP(B203,Sheet3!$B$2:$E$312,4,)</f>
        <v>GR</v>
      </c>
      <c r="F203" s="22">
        <v>83.0</v>
      </c>
      <c r="G203" s="22" t="s">
        <v>1224</v>
      </c>
      <c r="H203" s="22" t="s">
        <v>1539</v>
      </c>
      <c r="I203" s="32" t="s">
        <v>1444</v>
      </c>
      <c r="J203" s="28"/>
    </row>
    <row r="204" ht="15.75" customHeight="1">
      <c r="A204" s="33"/>
      <c r="B204" s="21" t="s">
        <v>698</v>
      </c>
      <c r="C204" s="6" t="str">
        <f>VLOOKUP(B204,Sheet3!$B$2:$E$312,2,FALSE)</f>
        <v>P004-038</v>
      </c>
      <c r="D204" s="6" t="str">
        <f>VLOOKUP(B204,Sheet3!$B$2:$E$312,3,)</f>
        <v>barang jadi &amp; bahan baku</v>
      </c>
      <c r="E204" s="8" t="str">
        <f>VLOOKUP(B204,Sheet3!$B$2:$E$312,4,)</f>
        <v>PCS</v>
      </c>
      <c r="F204" s="22">
        <v>2.0</v>
      </c>
      <c r="G204" s="22" t="s">
        <v>1658</v>
      </c>
      <c r="H204" s="22" t="s">
        <v>1539</v>
      </c>
      <c r="I204" s="32" t="s">
        <v>1446</v>
      </c>
      <c r="J204" s="32" t="s">
        <v>1502</v>
      </c>
    </row>
    <row r="205" ht="15.75" customHeight="1">
      <c r="A205" s="33"/>
      <c r="B205" s="90" t="s">
        <v>18</v>
      </c>
      <c r="C205" s="91"/>
      <c r="D205" s="91"/>
      <c r="E205" s="93" t="s">
        <v>20</v>
      </c>
      <c r="F205" s="93">
        <v>140.0</v>
      </c>
      <c r="G205" s="93" t="s">
        <v>1216</v>
      </c>
      <c r="H205" s="93" t="s">
        <v>1225</v>
      </c>
      <c r="I205" s="28"/>
      <c r="J205" s="28"/>
    </row>
    <row r="206" ht="15.75" customHeight="1">
      <c r="A206" s="33"/>
      <c r="B206" s="21" t="s">
        <v>502</v>
      </c>
      <c r="C206" s="6" t="str">
        <f>VLOOKUP(B206,Sheet3!$B$2:$E$312,2,FALSE)</f>
        <v>S001-002</v>
      </c>
      <c r="D206" s="6" t="str">
        <f>VLOOKUP(B206,Sheet3!$B$2:$E$312,3,)</f>
        <v>barang jadi</v>
      </c>
      <c r="E206" s="8" t="str">
        <f>VLOOKUP(B206,Sheet3!$B$2:$E$312,4,)</f>
        <v>PORSI</v>
      </c>
      <c r="F206" s="22">
        <v>3.0</v>
      </c>
      <c r="G206" s="22" t="s">
        <v>1216</v>
      </c>
      <c r="H206" s="22" t="s">
        <v>1225</v>
      </c>
      <c r="I206" s="32" t="s">
        <v>1446</v>
      </c>
      <c r="J206" s="32" t="s">
        <v>1480</v>
      </c>
    </row>
    <row r="207" ht="15.75" customHeight="1">
      <c r="A207" s="33"/>
      <c r="B207" s="21" t="s">
        <v>33</v>
      </c>
      <c r="C207" s="6" t="str">
        <f>VLOOKUP(B207,Sheet3!$B$2:$E$312,2,FALSE)</f>
        <v>B001-008</v>
      </c>
      <c r="D207" s="6" t="str">
        <f>VLOOKUP(B207,Sheet3!$B$2:$E$312,3,)</f>
        <v>bahan baku</v>
      </c>
      <c r="E207" s="8" t="str">
        <f>VLOOKUP(B207,Sheet3!$B$2:$E$312,4,)</f>
        <v>GR</v>
      </c>
      <c r="F207" s="22">
        <v>1304.0</v>
      </c>
      <c r="G207" s="22" t="s">
        <v>1633</v>
      </c>
      <c r="H207" s="22" t="s">
        <v>1225</v>
      </c>
      <c r="I207" s="32" t="s">
        <v>1444</v>
      </c>
      <c r="J207" s="28"/>
    </row>
    <row r="208" ht="15.75" customHeight="1">
      <c r="A208" s="33"/>
      <c r="B208" s="21" t="s">
        <v>129</v>
      </c>
      <c r="C208" s="6" t="str">
        <f>VLOOKUP(B208,Sheet3!$B$2:$E$312,2,FALSE)</f>
        <v>B001-056</v>
      </c>
      <c r="D208" s="6" t="str">
        <f>VLOOKUP(B208,Sheet3!$B$2:$E$312,3,)</f>
        <v>bahan baku</v>
      </c>
      <c r="E208" s="8" t="str">
        <f>VLOOKUP(B208,Sheet3!$B$2:$E$312,4,)</f>
        <v>ML</v>
      </c>
      <c r="F208" s="22">
        <v>13.0</v>
      </c>
      <c r="G208" s="22" t="s">
        <v>1633</v>
      </c>
      <c r="H208" s="22" t="s">
        <v>1225</v>
      </c>
      <c r="I208" s="32" t="s">
        <v>1444</v>
      </c>
      <c r="J208" s="28"/>
    </row>
    <row r="209" ht="15.75" customHeight="1">
      <c r="A209" s="33"/>
      <c r="B209" s="21" t="s">
        <v>211</v>
      </c>
      <c r="C209" s="6" t="str">
        <f>VLOOKUP(B209,Sheet3!$B$2:$E$312,2,FALSE)</f>
        <v>B001-088</v>
      </c>
      <c r="D209" s="6" t="str">
        <f>VLOOKUP(B209,Sheet3!$B$2:$E$312,3,)</f>
        <v>bahan baku</v>
      </c>
      <c r="E209" s="8" t="str">
        <f>VLOOKUP(B209,Sheet3!$B$2:$E$312,4,)</f>
        <v>GR</v>
      </c>
      <c r="F209" s="22">
        <v>7590.0</v>
      </c>
      <c r="G209" s="22" t="s">
        <v>1445</v>
      </c>
      <c r="H209" s="22" t="s">
        <v>1225</v>
      </c>
      <c r="I209" s="32" t="s">
        <v>1444</v>
      </c>
      <c r="J209" s="28"/>
    </row>
    <row r="210" ht="15.75" customHeight="1">
      <c r="A210" s="33"/>
      <c r="B210" s="21" t="s">
        <v>645</v>
      </c>
      <c r="C210" s="6" t="str">
        <f>VLOOKUP(B210,Sheet3!$B$2:$E$312,2,FALSE)</f>
        <v>P004-019</v>
      </c>
      <c r="D210" s="6" t="str">
        <f>VLOOKUP(B210,Sheet3!$B$2:$E$312,3,)</f>
        <v>barang jadi &amp; bahan baku</v>
      </c>
      <c r="E210" s="8" t="str">
        <f>VLOOKUP(B210,Sheet3!$B$2:$E$312,4,)</f>
        <v>GR</v>
      </c>
      <c r="F210" s="22">
        <v>631.0</v>
      </c>
      <c r="G210" s="22" t="s">
        <v>1164</v>
      </c>
      <c r="H210" s="22" t="s">
        <v>1512</v>
      </c>
      <c r="I210" s="32" t="s">
        <v>1444</v>
      </c>
      <c r="J210" s="28"/>
    </row>
    <row r="211" ht="15.75" customHeight="1">
      <c r="A211" s="34"/>
      <c r="B211" s="21" t="s">
        <v>720</v>
      </c>
      <c r="C211" s="6" t="str">
        <f>VLOOKUP(B211,Sheet3!$B$2:$E$312,2,FALSE)</f>
        <v>B002-005</v>
      </c>
      <c r="D211" s="6" t="str">
        <f>VLOOKUP(B211,Sheet3!$B$2:$E$312,3,)</f>
        <v>others</v>
      </c>
      <c r="E211" s="8" t="str">
        <f>VLOOKUP(B211,Sheet3!$B$2:$E$312,4,)</f>
        <v>PCS</v>
      </c>
      <c r="F211" s="22">
        <v>120.0</v>
      </c>
      <c r="G211" s="22" t="s">
        <v>1369</v>
      </c>
      <c r="H211" s="22" t="s">
        <v>1512</v>
      </c>
      <c r="I211" s="32" t="s">
        <v>1444</v>
      </c>
      <c r="J211" s="28"/>
    </row>
    <row r="212" ht="15.75" customHeight="1">
      <c r="A212" s="88" t="s">
        <v>1663</v>
      </c>
      <c r="B212" s="21" t="s">
        <v>33</v>
      </c>
      <c r="C212" s="6" t="str">
        <f>VLOOKUP(B212,Sheet3!$B$2:$E$312,2,FALSE)</f>
        <v>B001-008</v>
      </c>
      <c r="D212" s="6" t="str">
        <f>VLOOKUP(B212,Sheet3!$B$2:$E$312,3,)</f>
        <v>bahan baku</v>
      </c>
      <c r="E212" s="8" t="str">
        <f>VLOOKUP(B212,Sheet3!$B$2:$E$312,4,)</f>
        <v>GR</v>
      </c>
      <c r="F212" s="22">
        <v>888.0</v>
      </c>
      <c r="G212" s="22" t="s">
        <v>1633</v>
      </c>
      <c r="H212" s="22" t="s">
        <v>1441</v>
      </c>
      <c r="I212" s="32" t="s">
        <v>1444</v>
      </c>
      <c r="J212" s="28"/>
    </row>
    <row r="213" ht="15.75" customHeight="1">
      <c r="A213" s="33"/>
      <c r="B213" s="21" t="s">
        <v>129</v>
      </c>
      <c r="C213" s="6" t="str">
        <f>VLOOKUP(B213,Sheet3!$B$2:$E$312,2,FALSE)</f>
        <v>B001-056</v>
      </c>
      <c r="D213" s="6" t="str">
        <f>VLOOKUP(B213,Sheet3!$B$2:$E$312,3,)</f>
        <v>bahan baku</v>
      </c>
      <c r="E213" s="8" t="str">
        <f>VLOOKUP(B213,Sheet3!$B$2:$E$312,4,)</f>
        <v>ML</v>
      </c>
      <c r="F213" s="22">
        <v>9.0</v>
      </c>
      <c r="G213" s="22" t="s">
        <v>1633</v>
      </c>
      <c r="H213" s="22" t="s">
        <v>1441</v>
      </c>
      <c r="I213" s="32" t="s">
        <v>1444</v>
      </c>
      <c r="J213" s="28"/>
    </row>
    <row r="214" ht="15.75" customHeight="1">
      <c r="A214" s="33"/>
      <c r="B214" s="21" t="s">
        <v>416</v>
      </c>
      <c r="C214" s="6" t="str">
        <f>VLOOKUP(B214,Sheet3!$B$2:$E$312,2,FALSE)</f>
        <v>J001-004</v>
      </c>
      <c r="D214" s="6" t="str">
        <f>VLOOKUP(B214,Sheet3!$B$2:$E$312,3,)</f>
        <v>barang jadi</v>
      </c>
      <c r="E214" s="8" t="str">
        <f>VLOOKUP(B214,Sheet3!$B$2:$E$312,4,)</f>
        <v>PORSI</v>
      </c>
      <c r="F214" s="22">
        <v>2.0</v>
      </c>
      <c r="G214" s="22" t="s">
        <v>1628</v>
      </c>
      <c r="H214" s="22" t="s">
        <v>1441</v>
      </c>
      <c r="I214" s="32" t="s">
        <v>1444</v>
      </c>
      <c r="J214" s="28"/>
    </row>
    <row r="215" ht="15.75" customHeight="1">
      <c r="A215" s="33"/>
      <c r="B215" s="21" t="s">
        <v>150</v>
      </c>
      <c r="C215" s="6" t="str">
        <f>VLOOKUP(B215,Sheet3!$B$2:$E$312,2,FALSE)</f>
        <v>B001-066</v>
      </c>
      <c r="D215" s="6" t="str">
        <f>VLOOKUP(B215,Sheet3!$B$2:$E$312,3,)</f>
        <v>bahan baku</v>
      </c>
      <c r="E215" s="8" t="str">
        <f>VLOOKUP(B215,Sheet3!$B$2:$E$312,4,)</f>
        <v>PCS</v>
      </c>
      <c r="F215" s="22">
        <v>1.0</v>
      </c>
      <c r="G215" s="22" t="s">
        <v>1628</v>
      </c>
      <c r="H215" s="22" t="s">
        <v>1539</v>
      </c>
      <c r="I215" s="32" t="s">
        <v>1444</v>
      </c>
      <c r="J215" s="28"/>
    </row>
    <row r="216" ht="15.75" customHeight="1">
      <c r="A216" s="33"/>
      <c r="B216" s="21" t="s">
        <v>620</v>
      </c>
      <c r="C216" s="6" t="str">
        <f>VLOOKUP(B216,Sheet3!$B$2:$E$312,2,FALSE)</f>
        <v>P004-009</v>
      </c>
      <c r="D216" s="6" t="str">
        <f>VLOOKUP(B216,Sheet3!$B$2:$E$312,3,)</f>
        <v>barang jadi &amp; bahan baku</v>
      </c>
      <c r="E216" s="8" t="str">
        <f>VLOOKUP(B216,Sheet3!$B$2:$E$312,4,)</f>
        <v>GR</v>
      </c>
      <c r="F216" s="22">
        <v>40.0</v>
      </c>
      <c r="G216" s="22" t="s">
        <v>1628</v>
      </c>
      <c r="H216" s="22" t="s">
        <v>1539</v>
      </c>
      <c r="I216" s="32" t="s">
        <v>1444</v>
      </c>
      <c r="J216" s="28"/>
    </row>
    <row r="217" ht="15.75" customHeight="1">
      <c r="A217" s="33"/>
      <c r="B217" s="21" t="s">
        <v>21</v>
      </c>
      <c r="C217" s="6" t="str">
        <f>VLOOKUP(B217,Sheet3!$B$2:$E$312,2,FALSE)</f>
        <v>B001-003</v>
      </c>
      <c r="D217" s="6" t="str">
        <f>VLOOKUP(B217,Sheet3!$B$2:$E$312,3,)</f>
        <v>bahan baku</v>
      </c>
      <c r="E217" s="8" t="str">
        <f>VLOOKUP(B217,Sheet3!$B$2:$E$312,4,)</f>
        <v>GR</v>
      </c>
      <c r="F217" s="22">
        <v>50.0</v>
      </c>
      <c r="G217" s="22" t="s">
        <v>1628</v>
      </c>
      <c r="H217" s="22" t="s">
        <v>1539</v>
      </c>
      <c r="I217" s="32" t="s">
        <v>1444</v>
      </c>
      <c r="J217" s="28"/>
    </row>
    <row r="218" ht="15.75" customHeight="1">
      <c r="A218" s="33"/>
      <c r="B218" s="21" t="s">
        <v>28</v>
      </c>
      <c r="C218" s="6" t="str">
        <f>VLOOKUP(B218,Sheet3!$B$2:$E$312,2,FALSE)</f>
        <v>B001-006</v>
      </c>
      <c r="D218" s="6" t="str">
        <f>VLOOKUP(B218,Sheet3!$B$2:$E$312,3,)</f>
        <v>bahan baku</v>
      </c>
      <c r="E218" s="8" t="str">
        <f>VLOOKUP(B218,Sheet3!$B$2:$E$312,4,)</f>
        <v>GR</v>
      </c>
      <c r="F218" s="22">
        <v>41.0</v>
      </c>
      <c r="G218" s="22" t="s">
        <v>1445</v>
      </c>
      <c r="H218" s="22" t="s">
        <v>1539</v>
      </c>
      <c r="I218" s="32" t="s">
        <v>1444</v>
      </c>
      <c r="J218" s="28"/>
    </row>
    <row r="219" ht="15.75" customHeight="1">
      <c r="A219" s="33"/>
      <c r="B219" s="21" t="s">
        <v>148</v>
      </c>
      <c r="C219" s="6" t="str">
        <f>VLOOKUP(B219,Sheet3!$B$2:$E$312,2,FALSE)</f>
        <v>B001-064</v>
      </c>
      <c r="D219" s="6" t="str">
        <f>VLOOKUP(B219,Sheet3!$B$2:$E$312,3,)</f>
        <v>bahan baku</v>
      </c>
      <c r="E219" s="8" t="str">
        <f>VLOOKUP(B219,Sheet3!$B$2:$E$312,4,)</f>
        <v>GR</v>
      </c>
      <c r="F219" s="22">
        <v>81.0</v>
      </c>
      <c r="G219" s="22" t="s">
        <v>1224</v>
      </c>
      <c r="H219" s="22" t="s">
        <v>1539</v>
      </c>
      <c r="I219" s="32" t="s">
        <v>1444</v>
      </c>
      <c r="J219" s="28"/>
    </row>
    <row r="220" ht="15.75" customHeight="1">
      <c r="A220" s="33"/>
      <c r="B220" s="21" t="s">
        <v>298</v>
      </c>
      <c r="C220" s="6" t="str">
        <f>VLOOKUP(B220,Sheet3!$B$2:$E$312,2,FALSE)</f>
        <v>B001-125</v>
      </c>
      <c r="D220" s="6" t="str">
        <f>VLOOKUP(B220,Sheet3!$B$2:$E$312,3,)</f>
        <v>bahan baku</v>
      </c>
      <c r="E220" s="8" t="str">
        <f>VLOOKUP(B220,Sheet3!$B$2:$E$312,4,)</f>
        <v>GR</v>
      </c>
      <c r="F220" s="22">
        <v>39.0</v>
      </c>
      <c r="G220" s="22" t="s">
        <v>1525</v>
      </c>
      <c r="H220" s="22" t="s">
        <v>1539</v>
      </c>
      <c r="I220" s="32" t="s">
        <v>1444</v>
      </c>
      <c r="J220" s="28"/>
    </row>
    <row r="221" ht="15.75" customHeight="1">
      <c r="A221" s="33"/>
      <c r="B221" s="21" t="s">
        <v>211</v>
      </c>
      <c r="C221" s="6" t="str">
        <f>VLOOKUP(B221,Sheet3!$B$2:$E$312,2,FALSE)</f>
        <v>B001-088</v>
      </c>
      <c r="D221" s="6" t="str">
        <f>VLOOKUP(B221,Sheet3!$B$2:$E$312,3,)</f>
        <v>bahan baku</v>
      </c>
      <c r="E221" s="8" t="str">
        <f>VLOOKUP(B221,Sheet3!$B$2:$E$312,4,)</f>
        <v>GR</v>
      </c>
      <c r="F221" s="22">
        <v>8870.0</v>
      </c>
      <c r="G221" s="22" t="s">
        <v>1445</v>
      </c>
      <c r="H221" s="22" t="s">
        <v>1417</v>
      </c>
      <c r="I221" s="32" t="s">
        <v>1444</v>
      </c>
      <c r="J221" s="28"/>
    </row>
    <row r="222" ht="15.75" hidden="1" customHeight="1">
      <c r="A222" s="33"/>
      <c r="B222" s="21" t="s">
        <v>1669</v>
      </c>
      <c r="C222" s="6" t="str">
        <f>VLOOKUP(B222,Sheet3!$B$2:$E$312,2,FALSE)</f>
        <v>#N/A</v>
      </c>
      <c r="D222" s="6" t="str">
        <f>VLOOKUP(B222,Sheet3!$B$2:$E$312,3,)</f>
        <v>#N/A</v>
      </c>
      <c r="E222" s="8" t="str">
        <f>VLOOKUP(B222,Sheet3!$B$2:$E$312,4,)</f>
        <v>#N/A</v>
      </c>
      <c r="F222" s="22">
        <v>1.0</v>
      </c>
      <c r="G222" s="22" t="s">
        <v>1617</v>
      </c>
      <c r="H222" s="22" t="s">
        <v>1581</v>
      </c>
      <c r="I222" s="32" t="s">
        <v>1444</v>
      </c>
      <c r="J222" s="28"/>
    </row>
    <row r="223" ht="15.75" customHeight="1">
      <c r="A223" s="34"/>
      <c r="B223" s="21" t="s">
        <v>720</v>
      </c>
      <c r="C223" s="6" t="str">
        <f>VLOOKUP(B223,Sheet3!$B$2:$E$312,2,FALSE)</f>
        <v>B002-005</v>
      </c>
      <c r="D223" s="6" t="str">
        <f>VLOOKUP(B223,Sheet3!$B$2:$E$312,3,)</f>
        <v>others</v>
      </c>
      <c r="E223" s="8" t="str">
        <f>VLOOKUP(B223,Sheet3!$B$2:$E$312,4,)</f>
        <v>PCS</v>
      </c>
      <c r="F223" s="22">
        <v>117.0</v>
      </c>
      <c r="G223" s="22" t="s">
        <v>1369</v>
      </c>
      <c r="H223" s="22" t="s">
        <v>1512</v>
      </c>
      <c r="I223" s="32" t="s">
        <v>1444</v>
      </c>
      <c r="J223" s="28"/>
    </row>
    <row r="224" ht="15.75" hidden="1" customHeight="1">
      <c r="A224" s="88" t="s">
        <v>1671</v>
      </c>
      <c r="B224" s="21" t="s">
        <v>1669</v>
      </c>
      <c r="C224" s="6" t="str">
        <f>VLOOKUP(B224,Sheet3!$B$2:$E$312,2,FALSE)</f>
        <v>#N/A</v>
      </c>
      <c r="D224" s="6" t="str">
        <f>VLOOKUP(B224,Sheet3!$B$2:$E$312,3,)</f>
        <v>#N/A</v>
      </c>
      <c r="E224" s="8" t="str">
        <f>VLOOKUP(B224,Sheet3!$B$2:$E$312,4,)</f>
        <v>#N/A</v>
      </c>
      <c r="F224" s="22">
        <v>1.0</v>
      </c>
      <c r="G224" s="22" t="s">
        <v>1617</v>
      </c>
      <c r="H224" s="22" t="s">
        <v>1581</v>
      </c>
      <c r="I224" s="32" t="s">
        <v>1672</v>
      </c>
      <c r="J224" s="28"/>
    </row>
    <row r="225" ht="15.75" customHeight="1">
      <c r="A225" s="33"/>
      <c r="B225" s="21" t="s">
        <v>634</v>
      </c>
      <c r="C225" s="6" t="str">
        <f>VLOOKUP(B225,Sheet3!$B$2:$E$312,2,FALSE)</f>
        <v>P004-014</v>
      </c>
      <c r="D225" s="6" t="str">
        <f>VLOOKUP(B225,Sheet3!$B$2:$E$312,3,)</f>
        <v>barang jadi &amp; bahan baku</v>
      </c>
      <c r="E225" s="8" t="str">
        <f>VLOOKUP(B225,Sheet3!$B$2:$E$312,4,)</f>
        <v>GR</v>
      </c>
      <c r="F225" s="22">
        <v>250.0</v>
      </c>
      <c r="G225" s="22" t="s">
        <v>1164</v>
      </c>
      <c r="H225" s="22" t="s">
        <v>1509</v>
      </c>
      <c r="I225" s="32" t="s">
        <v>1444</v>
      </c>
      <c r="J225" s="28"/>
    </row>
    <row r="226" ht="15.75" customHeight="1">
      <c r="A226" s="33"/>
      <c r="B226" s="21" t="s">
        <v>120</v>
      </c>
      <c r="C226" s="6" t="str">
        <f>VLOOKUP(B226,Sheet3!$B$2:$E$312,2,FALSE)</f>
        <v>B001-050</v>
      </c>
      <c r="D226" s="6" t="str">
        <f>VLOOKUP(B226,Sheet3!$B$2:$E$312,3,)</f>
        <v>bahan baku</v>
      </c>
      <c r="E226" s="8" t="str">
        <f>VLOOKUP(B226,Sheet3!$B$2:$E$312,4,)</f>
        <v>GR</v>
      </c>
      <c r="F226" s="22">
        <v>132.0</v>
      </c>
      <c r="G226" s="22" t="s">
        <v>1224</v>
      </c>
      <c r="H226" s="22" t="s">
        <v>1512</v>
      </c>
      <c r="I226" s="32" t="s">
        <v>1444</v>
      </c>
      <c r="J226" s="28"/>
    </row>
    <row r="227" ht="15.75" customHeight="1">
      <c r="A227" s="33"/>
      <c r="B227" s="21" t="s">
        <v>211</v>
      </c>
      <c r="C227" s="6" t="str">
        <f>VLOOKUP(B227,Sheet3!$B$2:$E$312,2,FALSE)</f>
        <v>B001-088</v>
      </c>
      <c r="D227" s="6" t="str">
        <f>VLOOKUP(B227,Sheet3!$B$2:$E$312,3,)</f>
        <v>bahan baku</v>
      </c>
      <c r="E227" s="8" t="str">
        <f>VLOOKUP(B227,Sheet3!$B$2:$E$312,4,)</f>
        <v>GR</v>
      </c>
      <c r="F227" s="22">
        <v>3785.0</v>
      </c>
      <c r="G227" s="22" t="s">
        <v>1445</v>
      </c>
      <c r="H227" s="22" t="s">
        <v>1441</v>
      </c>
      <c r="I227" s="32" t="s">
        <v>1444</v>
      </c>
      <c r="J227" s="28"/>
    </row>
    <row r="228" ht="15.75" customHeight="1">
      <c r="A228" s="33"/>
      <c r="B228" s="21" t="s">
        <v>653</v>
      </c>
      <c r="C228" s="6" t="str">
        <f>VLOOKUP(B228,Sheet3!$B$2:$E$312,2,FALSE)</f>
        <v>P004-022</v>
      </c>
      <c r="D228" s="6" t="str">
        <f>VLOOKUP(B228,Sheet3!$B$2:$E$312,3,)</f>
        <v>barang jadi &amp; bahan baku</v>
      </c>
      <c r="E228" s="8" t="str">
        <f>VLOOKUP(B228,Sheet3!$B$2:$E$312,4,)</f>
        <v>CC</v>
      </c>
      <c r="F228" s="22">
        <v>1520.0</v>
      </c>
      <c r="G228" s="22" t="s">
        <v>1216</v>
      </c>
      <c r="H228" s="22" t="s">
        <v>1514</v>
      </c>
      <c r="I228" s="32" t="s">
        <v>1444</v>
      </c>
      <c r="J228" s="28"/>
    </row>
    <row r="229" ht="15.75" customHeight="1">
      <c r="A229" s="33"/>
      <c r="B229" s="90" t="s">
        <v>657</v>
      </c>
      <c r="C229" s="91" t="str">
        <f>VLOOKUP(B229,Sheet3!$B$2:$E$312,2,FALSE)</f>
        <v>P004-023</v>
      </c>
      <c r="D229" s="91" t="str">
        <f>VLOOKUP(B229,Sheet3!$B$2:$E$312,3,)</f>
        <v>barang jadi &amp; bahan baku</v>
      </c>
      <c r="E229" s="92" t="str">
        <f>VLOOKUP(B229,Sheet3!$B$2:$E$312,4,)</f>
        <v>CC</v>
      </c>
      <c r="F229" s="93">
        <v>2090.0</v>
      </c>
      <c r="G229" s="93" t="s">
        <v>1216</v>
      </c>
      <c r="H229" s="93"/>
      <c r="I229" s="28"/>
      <c r="J229" s="28"/>
    </row>
    <row r="230" ht="15.75" customHeight="1">
      <c r="A230" s="33"/>
      <c r="B230" s="21" t="s">
        <v>664</v>
      </c>
      <c r="C230" s="6" t="str">
        <f>VLOOKUP(B230,Sheet3!$B$2:$E$312,2,FALSE)</f>
        <v>P004-025</v>
      </c>
      <c r="D230" s="6" t="str">
        <f>VLOOKUP(B230,Sheet3!$B$2:$E$312,3,)</f>
        <v>barang jadi &amp; bahan baku</v>
      </c>
      <c r="E230" s="8" t="str">
        <f>VLOOKUP(B230,Sheet3!$B$2:$E$312,4,)</f>
        <v>ML</v>
      </c>
      <c r="F230" s="22">
        <v>679.0</v>
      </c>
      <c r="G230" s="22" t="s">
        <v>1216</v>
      </c>
      <c r="H230" s="22" t="s">
        <v>1514</v>
      </c>
      <c r="I230" s="32" t="s">
        <v>1444</v>
      </c>
      <c r="J230" s="28"/>
    </row>
    <row r="231" ht="15.75" customHeight="1">
      <c r="A231" s="33"/>
      <c r="B231" s="21" t="s">
        <v>33</v>
      </c>
      <c r="C231" s="6" t="str">
        <f>VLOOKUP(B231,Sheet3!$B$2:$E$312,2,FALSE)</f>
        <v>B001-008</v>
      </c>
      <c r="D231" s="6" t="str">
        <f>VLOOKUP(B231,Sheet3!$B$2:$E$312,3,)</f>
        <v>bahan baku</v>
      </c>
      <c r="E231" s="8" t="str">
        <f>VLOOKUP(B231,Sheet3!$B$2:$E$312,4,)</f>
        <v>GR</v>
      </c>
      <c r="F231" s="22">
        <v>567.0</v>
      </c>
      <c r="G231" s="22" t="s">
        <v>1633</v>
      </c>
      <c r="H231" s="22" t="s">
        <v>1539</v>
      </c>
      <c r="I231" s="32" t="s">
        <v>1444</v>
      </c>
      <c r="J231" s="28"/>
    </row>
    <row r="232" ht="15.75" customHeight="1">
      <c r="A232" s="33"/>
      <c r="B232" s="21" t="s">
        <v>129</v>
      </c>
      <c r="C232" s="6" t="str">
        <f>VLOOKUP(B232,Sheet3!$B$2:$E$312,2,FALSE)</f>
        <v>B001-056</v>
      </c>
      <c r="D232" s="6" t="str">
        <f>VLOOKUP(B232,Sheet3!$B$2:$E$312,3,)</f>
        <v>bahan baku</v>
      </c>
      <c r="E232" s="8" t="str">
        <f>VLOOKUP(B232,Sheet3!$B$2:$E$312,4,)</f>
        <v>ML</v>
      </c>
      <c r="F232" s="22">
        <v>5.0</v>
      </c>
      <c r="G232" s="22" t="s">
        <v>1633</v>
      </c>
      <c r="H232" s="22" t="s">
        <v>1539</v>
      </c>
      <c r="I232" s="32" t="s">
        <v>1444</v>
      </c>
      <c r="J232" s="28"/>
    </row>
    <row r="233" ht="15.75" customHeight="1">
      <c r="A233" s="33"/>
      <c r="B233" s="21" t="s">
        <v>54</v>
      </c>
      <c r="C233" s="6" t="str">
        <f>VLOOKUP(B233,Sheet3!$B$2:$E$312,2,FALSE)</f>
        <v>B001-019</v>
      </c>
      <c r="D233" s="6" t="str">
        <f>VLOOKUP(B233,Sheet3!$B$2:$E$312,3,)</f>
        <v>bahan baku</v>
      </c>
      <c r="E233" s="8" t="str">
        <f>VLOOKUP(B233,Sheet3!$B$2:$E$312,4,)</f>
        <v>GR</v>
      </c>
      <c r="F233" s="22">
        <v>27.0</v>
      </c>
      <c r="G233" s="22" t="s">
        <v>1680</v>
      </c>
      <c r="H233" s="22" t="s">
        <v>1539</v>
      </c>
      <c r="I233" s="32" t="s">
        <v>1444</v>
      </c>
      <c r="J233" s="28"/>
    </row>
    <row r="234" ht="15.75" customHeight="1">
      <c r="A234" s="33"/>
      <c r="B234" s="21" t="s">
        <v>148</v>
      </c>
      <c r="C234" s="6" t="str">
        <f>VLOOKUP(B234,Sheet3!$B$2:$E$312,2,FALSE)</f>
        <v>B001-064</v>
      </c>
      <c r="D234" s="6" t="str">
        <f>VLOOKUP(B234,Sheet3!$B$2:$E$312,3,)</f>
        <v>bahan baku</v>
      </c>
      <c r="E234" s="8" t="str">
        <f>VLOOKUP(B234,Sheet3!$B$2:$E$312,4,)</f>
        <v>GR</v>
      </c>
      <c r="F234" s="22">
        <v>45.0</v>
      </c>
      <c r="G234" s="22" t="s">
        <v>1445</v>
      </c>
      <c r="H234" s="22" t="s">
        <v>1539</v>
      </c>
      <c r="I234" s="32" t="s">
        <v>1444</v>
      </c>
      <c r="J234" s="28"/>
    </row>
    <row r="235" ht="15.75" customHeight="1">
      <c r="A235" s="34"/>
      <c r="B235" s="21" t="s">
        <v>28</v>
      </c>
      <c r="C235" s="6" t="str">
        <f>VLOOKUP(B235,Sheet3!$B$2:$E$312,2,FALSE)</f>
        <v>B001-006</v>
      </c>
      <c r="D235" s="6" t="str">
        <f>VLOOKUP(B235,Sheet3!$B$2:$E$312,3,)</f>
        <v>bahan baku</v>
      </c>
      <c r="E235" s="8" t="str">
        <f>VLOOKUP(B235,Sheet3!$B$2:$E$312,4,)</f>
        <v>GR</v>
      </c>
      <c r="F235" s="22">
        <v>13.0</v>
      </c>
      <c r="G235" s="22" t="s">
        <v>1445</v>
      </c>
      <c r="H235" s="22" t="s">
        <v>1539</v>
      </c>
      <c r="I235" s="32" t="s">
        <v>1444</v>
      </c>
      <c r="J235" s="28"/>
    </row>
    <row r="236" ht="15.75" customHeight="1">
      <c r="A236" s="88" t="s">
        <v>1682</v>
      </c>
      <c r="B236" s="21" t="s">
        <v>139</v>
      </c>
      <c r="C236" s="6" t="str">
        <f>VLOOKUP(B236,Sheet3!$B$2:$E$312,2,FALSE)</f>
        <v>B001-061</v>
      </c>
      <c r="D236" s="6" t="str">
        <f>VLOOKUP(B236,Sheet3!$B$2:$E$312,3,)</f>
        <v>bahan baku</v>
      </c>
      <c r="E236" s="8" t="str">
        <f>VLOOKUP(B236,Sheet3!$B$2:$E$312,4,)</f>
        <v>GR</v>
      </c>
      <c r="F236" s="22">
        <v>16.0</v>
      </c>
      <c r="G236" s="22" t="s">
        <v>1445</v>
      </c>
      <c r="H236" s="22" t="s">
        <v>1528</v>
      </c>
      <c r="I236" s="32" t="s">
        <v>1444</v>
      </c>
      <c r="J236" s="28"/>
    </row>
    <row r="237" ht="15.75" customHeight="1">
      <c r="A237" s="33"/>
      <c r="B237" s="21" t="s">
        <v>28</v>
      </c>
      <c r="C237" s="6" t="str">
        <f>VLOOKUP(B237,Sheet3!$B$2:$E$312,2,FALSE)</f>
        <v>B001-006</v>
      </c>
      <c r="D237" s="6" t="str">
        <f>VLOOKUP(B237,Sheet3!$B$2:$E$312,3,)</f>
        <v>bahan baku</v>
      </c>
      <c r="E237" s="8" t="str">
        <f>VLOOKUP(B237,Sheet3!$B$2:$E$312,4,)</f>
        <v>GR</v>
      </c>
      <c r="F237" s="22">
        <v>26.0</v>
      </c>
      <c r="G237" s="22" t="s">
        <v>1445</v>
      </c>
      <c r="H237" s="22" t="s">
        <v>1528</v>
      </c>
      <c r="I237" s="32" t="s">
        <v>1444</v>
      </c>
      <c r="J237" s="28"/>
    </row>
    <row r="238" ht="15.75" customHeight="1">
      <c r="A238" s="33"/>
      <c r="B238" s="21" t="s">
        <v>502</v>
      </c>
      <c r="C238" s="6" t="str">
        <f>VLOOKUP(B238,Sheet3!$B$2:$E$312,2,FALSE)</f>
        <v>S001-002</v>
      </c>
      <c r="D238" s="6" t="str">
        <f>VLOOKUP(B238,Sheet3!$B$2:$E$312,3,)</f>
        <v>barang jadi</v>
      </c>
      <c r="E238" s="8" t="str">
        <f>VLOOKUP(B238,Sheet3!$B$2:$E$312,4,)</f>
        <v>PORSI</v>
      </c>
      <c r="F238" s="22">
        <v>8.0</v>
      </c>
      <c r="G238" s="22" t="s">
        <v>1216</v>
      </c>
      <c r="H238" s="22" t="s">
        <v>1417</v>
      </c>
      <c r="I238" s="32" t="s">
        <v>1446</v>
      </c>
      <c r="J238" s="32" t="s">
        <v>1470</v>
      </c>
    </row>
    <row r="239" ht="15.75" customHeight="1">
      <c r="A239" s="33"/>
      <c r="B239" s="21" t="s">
        <v>657</v>
      </c>
      <c r="C239" s="6" t="str">
        <f>VLOOKUP(B239,Sheet3!$B$2:$E$312,2,FALSE)</f>
        <v>P004-023</v>
      </c>
      <c r="D239" s="6" t="str">
        <f>VLOOKUP(B239,Sheet3!$B$2:$E$312,3,)</f>
        <v>barang jadi &amp; bahan baku</v>
      </c>
      <c r="E239" s="8" t="str">
        <f>VLOOKUP(B239,Sheet3!$B$2:$E$312,4,)</f>
        <v>CC</v>
      </c>
      <c r="F239" s="22">
        <v>1775.0</v>
      </c>
      <c r="G239" s="22" t="s">
        <v>1216</v>
      </c>
      <c r="H239" s="22" t="s">
        <v>1512</v>
      </c>
      <c r="I239" s="32" t="s">
        <v>1444</v>
      </c>
      <c r="J239" s="28"/>
    </row>
    <row r="240" ht="15.75" customHeight="1">
      <c r="A240" s="33"/>
      <c r="B240" s="21" t="s">
        <v>664</v>
      </c>
      <c r="C240" s="6" t="str">
        <f>VLOOKUP(B240,Sheet3!$B$2:$E$312,2,FALSE)</f>
        <v>P004-025</v>
      </c>
      <c r="D240" s="6" t="str">
        <f>VLOOKUP(B240,Sheet3!$B$2:$E$312,3,)</f>
        <v>barang jadi &amp; bahan baku</v>
      </c>
      <c r="E240" s="8" t="str">
        <f>VLOOKUP(B240,Sheet3!$B$2:$E$312,4,)</f>
        <v>ML</v>
      </c>
      <c r="F240" s="22">
        <v>1200.0</v>
      </c>
      <c r="G240" s="22" t="s">
        <v>1216</v>
      </c>
      <c r="H240" s="22" t="s">
        <v>1512</v>
      </c>
      <c r="I240" s="32" t="s">
        <v>1444</v>
      </c>
      <c r="J240" s="28"/>
    </row>
    <row r="241" ht="15.75" customHeight="1">
      <c r="A241" s="34"/>
      <c r="B241" s="21" t="s">
        <v>653</v>
      </c>
      <c r="C241" s="6" t="str">
        <f>VLOOKUP(B241,Sheet3!$B$2:$E$312,2,FALSE)</f>
        <v>P004-022</v>
      </c>
      <c r="D241" s="6" t="str">
        <f>VLOOKUP(B241,Sheet3!$B$2:$E$312,3,)</f>
        <v>barang jadi &amp; bahan baku</v>
      </c>
      <c r="E241" s="8" t="str">
        <f>VLOOKUP(B241,Sheet3!$B$2:$E$312,4,)</f>
        <v>CC</v>
      </c>
      <c r="F241" s="22">
        <v>772.0</v>
      </c>
      <c r="G241" s="22" t="s">
        <v>1216</v>
      </c>
      <c r="H241" s="22" t="s">
        <v>1512</v>
      </c>
      <c r="I241" s="32" t="s">
        <v>1444</v>
      </c>
      <c r="J241" s="28"/>
    </row>
    <row r="242" ht="15.75" customHeight="1">
      <c r="A242" s="88" t="s">
        <v>1688</v>
      </c>
      <c r="B242" s="21" t="s">
        <v>211</v>
      </c>
      <c r="C242" s="6" t="str">
        <f>VLOOKUP(B242,Sheet3!$B$2:$E$312,2,FALSE)</f>
        <v>B001-088</v>
      </c>
      <c r="D242" s="6" t="str">
        <f>VLOOKUP(B242,Sheet3!$B$2:$E$312,3,)</f>
        <v>bahan baku</v>
      </c>
      <c r="E242" s="8" t="str">
        <f>VLOOKUP(B242,Sheet3!$B$2:$E$312,4,)</f>
        <v>GR</v>
      </c>
      <c r="F242" s="22">
        <v>7890.0</v>
      </c>
      <c r="G242" s="22" t="s">
        <v>1445</v>
      </c>
      <c r="H242" s="22" t="s">
        <v>1441</v>
      </c>
      <c r="I242" s="32" t="s">
        <v>1446</v>
      </c>
      <c r="J242" s="32" t="s">
        <v>1689</v>
      </c>
    </row>
    <row r="243" ht="15.75" hidden="1" customHeight="1">
      <c r="A243" s="33"/>
      <c r="B243" s="21" t="s">
        <v>292</v>
      </c>
      <c r="C243" s="6" t="str">
        <f>VLOOKUP(B243,Sheet3!$B$2:$E$312,2,FALSE)</f>
        <v>B002-025</v>
      </c>
      <c r="D243" s="6" t="str">
        <f>VLOOKUP(B243,Sheet3!$B$2:$E$312,3,)</f>
        <v>bahan baku</v>
      </c>
      <c r="E243" s="8" t="str">
        <f>VLOOKUP(B243,Sheet3!$B$2:$E$312,4,)</f>
        <v>PCS</v>
      </c>
      <c r="F243" s="22">
        <v>1.0</v>
      </c>
      <c r="G243" s="22" t="s">
        <v>1690</v>
      </c>
      <c r="H243" s="22" t="s">
        <v>1417</v>
      </c>
      <c r="I243" s="32" t="s">
        <v>1444</v>
      </c>
      <c r="J243" s="28"/>
    </row>
    <row r="244" ht="15.75" hidden="1" customHeight="1">
      <c r="A244" s="33"/>
      <c r="B244" s="21" t="s">
        <v>292</v>
      </c>
      <c r="C244" s="6" t="str">
        <f>VLOOKUP(B244,Sheet3!$B$2:$E$312,2,FALSE)</f>
        <v>B002-025</v>
      </c>
      <c r="D244" s="6" t="str">
        <f>VLOOKUP(B244,Sheet3!$B$2:$E$312,3,)</f>
        <v>bahan baku</v>
      </c>
      <c r="E244" s="8" t="str">
        <f>VLOOKUP(B244,Sheet3!$B$2:$E$312,4,)</f>
        <v>PCS</v>
      </c>
      <c r="F244" s="22">
        <v>2.0</v>
      </c>
      <c r="G244" s="22" t="s">
        <v>1691</v>
      </c>
      <c r="H244" s="22" t="s">
        <v>1417</v>
      </c>
      <c r="I244" s="32" t="s">
        <v>1444</v>
      </c>
      <c r="J244" s="28"/>
    </row>
    <row r="245" ht="15.75" customHeight="1">
      <c r="A245" s="33"/>
      <c r="B245" s="21" t="s">
        <v>120</v>
      </c>
      <c r="C245" s="6" t="str">
        <f>VLOOKUP(B245,Sheet3!$B$2:$E$312,2,FALSE)</f>
        <v>B001-050</v>
      </c>
      <c r="D245" s="6" t="str">
        <f>VLOOKUP(B245,Sheet3!$B$2:$E$312,3,)</f>
        <v>bahan baku</v>
      </c>
      <c r="E245" s="8" t="str">
        <f>VLOOKUP(B245,Sheet3!$B$2:$E$312,4,)</f>
        <v>GR</v>
      </c>
      <c r="F245" s="22">
        <v>77.0</v>
      </c>
      <c r="G245" s="22" t="s">
        <v>1402</v>
      </c>
      <c r="H245" s="22" t="s">
        <v>1523</v>
      </c>
      <c r="I245" s="32" t="s">
        <v>1444</v>
      </c>
      <c r="J245" s="28"/>
    </row>
    <row r="246" ht="15.75" customHeight="1">
      <c r="A246" s="33"/>
      <c r="B246" s="21" t="s">
        <v>691</v>
      </c>
      <c r="C246" s="6" t="str">
        <f>VLOOKUP(B246,Sheet3!$B$2:$E$312,2,FALSE)</f>
        <v>P004-036</v>
      </c>
      <c r="D246" s="6" t="str">
        <f>VLOOKUP(B246,Sheet3!$B$2:$E$312,3,)</f>
        <v>barang jadi &amp; bahan baku</v>
      </c>
      <c r="E246" s="8" t="str">
        <f>VLOOKUP(B246,Sheet3!$B$2:$E$312,4,)</f>
        <v>GR</v>
      </c>
      <c r="F246" s="22">
        <v>4384.0</v>
      </c>
      <c r="G246" s="22" t="s">
        <v>1164</v>
      </c>
      <c r="H246" s="22" t="s">
        <v>1523</v>
      </c>
      <c r="I246" s="32" t="s">
        <v>1444</v>
      </c>
      <c r="J246" s="28"/>
    </row>
    <row r="247" ht="15.75" customHeight="1">
      <c r="A247" s="33"/>
      <c r="B247" s="21" t="s">
        <v>54</v>
      </c>
      <c r="C247" s="6" t="str">
        <f>VLOOKUP(B247,Sheet3!$B$2:$E$312,2,FALSE)</f>
        <v>B001-019</v>
      </c>
      <c r="D247" s="6" t="str">
        <f>VLOOKUP(B247,Sheet3!$B$2:$E$312,3,)</f>
        <v>bahan baku</v>
      </c>
      <c r="E247" s="8" t="str">
        <f>VLOOKUP(B247,Sheet3!$B$2:$E$312,4,)</f>
        <v>GR</v>
      </c>
      <c r="F247" s="22">
        <v>78.0</v>
      </c>
      <c r="G247" s="22" t="s">
        <v>1224</v>
      </c>
      <c r="H247" s="22" t="s">
        <v>1539</v>
      </c>
      <c r="I247" s="32" t="s">
        <v>1444</v>
      </c>
      <c r="J247" s="28"/>
    </row>
    <row r="248" ht="15.75" customHeight="1">
      <c r="A248" s="33"/>
      <c r="B248" s="21" t="s">
        <v>28</v>
      </c>
      <c r="C248" s="6" t="str">
        <f>VLOOKUP(B248,Sheet3!$B$2:$E$312,2,FALSE)</f>
        <v>B001-006</v>
      </c>
      <c r="D248" s="6" t="str">
        <f>VLOOKUP(B248,Sheet3!$B$2:$E$312,3,)</f>
        <v>bahan baku</v>
      </c>
      <c r="E248" s="8" t="str">
        <f>VLOOKUP(B248,Sheet3!$B$2:$E$312,4,)</f>
        <v>GR</v>
      </c>
      <c r="F248" s="22">
        <v>9.0</v>
      </c>
      <c r="G248" s="22" t="s">
        <v>1445</v>
      </c>
      <c r="H248" s="22" t="s">
        <v>1539</v>
      </c>
      <c r="I248" s="32" t="s">
        <v>1444</v>
      </c>
      <c r="J248" s="28"/>
    </row>
    <row r="249" ht="15.75" customHeight="1">
      <c r="A249" s="33"/>
      <c r="B249" s="21" t="s">
        <v>65</v>
      </c>
      <c r="C249" s="6" t="str">
        <f>VLOOKUP(B249,Sheet3!$B$2:$E$312,2,FALSE)</f>
        <v>B001-023</v>
      </c>
      <c r="D249" s="6" t="str">
        <f>VLOOKUP(B249,Sheet3!$B$2:$E$312,3,)</f>
        <v>bahan baku</v>
      </c>
      <c r="E249" s="8" t="str">
        <f>VLOOKUP(B249,Sheet3!$B$2:$E$312,4,)</f>
        <v>GR</v>
      </c>
      <c r="F249" s="22">
        <v>42.0</v>
      </c>
      <c r="G249" s="22" t="s">
        <v>1164</v>
      </c>
      <c r="H249" s="22" t="s">
        <v>1539</v>
      </c>
      <c r="I249" s="32" t="s">
        <v>1444</v>
      </c>
      <c r="J249" s="28"/>
    </row>
    <row r="250" ht="15.75" customHeight="1">
      <c r="A250" s="33"/>
      <c r="B250" s="21" t="s">
        <v>33</v>
      </c>
      <c r="C250" s="6" t="str">
        <f>VLOOKUP(B250,Sheet3!$B$2:$E$312,2,FALSE)</f>
        <v>B001-008</v>
      </c>
      <c r="D250" s="6" t="str">
        <f>VLOOKUP(B250,Sheet3!$B$2:$E$312,3,)</f>
        <v>bahan baku</v>
      </c>
      <c r="E250" s="8" t="str">
        <f>VLOOKUP(B250,Sheet3!$B$2:$E$312,4,)</f>
        <v>GR</v>
      </c>
      <c r="F250" s="22">
        <v>557.0</v>
      </c>
      <c r="G250" s="22" t="s">
        <v>1633</v>
      </c>
      <c r="H250" s="22" t="s">
        <v>1305</v>
      </c>
      <c r="I250" s="32" t="s">
        <v>1444</v>
      </c>
      <c r="J250" s="28"/>
    </row>
    <row r="251" ht="15.75" customHeight="1">
      <c r="A251" s="33"/>
      <c r="B251" s="21" t="s">
        <v>129</v>
      </c>
      <c r="C251" s="6" t="str">
        <f>VLOOKUP(B251,Sheet3!$B$2:$E$312,2,FALSE)</f>
        <v>B001-056</v>
      </c>
      <c r="D251" s="6" t="str">
        <f>VLOOKUP(B251,Sheet3!$B$2:$E$312,3,)</f>
        <v>bahan baku</v>
      </c>
      <c r="E251" s="8" t="str">
        <f>VLOOKUP(B251,Sheet3!$B$2:$E$312,4,)</f>
        <v>ML</v>
      </c>
      <c r="F251" s="22">
        <v>5.0</v>
      </c>
      <c r="G251" s="22" t="s">
        <v>1633</v>
      </c>
      <c r="H251" s="22" t="s">
        <v>1305</v>
      </c>
      <c r="I251" s="32" t="s">
        <v>1444</v>
      </c>
      <c r="J251" s="28"/>
    </row>
    <row r="252" ht="15.75" customHeight="1">
      <c r="A252" s="33"/>
      <c r="B252" s="21" t="s">
        <v>211</v>
      </c>
      <c r="C252" s="6" t="str">
        <f>VLOOKUP(B252,Sheet3!$B$2:$E$312,2,FALSE)</f>
        <v>B001-088</v>
      </c>
      <c r="D252" s="6" t="str">
        <f>VLOOKUP(B252,Sheet3!$B$2:$E$312,3,)</f>
        <v>bahan baku</v>
      </c>
      <c r="E252" s="8" t="str">
        <f>VLOOKUP(B252,Sheet3!$B$2:$E$312,4,)</f>
        <v>GR</v>
      </c>
      <c r="F252" s="22">
        <v>6085.0</v>
      </c>
      <c r="G252" s="22" t="s">
        <v>1445</v>
      </c>
      <c r="H252" s="22" t="s">
        <v>1567</v>
      </c>
      <c r="I252" s="32" t="s">
        <v>1444</v>
      </c>
      <c r="J252" s="28"/>
    </row>
    <row r="253" ht="15.75" customHeight="1">
      <c r="A253" s="33"/>
      <c r="B253" s="21" t="s">
        <v>657</v>
      </c>
      <c r="C253" s="6" t="str">
        <f>VLOOKUP(B253,Sheet3!$B$2:$E$312,2,FALSE)</f>
        <v>P004-023</v>
      </c>
      <c r="D253" s="6" t="str">
        <f>VLOOKUP(B253,Sheet3!$B$2:$E$312,3,)</f>
        <v>barang jadi &amp; bahan baku</v>
      </c>
      <c r="E253" s="8" t="str">
        <f>VLOOKUP(B253,Sheet3!$B$2:$E$312,4,)</f>
        <v>CC</v>
      </c>
      <c r="F253" s="22">
        <v>2151.0</v>
      </c>
      <c r="G253" s="22" t="s">
        <v>1216</v>
      </c>
      <c r="H253" s="22" t="s">
        <v>1512</v>
      </c>
      <c r="I253" s="32" t="s">
        <v>1444</v>
      </c>
      <c r="J253" s="28"/>
    </row>
    <row r="254" ht="15.75" customHeight="1">
      <c r="A254" s="33"/>
      <c r="B254" s="21" t="s">
        <v>653</v>
      </c>
      <c r="C254" s="6" t="str">
        <f>VLOOKUP(B254,Sheet3!$B$2:$E$312,2,FALSE)</f>
        <v>P004-022</v>
      </c>
      <c r="D254" s="6" t="str">
        <f>VLOOKUP(B254,Sheet3!$B$2:$E$312,3,)</f>
        <v>barang jadi &amp; bahan baku</v>
      </c>
      <c r="E254" s="8" t="str">
        <f>VLOOKUP(B254,Sheet3!$B$2:$E$312,4,)</f>
        <v>CC</v>
      </c>
      <c r="F254" s="22">
        <v>1857.0</v>
      </c>
      <c r="G254" s="22" t="s">
        <v>1216</v>
      </c>
      <c r="H254" s="22" t="s">
        <v>1512</v>
      </c>
      <c r="I254" s="32" t="s">
        <v>1444</v>
      </c>
      <c r="J254" s="28"/>
    </row>
    <row r="255" ht="15.75" customHeight="1">
      <c r="A255" s="33"/>
      <c r="B255" s="21" t="s">
        <v>805</v>
      </c>
      <c r="C255" s="6" t="str">
        <f>VLOOKUP(B255,Sheet3!$B$2:$E$312,2,FALSE)</f>
        <v>#N/A</v>
      </c>
      <c r="D255" s="6" t="str">
        <f>VLOOKUP(B255,Sheet3!$B$2:$E$312,3,)</f>
        <v>#N/A</v>
      </c>
      <c r="E255" s="8" t="str">
        <f>VLOOKUP(B255,Sheet3!$B$2:$E$312,4,)</f>
        <v>#N/A</v>
      </c>
      <c r="F255" s="22">
        <v>2691.0</v>
      </c>
      <c r="G255" s="22" t="s">
        <v>1216</v>
      </c>
      <c r="H255" s="22" t="s">
        <v>1512</v>
      </c>
      <c r="I255" s="32" t="s">
        <v>1444</v>
      </c>
      <c r="J255" s="28"/>
    </row>
    <row r="256" ht="15.75" customHeight="1">
      <c r="A256" s="34"/>
      <c r="B256" s="21" t="s">
        <v>298</v>
      </c>
      <c r="C256" s="6" t="str">
        <f>VLOOKUP(B256,Sheet3!$B$2:$E$312,2,FALSE)</f>
        <v>B001-125</v>
      </c>
      <c r="D256" s="6" t="str">
        <f>VLOOKUP(B256,Sheet3!$B$2:$E$312,3,)</f>
        <v>bahan baku</v>
      </c>
      <c r="E256" s="8" t="str">
        <f>VLOOKUP(B256,Sheet3!$B$2:$E$312,4,)</f>
        <v>GR</v>
      </c>
      <c r="F256" s="22">
        <v>47.0</v>
      </c>
      <c r="G256" s="22" t="s">
        <v>1216</v>
      </c>
      <c r="H256" s="22" t="s">
        <v>1539</v>
      </c>
      <c r="I256" s="32" t="s">
        <v>1444</v>
      </c>
      <c r="J256" s="28"/>
    </row>
    <row r="257" ht="15.75" customHeight="1">
      <c r="A257" s="88" t="s">
        <v>1703</v>
      </c>
      <c r="B257" s="21" t="s">
        <v>298</v>
      </c>
      <c r="C257" s="6" t="str">
        <f>VLOOKUP(B257,Sheet3!$B$2:$E$312,2,FALSE)</f>
        <v>B001-125</v>
      </c>
      <c r="D257" s="6" t="str">
        <f>VLOOKUP(B257,Sheet3!$B$2:$E$312,3,)</f>
        <v>bahan baku</v>
      </c>
      <c r="E257" s="8" t="str">
        <f>VLOOKUP(B257,Sheet3!$B$2:$E$312,4,)</f>
        <v>GR</v>
      </c>
      <c r="F257" s="22">
        <v>162.0</v>
      </c>
      <c r="G257" s="22" t="s">
        <v>1455</v>
      </c>
      <c r="H257" s="22" t="s">
        <v>1290</v>
      </c>
      <c r="I257" s="32" t="s">
        <v>1444</v>
      </c>
      <c r="J257" s="28"/>
    </row>
    <row r="258" ht="15.75" customHeight="1">
      <c r="A258" s="33"/>
      <c r="B258" s="21" t="s">
        <v>823</v>
      </c>
      <c r="C258" s="6" t="str">
        <f>VLOOKUP(B258,Sheet3!$B$2:$E$312,2,FALSE)</f>
        <v>#N/A</v>
      </c>
      <c r="D258" s="6" t="str">
        <f>VLOOKUP(B258,Sheet3!$B$2:$E$312,3,)</f>
        <v>#N/A</v>
      </c>
      <c r="E258" s="8" t="str">
        <f>VLOOKUP(B258,Sheet3!$B$2:$E$312,4,)</f>
        <v>#N/A</v>
      </c>
      <c r="F258" s="22">
        <v>86.0</v>
      </c>
      <c r="G258" s="22" t="s">
        <v>1164</v>
      </c>
      <c r="H258" s="22" t="s">
        <v>1290</v>
      </c>
      <c r="I258" s="32" t="s">
        <v>1444</v>
      </c>
      <c r="J258" s="28"/>
    </row>
    <row r="259" ht="15.75" customHeight="1">
      <c r="A259" s="33"/>
      <c r="B259" s="21" t="s">
        <v>211</v>
      </c>
      <c r="C259" s="6" t="str">
        <f>VLOOKUP(B259,Sheet3!$B$2:$E$312,2,FALSE)</f>
        <v>B001-088</v>
      </c>
      <c r="D259" s="6" t="str">
        <f>VLOOKUP(B259,Sheet3!$B$2:$E$312,3,)</f>
        <v>bahan baku</v>
      </c>
      <c r="E259" s="8" t="str">
        <f>VLOOKUP(B259,Sheet3!$B$2:$E$312,4,)</f>
        <v>GR</v>
      </c>
      <c r="F259" s="22">
        <v>4005.0</v>
      </c>
      <c r="G259" s="22" t="s">
        <v>1521</v>
      </c>
      <c r="H259" s="22" t="s">
        <v>1509</v>
      </c>
      <c r="I259" s="32" t="s">
        <v>1444</v>
      </c>
      <c r="J259" s="28"/>
    </row>
    <row r="260" ht="15.75" customHeight="1">
      <c r="A260" s="33"/>
      <c r="B260" s="21" t="s">
        <v>269</v>
      </c>
      <c r="C260" s="6" t="str">
        <f>VLOOKUP(B260,Sheet3!$B$2:$E$312,2,FALSE)</f>
        <v>B001-119</v>
      </c>
      <c r="D260" s="6" t="str">
        <f>VLOOKUP(B260,Sheet3!$B$2:$E$312,3,)</f>
        <v>bahan baku</v>
      </c>
      <c r="E260" s="8" t="str">
        <f>VLOOKUP(B260,Sheet3!$B$2:$E$312,4,)</f>
        <v>GR</v>
      </c>
      <c r="F260" s="22">
        <v>500.0</v>
      </c>
      <c r="G260" s="22" t="s">
        <v>1164</v>
      </c>
      <c r="H260" s="22" t="s">
        <v>1225</v>
      </c>
      <c r="I260" s="32" t="s">
        <v>1444</v>
      </c>
      <c r="J260" s="28"/>
    </row>
    <row r="261" ht="15.75" customHeight="1">
      <c r="A261" s="33"/>
      <c r="B261" s="21" t="s">
        <v>50</v>
      </c>
      <c r="C261" s="6" t="str">
        <f>VLOOKUP(B261,Sheet3!$B$2:$E$312,2,FALSE)</f>
        <v>B001-017</v>
      </c>
      <c r="D261" s="6" t="str">
        <f>VLOOKUP(B261,Sheet3!$B$2:$E$312,3,)</f>
        <v>bahan baku</v>
      </c>
      <c r="E261" s="8" t="str">
        <f>VLOOKUP(B261,Sheet3!$B$2:$E$312,4,)</f>
        <v>GR</v>
      </c>
      <c r="F261" s="22">
        <v>50.0</v>
      </c>
      <c r="G261" s="22" t="s">
        <v>1224</v>
      </c>
      <c r="H261" s="22" t="s">
        <v>1225</v>
      </c>
      <c r="I261" s="32" t="s">
        <v>1444</v>
      </c>
      <c r="J261" s="28"/>
    </row>
    <row r="262" ht="15.75" customHeight="1">
      <c r="A262" s="33"/>
      <c r="B262" s="21" t="s">
        <v>67</v>
      </c>
      <c r="C262" s="6" t="str">
        <f>VLOOKUP(B262,Sheet3!$B$2:$E$312,2,FALSE)</f>
        <v>B001-024</v>
      </c>
      <c r="D262" s="6" t="str">
        <f>VLOOKUP(B262,Sheet3!$B$2:$E$312,3,)</f>
        <v>bahan baku</v>
      </c>
      <c r="E262" s="8" t="str">
        <f>VLOOKUP(B262,Sheet3!$B$2:$E$312,4,)</f>
        <v>PCS</v>
      </c>
      <c r="F262" s="22">
        <v>1.0</v>
      </c>
      <c r="G262" s="22" t="s">
        <v>1402</v>
      </c>
      <c r="H262" s="22" t="s">
        <v>1305</v>
      </c>
      <c r="I262" s="32" t="s">
        <v>1444</v>
      </c>
      <c r="J262" s="28"/>
    </row>
    <row r="263" ht="15.75" customHeight="1">
      <c r="A263" s="33"/>
      <c r="B263" s="21" t="s">
        <v>23</v>
      </c>
      <c r="C263" s="6" t="str">
        <f>VLOOKUP(B263,Sheet3!$B$2:$E$312,2,FALSE)</f>
        <v>B001-004</v>
      </c>
      <c r="D263" s="6" t="str">
        <f>VLOOKUP(B263,Sheet3!$B$2:$E$312,3,)</f>
        <v>bahan baku</v>
      </c>
      <c r="E263" s="8" t="str">
        <f>VLOOKUP(B263,Sheet3!$B$2:$E$312,4,)</f>
        <v>PCS</v>
      </c>
      <c r="F263" s="22">
        <v>1.0</v>
      </c>
      <c r="G263" s="22" t="s">
        <v>1462</v>
      </c>
      <c r="H263" s="22" t="s">
        <v>1441</v>
      </c>
      <c r="I263" s="32" t="s">
        <v>1444</v>
      </c>
      <c r="J263" s="28"/>
    </row>
    <row r="264" ht="15.75" customHeight="1">
      <c r="A264" s="33"/>
      <c r="B264" s="21" t="s">
        <v>805</v>
      </c>
      <c r="C264" s="6" t="str">
        <f>VLOOKUP(B264,Sheet3!$B$2:$E$312,2,FALSE)</f>
        <v>#N/A</v>
      </c>
      <c r="D264" s="6" t="str">
        <f>VLOOKUP(B264,Sheet3!$B$2:$E$312,3,)</f>
        <v>#N/A</v>
      </c>
      <c r="E264" s="8" t="str">
        <f>VLOOKUP(B264,Sheet3!$B$2:$E$312,4,)</f>
        <v>#N/A</v>
      </c>
      <c r="F264" s="22">
        <v>424.0</v>
      </c>
      <c r="G264" s="22" t="s">
        <v>1164</v>
      </c>
      <c r="H264" s="22" t="s">
        <v>1514</v>
      </c>
      <c r="I264" s="32" t="s">
        <v>1444</v>
      </c>
      <c r="J264" s="28"/>
    </row>
    <row r="265" ht="15.75" customHeight="1">
      <c r="A265" s="33"/>
      <c r="B265" s="21" t="s">
        <v>653</v>
      </c>
      <c r="C265" s="6" t="str">
        <f>VLOOKUP(B265,Sheet3!$B$2:$E$312,2,FALSE)</f>
        <v>P004-022</v>
      </c>
      <c r="D265" s="6" t="str">
        <f>VLOOKUP(B265,Sheet3!$B$2:$E$312,3,)</f>
        <v>barang jadi &amp; bahan baku</v>
      </c>
      <c r="E265" s="8" t="str">
        <f>VLOOKUP(B265,Sheet3!$B$2:$E$312,4,)</f>
        <v>CC</v>
      </c>
      <c r="F265" s="22">
        <v>1542.0</v>
      </c>
      <c r="G265" s="22" t="s">
        <v>1164</v>
      </c>
      <c r="H265" s="22" t="s">
        <v>1514</v>
      </c>
      <c r="I265" s="32" t="s">
        <v>1444</v>
      </c>
      <c r="J265" s="28"/>
    </row>
    <row r="266" ht="15.75" customHeight="1">
      <c r="A266" s="33"/>
      <c r="B266" s="21" t="s">
        <v>657</v>
      </c>
      <c r="C266" s="6" t="str">
        <f>VLOOKUP(B266,Sheet3!$B$2:$E$312,2,FALSE)</f>
        <v>P004-023</v>
      </c>
      <c r="D266" s="6" t="str">
        <f>VLOOKUP(B266,Sheet3!$B$2:$E$312,3,)</f>
        <v>barang jadi &amp; bahan baku</v>
      </c>
      <c r="E266" s="8" t="str">
        <f>VLOOKUP(B266,Sheet3!$B$2:$E$312,4,)</f>
        <v>CC</v>
      </c>
      <c r="F266" s="22">
        <v>2347.0</v>
      </c>
      <c r="G266" s="22" t="s">
        <v>1164</v>
      </c>
      <c r="H266" s="22" t="s">
        <v>1514</v>
      </c>
      <c r="I266" s="32" t="s">
        <v>1444</v>
      </c>
      <c r="J266" s="28"/>
    </row>
    <row r="267" ht="15.75" customHeight="1">
      <c r="A267" s="33"/>
      <c r="B267" s="21" t="s">
        <v>664</v>
      </c>
      <c r="C267" s="6" t="str">
        <f>VLOOKUP(B267,Sheet3!$B$2:$E$312,2,FALSE)</f>
        <v>P004-025</v>
      </c>
      <c r="D267" s="6" t="str">
        <f>VLOOKUP(B267,Sheet3!$B$2:$E$312,3,)</f>
        <v>barang jadi &amp; bahan baku</v>
      </c>
      <c r="E267" s="8" t="str">
        <f>VLOOKUP(B267,Sheet3!$B$2:$E$312,4,)</f>
        <v>ML</v>
      </c>
      <c r="F267" s="22">
        <v>1184.0</v>
      </c>
      <c r="G267" s="22" t="s">
        <v>1164</v>
      </c>
      <c r="H267" s="22" t="s">
        <v>1514</v>
      </c>
      <c r="I267" s="32" t="s">
        <v>1444</v>
      </c>
      <c r="J267" s="28"/>
    </row>
    <row r="268" ht="15.75" customHeight="1">
      <c r="A268" s="33"/>
      <c r="B268" s="21" t="s">
        <v>636</v>
      </c>
      <c r="C268" s="6" t="str">
        <f>VLOOKUP(B268,Sheet3!$B$2:$E$312,2,FALSE)</f>
        <v>P004-015</v>
      </c>
      <c r="D268" s="6" t="str">
        <f>VLOOKUP(B268,Sheet3!$B$2:$E$312,3,)</f>
        <v>barang jadi &amp; bahan baku</v>
      </c>
      <c r="E268" s="8" t="str">
        <f>VLOOKUP(B268,Sheet3!$B$2:$E$312,4,)</f>
        <v>GR</v>
      </c>
      <c r="F268" s="22">
        <v>124.0</v>
      </c>
      <c r="G268" s="22" t="s">
        <v>1164</v>
      </c>
      <c r="H268" s="22" t="s">
        <v>1305</v>
      </c>
      <c r="I268" s="32" t="s">
        <v>1444</v>
      </c>
      <c r="J268" s="28"/>
    </row>
    <row r="269" ht="15.75" customHeight="1">
      <c r="A269" s="33"/>
      <c r="B269" s="21" t="s">
        <v>502</v>
      </c>
      <c r="C269" s="6" t="str">
        <f>VLOOKUP(B269,Sheet3!$B$2:$E$312,2,FALSE)</f>
        <v>S001-002</v>
      </c>
      <c r="D269" s="6" t="str">
        <f>VLOOKUP(B269,Sheet3!$B$2:$E$312,3,)</f>
        <v>barang jadi</v>
      </c>
      <c r="E269" s="8" t="str">
        <f>VLOOKUP(B269,Sheet3!$B$2:$E$312,4,)</f>
        <v>PORSI</v>
      </c>
      <c r="F269" s="22">
        <v>5.0</v>
      </c>
      <c r="G269" s="22" t="s">
        <v>1164</v>
      </c>
      <c r="H269" s="22" t="s">
        <v>1305</v>
      </c>
      <c r="I269" s="32" t="s">
        <v>1446</v>
      </c>
      <c r="J269" s="32" t="s">
        <v>1522</v>
      </c>
    </row>
    <row r="270" ht="15.75" customHeight="1">
      <c r="A270" s="33"/>
      <c r="B270" s="21" t="s">
        <v>211</v>
      </c>
      <c r="C270" s="6" t="str">
        <f>VLOOKUP(B270,Sheet3!$B$2:$E$312,2,FALSE)</f>
        <v>B001-088</v>
      </c>
      <c r="D270" s="6" t="str">
        <f>VLOOKUP(B270,Sheet3!$B$2:$E$312,3,)</f>
        <v>bahan baku</v>
      </c>
      <c r="E270" s="8" t="str">
        <f>VLOOKUP(B270,Sheet3!$B$2:$E$312,4,)</f>
        <v>GR</v>
      </c>
      <c r="F270" s="22">
        <v>262.0</v>
      </c>
      <c r="G270" s="22" t="s">
        <v>1445</v>
      </c>
      <c r="H270" s="22" t="s">
        <v>1441</v>
      </c>
      <c r="I270" s="32" t="s">
        <v>1444</v>
      </c>
      <c r="J270" s="28"/>
    </row>
    <row r="271" ht="15.75" customHeight="1">
      <c r="A271" s="33"/>
      <c r="B271" s="90" t="s">
        <v>629</v>
      </c>
      <c r="C271" s="91" t="str">
        <f>VLOOKUP(B271,Sheet3!$B$2:$E$312,2,FALSE)</f>
        <v>P004-012</v>
      </c>
      <c r="D271" s="91" t="str">
        <f>VLOOKUP(B271,Sheet3!$B$2:$E$312,3,)</f>
        <v>barang jadi &amp; bahan baku</v>
      </c>
      <c r="E271" s="93" t="s">
        <v>20</v>
      </c>
      <c r="F271" s="93">
        <v>158.0</v>
      </c>
      <c r="G271" s="93" t="s">
        <v>1164</v>
      </c>
      <c r="H271" s="93" t="s">
        <v>1539</v>
      </c>
      <c r="I271" s="32"/>
      <c r="J271" s="28"/>
    </row>
    <row r="272" ht="15.75" customHeight="1">
      <c r="A272" s="33"/>
      <c r="B272" s="21" t="s">
        <v>148</v>
      </c>
      <c r="C272" s="6" t="str">
        <f>VLOOKUP(B272,Sheet3!$B$2:$E$312,2,FALSE)</f>
        <v>B001-064</v>
      </c>
      <c r="D272" s="6" t="str">
        <f>VLOOKUP(B272,Sheet3!$B$2:$E$312,3,)</f>
        <v>bahan baku</v>
      </c>
      <c r="E272" s="8" t="str">
        <f>VLOOKUP(B272,Sheet3!$B$2:$E$312,4,)</f>
        <v>GR</v>
      </c>
      <c r="F272" s="22">
        <v>80.0</v>
      </c>
      <c r="G272" s="22" t="s">
        <v>1224</v>
      </c>
      <c r="H272" s="22" t="s">
        <v>1539</v>
      </c>
      <c r="I272" s="32" t="s">
        <v>1444</v>
      </c>
      <c r="J272" s="28"/>
    </row>
    <row r="273" ht="15.75" customHeight="1">
      <c r="A273" s="33"/>
      <c r="B273" s="21" t="s">
        <v>28</v>
      </c>
      <c r="C273" s="6" t="str">
        <f>VLOOKUP(B273,Sheet3!$B$2:$E$312,2,FALSE)</f>
        <v>B001-006</v>
      </c>
      <c r="D273" s="6" t="str">
        <f>VLOOKUP(B273,Sheet3!$B$2:$E$312,3,)</f>
        <v>bahan baku</v>
      </c>
      <c r="E273" s="8" t="str">
        <f>VLOOKUP(B273,Sheet3!$B$2:$E$312,4,)</f>
        <v>GR</v>
      </c>
      <c r="F273" s="22">
        <v>13.0</v>
      </c>
      <c r="G273" s="22" t="s">
        <v>1445</v>
      </c>
      <c r="H273" s="22" t="s">
        <v>1539</v>
      </c>
      <c r="I273" s="32" t="s">
        <v>1444</v>
      </c>
      <c r="J273" s="28"/>
    </row>
    <row r="274" ht="15.75" customHeight="1">
      <c r="A274" s="33"/>
      <c r="B274" s="21" t="s">
        <v>221</v>
      </c>
      <c r="C274" s="6" t="str">
        <f>VLOOKUP(B274,Sheet3!$B$2:$E$312,2,FALSE)</f>
        <v>B001-098</v>
      </c>
      <c r="D274" s="6" t="str">
        <f>VLOOKUP(B274,Sheet3!$B$2:$E$312,3,)</f>
        <v>bahan baku</v>
      </c>
      <c r="E274" s="8" t="str">
        <f>VLOOKUP(B274,Sheet3!$B$2:$E$312,4,)</f>
        <v>GR</v>
      </c>
      <c r="F274" s="22">
        <v>2.0</v>
      </c>
      <c r="G274" s="22" t="s">
        <v>1216</v>
      </c>
      <c r="H274" s="22" t="s">
        <v>1539</v>
      </c>
      <c r="I274" s="32" t="s">
        <v>1444</v>
      </c>
      <c r="J274" s="28"/>
    </row>
    <row r="275" ht="15.75" customHeight="1">
      <c r="A275" s="33"/>
      <c r="B275" s="21" t="s">
        <v>132</v>
      </c>
      <c r="C275" s="6" t="str">
        <f>VLOOKUP(B275,Sheet3!$B$2:$E$312,2,FALSE)</f>
        <v>B001-057</v>
      </c>
      <c r="D275" s="6" t="str">
        <f>VLOOKUP(B275,Sheet3!$B$2:$E$312,3,)</f>
        <v>bahan baku</v>
      </c>
      <c r="E275" s="8" t="str">
        <f>VLOOKUP(B275,Sheet3!$B$2:$E$312,4,)</f>
        <v>GR</v>
      </c>
      <c r="F275" s="22">
        <v>26.0</v>
      </c>
      <c r="G275" s="22" t="s">
        <v>1668</v>
      </c>
      <c r="H275" s="22" t="s">
        <v>1539</v>
      </c>
      <c r="I275" s="32" t="s">
        <v>1446</v>
      </c>
      <c r="J275" s="32" t="s">
        <v>1722</v>
      </c>
    </row>
    <row r="276" ht="15.75" customHeight="1">
      <c r="A276" s="33"/>
      <c r="B276" s="21" t="s">
        <v>137</v>
      </c>
      <c r="C276" s="6" t="str">
        <f>VLOOKUP(B276,Sheet3!$B$2:$E$312,2,FALSE)</f>
        <v>B001-060</v>
      </c>
      <c r="D276" s="6" t="str">
        <f>VLOOKUP(B276,Sheet3!$B$2:$E$312,3,)</f>
        <v>bahan baku</v>
      </c>
      <c r="E276" s="8" t="str">
        <f>VLOOKUP(B276,Sheet3!$B$2:$E$312,4,)</f>
        <v>GR</v>
      </c>
      <c r="F276" s="22">
        <v>32.0</v>
      </c>
      <c r="G276" s="22" t="s">
        <v>1216</v>
      </c>
      <c r="H276" s="22" t="s">
        <v>1539</v>
      </c>
      <c r="I276" s="32" t="s">
        <v>1444</v>
      </c>
      <c r="J276" s="28"/>
    </row>
    <row r="277" ht="15.75" customHeight="1">
      <c r="A277" s="34"/>
      <c r="B277" s="21" t="s">
        <v>139</v>
      </c>
      <c r="C277" s="6" t="str">
        <f>VLOOKUP(B277,Sheet3!$B$2:$E$312,2,FALSE)</f>
        <v>B001-061</v>
      </c>
      <c r="D277" s="6" t="str">
        <f>VLOOKUP(B277,Sheet3!$B$2:$E$312,3,)</f>
        <v>bahan baku</v>
      </c>
      <c r="E277" s="8" t="str">
        <f>VLOOKUP(B277,Sheet3!$B$2:$E$312,4,)</f>
        <v>GR</v>
      </c>
      <c r="F277" s="22">
        <v>9.0</v>
      </c>
      <c r="G277" s="22" t="s">
        <v>1216</v>
      </c>
      <c r="H277" s="22" t="s">
        <v>1539</v>
      </c>
      <c r="I277" s="32" t="s">
        <v>1444</v>
      </c>
      <c r="J277" s="28"/>
    </row>
    <row r="278" ht="15.75" hidden="1" customHeight="1">
      <c r="A278" s="88" t="s">
        <v>1725</v>
      </c>
      <c r="B278" s="21" t="s">
        <v>416</v>
      </c>
      <c r="C278" s="6" t="str">
        <f>VLOOKUP(B278,Sheet3!$B$2:$E$312,2,FALSE)</f>
        <v>J001-004</v>
      </c>
      <c r="D278" s="6" t="str">
        <f>VLOOKUP(B278,Sheet3!$B$2:$E$312,3,)</f>
        <v>barang jadi</v>
      </c>
      <c r="E278" s="8" t="str">
        <f>VLOOKUP(B278,Sheet3!$B$2:$E$312,4,)</f>
        <v>PORSI</v>
      </c>
      <c r="F278" s="22">
        <v>1.0</v>
      </c>
      <c r="G278" s="22" t="s">
        <v>1726</v>
      </c>
      <c r="H278" s="22" t="s">
        <v>1225</v>
      </c>
      <c r="I278" s="32" t="s">
        <v>1444</v>
      </c>
      <c r="J278" s="28"/>
    </row>
    <row r="279" ht="15.75" hidden="1" customHeight="1">
      <c r="A279" s="33"/>
      <c r="B279" s="21" t="s">
        <v>601</v>
      </c>
      <c r="C279" s="6" t="str">
        <f>VLOOKUP(B279,Sheet3!$B$2:$E$312,2,FALSE)</f>
        <v>D003-004</v>
      </c>
      <c r="D279" s="6" t="str">
        <f>VLOOKUP(B279,Sheet3!$B$2:$E$312,3,)</f>
        <v>barang jadi &amp; bahan baku</v>
      </c>
      <c r="E279" s="8" t="str">
        <f>VLOOKUP(B279,Sheet3!$B$2:$E$312,4,)</f>
        <v>PORSI</v>
      </c>
      <c r="F279" s="22">
        <v>1.0</v>
      </c>
      <c r="G279" s="22" t="s">
        <v>1727</v>
      </c>
      <c r="H279" s="22" t="s">
        <v>1728</v>
      </c>
      <c r="I279" s="32" t="s">
        <v>1444</v>
      </c>
      <c r="J279" s="28"/>
    </row>
    <row r="280" ht="15.75" customHeight="1">
      <c r="A280" s="33"/>
      <c r="B280" s="21" t="s">
        <v>86</v>
      </c>
      <c r="C280" s="6" t="str">
        <f>VLOOKUP(B280,Sheet3!$B$2:$E$312,2,FALSE)</f>
        <v>B001-036</v>
      </c>
      <c r="D280" s="6" t="str">
        <f>VLOOKUP(B280,Sheet3!$B$2:$E$312,3,)</f>
        <v>bahan baku</v>
      </c>
      <c r="E280" s="8" t="str">
        <f>VLOOKUP(B280,Sheet3!$B$2:$E$312,4,)</f>
        <v>GR</v>
      </c>
      <c r="F280" s="22">
        <v>39.0</v>
      </c>
      <c r="G280" s="22" t="s">
        <v>1445</v>
      </c>
      <c r="H280" s="22" t="s">
        <v>1523</v>
      </c>
      <c r="I280" s="32" t="s">
        <v>1165</v>
      </c>
      <c r="J280" s="28"/>
    </row>
    <row r="281" ht="15.75" customHeight="1">
      <c r="A281" s="33"/>
      <c r="B281" s="21" t="s">
        <v>135</v>
      </c>
      <c r="C281" s="6" t="str">
        <f>VLOOKUP(B281,Sheet3!$B$2:$E$312,2,FALSE)</f>
        <v>B001-058</v>
      </c>
      <c r="D281" s="6" t="str">
        <f>VLOOKUP(B281,Sheet3!$B$2:$E$312,3,)</f>
        <v>bahan baku</v>
      </c>
      <c r="E281" s="8" t="str">
        <f>VLOOKUP(B281,Sheet3!$B$2:$E$312,4,)</f>
        <v>GR</v>
      </c>
      <c r="F281" s="22">
        <v>393.0</v>
      </c>
      <c r="G281" s="22" t="s">
        <v>1164</v>
      </c>
      <c r="H281" s="22" t="s">
        <v>1528</v>
      </c>
      <c r="I281" s="32" t="s">
        <v>1165</v>
      </c>
      <c r="J281" s="28"/>
    </row>
    <row r="282" ht="15.75" hidden="1" customHeight="1">
      <c r="A282" s="33"/>
      <c r="B282" s="21" t="s">
        <v>71</v>
      </c>
      <c r="C282" s="6" t="str">
        <f>VLOOKUP(B282,Sheet3!$B$2:$E$312,2,FALSE)</f>
        <v>B001-027</v>
      </c>
      <c r="D282" s="6" t="str">
        <f>VLOOKUP(B282,Sheet3!$B$2:$E$312,3,)</f>
        <v>bahan baku</v>
      </c>
      <c r="E282" s="8" t="str">
        <f>VLOOKUP(B282,Sheet3!$B$2:$E$312,4,)</f>
        <v>GR</v>
      </c>
      <c r="F282" s="22">
        <v>240.0</v>
      </c>
      <c r="G282" s="22" t="s">
        <v>1726</v>
      </c>
      <c r="H282" s="22" t="s">
        <v>1509</v>
      </c>
      <c r="I282" s="32" t="s">
        <v>1165</v>
      </c>
      <c r="J282" s="28"/>
    </row>
    <row r="283" ht="15.75" customHeight="1">
      <c r="A283" s="33"/>
      <c r="B283" s="21" t="s">
        <v>657</v>
      </c>
      <c r="C283" s="6" t="str">
        <f>VLOOKUP(B283,Sheet3!$B$2:$E$312,2,FALSE)</f>
        <v>P004-023</v>
      </c>
      <c r="D283" s="6" t="str">
        <f>VLOOKUP(B283,Sheet3!$B$2:$E$312,3,)</f>
        <v>barang jadi &amp; bahan baku</v>
      </c>
      <c r="E283" s="8" t="str">
        <f>VLOOKUP(B283,Sheet3!$B$2:$E$312,4,)</f>
        <v>CC</v>
      </c>
      <c r="F283" s="22">
        <v>2643.0</v>
      </c>
      <c r="G283" s="22" t="s">
        <v>1216</v>
      </c>
      <c r="H283" s="22" t="s">
        <v>1523</v>
      </c>
      <c r="I283" s="32" t="s">
        <v>1165</v>
      </c>
      <c r="J283" s="28"/>
    </row>
    <row r="284" ht="15.75" customHeight="1">
      <c r="A284" s="33"/>
      <c r="B284" s="21" t="s">
        <v>653</v>
      </c>
      <c r="C284" s="6" t="str">
        <f>VLOOKUP(B284,Sheet3!$B$2:$E$312,2,FALSE)</f>
        <v>P004-022</v>
      </c>
      <c r="D284" s="6" t="str">
        <f>VLOOKUP(B284,Sheet3!$B$2:$E$312,3,)</f>
        <v>barang jadi &amp; bahan baku</v>
      </c>
      <c r="E284" s="8" t="str">
        <f>VLOOKUP(B284,Sheet3!$B$2:$E$312,4,)</f>
        <v>CC</v>
      </c>
      <c r="F284" s="22">
        <v>2100.0</v>
      </c>
      <c r="G284" s="22" t="s">
        <v>1216</v>
      </c>
      <c r="H284" s="22" t="s">
        <v>1523</v>
      </c>
      <c r="I284" s="32" t="s">
        <v>1165</v>
      </c>
      <c r="J284" s="28"/>
    </row>
    <row r="285" ht="15.75" customHeight="1">
      <c r="A285" s="33"/>
      <c r="B285" s="21" t="s">
        <v>805</v>
      </c>
      <c r="C285" s="6" t="str">
        <f>VLOOKUP(B285,Sheet3!$B$2:$E$312,2,FALSE)</f>
        <v>#N/A</v>
      </c>
      <c r="D285" s="6" t="str">
        <f>VLOOKUP(B285,Sheet3!$B$2:$E$312,3,)</f>
        <v>#N/A</v>
      </c>
      <c r="E285" s="8" t="str">
        <f>VLOOKUP(B285,Sheet3!$B$2:$E$312,4,)</f>
        <v>#N/A</v>
      </c>
      <c r="F285" s="22">
        <v>489.0</v>
      </c>
      <c r="G285" s="22" t="s">
        <v>1216</v>
      </c>
      <c r="H285" s="22" t="s">
        <v>1523</v>
      </c>
      <c r="I285" s="32" t="s">
        <v>1165</v>
      </c>
      <c r="J285" s="28"/>
    </row>
    <row r="286" ht="15.75" customHeight="1">
      <c r="A286" s="33"/>
      <c r="B286" s="21" t="s">
        <v>148</v>
      </c>
      <c r="C286" s="6" t="str">
        <f>VLOOKUP(B286,Sheet3!$B$2:$E$312,2,FALSE)</f>
        <v>B001-064</v>
      </c>
      <c r="D286" s="6" t="str">
        <f>VLOOKUP(B286,Sheet3!$B$2:$E$312,3,)</f>
        <v>bahan baku</v>
      </c>
      <c r="E286" s="8" t="str">
        <f>VLOOKUP(B286,Sheet3!$B$2:$E$312,4,)</f>
        <v>GR</v>
      </c>
      <c r="F286" s="22">
        <v>35.0</v>
      </c>
      <c r="G286" s="22" t="s">
        <v>1445</v>
      </c>
      <c r="H286" s="22" t="s">
        <v>1539</v>
      </c>
      <c r="I286" s="32" t="s">
        <v>1165</v>
      </c>
      <c r="J286" s="28"/>
    </row>
    <row r="287" ht="15.75" customHeight="1">
      <c r="A287" s="33"/>
      <c r="B287" s="21" t="s">
        <v>28</v>
      </c>
      <c r="C287" s="6" t="str">
        <f>VLOOKUP(B287,Sheet3!$B$2:$E$312,2,FALSE)</f>
        <v>B001-006</v>
      </c>
      <c r="D287" s="6" t="str">
        <f>VLOOKUP(B287,Sheet3!$B$2:$E$312,3,)</f>
        <v>bahan baku</v>
      </c>
      <c r="E287" s="8" t="str">
        <f>VLOOKUP(B287,Sheet3!$B$2:$E$312,4,)</f>
        <v>GR</v>
      </c>
      <c r="F287" s="22">
        <v>24.0</v>
      </c>
      <c r="G287" s="22" t="s">
        <v>1445</v>
      </c>
      <c r="H287" s="22" t="s">
        <v>1539</v>
      </c>
      <c r="I287" s="32" t="s">
        <v>1165</v>
      </c>
      <c r="J287" s="28"/>
    </row>
    <row r="288" ht="15.75" customHeight="1">
      <c r="A288" s="33"/>
      <c r="B288" s="21" t="s">
        <v>502</v>
      </c>
      <c r="C288" s="6" t="str">
        <f>VLOOKUP(B288,Sheet3!$B$2:$E$312,2,FALSE)</f>
        <v>S001-002</v>
      </c>
      <c r="D288" s="6" t="str">
        <f>VLOOKUP(B288,Sheet3!$B$2:$E$312,3,)</f>
        <v>barang jadi</v>
      </c>
      <c r="E288" s="8" t="str">
        <f>VLOOKUP(B288,Sheet3!$B$2:$E$312,4,)</f>
        <v>PORSI</v>
      </c>
      <c r="F288" s="22">
        <v>7.0</v>
      </c>
      <c r="G288" s="22" t="s">
        <v>1216</v>
      </c>
      <c r="H288" s="22" t="s">
        <v>1305</v>
      </c>
      <c r="I288" s="96" t="s">
        <v>1734</v>
      </c>
      <c r="J288" s="28"/>
    </row>
    <row r="289" ht="15.75" customHeight="1">
      <c r="A289" s="33"/>
      <c r="B289" s="21" t="s">
        <v>33</v>
      </c>
      <c r="C289" s="6" t="str">
        <f>VLOOKUP(B289,Sheet3!$B$2:$E$312,2,FALSE)</f>
        <v>B001-008</v>
      </c>
      <c r="D289" s="6" t="str">
        <f>VLOOKUP(B289,Sheet3!$B$2:$E$312,3,)</f>
        <v>bahan baku</v>
      </c>
      <c r="E289" s="8" t="str">
        <f>VLOOKUP(B289,Sheet3!$B$2:$E$312,4,)</f>
        <v>GR</v>
      </c>
      <c r="F289" s="22">
        <v>460.0</v>
      </c>
      <c r="G289" s="22" t="s">
        <v>1633</v>
      </c>
      <c r="H289" s="22" t="s">
        <v>1305</v>
      </c>
      <c r="I289" s="32" t="s">
        <v>1165</v>
      </c>
      <c r="J289" s="28"/>
    </row>
    <row r="290" ht="15.75" customHeight="1">
      <c r="A290" s="34"/>
      <c r="B290" s="21" t="s">
        <v>129</v>
      </c>
      <c r="C290" s="6" t="str">
        <f>VLOOKUP(B290,Sheet3!$B$2:$E$312,2,FALSE)</f>
        <v>B001-056</v>
      </c>
      <c r="D290" s="6" t="str">
        <f>VLOOKUP(B290,Sheet3!$B$2:$E$312,3,)</f>
        <v>bahan baku</v>
      </c>
      <c r="E290" s="8" t="str">
        <f>VLOOKUP(B290,Sheet3!$B$2:$E$312,4,)</f>
        <v>ML</v>
      </c>
      <c r="F290" s="22">
        <v>5.0</v>
      </c>
      <c r="G290" s="22" t="s">
        <v>1633</v>
      </c>
      <c r="H290" s="22" t="s">
        <v>1305</v>
      </c>
      <c r="I290" s="96" t="s">
        <v>1735</v>
      </c>
      <c r="J290" s="28"/>
    </row>
    <row r="291" ht="15.75" customHeight="1">
      <c r="A291" s="88" t="s">
        <v>1736</v>
      </c>
      <c r="B291" s="21" t="s">
        <v>148</v>
      </c>
      <c r="C291" s="6" t="str">
        <f>VLOOKUP(B291,Sheet3!$B$2:$E$312,2,FALSE)</f>
        <v>B001-064</v>
      </c>
      <c r="D291" s="6" t="str">
        <f>VLOOKUP(B291,Sheet3!$B$2:$E$312,3,)</f>
        <v>bahan baku</v>
      </c>
      <c r="E291" s="8" t="str">
        <f>VLOOKUP(B291,Sheet3!$B$2:$E$312,4,)</f>
        <v>GR</v>
      </c>
      <c r="F291" s="22">
        <v>146.0</v>
      </c>
      <c r="G291" s="22" t="s">
        <v>1224</v>
      </c>
      <c r="H291" s="22" t="s">
        <v>1528</v>
      </c>
      <c r="I291" s="32" t="s">
        <v>1165</v>
      </c>
      <c r="J291" s="28"/>
    </row>
    <row r="292" ht="15.75" customHeight="1">
      <c r="A292" s="33"/>
      <c r="B292" s="21" t="s">
        <v>36</v>
      </c>
      <c r="C292" s="6" t="str">
        <f>VLOOKUP(B292,Sheet3!$B$2:$E$312,2,FALSE)</f>
        <v>B001-009</v>
      </c>
      <c r="D292" s="6" t="str">
        <f>VLOOKUP(B292,Sheet3!$B$2:$E$312,3,)</f>
        <v>bahan baku</v>
      </c>
      <c r="E292" s="8" t="str">
        <f>VLOOKUP(B292,Sheet3!$B$2:$E$312,4,)</f>
        <v>GR</v>
      </c>
      <c r="F292" s="22">
        <v>25.0</v>
      </c>
      <c r="G292" s="22" t="s">
        <v>1721</v>
      </c>
      <c r="H292" s="22" t="s">
        <v>1512</v>
      </c>
      <c r="I292" s="32" t="s">
        <v>1165</v>
      </c>
      <c r="J292" s="28"/>
    </row>
    <row r="293" ht="15.75" customHeight="1">
      <c r="A293" s="33"/>
      <c r="B293" s="21" t="s">
        <v>33</v>
      </c>
      <c r="C293" s="6" t="str">
        <f>VLOOKUP(B293,Sheet3!$B$2:$E$312,2,FALSE)</f>
        <v>B001-008</v>
      </c>
      <c r="D293" s="6" t="str">
        <f>VLOOKUP(B293,Sheet3!$B$2:$E$312,3,)</f>
        <v>bahan baku</v>
      </c>
      <c r="E293" s="8" t="str">
        <f>VLOOKUP(B293,Sheet3!$B$2:$E$312,4,)</f>
        <v>GR</v>
      </c>
      <c r="F293" s="22">
        <v>1612.0</v>
      </c>
      <c r="G293" s="22" t="s">
        <v>1633</v>
      </c>
      <c r="H293" s="22" t="s">
        <v>1305</v>
      </c>
      <c r="I293" s="32" t="s">
        <v>1165</v>
      </c>
      <c r="J293" s="28"/>
    </row>
    <row r="294" ht="15.75" customHeight="1">
      <c r="A294" s="33"/>
      <c r="B294" s="21" t="s">
        <v>129</v>
      </c>
      <c r="C294" s="6" t="str">
        <f>VLOOKUP(B294,Sheet3!$B$2:$E$312,2,FALSE)</f>
        <v>B001-056</v>
      </c>
      <c r="D294" s="6" t="str">
        <f>VLOOKUP(B294,Sheet3!$B$2:$E$312,3,)</f>
        <v>bahan baku</v>
      </c>
      <c r="E294" s="8" t="str">
        <f>VLOOKUP(B294,Sheet3!$B$2:$E$312,4,)</f>
        <v>ML</v>
      </c>
      <c r="F294" s="22">
        <v>16.0</v>
      </c>
      <c r="G294" s="22" t="s">
        <v>1633</v>
      </c>
      <c r="H294" s="22" t="s">
        <v>1305</v>
      </c>
      <c r="I294" s="32" t="s">
        <v>1165</v>
      </c>
      <c r="J294" s="28"/>
    </row>
    <row r="295" ht="15.75" customHeight="1">
      <c r="A295" s="33"/>
      <c r="B295" s="21" t="s">
        <v>502</v>
      </c>
      <c r="C295" s="6" t="str">
        <f>VLOOKUP(B295,Sheet3!$B$2:$E$312,2,FALSE)</f>
        <v>S001-002</v>
      </c>
      <c r="D295" s="6" t="str">
        <f>VLOOKUP(B295,Sheet3!$B$2:$E$312,3,)</f>
        <v>barang jadi</v>
      </c>
      <c r="E295" s="8" t="str">
        <f>VLOOKUP(B295,Sheet3!$B$2:$E$312,4,)</f>
        <v>PORSI</v>
      </c>
      <c r="F295" s="22">
        <v>7.0</v>
      </c>
      <c r="G295" s="22" t="s">
        <v>1216</v>
      </c>
      <c r="H295" s="22" t="s">
        <v>1305</v>
      </c>
      <c r="I295" s="96" t="s">
        <v>1734</v>
      </c>
      <c r="J295" s="28"/>
    </row>
    <row r="296" ht="15.75" customHeight="1">
      <c r="A296" s="33"/>
      <c r="B296" s="21" t="s">
        <v>653</v>
      </c>
      <c r="C296" s="6" t="str">
        <f>VLOOKUP(B296,Sheet3!$B$2:$E$312,2,FALSE)</f>
        <v>P004-022</v>
      </c>
      <c r="D296" s="6" t="str">
        <f>VLOOKUP(B296,Sheet3!$B$2:$E$312,3,)</f>
        <v>barang jadi &amp; bahan baku</v>
      </c>
      <c r="E296" s="8" t="str">
        <f>VLOOKUP(B296,Sheet3!$B$2:$E$312,4,)</f>
        <v>CC</v>
      </c>
      <c r="F296" s="22">
        <v>1723.0</v>
      </c>
      <c r="G296" s="22" t="s">
        <v>1216</v>
      </c>
      <c r="H296" s="22" t="s">
        <v>1523</v>
      </c>
      <c r="I296" s="32" t="s">
        <v>1165</v>
      </c>
      <c r="J296" s="28"/>
    </row>
    <row r="297" ht="15.75" customHeight="1">
      <c r="A297" s="33"/>
      <c r="B297" s="21" t="s">
        <v>805</v>
      </c>
      <c r="C297" s="6" t="str">
        <f>VLOOKUP(B297,Sheet3!$B$2:$E$312,2,FALSE)</f>
        <v>#N/A</v>
      </c>
      <c r="D297" s="6" t="str">
        <f>VLOOKUP(B297,Sheet3!$B$2:$E$312,3,)</f>
        <v>#N/A</v>
      </c>
      <c r="E297" s="8" t="str">
        <f>VLOOKUP(B297,Sheet3!$B$2:$E$312,4,)</f>
        <v>#N/A</v>
      </c>
      <c r="F297" s="22">
        <v>1760.0</v>
      </c>
      <c r="G297" s="22" t="s">
        <v>1216</v>
      </c>
      <c r="H297" s="22" t="s">
        <v>1523</v>
      </c>
      <c r="I297" s="32" t="s">
        <v>1165</v>
      </c>
      <c r="J297" s="28"/>
    </row>
    <row r="298" ht="15.75" customHeight="1">
      <c r="A298" s="33"/>
      <c r="B298" s="21" t="s">
        <v>657</v>
      </c>
      <c r="C298" s="6" t="str">
        <f>VLOOKUP(B298,Sheet3!$B$2:$E$312,2,FALSE)</f>
        <v>P004-023</v>
      </c>
      <c r="D298" s="6" t="str">
        <f>VLOOKUP(B298,Sheet3!$B$2:$E$312,3,)</f>
        <v>barang jadi &amp; bahan baku</v>
      </c>
      <c r="E298" s="8" t="str">
        <f>VLOOKUP(B298,Sheet3!$B$2:$E$312,4,)</f>
        <v>CC</v>
      </c>
      <c r="F298" s="22">
        <v>3386.0</v>
      </c>
      <c r="G298" s="22" t="s">
        <v>1216</v>
      </c>
      <c r="H298" s="22" t="s">
        <v>1523</v>
      </c>
      <c r="I298" s="32" t="s">
        <v>1165</v>
      </c>
      <c r="J298" s="28"/>
    </row>
    <row r="299" ht="15.75" customHeight="1">
      <c r="A299" s="33"/>
      <c r="B299" s="21" t="s">
        <v>132</v>
      </c>
      <c r="C299" s="6" t="str">
        <f>VLOOKUP(B299,Sheet3!$B$2:$E$312,2,FALSE)</f>
        <v>B001-057</v>
      </c>
      <c r="D299" s="6" t="str">
        <f>VLOOKUP(B299,Sheet3!$B$2:$E$312,3,)</f>
        <v>bahan baku</v>
      </c>
      <c r="E299" s="8" t="str">
        <f>VLOOKUP(B299,Sheet3!$B$2:$E$312,4,)</f>
        <v>GR</v>
      </c>
      <c r="F299" s="22">
        <v>280.0</v>
      </c>
      <c r="G299" s="22" t="s">
        <v>1742</v>
      </c>
      <c r="H299" s="22" t="s">
        <v>1539</v>
      </c>
      <c r="I299" s="32" t="s">
        <v>1165</v>
      </c>
      <c r="J299" s="28"/>
    </row>
    <row r="300" ht="15.75" customHeight="1">
      <c r="A300" s="33"/>
      <c r="B300" s="21" t="s">
        <v>52</v>
      </c>
      <c r="C300" s="6" t="str">
        <f>VLOOKUP(B300,Sheet3!$B$2:$E$312,2,FALSE)</f>
        <v>B001-018</v>
      </c>
      <c r="D300" s="6" t="str">
        <f>VLOOKUP(B300,Sheet3!$B$2:$E$312,3,)</f>
        <v>bahan baku</v>
      </c>
      <c r="E300" s="8" t="str">
        <f>VLOOKUP(B300,Sheet3!$B$2:$E$312,4,)</f>
        <v>GR</v>
      </c>
      <c r="F300" s="22">
        <v>12.0</v>
      </c>
      <c r="G300" s="22" t="s">
        <v>1224</v>
      </c>
      <c r="H300" s="22" t="s">
        <v>1539</v>
      </c>
      <c r="I300" s="32" t="s">
        <v>1165</v>
      </c>
      <c r="J300" s="28"/>
    </row>
    <row r="301" ht="15.75" customHeight="1">
      <c r="A301" s="33"/>
      <c r="B301" s="21" t="s">
        <v>28</v>
      </c>
      <c r="C301" s="6" t="str">
        <f>VLOOKUP(B301,Sheet3!$B$2:$E$312,2,FALSE)</f>
        <v>B001-006</v>
      </c>
      <c r="D301" s="6" t="str">
        <f>VLOOKUP(B301,Sheet3!$B$2:$E$312,3,)</f>
        <v>bahan baku</v>
      </c>
      <c r="E301" s="8" t="str">
        <f>VLOOKUP(B301,Sheet3!$B$2:$E$312,4,)</f>
        <v>GR</v>
      </c>
      <c r="F301" s="22">
        <v>15.0</v>
      </c>
      <c r="G301" s="22" t="s">
        <v>1445</v>
      </c>
      <c r="H301" s="22" t="s">
        <v>1539</v>
      </c>
      <c r="I301" s="32" t="s">
        <v>1165</v>
      </c>
      <c r="J301" s="28"/>
    </row>
    <row r="302" ht="15.75" customHeight="1">
      <c r="A302" s="33"/>
      <c r="B302" s="21" t="s">
        <v>54</v>
      </c>
      <c r="C302" s="6" t="str">
        <f>VLOOKUP(B302,Sheet3!$B$2:$E$312,2,FALSE)</f>
        <v>B001-019</v>
      </c>
      <c r="D302" s="6" t="str">
        <f>VLOOKUP(B302,Sheet3!$B$2:$E$312,3,)</f>
        <v>bahan baku</v>
      </c>
      <c r="E302" s="8" t="str">
        <f>VLOOKUP(B302,Sheet3!$B$2:$E$312,4,)</f>
        <v>GR</v>
      </c>
      <c r="F302" s="22">
        <v>32.0</v>
      </c>
      <c r="G302" s="22" t="s">
        <v>1224</v>
      </c>
      <c r="H302" s="22" t="s">
        <v>1539</v>
      </c>
      <c r="I302" s="32" t="s">
        <v>1165</v>
      </c>
      <c r="J302" s="28"/>
    </row>
    <row r="303" ht="15.75" customHeight="1">
      <c r="A303" s="33"/>
      <c r="B303" s="21" t="s">
        <v>139</v>
      </c>
      <c r="C303" s="6" t="str">
        <f>VLOOKUP(B303,Sheet3!$B$2:$E$312,2,FALSE)</f>
        <v>B001-061</v>
      </c>
      <c r="D303" s="6" t="str">
        <f>VLOOKUP(B303,Sheet3!$B$2:$E$312,3,)</f>
        <v>bahan baku</v>
      </c>
      <c r="E303" s="8" t="str">
        <f>VLOOKUP(B303,Sheet3!$B$2:$E$312,4,)</f>
        <v>GR</v>
      </c>
      <c r="F303" s="22">
        <v>5.0</v>
      </c>
      <c r="G303" s="22" t="s">
        <v>1445</v>
      </c>
      <c r="H303" s="22" t="s">
        <v>1539</v>
      </c>
      <c r="I303" s="32" t="s">
        <v>1165</v>
      </c>
      <c r="J303" s="28"/>
    </row>
    <row r="304" ht="15.75" customHeight="1">
      <c r="A304" s="34"/>
      <c r="B304" s="21" t="s">
        <v>148</v>
      </c>
      <c r="C304" s="6" t="str">
        <f>VLOOKUP(B304,Sheet3!$B$2:$E$312,2,FALSE)</f>
        <v>B001-064</v>
      </c>
      <c r="D304" s="6" t="str">
        <f>VLOOKUP(B304,Sheet3!$B$2:$E$312,3,)</f>
        <v>bahan baku</v>
      </c>
      <c r="E304" s="8" t="str">
        <f>VLOOKUP(B304,Sheet3!$B$2:$E$312,4,)</f>
        <v>GR</v>
      </c>
      <c r="F304" s="22">
        <v>321.0</v>
      </c>
      <c r="G304" s="22" t="s">
        <v>1224</v>
      </c>
      <c r="H304" s="22" t="s">
        <v>1539</v>
      </c>
      <c r="I304" s="32" t="s">
        <v>1165</v>
      </c>
      <c r="J304" s="28"/>
    </row>
    <row r="305" ht="15.75" customHeight="1">
      <c r="A305" s="88" t="s">
        <v>1745</v>
      </c>
      <c r="B305" s="21" t="s">
        <v>306</v>
      </c>
      <c r="C305" s="6" t="str">
        <f>VLOOKUP(B305,Sheet3!$B$2:$E$312,2,FALSE)</f>
        <v>B001-127</v>
      </c>
      <c r="D305" s="6" t="str">
        <f>VLOOKUP(B305,Sheet3!$B$2:$E$312,3,)</f>
        <v>bahan baku</v>
      </c>
      <c r="E305" s="8" t="str">
        <f>VLOOKUP(B305,Sheet3!$B$2:$E$312,4,)</f>
        <v>PCS</v>
      </c>
      <c r="F305" s="22">
        <v>2.0</v>
      </c>
      <c r="G305" s="22" t="s">
        <v>1164</v>
      </c>
      <c r="H305" s="22" t="s">
        <v>1290</v>
      </c>
      <c r="I305" s="32" t="s">
        <v>1165</v>
      </c>
      <c r="J305" s="28"/>
    </row>
    <row r="306" ht="15.75" customHeight="1">
      <c r="A306" s="33"/>
      <c r="B306" s="21" t="s">
        <v>71</v>
      </c>
      <c r="C306" s="6" t="str">
        <f>VLOOKUP(B306,Sheet3!$B$2:$E$312,2,FALSE)</f>
        <v>B001-027</v>
      </c>
      <c r="D306" s="6" t="str">
        <f>VLOOKUP(B306,Sheet3!$B$2:$E$312,3,)</f>
        <v>bahan baku</v>
      </c>
      <c r="E306" s="8" t="str">
        <f>VLOOKUP(B306,Sheet3!$B$2:$E$312,4,)</f>
        <v>GR</v>
      </c>
      <c r="F306" s="22">
        <v>120.0</v>
      </c>
      <c r="G306" s="22" t="s">
        <v>1164</v>
      </c>
      <c r="H306" s="22" t="s">
        <v>1290</v>
      </c>
      <c r="I306" s="32" t="s">
        <v>1165</v>
      </c>
      <c r="J306" s="28"/>
    </row>
    <row r="307" ht="15.75" customHeight="1">
      <c r="A307" s="33"/>
      <c r="B307" s="21" t="s">
        <v>197</v>
      </c>
      <c r="C307" s="6" t="str">
        <f>VLOOKUP(B307,Sheet3!$B$2:$E$312,2,FALSE)</f>
        <v>B001-082</v>
      </c>
      <c r="D307" s="6" t="str">
        <f>VLOOKUP(B307,Sheet3!$B$2:$E$312,3,)</f>
        <v>bahan baku</v>
      </c>
      <c r="E307" s="8" t="str">
        <f>VLOOKUP(B307,Sheet3!$B$2:$E$312,4,)</f>
        <v>ML</v>
      </c>
      <c r="F307" s="22">
        <v>344.0</v>
      </c>
      <c r="G307" s="22" t="s">
        <v>1164</v>
      </c>
      <c r="H307" s="22" t="s">
        <v>1514</v>
      </c>
      <c r="I307" s="32" t="s">
        <v>1165</v>
      </c>
      <c r="J307" s="28"/>
    </row>
    <row r="308" ht="15.75" customHeight="1">
      <c r="A308" s="33"/>
      <c r="B308" s="21" t="s">
        <v>1518</v>
      </c>
      <c r="C308" s="6" t="str">
        <f>VLOOKUP(B308,Sheet3!$B$2:$E$312,2,FALSE)</f>
        <v>#N/A</v>
      </c>
      <c r="D308" s="6" t="str">
        <f>VLOOKUP(B308,Sheet3!$B$2:$E$312,3,)</f>
        <v>#N/A</v>
      </c>
      <c r="E308" s="8" t="str">
        <f>VLOOKUP(B308,Sheet3!$B$2:$E$312,4,)</f>
        <v>#N/A</v>
      </c>
      <c r="F308" s="22">
        <v>283.0</v>
      </c>
      <c r="G308" s="22" t="s">
        <v>1747</v>
      </c>
      <c r="H308" s="22" t="s">
        <v>1514</v>
      </c>
      <c r="I308" s="32" t="s">
        <v>1165</v>
      </c>
      <c r="J308" s="28"/>
    </row>
    <row r="309" ht="15.75" customHeight="1">
      <c r="A309" s="33"/>
      <c r="B309" s="21" t="s">
        <v>720</v>
      </c>
      <c r="C309" s="6" t="str">
        <f>VLOOKUP(B309,Sheet3!$B$2:$E$312,2,FALSE)</f>
        <v>B002-005</v>
      </c>
      <c r="D309" s="6" t="str">
        <f>VLOOKUP(B309,Sheet3!$B$2:$E$312,3,)</f>
        <v>others</v>
      </c>
      <c r="E309" s="8" t="str">
        <f>VLOOKUP(B309,Sheet3!$B$2:$E$312,4,)</f>
        <v>PCS</v>
      </c>
      <c r="F309" s="22">
        <v>137.0</v>
      </c>
      <c r="G309" s="22" t="s">
        <v>1369</v>
      </c>
      <c r="H309" s="22" t="s">
        <v>1514</v>
      </c>
      <c r="I309" s="32" t="s">
        <v>1165</v>
      </c>
      <c r="J309" s="28"/>
    </row>
    <row r="310" ht="15.75" customHeight="1">
      <c r="A310" s="33"/>
      <c r="B310" s="21" t="s">
        <v>664</v>
      </c>
      <c r="C310" s="6" t="str">
        <f>VLOOKUP(B310,Sheet3!$B$2:$E$312,2,FALSE)</f>
        <v>P004-025</v>
      </c>
      <c r="D310" s="6" t="str">
        <f>VLOOKUP(B310,Sheet3!$B$2:$E$312,3,)</f>
        <v>barang jadi &amp; bahan baku</v>
      </c>
      <c r="E310" s="8" t="str">
        <f>VLOOKUP(B310,Sheet3!$B$2:$E$312,4,)</f>
        <v>ML</v>
      </c>
      <c r="F310" s="22">
        <v>1761.0</v>
      </c>
      <c r="G310" s="22" t="s">
        <v>1216</v>
      </c>
      <c r="H310" s="22" t="s">
        <v>1514</v>
      </c>
      <c r="I310" s="32" t="s">
        <v>1165</v>
      </c>
      <c r="J310" s="28"/>
    </row>
    <row r="311" ht="15.75" customHeight="1">
      <c r="A311" s="33"/>
      <c r="B311" s="21" t="s">
        <v>805</v>
      </c>
      <c r="C311" s="6" t="str">
        <f>VLOOKUP(B311,Sheet3!$B$2:$E$312,2,FALSE)</f>
        <v>#N/A</v>
      </c>
      <c r="D311" s="6" t="str">
        <f>VLOOKUP(B311,Sheet3!$B$2:$E$312,3,)</f>
        <v>#N/A</v>
      </c>
      <c r="E311" s="8" t="str">
        <f>VLOOKUP(B311,Sheet3!$B$2:$E$312,4,)</f>
        <v>#N/A</v>
      </c>
      <c r="F311" s="22">
        <v>2713.0</v>
      </c>
      <c r="G311" s="22" t="s">
        <v>1216</v>
      </c>
      <c r="H311" s="22" t="s">
        <v>1514</v>
      </c>
      <c r="I311" s="32" t="s">
        <v>1165</v>
      </c>
      <c r="J311" s="28"/>
    </row>
    <row r="312" ht="15.75" customHeight="1">
      <c r="A312" s="33"/>
      <c r="B312" s="21" t="s">
        <v>28</v>
      </c>
      <c r="C312" s="6" t="str">
        <f>VLOOKUP(B312,Sheet3!$B$2:$E$312,2,FALSE)</f>
        <v>B001-006</v>
      </c>
      <c r="D312" s="6" t="str">
        <f>VLOOKUP(B312,Sheet3!$B$2:$E$312,3,)</f>
        <v>bahan baku</v>
      </c>
      <c r="E312" s="8" t="str">
        <f>VLOOKUP(B312,Sheet3!$B$2:$E$312,4,)</f>
        <v>GR</v>
      </c>
      <c r="F312" s="22">
        <v>21.0</v>
      </c>
      <c r="G312" s="22" t="s">
        <v>1445</v>
      </c>
      <c r="H312" s="22" t="s">
        <v>1523</v>
      </c>
      <c r="I312" s="32" t="s">
        <v>1165</v>
      </c>
      <c r="J312" s="28"/>
    </row>
    <row r="313" ht="15.75" customHeight="1">
      <c r="A313" s="33"/>
      <c r="B313" s="21" t="s">
        <v>52</v>
      </c>
      <c r="C313" s="6" t="str">
        <f>VLOOKUP(B313,Sheet3!$B$2:$E$312,2,FALSE)</f>
        <v>B001-018</v>
      </c>
      <c r="D313" s="6" t="str">
        <f>VLOOKUP(B313,Sheet3!$B$2:$E$312,3,)</f>
        <v>bahan baku</v>
      </c>
      <c r="E313" s="8" t="str">
        <f>VLOOKUP(B313,Sheet3!$B$2:$E$312,4,)</f>
        <v>GR</v>
      </c>
      <c r="F313" s="22">
        <v>107.0</v>
      </c>
      <c r="G313" s="22" t="s">
        <v>1445</v>
      </c>
      <c r="H313" s="22" t="s">
        <v>1523</v>
      </c>
      <c r="I313" s="32" t="s">
        <v>1165</v>
      </c>
      <c r="J313" s="28"/>
    </row>
    <row r="314" ht="15.75" customHeight="1">
      <c r="A314" s="33"/>
      <c r="B314" s="21" t="s">
        <v>137</v>
      </c>
      <c r="C314" s="6" t="str">
        <f>VLOOKUP(B314,Sheet3!$B$2:$E$312,2,FALSE)</f>
        <v>B001-060</v>
      </c>
      <c r="D314" s="6" t="str">
        <f>VLOOKUP(B314,Sheet3!$B$2:$E$312,3,)</f>
        <v>bahan baku</v>
      </c>
      <c r="E314" s="8" t="str">
        <f>VLOOKUP(B314,Sheet3!$B$2:$E$312,4,)</f>
        <v>GR</v>
      </c>
      <c r="F314" s="22">
        <v>6.0</v>
      </c>
      <c r="G314" s="22" t="s">
        <v>1445</v>
      </c>
      <c r="H314" s="22" t="s">
        <v>1523</v>
      </c>
      <c r="I314" s="32" t="s">
        <v>1165</v>
      </c>
      <c r="J314" s="28"/>
    </row>
    <row r="315" ht="15.75" customHeight="1">
      <c r="A315" s="33"/>
      <c r="B315" s="21" t="s">
        <v>502</v>
      </c>
      <c r="C315" s="6" t="str">
        <f>VLOOKUP(B315,Sheet3!$B$2:$E$312,2,FALSE)</f>
        <v>S001-002</v>
      </c>
      <c r="D315" s="6" t="str">
        <f>VLOOKUP(B315,Sheet3!$B$2:$E$312,3,)</f>
        <v>barang jadi</v>
      </c>
      <c r="E315" s="8" t="str">
        <f>VLOOKUP(B315,Sheet3!$B$2:$E$312,4,)</f>
        <v>PORSI</v>
      </c>
      <c r="F315" s="22">
        <v>1.0</v>
      </c>
      <c r="G315" s="22" t="s">
        <v>1216</v>
      </c>
      <c r="H315" s="22" t="s">
        <v>1305</v>
      </c>
      <c r="I315" s="96" t="s">
        <v>1749</v>
      </c>
      <c r="J315" s="28"/>
    </row>
    <row r="316" ht="15.75" customHeight="1">
      <c r="A316" s="33"/>
      <c r="B316" s="21" t="s">
        <v>33</v>
      </c>
      <c r="C316" s="6" t="str">
        <f>VLOOKUP(B316,Sheet3!$B$2:$E$312,2,FALSE)</f>
        <v>B001-008</v>
      </c>
      <c r="D316" s="6" t="str">
        <f>VLOOKUP(B316,Sheet3!$B$2:$E$312,3,)</f>
        <v>bahan baku</v>
      </c>
      <c r="E316" s="8" t="str">
        <f>VLOOKUP(B316,Sheet3!$B$2:$E$312,4,)</f>
        <v>GR</v>
      </c>
      <c r="F316" s="22">
        <v>413.0</v>
      </c>
      <c r="G316" s="22" t="s">
        <v>1633</v>
      </c>
      <c r="H316" s="22" t="s">
        <v>1305</v>
      </c>
      <c r="I316" s="32" t="s">
        <v>1165</v>
      </c>
      <c r="J316" s="28"/>
    </row>
    <row r="317" ht="15.75" customHeight="1">
      <c r="A317" s="33"/>
      <c r="B317" s="21" t="s">
        <v>129</v>
      </c>
      <c r="C317" s="6" t="str">
        <f>VLOOKUP(B317,Sheet3!$B$2:$E$312,2,FALSE)</f>
        <v>B001-056</v>
      </c>
      <c r="D317" s="6" t="str">
        <f>VLOOKUP(B317,Sheet3!$B$2:$E$312,3,)</f>
        <v>bahan baku</v>
      </c>
      <c r="E317" s="8" t="str">
        <f>VLOOKUP(B317,Sheet3!$B$2:$E$312,4,)</f>
        <v>ML</v>
      </c>
      <c r="F317" s="22">
        <v>4.0</v>
      </c>
      <c r="G317" s="22" t="s">
        <v>1633</v>
      </c>
      <c r="H317" s="22" t="s">
        <v>1305</v>
      </c>
      <c r="I317" s="32" t="s">
        <v>1165</v>
      </c>
      <c r="J317" s="28"/>
    </row>
    <row r="318" ht="15.75" customHeight="1">
      <c r="A318" s="33"/>
      <c r="B318" s="21" t="s">
        <v>306</v>
      </c>
      <c r="C318" s="6" t="str">
        <f>VLOOKUP(B318,Sheet3!$B$2:$E$312,2,FALSE)</f>
        <v>B001-127</v>
      </c>
      <c r="D318" s="6" t="str">
        <f>VLOOKUP(B318,Sheet3!$B$2:$E$312,3,)</f>
        <v>bahan baku</v>
      </c>
      <c r="E318" s="8" t="str">
        <f>VLOOKUP(B318,Sheet3!$B$2:$E$312,4,)</f>
        <v>PCS</v>
      </c>
      <c r="F318" s="22">
        <v>2.0</v>
      </c>
      <c r="G318" s="22" t="s">
        <v>1164</v>
      </c>
      <c r="H318" s="22" t="s">
        <v>1441</v>
      </c>
      <c r="I318" s="32" t="s">
        <v>1165</v>
      </c>
      <c r="J318" s="28"/>
    </row>
    <row r="319" ht="15.75" customHeight="1">
      <c r="A319" s="33"/>
      <c r="B319" s="21" t="s">
        <v>71</v>
      </c>
      <c r="C319" s="6" t="str">
        <f>VLOOKUP(B319,Sheet3!$B$2:$E$312,2,FALSE)</f>
        <v>B001-027</v>
      </c>
      <c r="D319" s="6" t="str">
        <f>VLOOKUP(B319,Sheet3!$B$2:$E$312,3,)</f>
        <v>bahan baku</v>
      </c>
      <c r="E319" s="8" t="str">
        <f>VLOOKUP(B319,Sheet3!$B$2:$E$312,4,)</f>
        <v>GR</v>
      </c>
      <c r="F319" s="22">
        <v>120.0</v>
      </c>
      <c r="G319" s="22" t="s">
        <v>1164</v>
      </c>
      <c r="H319" s="22" t="s">
        <v>1441</v>
      </c>
      <c r="I319" s="32" t="s">
        <v>1165</v>
      </c>
      <c r="J319" s="28"/>
    </row>
    <row r="320" ht="15.75" customHeight="1">
      <c r="A320" s="33"/>
      <c r="B320" s="21" t="s">
        <v>823</v>
      </c>
      <c r="C320" s="6" t="str">
        <f>VLOOKUP(B320,Sheet3!$B$2:$E$312,2,FALSE)</f>
        <v>#N/A</v>
      </c>
      <c r="D320" s="6" t="str">
        <f>VLOOKUP(B320,Sheet3!$B$2:$E$312,3,)</f>
        <v>#N/A</v>
      </c>
      <c r="E320" s="8" t="str">
        <f>VLOOKUP(B320,Sheet3!$B$2:$E$312,4,)</f>
        <v>#N/A</v>
      </c>
      <c r="F320" s="22">
        <v>292.0</v>
      </c>
      <c r="G320" s="22" t="s">
        <v>1164</v>
      </c>
      <c r="H320" s="22" t="s">
        <v>1225</v>
      </c>
      <c r="I320" s="32" t="s">
        <v>1165</v>
      </c>
      <c r="J320" s="28"/>
    </row>
    <row r="321" ht="15.75" customHeight="1">
      <c r="A321" s="34"/>
      <c r="B321" s="21" t="s">
        <v>101</v>
      </c>
      <c r="C321" s="6" t="str">
        <f>VLOOKUP(B321,Sheet3!$B$2:$E$312,2,FALSE)</f>
        <v>B001-043</v>
      </c>
      <c r="D321" s="6" t="str">
        <f>VLOOKUP(B321,Sheet3!$B$2:$E$312,3,)</f>
        <v>bahan baku</v>
      </c>
      <c r="E321" s="8" t="str">
        <f>VLOOKUP(B321,Sheet3!$B$2:$E$312,4,)</f>
        <v>GR</v>
      </c>
      <c r="F321" s="22">
        <v>292.0</v>
      </c>
      <c r="G321" s="22" t="s">
        <v>1245</v>
      </c>
      <c r="H321" s="22" t="s">
        <v>1225</v>
      </c>
      <c r="I321" s="32" t="s">
        <v>1165</v>
      </c>
      <c r="J321" s="28"/>
    </row>
    <row r="322" ht="15.75" customHeight="1">
      <c r="A322" s="88" t="s">
        <v>1755</v>
      </c>
      <c r="B322" s="21" t="s">
        <v>120</v>
      </c>
      <c r="C322" s="6" t="str">
        <f>VLOOKUP(B322,Sheet3!$B$2:$E$312,2,FALSE)</f>
        <v>B001-050</v>
      </c>
      <c r="D322" s="6" t="str">
        <f>VLOOKUP(B322,Sheet3!$B$2:$E$312,3,)</f>
        <v>bahan baku</v>
      </c>
      <c r="E322" s="8" t="str">
        <f>VLOOKUP(B322,Sheet3!$B$2:$E$312,4,)</f>
        <v>GR</v>
      </c>
      <c r="F322" s="22">
        <v>50.0</v>
      </c>
      <c r="G322" s="22" t="s">
        <v>1758</v>
      </c>
      <c r="H322" s="22" t="s">
        <v>1523</v>
      </c>
      <c r="I322" s="32" t="s">
        <v>1165</v>
      </c>
      <c r="J322" s="28"/>
    </row>
    <row r="323" ht="15.75" customHeight="1">
      <c r="A323" s="33"/>
      <c r="B323" s="21" t="s">
        <v>111</v>
      </c>
      <c r="C323" s="6" t="str">
        <f>VLOOKUP(B323,Sheet3!$B$2:$E$312,2,FALSE)</f>
        <v>B001-047</v>
      </c>
      <c r="D323" s="6" t="str">
        <f>VLOOKUP(B323,Sheet3!$B$2:$E$312,3,)</f>
        <v>bahan baku</v>
      </c>
      <c r="E323" s="8" t="str">
        <f>VLOOKUP(B323,Sheet3!$B$2:$E$312,4,)</f>
        <v>GR</v>
      </c>
      <c r="F323" s="22">
        <v>50.0</v>
      </c>
      <c r="G323" s="22" t="s">
        <v>1164</v>
      </c>
      <c r="H323" s="22" t="s">
        <v>1523</v>
      </c>
      <c r="I323" s="32" t="s">
        <v>1165</v>
      </c>
      <c r="J323" s="28"/>
    </row>
    <row r="324" ht="15.75" customHeight="1">
      <c r="A324" s="33"/>
      <c r="B324" s="21" t="s">
        <v>28</v>
      </c>
      <c r="C324" s="6" t="str">
        <f>VLOOKUP(B324,Sheet3!$B$2:$E$312,2,FALSE)</f>
        <v>B001-006</v>
      </c>
      <c r="D324" s="6" t="str">
        <f>VLOOKUP(B324,Sheet3!$B$2:$E$312,3,)</f>
        <v>bahan baku</v>
      </c>
      <c r="E324" s="8" t="str">
        <f>VLOOKUP(B324,Sheet3!$B$2:$E$312,4,)</f>
        <v>GR</v>
      </c>
      <c r="F324" s="22">
        <v>17.0</v>
      </c>
      <c r="G324" s="22" t="s">
        <v>1216</v>
      </c>
      <c r="H324" s="22" t="s">
        <v>1539</v>
      </c>
      <c r="I324" s="32" t="s">
        <v>1165</v>
      </c>
      <c r="J324" s="28"/>
    </row>
    <row r="325" ht="15.75" customHeight="1">
      <c r="A325" s="33"/>
      <c r="B325" s="21" t="s">
        <v>657</v>
      </c>
      <c r="C325" s="6" t="str">
        <f>VLOOKUP(B325,Sheet3!$B$2:$E$312,2,FALSE)</f>
        <v>P004-023</v>
      </c>
      <c r="D325" s="6" t="str">
        <f>VLOOKUP(B325,Sheet3!$B$2:$E$312,3,)</f>
        <v>barang jadi &amp; bahan baku</v>
      </c>
      <c r="E325" s="8" t="str">
        <f>VLOOKUP(B325,Sheet3!$B$2:$E$312,4,)</f>
        <v>CC</v>
      </c>
      <c r="F325" s="22">
        <v>672.0</v>
      </c>
      <c r="G325" s="22" t="s">
        <v>1216</v>
      </c>
      <c r="H325" s="22" t="s">
        <v>1512</v>
      </c>
      <c r="I325" s="32" t="s">
        <v>1165</v>
      </c>
      <c r="J325" s="28"/>
    </row>
    <row r="326" ht="15.75" customHeight="1">
      <c r="A326" s="33"/>
      <c r="B326" s="21" t="s">
        <v>653</v>
      </c>
      <c r="C326" s="6" t="str">
        <f>VLOOKUP(B326,Sheet3!$B$2:$E$312,2,FALSE)</f>
        <v>P004-022</v>
      </c>
      <c r="D326" s="6" t="str">
        <f>VLOOKUP(B326,Sheet3!$B$2:$E$312,3,)</f>
        <v>barang jadi &amp; bahan baku</v>
      </c>
      <c r="E326" s="8" t="str">
        <f>VLOOKUP(B326,Sheet3!$B$2:$E$312,4,)</f>
        <v>CC</v>
      </c>
      <c r="F326" s="22">
        <v>672.0</v>
      </c>
      <c r="G326" s="22" t="s">
        <v>1216</v>
      </c>
      <c r="H326" s="22" t="s">
        <v>1512</v>
      </c>
      <c r="I326" s="32" t="s">
        <v>1165</v>
      </c>
      <c r="J326" s="28"/>
    </row>
    <row r="327" ht="15.75" customHeight="1">
      <c r="A327" s="33"/>
      <c r="B327" s="21" t="s">
        <v>664</v>
      </c>
      <c r="C327" s="6" t="str">
        <f>VLOOKUP(B327,Sheet3!$B$2:$E$312,2,FALSE)</f>
        <v>P004-025</v>
      </c>
      <c r="D327" s="6" t="str">
        <f>VLOOKUP(B327,Sheet3!$B$2:$E$312,3,)</f>
        <v>barang jadi &amp; bahan baku</v>
      </c>
      <c r="E327" s="8" t="str">
        <f>VLOOKUP(B327,Sheet3!$B$2:$E$312,4,)</f>
        <v>ML</v>
      </c>
      <c r="F327" s="22">
        <v>568.0</v>
      </c>
      <c r="G327" s="22" t="s">
        <v>1216</v>
      </c>
      <c r="H327" s="22" t="s">
        <v>1512</v>
      </c>
      <c r="I327" s="32" t="s">
        <v>1165</v>
      </c>
      <c r="J327" s="28"/>
    </row>
    <row r="328" ht="15.75" customHeight="1">
      <c r="A328" s="34"/>
      <c r="B328" s="21" t="s">
        <v>805</v>
      </c>
      <c r="C328" s="6" t="str">
        <f>VLOOKUP(B328,Sheet3!$B$2:$E$312,2,FALSE)</f>
        <v>#N/A</v>
      </c>
      <c r="D328" s="6" t="str">
        <f>VLOOKUP(B328,Sheet3!$B$2:$E$312,3,)</f>
        <v>#N/A</v>
      </c>
      <c r="E328" s="8" t="str">
        <f>VLOOKUP(B328,Sheet3!$B$2:$E$312,4,)</f>
        <v>#N/A</v>
      </c>
      <c r="F328" s="22">
        <v>1100.0</v>
      </c>
      <c r="G328" s="22" t="s">
        <v>1216</v>
      </c>
      <c r="H328" s="22" t="s">
        <v>1512</v>
      </c>
      <c r="I328" s="32" t="s">
        <v>1165</v>
      </c>
      <c r="J328" s="28"/>
    </row>
    <row r="329" ht="15.75" customHeight="1">
      <c r="A329" s="88" t="s">
        <v>1761</v>
      </c>
      <c r="B329" s="21" t="s">
        <v>52</v>
      </c>
      <c r="C329" s="6" t="str">
        <f>VLOOKUP(B329,Sheet3!$B$2:$E$312,2,FALSE)</f>
        <v>B001-018</v>
      </c>
      <c r="D329" s="6" t="str">
        <f>VLOOKUP(B329,Sheet3!$B$2:$E$312,3,)</f>
        <v>bahan baku</v>
      </c>
      <c r="E329" s="8" t="str">
        <f>VLOOKUP(B329,Sheet3!$B$2:$E$312,4,)</f>
        <v>GR</v>
      </c>
      <c r="F329" s="22">
        <v>20.0</v>
      </c>
      <c r="G329" s="22" t="s">
        <v>1445</v>
      </c>
      <c r="H329" s="22" t="s">
        <v>1305</v>
      </c>
      <c r="I329" s="32" t="s">
        <v>1165</v>
      </c>
      <c r="J329" s="28"/>
    </row>
    <row r="330" ht="15.75" customHeight="1">
      <c r="A330" s="33"/>
      <c r="B330" s="21" t="s">
        <v>28</v>
      </c>
      <c r="C330" s="6" t="str">
        <f>VLOOKUP(B330,Sheet3!$B$2:$E$312,2,FALSE)</f>
        <v>B001-006</v>
      </c>
      <c r="D330" s="6" t="str">
        <f>VLOOKUP(B330,Sheet3!$B$2:$E$312,3,)</f>
        <v>bahan baku</v>
      </c>
      <c r="E330" s="8" t="str">
        <f>VLOOKUP(B330,Sheet3!$B$2:$E$312,4,)</f>
        <v>GR</v>
      </c>
      <c r="F330" s="22">
        <v>14.0</v>
      </c>
      <c r="G330" s="22" t="s">
        <v>1445</v>
      </c>
      <c r="H330" s="22" t="s">
        <v>1305</v>
      </c>
      <c r="I330" s="32" t="s">
        <v>1165</v>
      </c>
      <c r="J330" s="28"/>
    </row>
    <row r="331" ht="15.75" customHeight="1">
      <c r="A331" s="33"/>
      <c r="B331" s="21" t="s">
        <v>30</v>
      </c>
      <c r="C331" s="6" t="str">
        <f>VLOOKUP(B331,Sheet3!$B$2:$E$312,2,FALSE)</f>
        <v>B001-007</v>
      </c>
      <c r="D331" s="6" t="str">
        <f>VLOOKUP(B331,Sheet3!$B$2:$E$312,3,)</f>
        <v>bahan baku</v>
      </c>
      <c r="E331" s="8" t="str">
        <f>VLOOKUP(B331,Sheet3!$B$2:$E$312,4,)</f>
        <v>GR</v>
      </c>
      <c r="F331" s="22">
        <v>138.0</v>
      </c>
      <c r="G331" s="22" t="s">
        <v>1445</v>
      </c>
      <c r="H331" s="22" t="s">
        <v>1305</v>
      </c>
      <c r="I331" s="32" t="s">
        <v>1165</v>
      </c>
      <c r="J331" s="28"/>
    </row>
    <row r="332" ht="15.75" customHeight="1">
      <c r="A332" s="33"/>
      <c r="B332" s="21" t="s">
        <v>120</v>
      </c>
      <c r="C332" s="6" t="str">
        <f>VLOOKUP(B332,Sheet3!$B$2:$E$312,2,FALSE)</f>
        <v>B001-050</v>
      </c>
      <c r="D332" s="6" t="str">
        <f>VLOOKUP(B332,Sheet3!$B$2:$E$312,3,)</f>
        <v>bahan baku</v>
      </c>
      <c r="E332" s="8" t="str">
        <f>VLOOKUP(B332,Sheet3!$B$2:$E$312,4,)</f>
        <v>GR</v>
      </c>
      <c r="F332" s="22">
        <v>100.0</v>
      </c>
      <c r="G332" s="22" t="s">
        <v>1402</v>
      </c>
      <c r="H332" s="22" t="s">
        <v>1512</v>
      </c>
      <c r="I332" s="32" t="s">
        <v>1165</v>
      </c>
      <c r="J332" s="28"/>
    </row>
    <row r="333" ht="15.75" customHeight="1">
      <c r="A333" s="33"/>
      <c r="B333" s="21" t="s">
        <v>298</v>
      </c>
      <c r="C333" s="6" t="str">
        <f>VLOOKUP(B333,Sheet3!$B$2:$E$312,2,FALSE)</f>
        <v>B001-125</v>
      </c>
      <c r="D333" s="6" t="str">
        <f>VLOOKUP(B333,Sheet3!$B$2:$E$312,3,)</f>
        <v>bahan baku</v>
      </c>
      <c r="E333" s="8" t="str">
        <f>VLOOKUP(B333,Sheet3!$B$2:$E$312,4,)</f>
        <v>GR</v>
      </c>
      <c r="F333" s="22">
        <v>82.0</v>
      </c>
      <c r="G333" s="22" t="s">
        <v>1224</v>
      </c>
      <c r="H333" s="22" t="s">
        <v>1539</v>
      </c>
      <c r="I333" s="32" t="s">
        <v>1165</v>
      </c>
      <c r="J333" s="28"/>
    </row>
    <row r="334" ht="15.75" customHeight="1">
      <c r="A334" s="33"/>
      <c r="B334" s="21" t="s">
        <v>653</v>
      </c>
      <c r="C334" s="6" t="str">
        <f>VLOOKUP(B334,Sheet3!$B$2:$E$312,2,FALSE)</f>
        <v>P004-022</v>
      </c>
      <c r="D334" s="6" t="str">
        <f>VLOOKUP(B334,Sheet3!$B$2:$E$312,3,)</f>
        <v>barang jadi &amp; bahan baku</v>
      </c>
      <c r="E334" s="8" t="str">
        <f>VLOOKUP(B334,Sheet3!$B$2:$E$312,4,)</f>
        <v>CC</v>
      </c>
      <c r="F334" s="22">
        <v>600.0</v>
      </c>
      <c r="G334" s="22" t="s">
        <v>1216</v>
      </c>
      <c r="H334" s="22" t="s">
        <v>1512</v>
      </c>
      <c r="I334" s="32" t="s">
        <v>1165</v>
      </c>
      <c r="J334" s="28"/>
    </row>
    <row r="335" ht="15.75" customHeight="1">
      <c r="A335" s="33"/>
      <c r="B335" s="21" t="s">
        <v>657</v>
      </c>
      <c r="C335" s="6" t="str">
        <f>VLOOKUP(B335,Sheet3!$B$2:$E$312,2,FALSE)</f>
        <v>P004-023</v>
      </c>
      <c r="D335" s="6" t="str">
        <f>VLOOKUP(B335,Sheet3!$B$2:$E$312,3,)</f>
        <v>barang jadi &amp; bahan baku</v>
      </c>
      <c r="E335" s="8" t="str">
        <f>VLOOKUP(B335,Sheet3!$B$2:$E$312,4,)</f>
        <v>CC</v>
      </c>
      <c r="F335" s="22">
        <v>2900.0</v>
      </c>
      <c r="G335" s="22" t="s">
        <v>1216</v>
      </c>
      <c r="H335" s="22" t="s">
        <v>1512</v>
      </c>
      <c r="I335" s="32" t="s">
        <v>1165</v>
      </c>
      <c r="J335" s="28"/>
    </row>
    <row r="336" ht="15.75" customHeight="1">
      <c r="A336" s="33"/>
      <c r="B336" s="21" t="s">
        <v>805</v>
      </c>
      <c r="C336" s="6" t="str">
        <f>VLOOKUP(B336,Sheet3!$B$2:$E$312,2,FALSE)</f>
        <v>#N/A</v>
      </c>
      <c r="D336" s="6" t="str">
        <f>VLOOKUP(B336,Sheet3!$B$2:$E$312,3,)</f>
        <v>#N/A</v>
      </c>
      <c r="E336" s="8" t="str">
        <f>VLOOKUP(B336,Sheet3!$B$2:$E$312,4,)</f>
        <v>#N/A</v>
      </c>
      <c r="F336" s="22">
        <v>2657.0</v>
      </c>
      <c r="G336" s="22" t="s">
        <v>1216</v>
      </c>
      <c r="H336" s="22" t="s">
        <v>1512</v>
      </c>
      <c r="I336" s="32" t="s">
        <v>1165</v>
      </c>
      <c r="J336" s="28"/>
    </row>
    <row r="337" ht="15.75" customHeight="1">
      <c r="A337" s="33"/>
      <c r="B337" s="21" t="s">
        <v>33</v>
      </c>
      <c r="C337" s="6" t="str">
        <f>VLOOKUP(B337,Sheet3!$B$2:$E$312,2,FALSE)</f>
        <v>B001-008</v>
      </c>
      <c r="D337" s="6" t="str">
        <f>VLOOKUP(B337,Sheet3!$B$2:$E$312,3,)</f>
        <v>bahan baku</v>
      </c>
      <c r="E337" s="8" t="str">
        <f>VLOOKUP(B337,Sheet3!$B$2:$E$312,4,)</f>
        <v>GR</v>
      </c>
      <c r="F337" s="22">
        <v>1181.0</v>
      </c>
      <c r="G337" s="22" t="s">
        <v>1633</v>
      </c>
      <c r="H337" s="22" t="s">
        <v>1290</v>
      </c>
      <c r="I337" s="32" t="s">
        <v>1165</v>
      </c>
      <c r="J337" s="28"/>
    </row>
    <row r="338" ht="15.75" customHeight="1">
      <c r="A338" s="33"/>
      <c r="B338" s="21" t="s">
        <v>129</v>
      </c>
      <c r="C338" s="6" t="str">
        <f>VLOOKUP(B338,Sheet3!$B$2:$E$312,2,FALSE)</f>
        <v>B001-056</v>
      </c>
      <c r="D338" s="6" t="str">
        <f>VLOOKUP(B338,Sheet3!$B$2:$E$312,3,)</f>
        <v>bahan baku</v>
      </c>
      <c r="E338" s="8" t="str">
        <f>VLOOKUP(B338,Sheet3!$B$2:$E$312,4,)</f>
        <v>ML</v>
      </c>
      <c r="F338" s="22">
        <v>12.0</v>
      </c>
      <c r="G338" s="22" t="s">
        <v>1633</v>
      </c>
      <c r="H338" s="22" t="s">
        <v>1290</v>
      </c>
      <c r="I338" s="32" t="s">
        <v>1165</v>
      </c>
      <c r="J338" s="28"/>
    </row>
    <row r="339" ht="15.75" customHeight="1">
      <c r="A339" s="34"/>
      <c r="B339" s="21" t="s">
        <v>502</v>
      </c>
      <c r="C339" s="6" t="str">
        <f>VLOOKUP(B339,Sheet3!$B$2:$E$312,2,FALSE)</f>
        <v>S001-002</v>
      </c>
      <c r="D339" s="6" t="str">
        <f>VLOOKUP(B339,Sheet3!$B$2:$E$312,3,)</f>
        <v>barang jadi</v>
      </c>
      <c r="E339" s="8" t="str">
        <f>VLOOKUP(B339,Sheet3!$B$2:$E$312,4,)</f>
        <v>PORSI</v>
      </c>
      <c r="F339" s="22">
        <v>6.0</v>
      </c>
      <c r="G339" s="22" t="s">
        <v>1216</v>
      </c>
      <c r="H339" s="22" t="s">
        <v>1290</v>
      </c>
      <c r="I339" s="96" t="s">
        <v>1768</v>
      </c>
      <c r="J339" s="28"/>
    </row>
    <row r="340" ht="15.75" customHeight="1">
      <c r="A340" s="88" t="s">
        <v>1769</v>
      </c>
      <c r="B340" s="21" t="s">
        <v>120</v>
      </c>
      <c r="C340" s="6" t="str">
        <f>VLOOKUP(B340,Sheet3!$B$2:$E$312,2,FALSE)</f>
        <v>B001-050</v>
      </c>
      <c r="D340" s="6" t="str">
        <f>VLOOKUP(B340,Sheet3!$B$2:$E$312,3,)</f>
        <v>bahan baku</v>
      </c>
      <c r="E340" s="8" t="str">
        <f>VLOOKUP(B340,Sheet3!$B$2:$E$312,4,)</f>
        <v>GR</v>
      </c>
      <c r="F340" s="22">
        <v>100.0</v>
      </c>
      <c r="G340" s="22" t="s">
        <v>1224</v>
      </c>
      <c r="H340" s="22" t="s">
        <v>1514</v>
      </c>
      <c r="I340" s="32" t="s">
        <v>1165</v>
      </c>
      <c r="J340" s="28"/>
    </row>
    <row r="341" ht="15.75" customHeight="1">
      <c r="A341" s="33"/>
      <c r="B341" s="21" t="s">
        <v>111</v>
      </c>
      <c r="C341" s="6" t="str">
        <f>VLOOKUP(B341,Sheet3!$B$2:$E$312,2,FALSE)</f>
        <v>B001-047</v>
      </c>
      <c r="D341" s="6" t="str">
        <f>VLOOKUP(B341,Sheet3!$B$2:$E$312,3,)</f>
        <v>bahan baku</v>
      </c>
      <c r="E341" s="8" t="str">
        <f>VLOOKUP(B341,Sheet3!$B$2:$E$312,4,)</f>
        <v>GR</v>
      </c>
      <c r="F341" s="22">
        <v>119.0</v>
      </c>
      <c r="G341" s="22" t="s">
        <v>1224</v>
      </c>
      <c r="H341" s="22" t="s">
        <v>1514</v>
      </c>
      <c r="I341" s="32" t="s">
        <v>1165</v>
      </c>
      <c r="J341" s="28"/>
    </row>
    <row r="342" ht="15.75" customHeight="1">
      <c r="A342" s="33"/>
      <c r="B342" s="21" t="s">
        <v>657</v>
      </c>
      <c r="C342" s="6" t="str">
        <f>VLOOKUP(B342,Sheet3!$B$2:$E$312,2,FALSE)</f>
        <v>P004-023</v>
      </c>
      <c r="D342" s="6" t="str">
        <f>VLOOKUP(B342,Sheet3!$B$2:$E$312,3,)</f>
        <v>barang jadi &amp; bahan baku</v>
      </c>
      <c r="E342" s="8" t="str">
        <f>VLOOKUP(B342,Sheet3!$B$2:$E$312,4,)</f>
        <v>CC</v>
      </c>
      <c r="F342" s="22">
        <v>1912.0</v>
      </c>
      <c r="G342" s="22" t="s">
        <v>1164</v>
      </c>
      <c r="H342" s="22" t="s">
        <v>1514</v>
      </c>
      <c r="I342" s="32" t="s">
        <v>1165</v>
      </c>
      <c r="J342" s="28"/>
    </row>
    <row r="343" ht="15.75" customHeight="1">
      <c r="A343" s="33"/>
      <c r="B343" s="21" t="s">
        <v>653</v>
      </c>
      <c r="C343" s="6" t="str">
        <f>VLOOKUP(B343,Sheet3!$B$2:$E$312,2,FALSE)</f>
        <v>P004-022</v>
      </c>
      <c r="D343" s="6" t="str">
        <f>VLOOKUP(B343,Sheet3!$B$2:$E$312,3,)</f>
        <v>barang jadi &amp; bahan baku</v>
      </c>
      <c r="E343" s="8" t="str">
        <f>VLOOKUP(B343,Sheet3!$B$2:$E$312,4,)</f>
        <v>CC</v>
      </c>
      <c r="F343" s="22">
        <v>1543.0</v>
      </c>
      <c r="G343" s="22" t="s">
        <v>1164</v>
      </c>
      <c r="H343" s="22" t="s">
        <v>1514</v>
      </c>
      <c r="I343" s="32" t="s">
        <v>1165</v>
      </c>
      <c r="J343" s="28"/>
    </row>
    <row r="344" ht="15.75" customHeight="1">
      <c r="A344" s="33"/>
      <c r="B344" s="21" t="s">
        <v>298</v>
      </c>
      <c r="C344" s="6" t="str">
        <f>VLOOKUP(B344,Sheet3!$B$2:$E$312,2,FALSE)</f>
        <v>B001-125</v>
      </c>
      <c r="D344" s="6" t="str">
        <f>VLOOKUP(B344,Sheet3!$B$2:$E$312,3,)</f>
        <v>bahan baku</v>
      </c>
      <c r="E344" s="8" t="str">
        <f>VLOOKUP(B344,Sheet3!$B$2:$E$312,4,)</f>
        <v>GR</v>
      </c>
      <c r="F344" s="22">
        <v>32.0</v>
      </c>
      <c r="G344" s="22" t="s">
        <v>1164</v>
      </c>
      <c r="H344" s="22" t="s">
        <v>1523</v>
      </c>
      <c r="I344" s="32" t="s">
        <v>1165</v>
      </c>
      <c r="J344" s="28"/>
    </row>
    <row r="345" ht="15.75" customHeight="1">
      <c r="A345" s="33"/>
      <c r="B345" s="21" t="s">
        <v>252</v>
      </c>
      <c r="C345" s="6" t="str">
        <f>VLOOKUP(B345,Sheet3!$B$2:$E$312,2,FALSE)</f>
        <v>B001-111</v>
      </c>
      <c r="D345" s="6" t="str">
        <f>VLOOKUP(B345,Sheet3!$B$2:$E$312,3,)</f>
        <v>bahan baku</v>
      </c>
      <c r="E345" s="8" t="str">
        <f>VLOOKUP(B345,Sheet3!$B$2:$E$312,4,)</f>
        <v>GR</v>
      </c>
      <c r="F345" s="22">
        <v>52.0</v>
      </c>
      <c r="G345" s="22" t="s">
        <v>1164</v>
      </c>
      <c r="H345" s="22" t="s">
        <v>1523</v>
      </c>
      <c r="I345" s="32" t="s">
        <v>1165</v>
      </c>
      <c r="J345" s="28"/>
    </row>
    <row r="346" ht="15.75" customHeight="1">
      <c r="A346" s="33"/>
      <c r="B346" s="21" t="s">
        <v>28</v>
      </c>
      <c r="C346" s="6" t="str">
        <f>VLOOKUP(B346,Sheet3!$B$2:$E$312,2,FALSE)</f>
        <v>B001-006</v>
      </c>
      <c r="D346" s="6" t="str">
        <f>VLOOKUP(B346,Sheet3!$B$2:$E$312,3,)</f>
        <v>bahan baku</v>
      </c>
      <c r="E346" s="8" t="str">
        <f>VLOOKUP(B346,Sheet3!$B$2:$E$312,4,)</f>
        <v>GR</v>
      </c>
      <c r="F346" s="22">
        <v>22.0</v>
      </c>
      <c r="G346" s="22" t="s">
        <v>1445</v>
      </c>
      <c r="H346" s="22" t="s">
        <v>1523</v>
      </c>
      <c r="I346" s="32" t="s">
        <v>1165</v>
      </c>
      <c r="J346" s="28"/>
    </row>
    <row r="347" ht="15.75" customHeight="1">
      <c r="A347" s="33"/>
      <c r="B347" s="21" t="s">
        <v>139</v>
      </c>
      <c r="C347" s="6" t="str">
        <f>VLOOKUP(B347,Sheet3!$B$2:$E$312,2,FALSE)</f>
        <v>B001-061</v>
      </c>
      <c r="D347" s="6" t="str">
        <f>VLOOKUP(B347,Sheet3!$B$2:$E$312,3,)</f>
        <v>bahan baku</v>
      </c>
      <c r="E347" s="8" t="str">
        <f>VLOOKUP(B347,Sheet3!$B$2:$E$312,4,)</f>
        <v>GR</v>
      </c>
      <c r="F347" s="22">
        <v>12.0</v>
      </c>
      <c r="G347" s="22" t="s">
        <v>1164</v>
      </c>
      <c r="H347" s="22" t="s">
        <v>1523</v>
      </c>
      <c r="I347" s="32" t="s">
        <v>1165</v>
      </c>
      <c r="J347" s="28"/>
    </row>
    <row r="348" ht="15.75" customHeight="1">
      <c r="A348" s="33"/>
      <c r="B348" s="21" t="s">
        <v>132</v>
      </c>
      <c r="C348" s="6" t="str">
        <f>VLOOKUP(B348,Sheet3!$B$2:$E$312,2,FALSE)</f>
        <v>B001-057</v>
      </c>
      <c r="D348" s="6" t="str">
        <f>VLOOKUP(B348,Sheet3!$B$2:$E$312,3,)</f>
        <v>bahan baku</v>
      </c>
      <c r="E348" s="8" t="str">
        <f>VLOOKUP(B348,Sheet3!$B$2:$E$312,4,)</f>
        <v>GR</v>
      </c>
      <c r="F348" s="22">
        <v>42.0</v>
      </c>
      <c r="G348" s="22" t="s">
        <v>1164</v>
      </c>
      <c r="H348" s="22" t="s">
        <v>1523</v>
      </c>
      <c r="I348" s="32" t="s">
        <v>1165</v>
      </c>
      <c r="J348" s="28"/>
    </row>
    <row r="349" ht="15.75" customHeight="1">
      <c r="A349" s="33"/>
      <c r="B349" s="21" t="s">
        <v>634</v>
      </c>
      <c r="C349" s="6" t="str">
        <f>VLOOKUP(B349,Sheet3!$B$2:$E$312,2,FALSE)</f>
        <v>P004-014</v>
      </c>
      <c r="D349" s="6" t="str">
        <f>VLOOKUP(B349,Sheet3!$B$2:$E$312,3,)</f>
        <v>barang jadi &amp; bahan baku</v>
      </c>
      <c r="E349" s="8" t="str">
        <f>VLOOKUP(B349,Sheet3!$B$2:$E$312,4,)</f>
        <v>GR</v>
      </c>
      <c r="F349" s="22">
        <v>531.0</v>
      </c>
      <c r="G349" s="22" t="s">
        <v>1164</v>
      </c>
      <c r="H349" s="22" t="s">
        <v>1523</v>
      </c>
      <c r="I349" s="32" t="s">
        <v>1165</v>
      </c>
      <c r="J349" s="28"/>
    </row>
    <row r="350" ht="15.75" customHeight="1">
      <c r="A350" s="33"/>
      <c r="B350" s="21" t="s">
        <v>294</v>
      </c>
      <c r="C350" s="6" t="str">
        <f>VLOOKUP(B350,Sheet3!$B$2:$E$312,2,FALSE)</f>
        <v>B001-123</v>
      </c>
      <c r="D350" s="6" t="str">
        <f>VLOOKUP(B350,Sheet3!$B$2:$E$312,3,)</f>
        <v>bahan baku</v>
      </c>
      <c r="E350" s="8" t="str">
        <f>VLOOKUP(B350,Sheet3!$B$2:$E$312,4,)</f>
        <v>PCS</v>
      </c>
      <c r="F350" s="22">
        <v>1.0</v>
      </c>
      <c r="G350" s="22" t="s">
        <v>1164</v>
      </c>
      <c r="H350" s="22" t="s">
        <v>1523</v>
      </c>
      <c r="I350" s="32" t="s">
        <v>1165</v>
      </c>
      <c r="J350" s="28"/>
    </row>
    <row r="351" ht="15.75" customHeight="1">
      <c r="A351" s="33"/>
      <c r="B351" s="21" t="s">
        <v>805</v>
      </c>
      <c r="C351" s="6" t="str">
        <f>VLOOKUP(B351,Sheet3!$B$2:$E$312,2,FALSE)</f>
        <v>#N/A</v>
      </c>
      <c r="D351" s="6" t="str">
        <f>VLOOKUP(B351,Sheet3!$B$2:$E$312,3,)</f>
        <v>#N/A</v>
      </c>
      <c r="E351" s="8" t="str">
        <f>VLOOKUP(B351,Sheet3!$B$2:$E$312,4,)</f>
        <v>#N/A</v>
      </c>
      <c r="F351" s="22">
        <v>627.0</v>
      </c>
      <c r="G351" s="22" t="s">
        <v>1216</v>
      </c>
      <c r="H351" s="22" t="s">
        <v>1514</v>
      </c>
      <c r="I351" s="96" t="s">
        <v>1780</v>
      </c>
      <c r="J351" s="28"/>
    </row>
    <row r="352" ht="15.75" customHeight="1">
      <c r="A352" s="33"/>
      <c r="B352" s="21" t="s">
        <v>664</v>
      </c>
      <c r="C352" s="6" t="str">
        <f>VLOOKUP(B352,Sheet3!$B$2:$E$312,2,FALSE)</f>
        <v>P004-025</v>
      </c>
      <c r="D352" s="6" t="str">
        <f>VLOOKUP(B352,Sheet3!$B$2:$E$312,3,)</f>
        <v>barang jadi &amp; bahan baku</v>
      </c>
      <c r="E352" s="8" t="str">
        <f>VLOOKUP(B352,Sheet3!$B$2:$E$312,4,)</f>
        <v>ML</v>
      </c>
      <c r="F352" s="22">
        <v>377.0</v>
      </c>
      <c r="G352" s="22" t="s">
        <v>1216</v>
      </c>
      <c r="H352" s="22" t="s">
        <v>1514</v>
      </c>
      <c r="I352" s="32" t="s">
        <v>1444</v>
      </c>
      <c r="J352" s="28"/>
    </row>
    <row r="353" ht="15.75" customHeight="1">
      <c r="A353" s="33"/>
      <c r="B353" s="21" t="s">
        <v>33</v>
      </c>
      <c r="C353" s="6" t="str">
        <f>VLOOKUP(B353,Sheet3!$B$2:$E$312,2,FALSE)</f>
        <v>B001-008</v>
      </c>
      <c r="D353" s="6" t="str">
        <f>VLOOKUP(B353,Sheet3!$B$2:$E$312,3,)</f>
        <v>bahan baku</v>
      </c>
      <c r="E353" s="8" t="str">
        <f>VLOOKUP(B353,Sheet3!$B$2:$E$312,4,)</f>
        <v>GR</v>
      </c>
      <c r="F353" s="22">
        <v>1205.0</v>
      </c>
      <c r="G353" s="22" t="s">
        <v>1633</v>
      </c>
      <c r="H353" s="22" t="s">
        <v>1290</v>
      </c>
      <c r="I353" s="32" t="s">
        <v>1444</v>
      </c>
      <c r="J353" s="28"/>
    </row>
    <row r="354" ht="15.75" customHeight="1">
      <c r="A354" s="34"/>
      <c r="B354" s="21" t="s">
        <v>129</v>
      </c>
      <c r="C354" s="6" t="str">
        <f>VLOOKUP(B354,Sheet3!$B$2:$E$312,2,FALSE)</f>
        <v>B001-056</v>
      </c>
      <c r="D354" s="6" t="str">
        <f>VLOOKUP(B354,Sheet3!$B$2:$E$312,3,)</f>
        <v>bahan baku</v>
      </c>
      <c r="E354" s="8" t="str">
        <f>VLOOKUP(B354,Sheet3!$B$2:$E$312,4,)</f>
        <v>ML</v>
      </c>
      <c r="F354" s="22">
        <v>12.0</v>
      </c>
      <c r="G354" s="22" t="s">
        <v>1633</v>
      </c>
      <c r="H354" s="22" t="s">
        <v>1290</v>
      </c>
      <c r="I354" s="32" t="s">
        <v>1444</v>
      </c>
      <c r="J354" s="28"/>
    </row>
    <row r="355" ht="15.75" customHeight="1">
      <c r="A355" s="88" t="s">
        <v>1781</v>
      </c>
      <c r="B355" s="21" t="s">
        <v>211</v>
      </c>
      <c r="C355" s="6" t="str">
        <f>VLOOKUP(B355,Sheet3!$B$2:$E$312,2,FALSE)</f>
        <v>B001-088</v>
      </c>
      <c r="D355" s="6" t="str">
        <f>VLOOKUP(B355,Sheet3!$B$2:$E$312,3,)</f>
        <v>bahan baku</v>
      </c>
      <c r="E355" s="8" t="str">
        <f>VLOOKUP(B355,Sheet3!$B$2:$E$312,4,)</f>
        <v>GR</v>
      </c>
      <c r="F355" s="22">
        <v>8672.0</v>
      </c>
      <c r="G355" s="22" t="s">
        <v>1445</v>
      </c>
      <c r="H355" s="22" t="s">
        <v>1441</v>
      </c>
      <c r="I355" s="96" t="s">
        <v>1782</v>
      </c>
      <c r="J355" s="28"/>
    </row>
    <row r="356" ht="15.75" customHeight="1">
      <c r="A356" s="33"/>
      <c r="B356" s="21" t="s">
        <v>50</v>
      </c>
      <c r="C356" s="6" t="str">
        <f>VLOOKUP(B356,Sheet3!$B$2:$E$312,2,FALSE)</f>
        <v>B001-017</v>
      </c>
      <c r="D356" s="6" t="str">
        <f>VLOOKUP(B356,Sheet3!$B$2:$E$312,3,)</f>
        <v>bahan baku</v>
      </c>
      <c r="E356" s="8" t="str">
        <f>VLOOKUP(B356,Sheet3!$B$2:$E$312,4,)</f>
        <v>GR</v>
      </c>
      <c r="F356" s="22">
        <v>175.0</v>
      </c>
      <c r="G356" s="22" t="s">
        <v>1783</v>
      </c>
      <c r="H356" s="22" t="s">
        <v>1523</v>
      </c>
      <c r="I356" s="96" t="s">
        <v>1784</v>
      </c>
      <c r="J356" s="28"/>
    </row>
    <row r="357" ht="15.75" customHeight="1">
      <c r="A357" s="33"/>
      <c r="B357" s="21" t="s">
        <v>294</v>
      </c>
      <c r="C357" s="6" t="str">
        <f>VLOOKUP(B357,Sheet3!$B$2:$E$312,2,FALSE)</f>
        <v>B001-123</v>
      </c>
      <c r="D357" s="6" t="str">
        <f>VLOOKUP(B357,Sheet3!$B$2:$E$312,3,)</f>
        <v>bahan baku</v>
      </c>
      <c r="E357" s="8" t="str">
        <f>VLOOKUP(B357,Sheet3!$B$2:$E$312,4,)</f>
        <v>PCS</v>
      </c>
      <c r="F357" s="22">
        <v>1.0</v>
      </c>
      <c r="G357" s="22" t="s">
        <v>1515</v>
      </c>
      <c r="H357" s="22" t="s">
        <v>1523</v>
      </c>
      <c r="I357" s="32" t="s">
        <v>1444</v>
      </c>
      <c r="J357" s="28"/>
    </row>
    <row r="358" ht="15.75" customHeight="1">
      <c r="A358" s="33"/>
      <c r="B358" s="21" t="s">
        <v>86</v>
      </c>
      <c r="C358" s="6" t="str">
        <f>VLOOKUP(B358,Sheet3!$B$2:$E$312,2,FALSE)</f>
        <v>B001-036</v>
      </c>
      <c r="D358" s="6" t="str">
        <f>VLOOKUP(B358,Sheet3!$B$2:$E$312,3,)</f>
        <v>bahan baku</v>
      </c>
      <c r="E358" s="8" t="str">
        <f>VLOOKUP(B358,Sheet3!$B$2:$E$312,4,)</f>
        <v>GR</v>
      </c>
      <c r="F358" s="22">
        <v>2.0</v>
      </c>
      <c r="G358" s="22" t="s">
        <v>1516</v>
      </c>
      <c r="H358" s="22" t="s">
        <v>1514</v>
      </c>
      <c r="I358" s="32" t="s">
        <v>1444</v>
      </c>
      <c r="J358" s="28"/>
    </row>
    <row r="359" ht="15.75" customHeight="1">
      <c r="A359" s="33"/>
      <c r="B359" s="21" t="s">
        <v>664</v>
      </c>
      <c r="C359" s="6" t="str">
        <f>VLOOKUP(B359,Sheet3!$B$2:$E$312,2,FALSE)</f>
        <v>P004-025</v>
      </c>
      <c r="D359" s="6" t="str">
        <f>VLOOKUP(B359,Sheet3!$B$2:$E$312,3,)</f>
        <v>barang jadi &amp; bahan baku</v>
      </c>
      <c r="E359" s="8" t="str">
        <f>VLOOKUP(B359,Sheet3!$B$2:$E$312,4,)</f>
        <v>ML</v>
      </c>
      <c r="F359" s="22">
        <v>686.0</v>
      </c>
      <c r="G359" s="22" t="s">
        <v>1164</v>
      </c>
      <c r="H359" s="22" t="s">
        <v>1514</v>
      </c>
      <c r="I359" s="32" t="s">
        <v>1444</v>
      </c>
      <c r="J359" s="28"/>
    </row>
    <row r="360" ht="15.75" customHeight="1">
      <c r="A360" s="33"/>
      <c r="B360" s="21" t="s">
        <v>653</v>
      </c>
      <c r="C360" s="6" t="str">
        <f>VLOOKUP(B360,Sheet3!$B$2:$E$312,2,FALSE)</f>
        <v>P004-022</v>
      </c>
      <c r="D360" s="6" t="str">
        <f>VLOOKUP(B360,Sheet3!$B$2:$E$312,3,)</f>
        <v>barang jadi &amp; bahan baku</v>
      </c>
      <c r="E360" s="8" t="str">
        <f>VLOOKUP(B360,Sheet3!$B$2:$E$312,4,)</f>
        <v>CC</v>
      </c>
      <c r="F360" s="22">
        <v>1866.0</v>
      </c>
      <c r="G360" s="22" t="s">
        <v>1164</v>
      </c>
      <c r="H360" s="22" t="s">
        <v>1514</v>
      </c>
      <c r="I360" s="32" t="s">
        <v>1444</v>
      </c>
      <c r="J360" s="28"/>
    </row>
    <row r="361" ht="15.75" customHeight="1">
      <c r="A361" s="33"/>
      <c r="B361" s="21" t="s">
        <v>657</v>
      </c>
      <c r="C361" s="6" t="str">
        <f>VLOOKUP(B361,Sheet3!$B$2:$E$312,2,FALSE)</f>
        <v>P004-023</v>
      </c>
      <c r="D361" s="6" t="str">
        <f>VLOOKUP(B361,Sheet3!$B$2:$E$312,3,)</f>
        <v>barang jadi &amp; bahan baku</v>
      </c>
      <c r="E361" s="8" t="str">
        <f>VLOOKUP(B361,Sheet3!$B$2:$E$312,4,)</f>
        <v>CC</v>
      </c>
      <c r="F361" s="22">
        <v>1421.0</v>
      </c>
      <c r="G361" s="22" t="s">
        <v>1164</v>
      </c>
      <c r="H361" s="22" t="s">
        <v>1514</v>
      </c>
      <c r="I361" s="32" t="s">
        <v>1444</v>
      </c>
      <c r="J361" s="28"/>
    </row>
    <row r="362" ht="15.75" customHeight="1">
      <c r="A362" s="33"/>
      <c r="B362" s="21" t="s">
        <v>805</v>
      </c>
      <c r="C362" s="6" t="str">
        <f>VLOOKUP(B362,Sheet3!$B$2:$E$312,2,FALSE)</f>
        <v>#N/A</v>
      </c>
      <c r="D362" s="6" t="str">
        <f>VLOOKUP(B362,Sheet3!$B$2:$E$312,3,)</f>
        <v>#N/A</v>
      </c>
      <c r="E362" s="8" t="str">
        <f>VLOOKUP(B362,Sheet3!$B$2:$E$312,4,)</f>
        <v>#N/A</v>
      </c>
      <c r="F362" s="22">
        <v>1634.0</v>
      </c>
      <c r="G362" s="22" t="s">
        <v>1216</v>
      </c>
      <c r="H362" s="22" t="s">
        <v>1514</v>
      </c>
      <c r="I362" s="32" t="s">
        <v>1444</v>
      </c>
      <c r="J362" s="28"/>
    </row>
    <row r="363" ht="15.75" customHeight="1">
      <c r="A363" s="33"/>
      <c r="B363" s="21" t="s">
        <v>33</v>
      </c>
      <c r="C363" s="6" t="str">
        <f>VLOOKUP(B363,Sheet3!$B$2:$E$312,2,FALSE)</f>
        <v>B001-008</v>
      </c>
      <c r="D363" s="6" t="str">
        <f>VLOOKUP(B363,Sheet3!$B$2:$E$312,3,)</f>
        <v>bahan baku</v>
      </c>
      <c r="E363" s="8" t="str">
        <f>VLOOKUP(B363,Sheet3!$B$2:$E$312,4,)</f>
        <v>GR</v>
      </c>
      <c r="F363" s="22">
        <v>611.0</v>
      </c>
      <c r="G363" s="22" t="s">
        <v>1633</v>
      </c>
      <c r="H363" s="22" t="s">
        <v>1225</v>
      </c>
      <c r="I363" s="32" t="s">
        <v>1444</v>
      </c>
      <c r="J363" s="28"/>
    </row>
    <row r="364" ht="15.75" customHeight="1">
      <c r="A364" s="33"/>
      <c r="B364" s="21" t="s">
        <v>129</v>
      </c>
      <c r="C364" s="6" t="str">
        <f>VLOOKUP(B364,Sheet3!$B$2:$E$312,2,FALSE)</f>
        <v>B001-056</v>
      </c>
      <c r="D364" s="6" t="str">
        <f>VLOOKUP(B364,Sheet3!$B$2:$E$312,3,)</f>
        <v>bahan baku</v>
      </c>
      <c r="E364" s="8" t="str">
        <f>VLOOKUP(B364,Sheet3!$B$2:$E$312,4,)</f>
        <v>ML</v>
      </c>
      <c r="F364" s="22">
        <v>6.0</v>
      </c>
      <c r="G364" s="22" t="s">
        <v>1633</v>
      </c>
      <c r="H364" s="22" t="s">
        <v>1225</v>
      </c>
      <c r="I364" s="32" t="s">
        <v>1444</v>
      </c>
      <c r="J364" s="28"/>
    </row>
    <row r="365" ht="15.75" customHeight="1">
      <c r="A365" s="34"/>
      <c r="B365" s="21" t="s">
        <v>211</v>
      </c>
      <c r="C365" s="6" t="str">
        <f>VLOOKUP(B365,Sheet3!$B$2:$E$312,2,FALSE)</f>
        <v>B001-088</v>
      </c>
      <c r="D365" s="6" t="str">
        <f>VLOOKUP(B365,Sheet3!$B$2:$E$312,3,)</f>
        <v>bahan baku</v>
      </c>
      <c r="E365" s="8" t="str">
        <f>VLOOKUP(B365,Sheet3!$B$2:$E$312,4,)</f>
        <v>GR</v>
      </c>
      <c r="F365" s="22">
        <v>1787.0</v>
      </c>
      <c r="G365" s="22" t="s">
        <v>1445</v>
      </c>
      <c r="H365" s="22" t="s">
        <v>1567</v>
      </c>
      <c r="I365" s="32" t="s">
        <v>1444</v>
      </c>
      <c r="J365" s="28"/>
    </row>
    <row r="366" ht="15.75" hidden="1" customHeight="1">
      <c r="A366" s="6"/>
      <c r="B366" s="6"/>
      <c r="C366" s="6" t="str">
        <f>VLOOKUP(B366,Sheet3!$B$2:$E$312,2,FALSE)</f>
        <v>#N/A</v>
      </c>
      <c r="D366" s="6" t="str">
        <f>VLOOKUP(B366,Sheet3!$B$2:$E$312,3,)</f>
        <v>#N/A</v>
      </c>
      <c r="E366" s="8" t="str">
        <f>VLOOKUP(B366,Sheet3!$B$2:$E$312,4,)</f>
        <v>#N/A</v>
      </c>
      <c r="F366" s="8"/>
      <c r="G366" s="8"/>
      <c r="H366" s="8"/>
      <c r="I366" s="28"/>
      <c r="J366" s="28"/>
    </row>
    <row r="367" ht="15.75" hidden="1" customHeight="1">
      <c r="A367" s="6"/>
      <c r="B367" s="6"/>
      <c r="C367" s="6" t="str">
        <f>VLOOKUP(B367,Sheet3!$B$2:$E$312,2,FALSE)</f>
        <v>#N/A</v>
      </c>
      <c r="D367" s="6" t="str">
        <f>VLOOKUP(B367,Sheet3!$B$2:$E$312,3,)</f>
        <v>#N/A</v>
      </c>
      <c r="E367" s="8" t="str">
        <f>VLOOKUP(B367,Sheet3!$B$2:$E$312,4,)</f>
        <v>#N/A</v>
      </c>
      <c r="F367" s="8"/>
      <c r="G367" s="8"/>
      <c r="H367" s="8"/>
      <c r="I367" s="28"/>
      <c r="J367" s="28"/>
    </row>
    <row r="368" ht="15.75" hidden="1" customHeight="1">
      <c r="A368" s="6"/>
      <c r="B368" s="6"/>
      <c r="C368" s="6" t="str">
        <f>VLOOKUP(B368,Sheet3!$B$2:$E$312,2,FALSE)</f>
        <v>#N/A</v>
      </c>
      <c r="D368" s="6" t="str">
        <f>VLOOKUP(B368,Sheet3!$B$2:$E$312,3,)</f>
        <v>#N/A</v>
      </c>
      <c r="E368" s="8" t="str">
        <f>VLOOKUP(B368,Sheet3!$B$2:$E$312,4,)</f>
        <v>#N/A</v>
      </c>
      <c r="F368" s="8"/>
      <c r="G368" s="8"/>
      <c r="H368" s="8"/>
      <c r="I368" s="28"/>
      <c r="J368" s="28"/>
    </row>
    <row r="369" ht="15.75" hidden="1" customHeight="1">
      <c r="A369" s="6"/>
      <c r="B369" s="6"/>
      <c r="C369" s="6" t="str">
        <f>VLOOKUP(B369,Sheet3!$B$2:$E$312,2,FALSE)</f>
        <v>#N/A</v>
      </c>
      <c r="D369" s="6" t="str">
        <f>VLOOKUP(B369,Sheet3!$B$2:$E$312,3,)</f>
        <v>#N/A</v>
      </c>
      <c r="E369" s="8" t="str">
        <f>VLOOKUP(B369,Sheet3!$B$2:$E$312,4,)</f>
        <v>#N/A</v>
      </c>
      <c r="F369" s="8"/>
      <c r="G369" s="8"/>
      <c r="H369" s="8"/>
      <c r="I369" s="28"/>
      <c r="J369" s="28"/>
    </row>
    <row r="370" ht="15.75" hidden="1" customHeight="1">
      <c r="A370" s="6"/>
      <c r="B370" s="6"/>
      <c r="C370" s="6" t="str">
        <f>VLOOKUP(B370,Sheet3!$B$2:$E$312,2,FALSE)</f>
        <v>#N/A</v>
      </c>
      <c r="D370" s="6" t="str">
        <f>VLOOKUP(B370,Sheet3!$B$2:$E$312,3,)</f>
        <v>#N/A</v>
      </c>
      <c r="E370" s="8" t="str">
        <f>VLOOKUP(B370,Sheet3!$B$2:$E$312,4,)</f>
        <v>#N/A</v>
      </c>
      <c r="F370" s="8"/>
      <c r="G370" s="8"/>
      <c r="H370" s="8"/>
      <c r="I370" s="28"/>
      <c r="J370" s="28"/>
    </row>
    <row r="371" ht="15.75" hidden="1" customHeight="1">
      <c r="A371" s="6"/>
      <c r="B371" s="6"/>
      <c r="C371" s="6" t="str">
        <f>VLOOKUP(B371,Sheet3!$B$2:$E$312,2,FALSE)</f>
        <v>#N/A</v>
      </c>
      <c r="D371" s="6" t="str">
        <f>VLOOKUP(B371,Sheet3!$B$2:$E$312,3,)</f>
        <v>#N/A</v>
      </c>
      <c r="E371" s="8" t="str">
        <f>VLOOKUP(B371,Sheet3!$B$2:$E$312,4,)</f>
        <v>#N/A</v>
      </c>
      <c r="F371" s="8"/>
      <c r="G371" s="8"/>
      <c r="H371" s="8"/>
      <c r="I371" s="28"/>
      <c r="J371" s="28"/>
    </row>
    <row r="372" ht="15.75" hidden="1" customHeight="1">
      <c r="A372" s="6"/>
      <c r="B372" s="6"/>
      <c r="C372" s="6" t="str">
        <f>VLOOKUP(B372,Sheet3!$B$2:$E$312,2,FALSE)</f>
        <v>#N/A</v>
      </c>
      <c r="D372" s="6" t="str">
        <f>VLOOKUP(B372,Sheet3!$B$2:$E$312,3,)</f>
        <v>#N/A</v>
      </c>
      <c r="E372" s="8" t="str">
        <f>VLOOKUP(B372,Sheet3!$B$2:$E$312,4,)</f>
        <v>#N/A</v>
      </c>
      <c r="F372" s="8"/>
      <c r="G372" s="8"/>
      <c r="H372" s="8"/>
      <c r="I372" s="28"/>
      <c r="J372" s="28"/>
    </row>
    <row r="373" ht="15.75" hidden="1" customHeight="1">
      <c r="A373" s="6"/>
      <c r="B373" s="6"/>
      <c r="C373" s="6" t="str">
        <f>VLOOKUP(B373,Sheet3!$B$2:$E$312,2,FALSE)</f>
        <v>#N/A</v>
      </c>
      <c r="D373" s="6" t="str">
        <f>VLOOKUP(B373,Sheet3!$B$2:$E$312,3,)</f>
        <v>#N/A</v>
      </c>
      <c r="E373" s="8" t="str">
        <f>VLOOKUP(B373,Sheet3!$B$2:$E$312,4,)</f>
        <v>#N/A</v>
      </c>
      <c r="F373" s="8"/>
      <c r="G373" s="8"/>
      <c r="H373" s="8"/>
      <c r="I373" s="28"/>
      <c r="J373" s="28"/>
    </row>
    <row r="374" ht="15.75" hidden="1" customHeight="1">
      <c r="A374" s="6"/>
      <c r="B374" s="6"/>
      <c r="C374" s="6" t="str">
        <f>VLOOKUP(B374,Sheet3!$B$2:$E$312,2,FALSE)</f>
        <v>#N/A</v>
      </c>
      <c r="D374" s="6" t="str">
        <f>VLOOKUP(B374,Sheet3!$B$2:$E$312,3,)</f>
        <v>#N/A</v>
      </c>
      <c r="E374" s="8" t="str">
        <f>VLOOKUP(B374,Sheet3!$B$2:$E$312,4,)</f>
        <v>#N/A</v>
      </c>
      <c r="F374" s="8"/>
      <c r="G374" s="8"/>
      <c r="H374" s="8"/>
      <c r="I374" s="28"/>
      <c r="J374" s="28"/>
    </row>
    <row r="375" ht="15.75" hidden="1" customHeight="1">
      <c r="A375" s="6"/>
      <c r="B375" s="6"/>
      <c r="C375" s="6" t="str">
        <f>VLOOKUP(B375,Sheet3!$B$2:$E$312,2,FALSE)</f>
        <v>#N/A</v>
      </c>
      <c r="D375" s="6" t="str">
        <f>VLOOKUP(B375,Sheet3!$B$2:$E$312,3,)</f>
        <v>#N/A</v>
      </c>
      <c r="E375" s="8" t="str">
        <f>VLOOKUP(B375,Sheet3!$B$2:$E$312,4,)</f>
        <v>#N/A</v>
      </c>
      <c r="F375" s="8"/>
      <c r="G375" s="8"/>
      <c r="H375" s="8"/>
      <c r="I375" s="28"/>
      <c r="J375" s="28"/>
    </row>
    <row r="376" ht="15.75" hidden="1" customHeight="1">
      <c r="A376" s="6"/>
      <c r="B376" s="6"/>
      <c r="C376" s="6" t="str">
        <f>VLOOKUP(B376,Sheet3!$B$2:$E$312,2,FALSE)</f>
        <v>#N/A</v>
      </c>
      <c r="D376" s="6" t="str">
        <f>VLOOKUP(B376,Sheet3!$B$2:$E$312,3,)</f>
        <v>#N/A</v>
      </c>
      <c r="E376" s="8" t="str">
        <f>VLOOKUP(B376,Sheet3!$B$2:$E$312,4,)</f>
        <v>#N/A</v>
      </c>
      <c r="F376" s="8"/>
      <c r="G376" s="8"/>
      <c r="H376" s="8"/>
      <c r="I376" s="28"/>
      <c r="J376" s="28"/>
    </row>
    <row r="377" ht="15.75" hidden="1" customHeight="1">
      <c r="A377" s="6"/>
      <c r="B377" s="6"/>
      <c r="C377" s="6" t="str">
        <f>VLOOKUP(B377,Sheet3!$B$2:$E$312,2,FALSE)</f>
        <v>#N/A</v>
      </c>
      <c r="D377" s="6" t="str">
        <f>VLOOKUP(B377,Sheet3!$B$2:$E$312,3,)</f>
        <v>#N/A</v>
      </c>
      <c r="E377" s="8" t="str">
        <f>VLOOKUP(B377,Sheet3!$B$2:$E$312,4,)</f>
        <v>#N/A</v>
      </c>
      <c r="F377" s="8"/>
      <c r="G377" s="8"/>
      <c r="H377" s="8"/>
      <c r="I377" s="28"/>
      <c r="J377" s="28"/>
    </row>
    <row r="378" ht="15.75" hidden="1" customHeight="1">
      <c r="A378" s="6"/>
      <c r="B378" s="6"/>
      <c r="C378" s="6" t="str">
        <f>VLOOKUP(B378,Sheet3!$B$2:$E$312,2,FALSE)</f>
        <v>#N/A</v>
      </c>
      <c r="D378" s="6" t="str">
        <f>VLOOKUP(B378,Sheet3!$B$2:$E$312,3,)</f>
        <v>#N/A</v>
      </c>
      <c r="E378" s="8" t="str">
        <f>VLOOKUP(B378,Sheet3!$B$2:$E$312,4,)</f>
        <v>#N/A</v>
      </c>
      <c r="F378" s="8"/>
      <c r="G378" s="8"/>
      <c r="H378" s="8"/>
      <c r="I378" s="28"/>
      <c r="J378" s="28"/>
    </row>
    <row r="379" ht="15.75" hidden="1" customHeight="1">
      <c r="A379" s="6"/>
      <c r="B379" s="6"/>
      <c r="C379" s="6" t="str">
        <f>VLOOKUP(B379,Sheet3!$B$2:$E$312,2,FALSE)</f>
        <v>#N/A</v>
      </c>
      <c r="D379" s="6" t="str">
        <f>VLOOKUP(B379,Sheet3!$B$2:$E$312,3,)</f>
        <v>#N/A</v>
      </c>
      <c r="E379" s="8" t="str">
        <f>VLOOKUP(B379,Sheet3!$B$2:$E$312,4,)</f>
        <v>#N/A</v>
      </c>
      <c r="F379" s="8"/>
      <c r="G379" s="8"/>
      <c r="H379" s="8"/>
      <c r="I379" s="28"/>
      <c r="J379" s="28"/>
    </row>
    <row r="380" ht="15.75" hidden="1" customHeight="1">
      <c r="A380" s="6"/>
      <c r="B380" s="6"/>
      <c r="C380" s="6" t="str">
        <f>VLOOKUP(B380,Sheet3!$B$2:$E$312,2,FALSE)</f>
        <v>#N/A</v>
      </c>
      <c r="D380" s="6" t="str">
        <f>VLOOKUP(B380,Sheet3!$B$2:$E$312,3,)</f>
        <v>#N/A</v>
      </c>
      <c r="E380" s="8" t="str">
        <f>VLOOKUP(B380,Sheet3!$B$2:$E$312,4,)</f>
        <v>#N/A</v>
      </c>
      <c r="F380" s="8"/>
      <c r="G380" s="8"/>
      <c r="H380" s="8"/>
      <c r="I380" s="28"/>
      <c r="J380" s="28"/>
    </row>
    <row r="381" ht="15.75" hidden="1" customHeight="1">
      <c r="A381" s="6"/>
      <c r="B381" s="6"/>
      <c r="C381" s="6" t="str">
        <f>VLOOKUP(B381,Sheet3!$B$2:$E$312,2,FALSE)</f>
        <v>#N/A</v>
      </c>
      <c r="D381" s="6" t="str">
        <f>VLOOKUP(B381,Sheet3!$B$2:$E$312,3,)</f>
        <v>#N/A</v>
      </c>
      <c r="E381" s="8" t="str">
        <f>VLOOKUP(B381,Sheet3!$B$2:$E$312,4,)</f>
        <v>#N/A</v>
      </c>
      <c r="F381" s="8"/>
      <c r="G381" s="8"/>
      <c r="H381" s="8"/>
      <c r="I381" s="28"/>
      <c r="J381" s="28"/>
    </row>
    <row r="382" ht="15.75" hidden="1" customHeight="1">
      <c r="A382" s="6"/>
      <c r="B382" s="6"/>
      <c r="C382" s="6" t="str">
        <f>VLOOKUP(B382,Sheet3!$B$2:$E$312,2,FALSE)</f>
        <v>#N/A</v>
      </c>
      <c r="D382" s="6" t="str">
        <f>VLOOKUP(B382,Sheet3!$B$2:$E$312,3,)</f>
        <v>#N/A</v>
      </c>
      <c r="E382" s="8" t="str">
        <f>VLOOKUP(B382,Sheet3!$B$2:$E$312,4,)</f>
        <v>#N/A</v>
      </c>
      <c r="F382" s="8"/>
      <c r="G382" s="8"/>
      <c r="H382" s="8"/>
      <c r="I382" s="28"/>
      <c r="J382" s="28"/>
    </row>
    <row r="383" ht="15.75" hidden="1" customHeight="1">
      <c r="A383" s="6"/>
      <c r="B383" s="6"/>
      <c r="C383" s="6" t="str">
        <f>VLOOKUP(B383,Sheet3!$B$2:$E$312,2,FALSE)</f>
        <v>#N/A</v>
      </c>
      <c r="D383" s="6" t="str">
        <f>VLOOKUP(B383,Sheet3!$B$2:$E$312,3,)</f>
        <v>#N/A</v>
      </c>
      <c r="E383" s="8" t="str">
        <f>VLOOKUP(B383,Sheet3!$B$2:$E$312,4,)</f>
        <v>#N/A</v>
      </c>
      <c r="F383" s="8"/>
      <c r="G383" s="8"/>
      <c r="H383" s="8"/>
      <c r="I383" s="28"/>
      <c r="J383" s="28"/>
    </row>
    <row r="384" ht="15.75" hidden="1" customHeight="1">
      <c r="A384" s="6"/>
      <c r="B384" s="6"/>
      <c r="C384" s="6" t="str">
        <f>VLOOKUP(B384,Sheet3!$B$2:$E$312,2,FALSE)</f>
        <v>#N/A</v>
      </c>
      <c r="D384" s="6" t="str">
        <f>VLOOKUP(B384,Sheet3!$B$2:$E$312,3,)</f>
        <v>#N/A</v>
      </c>
      <c r="E384" s="8" t="str">
        <f>VLOOKUP(B384,Sheet3!$B$2:$E$312,4,)</f>
        <v>#N/A</v>
      </c>
      <c r="F384" s="8"/>
      <c r="G384" s="8"/>
      <c r="H384" s="8"/>
      <c r="I384" s="28"/>
      <c r="J384" s="28"/>
    </row>
    <row r="385" ht="15.75" hidden="1" customHeight="1">
      <c r="A385" s="6"/>
      <c r="B385" s="6"/>
      <c r="C385" s="6" t="str">
        <f>VLOOKUP(B385,Sheet3!$B$2:$E$312,2,FALSE)</f>
        <v>#N/A</v>
      </c>
      <c r="D385" s="6" t="str">
        <f>VLOOKUP(B385,Sheet3!$B$2:$E$312,3,)</f>
        <v>#N/A</v>
      </c>
      <c r="E385" s="8" t="str">
        <f>VLOOKUP(B385,Sheet3!$B$2:$E$312,4,)</f>
        <v>#N/A</v>
      </c>
      <c r="F385" s="8"/>
      <c r="G385" s="8"/>
      <c r="H385" s="8"/>
      <c r="I385" s="28"/>
      <c r="J385" s="28"/>
    </row>
    <row r="386" ht="15.75" hidden="1" customHeight="1">
      <c r="A386" s="6"/>
      <c r="B386" s="6"/>
      <c r="C386" s="6" t="str">
        <f>VLOOKUP(B386,Sheet3!$B$2:$E$312,2,FALSE)</f>
        <v>#N/A</v>
      </c>
      <c r="D386" s="6" t="str">
        <f>VLOOKUP(B386,Sheet3!$B$2:$E$312,3,)</f>
        <v>#N/A</v>
      </c>
      <c r="E386" s="8" t="str">
        <f>VLOOKUP(B386,Sheet3!$B$2:$E$312,4,)</f>
        <v>#N/A</v>
      </c>
      <c r="F386" s="8"/>
      <c r="G386" s="8"/>
      <c r="H386" s="8"/>
      <c r="I386" s="28"/>
      <c r="J386" s="28"/>
    </row>
    <row r="387" ht="15.75" hidden="1" customHeight="1">
      <c r="A387" s="6"/>
      <c r="B387" s="6"/>
      <c r="C387" s="6" t="str">
        <f>VLOOKUP(B387,Sheet3!$B$2:$E$312,2,FALSE)</f>
        <v>#N/A</v>
      </c>
      <c r="D387" s="6" t="str">
        <f>VLOOKUP(B387,Sheet3!$B$2:$E$312,3,)</f>
        <v>#N/A</v>
      </c>
      <c r="E387" s="8" t="str">
        <f>VLOOKUP(B387,Sheet3!$B$2:$E$312,4,)</f>
        <v>#N/A</v>
      </c>
      <c r="F387" s="8"/>
      <c r="G387" s="8"/>
      <c r="H387" s="8"/>
      <c r="I387" s="28"/>
      <c r="J387" s="28"/>
    </row>
    <row r="388" ht="15.75" hidden="1" customHeight="1">
      <c r="A388" s="6"/>
      <c r="B388" s="6"/>
      <c r="C388" s="6" t="str">
        <f>VLOOKUP(B388,Sheet3!$B$2:$E$312,2,FALSE)</f>
        <v>#N/A</v>
      </c>
      <c r="D388" s="6" t="str">
        <f>VLOOKUP(B388,Sheet3!$B$2:$E$312,3,)</f>
        <v>#N/A</v>
      </c>
      <c r="E388" s="8" t="str">
        <f>VLOOKUP(B388,Sheet3!$B$2:$E$312,4,)</f>
        <v>#N/A</v>
      </c>
      <c r="F388" s="8"/>
      <c r="G388" s="8"/>
      <c r="H388" s="8"/>
      <c r="I388" s="28"/>
      <c r="J388" s="28"/>
    </row>
    <row r="389" ht="15.75" hidden="1" customHeight="1">
      <c r="A389" s="6"/>
      <c r="B389" s="6"/>
      <c r="C389" s="6" t="str">
        <f>VLOOKUP(B389,Sheet3!$B$2:$E$312,2,FALSE)</f>
        <v>#N/A</v>
      </c>
      <c r="D389" s="6" t="str">
        <f>VLOOKUP(B389,Sheet3!$B$2:$E$312,3,)</f>
        <v>#N/A</v>
      </c>
      <c r="E389" s="8" t="str">
        <f>VLOOKUP(B389,Sheet3!$B$2:$E$312,4,)</f>
        <v>#N/A</v>
      </c>
      <c r="F389" s="8"/>
      <c r="G389" s="8"/>
      <c r="H389" s="8"/>
      <c r="I389" s="28"/>
      <c r="J389" s="28"/>
    </row>
    <row r="390" ht="15.75" hidden="1" customHeight="1">
      <c r="A390" s="6"/>
      <c r="B390" s="6"/>
      <c r="C390" s="6" t="str">
        <f>VLOOKUP(B390,Sheet3!$B$2:$E$312,2,FALSE)</f>
        <v>#N/A</v>
      </c>
      <c r="D390" s="6" t="str">
        <f>VLOOKUP(B390,Sheet3!$B$2:$E$312,3,)</f>
        <v>#N/A</v>
      </c>
      <c r="E390" s="8" t="str">
        <f>VLOOKUP(B390,Sheet3!$B$2:$E$312,4,)</f>
        <v>#N/A</v>
      </c>
      <c r="F390" s="8"/>
      <c r="G390" s="8"/>
      <c r="H390" s="8"/>
      <c r="I390" s="28"/>
      <c r="J390" s="28"/>
    </row>
    <row r="391" ht="15.75" hidden="1" customHeight="1">
      <c r="A391" s="6"/>
      <c r="B391" s="6"/>
      <c r="C391" s="6" t="str">
        <f>VLOOKUP(B391,Sheet3!$B$2:$E$312,2,FALSE)</f>
        <v>#N/A</v>
      </c>
      <c r="D391" s="6" t="str">
        <f>VLOOKUP(B391,Sheet3!$B$2:$E$312,3,)</f>
        <v>#N/A</v>
      </c>
      <c r="E391" s="8" t="str">
        <f>VLOOKUP(B391,Sheet3!$B$2:$E$312,4,)</f>
        <v>#N/A</v>
      </c>
      <c r="F391" s="8"/>
      <c r="G391" s="8"/>
      <c r="H391" s="8"/>
      <c r="I391" s="28"/>
      <c r="J391" s="28"/>
    </row>
    <row r="392" ht="15.75" hidden="1" customHeight="1">
      <c r="A392" s="6"/>
      <c r="B392" s="6"/>
      <c r="C392" s="6" t="str">
        <f>VLOOKUP(B392,Sheet3!$B$2:$E$312,2,FALSE)</f>
        <v>#N/A</v>
      </c>
      <c r="D392" s="6" t="str">
        <f>VLOOKUP(B392,Sheet3!$B$2:$E$312,3,)</f>
        <v>#N/A</v>
      </c>
      <c r="E392" s="8" t="str">
        <f>VLOOKUP(B392,Sheet3!$B$2:$E$312,4,)</f>
        <v>#N/A</v>
      </c>
      <c r="F392" s="8"/>
      <c r="G392" s="8"/>
      <c r="H392" s="8"/>
      <c r="I392" s="28"/>
      <c r="J392" s="28"/>
    </row>
    <row r="393" ht="15.75" hidden="1" customHeight="1">
      <c r="A393" s="6"/>
      <c r="B393" s="6"/>
      <c r="C393" s="6" t="str">
        <f>VLOOKUP(B393,Sheet3!$B$2:$E$312,2,FALSE)</f>
        <v>#N/A</v>
      </c>
      <c r="D393" s="6" t="str">
        <f>VLOOKUP(B393,Sheet3!$B$2:$E$312,3,)</f>
        <v>#N/A</v>
      </c>
      <c r="E393" s="8" t="str">
        <f>VLOOKUP(B393,Sheet3!$B$2:$E$312,4,)</f>
        <v>#N/A</v>
      </c>
      <c r="F393" s="8"/>
      <c r="G393" s="8"/>
      <c r="H393" s="8"/>
      <c r="I393" s="28"/>
      <c r="J393" s="28"/>
    </row>
    <row r="394" ht="15.75" hidden="1" customHeight="1">
      <c r="A394" s="6"/>
      <c r="B394" s="6"/>
      <c r="C394" s="6" t="str">
        <f>VLOOKUP(B394,Sheet3!$B$2:$E$312,2,FALSE)</f>
        <v>#N/A</v>
      </c>
      <c r="D394" s="6" t="str">
        <f>VLOOKUP(B394,Sheet3!$B$2:$E$312,3,)</f>
        <v>#N/A</v>
      </c>
      <c r="E394" s="8" t="str">
        <f>VLOOKUP(B394,Sheet3!$B$2:$E$312,4,)</f>
        <v>#N/A</v>
      </c>
      <c r="F394" s="8"/>
      <c r="G394" s="8"/>
      <c r="H394" s="8"/>
      <c r="I394" s="28"/>
      <c r="J394" s="28"/>
    </row>
    <row r="395" ht="15.75" hidden="1" customHeight="1">
      <c r="A395" s="6"/>
      <c r="B395" s="6"/>
      <c r="C395" s="6" t="str">
        <f>VLOOKUP(B395,Sheet3!$B$2:$E$312,2,FALSE)</f>
        <v>#N/A</v>
      </c>
      <c r="D395" s="6" t="str">
        <f>VLOOKUP(B395,Sheet3!$B$2:$E$312,3,)</f>
        <v>#N/A</v>
      </c>
      <c r="E395" s="8" t="str">
        <f>VLOOKUP(B395,Sheet3!$B$2:$E$312,4,)</f>
        <v>#N/A</v>
      </c>
      <c r="F395" s="8"/>
      <c r="G395" s="8"/>
      <c r="H395" s="8"/>
      <c r="I395" s="28"/>
      <c r="J395" s="28"/>
    </row>
    <row r="396" ht="15.75" hidden="1" customHeight="1">
      <c r="A396" s="6"/>
      <c r="B396" s="6"/>
      <c r="C396" s="6" t="str">
        <f>VLOOKUP(B396,Sheet3!$B$2:$E$312,2,FALSE)</f>
        <v>#N/A</v>
      </c>
      <c r="D396" s="6" t="str">
        <f>VLOOKUP(B396,Sheet3!$B$2:$E$312,3,)</f>
        <v>#N/A</v>
      </c>
      <c r="E396" s="8" t="str">
        <f>VLOOKUP(B396,Sheet3!$B$2:$E$312,4,)</f>
        <v>#N/A</v>
      </c>
      <c r="F396" s="8"/>
      <c r="G396" s="8"/>
      <c r="H396" s="8"/>
      <c r="I396" s="28"/>
      <c r="J396" s="28"/>
    </row>
    <row r="397" ht="15.75" hidden="1" customHeight="1">
      <c r="A397" s="6"/>
      <c r="B397" s="6"/>
      <c r="C397" s="6" t="str">
        <f>VLOOKUP(B397,Sheet3!$B$2:$E$312,2,FALSE)</f>
        <v>#N/A</v>
      </c>
      <c r="D397" s="6" t="str">
        <f>VLOOKUP(B397,Sheet3!$B$2:$E$312,3,)</f>
        <v>#N/A</v>
      </c>
      <c r="E397" s="8" t="str">
        <f>VLOOKUP(B397,Sheet3!$B$2:$E$312,4,)</f>
        <v>#N/A</v>
      </c>
      <c r="F397" s="8"/>
      <c r="G397" s="8"/>
      <c r="H397" s="8"/>
      <c r="I397" s="28"/>
      <c r="J397" s="28"/>
    </row>
    <row r="398" ht="15.75" hidden="1" customHeight="1">
      <c r="A398" s="6"/>
      <c r="B398" s="6"/>
      <c r="C398" s="6" t="str">
        <f>VLOOKUP(B398,Sheet3!$B$2:$E$312,2,FALSE)</f>
        <v>#N/A</v>
      </c>
      <c r="D398" s="6" t="str">
        <f>VLOOKUP(B398,Sheet3!$B$2:$E$312,3,)</f>
        <v>#N/A</v>
      </c>
      <c r="E398" s="8" t="str">
        <f>VLOOKUP(B398,Sheet3!$B$2:$E$312,4,)</f>
        <v>#N/A</v>
      </c>
      <c r="F398" s="8"/>
      <c r="G398" s="8"/>
      <c r="H398" s="8"/>
      <c r="I398" s="28"/>
      <c r="J398" s="28"/>
    </row>
    <row r="399" ht="15.75" hidden="1" customHeight="1">
      <c r="A399" s="6"/>
      <c r="B399" s="6"/>
      <c r="C399" s="6" t="str">
        <f>VLOOKUP(B399,Sheet3!$B$2:$E$312,2,FALSE)</f>
        <v>#N/A</v>
      </c>
      <c r="D399" s="6" t="str">
        <f>VLOOKUP(B399,Sheet3!$B$2:$E$312,3,)</f>
        <v>#N/A</v>
      </c>
      <c r="E399" s="8" t="str">
        <f>VLOOKUP(B399,Sheet3!$B$2:$E$312,4,)</f>
        <v>#N/A</v>
      </c>
      <c r="F399" s="8"/>
      <c r="G399" s="8"/>
      <c r="H399" s="8"/>
      <c r="I399" s="28"/>
      <c r="J399" s="28"/>
    </row>
    <row r="400" ht="15.75" hidden="1" customHeight="1">
      <c r="A400" s="6"/>
      <c r="B400" s="6"/>
      <c r="C400" s="6" t="str">
        <f>VLOOKUP(B400,Sheet3!$B$2:$E$312,2,FALSE)</f>
        <v>#N/A</v>
      </c>
      <c r="D400" s="6" t="str">
        <f>VLOOKUP(B400,Sheet3!$B$2:$E$312,3,)</f>
        <v>#N/A</v>
      </c>
      <c r="E400" s="8" t="str">
        <f>VLOOKUP(B400,Sheet3!$B$2:$E$312,4,)</f>
        <v>#N/A</v>
      </c>
      <c r="F400" s="8"/>
      <c r="G400" s="8"/>
      <c r="H400" s="8"/>
      <c r="I400" s="28"/>
      <c r="J400" s="28"/>
    </row>
    <row r="401" ht="15.75" hidden="1" customHeight="1">
      <c r="A401" s="6"/>
      <c r="B401" s="6"/>
      <c r="C401" s="6" t="str">
        <f>VLOOKUP(B401,Sheet3!$B$2:$E$312,2,FALSE)</f>
        <v>#N/A</v>
      </c>
      <c r="D401" s="6" t="str">
        <f>VLOOKUP(B401,Sheet3!$B$2:$E$312,3,)</f>
        <v>#N/A</v>
      </c>
      <c r="E401" s="8" t="str">
        <f>VLOOKUP(B401,Sheet3!$B$2:$E$312,4,)</f>
        <v>#N/A</v>
      </c>
      <c r="F401" s="8"/>
      <c r="G401" s="8"/>
      <c r="H401" s="8"/>
      <c r="I401" s="28"/>
      <c r="J401" s="28"/>
    </row>
    <row r="402" ht="15.75" hidden="1" customHeight="1">
      <c r="A402" s="6"/>
      <c r="B402" s="6"/>
      <c r="C402" s="6" t="str">
        <f>VLOOKUP(B402,Sheet3!$B$2:$E$312,2,FALSE)</f>
        <v>#N/A</v>
      </c>
      <c r="D402" s="6" t="str">
        <f>VLOOKUP(B402,Sheet3!$B$2:$E$312,3,)</f>
        <v>#N/A</v>
      </c>
      <c r="E402" s="8" t="str">
        <f>VLOOKUP(B402,Sheet3!$B$2:$E$312,4,)</f>
        <v>#N/A</v>
      </c>
      <c r="F402" s="8"/>
      <c r="G402" s="8"/>
      <c r="H402" s="8"/>
      <c r="I402" s="28"/>
      <c r="J402" s="28"/>
    </row>
    <row r="403" ht="15.75" hidden="1" customHeight="1">
      <c r="A403" s="6"/>
      <c r="B403" s="6"/>
      <c r="C403" s="6" t="str">
        <f>VLOOKUP(B403,Sheet3!$B$2:$E$312,2,FALSE)</f>
        <v>#N/A</v>
      </c>
      <c r="D403" s="6" t="str">
        <f>VLOOKUP(B403,Sheet3!$B$2:$E$312,3,)</f>
        <v>#N/A</v>
      </c>
      <c r="E403" s="8" t="str">
        <f>VLOOKUP(B403,Sheet3!$B$2:$E$312,4,)</f>
        <v>#N/A</v>
      </c>
      <c r="F403" s="8"/>
      <c r="G403" s="8"/>
      <c r="H403" s="8"/>
      <c r="I403" s="28"/>
      <c r="J403" s="28"/>
    </row>
    <row r="404" ht="15.75" hidden="1" customHeight="1">
      <c r="A404" s="6"/>
      <c r="B404" s="6"/>
      <c r="C404" s="6" t="str">
        <f>VLOOKUP(B404,Sheet3!$B$2:$E$312,2,FALSE)</f>
        <v>#N/A</v>
      </c>
      <c r="D404" s="6" t="str">
        <f>VLOOKUP(B404,Sheet3!$B$2:$E$312,3,)</f>
        <v>#N/A</v>
      </c>
      <c r="E404" s="8" t="str">
        <f>VLOOKUP(B404,Sheet3!$B$2:$E$312,4,)</f>
        <v>#N/A</v>
      </c>
      <c r="F404" s="8"/>
      <c r="G404" s="8"/>
      <c r="H404" s="8"/>
      <c r="I404" s="28"/>
      <c r="J404" s="28"/>
    </row>
    <row r="405" ht="15.75" hidden="1" customHeight="1">
      <c r="A405" s="6"/>
      <c r="B405" s="6"/>
      <c r="C405" s="6" t="str">
        <f>VLOOKUP(B405,Sheet3!$B$2:$E$312,2,FALSE)</f>
        <v>#N/A</v>
      </c>
      <c r="D405" s="6" t="str">
        <f>VLOOKUP(B405,Sheet3!$B$2:$E$312,3,)</f>
        <v>#N/A</v>
      </c>
      <c r="E405" s="8" t="str">
        <f>VLOOKUP(B405,Sheet3!$B$2:$E$312,4,)</f>
        <v>#N/A</v>
      </c>
      <c r="F405" s="8"/>
      <c r="G405" s="8"/>
      <c r="H405" s="8"/>
      <c r="I405" s="28"/>
      <c r="J405" s="28"/>
    </row>
    <row r="406" ht="15.75" hidden="1" customHeight="1">
      <c r="A406" s="6"/>
      <c r="B406" s="6"/>
      <c r="C406" s="6" t="str">
        <f>VLOOKUP(B406,Sheet3!$B$2:$E$312,2,FALSE)</f>
        <v>#N/A</v>
      </c>
      <c r="D406" s="6" t="str">
        <f>VLOOKUP(B406,Sheet3!$B$2:$E$312,3,)</f>
        <v>#N/A</v>
      </c>
      <c r="E406" s="8" t="str">
        <f>VLOOKUP(B406,Sheet3!$B$2:$E$312,4,)</f>
        <v>#N/A</v>
      </c>
      <c r="F406" s="8"/>
      <c r="G406" s="8"/>
      <c r="H406" s="8"/>
      <c r="I406" s="28"/>
      <c r="J406" s="28"/>
    </row>
    <row r="407" ht="15.75" hidden="1" customHeight="1">
      <c r="A407" s="6"/>
      <c r="B407" s="6"/>
      <c r="C407" s="6" t="str">
        <f>VLOOKUP(B407,Sheet3!$B$2:$E$312,2,FALSE)</f>
        <v>#N/A</v>
      </c>
      <c r="D407" s="6" t="str">
        <f>VLOOKUP(B407,Sheet3!$B$2:$E$312,3,)</f>
        <v>#N/A</v>
      </c>
      <c r="E407" s="8" t="str">
        <f>VLOOKUP(B407,Sheet3!$B$2:$E$312,4,)</f>
        <v>#N/A</v>
      </c>
      <c r="F407" s="8"/>
      <c r="G407" s="8"/>
      <c r="H407" s="8"/>
      <c r="I407" s="28"/>
      <c r="J407" s="28"/>
    </row>
    <row r="408" ht="15.75" hidden="1" customHeight="1">
      <c r="A408" s="6"/>
      <c r="B408" s="6"/>
      <c r="C408" s="6" t="str">
        <f>VLOOKUP(B408,Sheet3!$B$2:$E$312,2,FALSE)</f>
        <v>#N/A</v>
      </c>
      <c r="D408" s="6" t="str">
        <f>VLOOKUP(B408,Sheet3!$B$2:$E$312,3,)</f>
        <v>#N/A</v>
      </c>
      <c r="E408" s="8" t="str">
        <f>VLOOKUP(B408,Sheet3!$B$2:$E$312,4,)</f>
        <v>#N/A</v>
      </c>
      <c r="F408" s="8"/>
      <c r="G408" s="8"/>
      <c r="H408" s="8"/>
      <c r="I408" s="28"/>
      <c r="J408" s="28"/>
    </row>
    <row r="409" ht="15.75" hidden="1" customHeight="1">
      <c r="A409" s="6"/>
      <c r="B409" s="6"/>
      <c r="C409" s="6" t="str">
        <f>VLOOKUP(B409,Sheet3!$B$2:$E$312,2,FALSE)</f>
        <v>#N/A</v>
      </c>
      <c r="D409" s="6" t="str">
        <f>VLOOKUP(B409,Sheet3!$B$2:$E$312,3,)</f>
        <v>#N/A</v>
      </c>
      <c r="E409" s="8" t="str">
        <f>VLOOKUP(B409,Sheet3!$B$2:$E$312,4,)</f>
        <v>#N/A</v>
      </c>
      <c r="F409" s="8"/>
      <c r="G409" s="8"/>
      <c r="H409" s="8"/>
      <c r="I409" s="28"/>
      <c r="J409" s="28"/>
    </row>
    <row r="410" ht="15.75" hidden="1" customHeight="1">
      <c r="A410" s="6"/>
      <c r="B410" s="6"/>
      <c r="C410" s="6" t="str">
        <f>VLOOKUP(B410,Sheet3!$B$2:$E$312,2,FALSE)</f>
        <v>#N/A</v>
      </c>
      <c r="D410" s="6" t="str">
        <f>VLOOKUP(B410,Sheet3!$B$2:$E$312,3,)</f>
        <v>#N/A</v>
      </c>
      <c r="E410" s="8" t="str">
        <f>VLOOKUP(B410,Sheet3!$B$2:$E$312,4,)</f>
        <v>#N/A</v>
      </c>
      <c r="F410" s="8"/>
      <c r="G410" s="8"/>
      <c r="H410" s="8"/>
      <c r="I410" s="28"/>
      <c r="J410" s="28"/>
    </row>
    <row r="411" ht="15.75" hidden="1" customHeight="1">
      <c r="A411" s="6"/>
      <c r="B411" s="6"/>
      <c r="C411" s="6" t="str">
        <f>VLOOKUP(B411,Sheet3!$B$2:$E$312,2,FALSE)</f>
        <v>#N/A</v>
      </c>
      <c r="D411" s="6" t="str">
        <f>VLOOKUP(B411,Sheet3!$B$2:$E$312,3,)</f>
        <v>#N/A</v>
      </c>
      <c r="E411" s="8" t="str">
        <f>VLOOKUP(B411,Sheet3!$B$2:$E$312,4,)</f>
        <v>#N/A</v>
      </c>
      <c r="F411" s="8"/>
      <c r="G411" s="8"/>
      <c r="H411" s="8"/>
      <c r="I411" s="28"/>
      <c r="J411" s="28"/>
    </row>
    <row r="412" ht="15.75" hidden="1" customHeight="1">
      <c r="A412" s="6"/>
      <c r="B412" s="6"/>
      <c r="C412" s="6" t="str">
        <f>VLOOKUP(B412,Sheet3!$B$2:$E$312,2,FALSE)</f>
        <v>#N/A</v>
      </c>
      <c r="D412" s="6" t="str">
        <f>VLOOKUP(B412,Sheet3!$B$2:$E$312,3,)</f>
        <v>#N/A</v>
      </c>
      <c r="E412" s="8" t="str">
        <f>VLOOKUP(B412,Sheet3!$B$2:$E$312,4,)</f>
        <v>#N/A</v>
      </c>
      <c r="F412" s="8"/>
      <c r="G412" s="8"/>
      <c r="H412" s="8"/>
      <c r="I412" s="28"/>
      <c r="J412" s="28"/>
    </row>
    <row r="413" ht="15.75" hidden="1" customHeight="1">
      <c r="A413" s="6"/>
      <c r="B413" s="6"/>
      <c r="C413" s="6" t="str">
        <f>VLOOKUP(B413,Sheet3!$B$2:$E$312,2,FALSE)</f>
        <v>#N/A</v>
      </c>
      <c r="D413" s="6" t="str">
        <f>VLOOKUP(B413,Sheet3!$B$2:$E$312,3,)</f>
        <v>#N/A</v>
      </c>
      <c r="E413" s="8" t="str">
        <f>VLOOKUP(B413,Sheet3!$B$2:$E$312,4,)</f>
        <v>#N/A</v>
      </c>
      <c r="F413" s="8"/>
      <c r="G413" s="8"/>
      <c r="H413" s="8"/>
      <c r="I413" s="28"/>
      <c r="J413" s="28"/>
    </row>
    <row r="414" ht="15.75" hidden="1" customHeight="1">
      <c r="A414" s="6"/>
      <c r="B414" s="6"/>
      <c r="C414" s="6" t="str">
        <f>VLOOKUP(B414,Sheet3!$B$2:$E$312,2,FALSE)</f>
        <v>#N/A</v>
      </c>
      <c r="D414" s="6" t="str">
        <f>VLOOKUP(B414,Sheet3!$B$2:$E$312,3,)</f>
        <v>#N/A</v>
      </c>
      <c r="E414" s="8" t="str">
        <f>VLOOKUP(B414,Sheet3!$B$2:$E$312,4,)</f>
        <v>#N/A</v>
      </c>
      <c r="F414" s="8"/>
      <c r="G414" s="8"/>
      <c r="H414" s="8"/>
      <c r="I414" s="28"/>
      <c r="J414" s="28"/>
    </row>
    <row r="415" ht="15.75" hidden="1" customHeight="1">
      <c r="A415" s="6"/>
      <c r="B415" s="6"/>
      <c r="C415" s="6" t="str">
        <f>VLOOKUP(B415,Sheet3!$B$2:$E$312,2,FALSE)</f>
        <v>#N/A</v>
      </c>
      <c r="D415" s="6" t="str">
        <f>VLOOKUP(B415,Sheet3!$B$2:$E$312,3,)</f>
        <v>#N/A</v>
      </c>
      <c r="E415" s="8" t="str">
        <f>VLOOKUP(B415,Sheet3!$B$2:$E$312,4,)</f>
        <v>#N/A</v>
      </c>
      <c r="F415" s="8"/>
      <c r="G415" s="8"/>
      <c r="H415" s="8"/>
      <c r="I415" s="28"/>
      <c r="J415" s="28"/>
    </row>
    <row r="416" ht="15.75" hidden="1" customHeight="1">
      <c r="A416" s="6"/>
      <c r="B416" s="6"/>
      <c r="C416" s="6" t="str">
        <f>VLOOKUP(B416,Sheet3!$B$2:$E$312,2,FALSE)</f>
        <v>#N/A</v>
      </c>
      <c r="D416" s="6" t="str">
        <f>VLOOKUP(B416,Sheet3!$B$2:$E$312,3,)</f>
        <v>#N/A</v>
      </c>
      <c r="E416" s="8" t="str">
        <f>VLOOKUP(B416,Sheet3!$B$2:$E$312,4,)</f>
        <v>#N/A</v>
      </c>
      <c r="F416" s="8"/>
      <c r="G416" s="8"/>
      <c r="H416" s="8"/>
      <c r="I416" s="28"/>
      <c r="J416" s="28"/>
    </row>
    <row r="417" ht="15.75" hidden="1" customHeight="1">
      <c r="A417" s="6"/>
      <c r="B417" s="6"/>
      <c r="C417" s="6" t="str">
        <f>VLOOKUP(B417,Sheet3!$B$2:$E$312,2,FALSE)</f>
        <v>#N/A</v>
      </c>
      <c r="D417" s="6" t="str">
        <f>VLOOKUP(B417,Sheet3!$B$2:$E$312,3,)</f>
        <v>#N/A</v>
      </c>
      <c r="E417" s="8" t="str">
        <f>VLOOKUP(B417,Sheet3!$B$2:$E$312,4,)</f>
        <v>#N/A</v>
      </c>
      <c r="F417" s="8"/>
      <c r="G417" s="8"/>
      <c r="H417" s="8"/>
      <c r="I417" s="28"/>
      <c r="J417" s="28"/>
    </row>
    <row r="418" ht="15.75" hidden="1" customHeight="1">
      <c r="A418" s="6"/>
      <c r="B418" s="6"/>
      <c r="C418" s="6" t="str">
        <f>VLOOKUP(B418,Sheet3!$B$2:$E$312,2,FALSE)</f>
        <v>#N/A</v>
      </c>
      <c r="D418" s="6" t="str">
        <f>VLOOKUP(B418,Sheet3!$B$2:$E$312,3,)</f>
        <v>#N/A</v>
      </c>
      <c r="E418" s="8" t="str">
        <f>VLOOKUP(B418,Sheet3!$B$2:$E$312,4,)</f>
        <v>#N/A</v>
      </c>
      <c r="F418" s="8"/>
      <c r="G418" s="8"/>
      <c r="H418" s="8"/>
      <c r="I418" s="28"/>
      <c r="J418" s="28"/>
    </row>
    <row r="419" ht="15.75" hidden="1" customHeight="1">
      <c r="A419" s="6"/>
      <c r="B419" s="6"/>
      <c r="C419" s="6" t="str">
        <f>VLOOKUP(B419,Sheet3!$B$2:$E$312,2,FALSE)</f>
        <v>#N/A</v>
      </c>
      <c r="D419" s="6" t="str">
        <f>VLOOKUP(B419,Sheet3!$B$2:$E$312,3,)</f>
        <v>#N/A</v>
      </c>
      <c r="E419" s="8" t="str">
        <f>VLOOKUP(B419,Sheet3!$B$2:$E$312,4,)</f>
        <v>#N/A</v>
      </c>
      <c r="F419" s="8"/>
      <c r="G419" s="8"/>
      <c r="H419" s="8"/>
      <c r="I419" s="28"/>
      <c r="J419" s="28"/>
    </row>
    <row r="420" ht="15.75" hidden="1" customHeight="1">
      <c r="A420" s="6"/>
      <c r="B420" s="6"/>
      <c r="C420" s="6" t="str">
        <f>VLOOKUP(B420,Sheet3!$B$2:$E$312,2,FALSE)</f>
        <v>#N/A</v>
      </c>
      <c r="D420" s="6" t="str">
        <f>VLOOKUP(B420,Sheet3!$B$2:$E$312,3,)</f>
        <v>#N/A</v>
      </c>
      <c r="E420" s="8" t="str">
        <f>VLOOKUP(B420,Sheet3!$B$2:$E$312,4,)</f>
        <v>#N/A</v>
      </c>
      <c r="F420" s="8"/>
      <c r="G420" s="8"/>
      <c r="H420" s="8"/>
      <c r="I420" s="28"/>
      <c r="J420" s="28"/>
    </row>
    <row r="421" ht="15.75" hidden="1" customHeight="1">
      <c r="A421" s="6"/>
      <c r="B421" s="6"/>
      <c r="C421" s="6" t="str">
        <f>VLOOKUP(B421,Sheet3!$B$2:$E$312,2,FALSE)</f>
        <v>#N/A</v>
      </c>
      <c r="D421" s="6" t="str">
        <f>VLOOKUP(B421,Sheet3!$B$2:$E$312,3,)</f>
        <v>#N/A</v>
      </c>
      <c r="E421" s="8" t="str">
        <f>VLOOKUP(B421,Sheet3!$B$2:$E$312,4,)</f>
        <v>#N/A</v>
      </c>
      <c r="F421" s="8"/>
      <c r="G421" s="8"/>
      <c r="H421" s="8"/>
      <c r="I421" s="28"/>
      <c r="J421" s="28"/>
    </row>
    <row r="422" ht="15.75" hidden="1" customHeight="1">
      <c r="A422" s="6"/>
      <c r="B422" s="6"/>
      <c r="C422" s="6" t="str">
        <f>VLOOKUP(B422,Sheet3!$B$2:$E$312,2,FALSE)</f>
        <v>#N/A</v>
      </c>
      <c r="D422" s="6" t="str">
        <f>VLOOKUP(B422,Sheet3!$B$2:$E$312,3,)</f>
        <v>#N/A</v>
      </c>
      <c r="E422" s="8" t="str">
        <f>VLOOKUP(B422,Sheet3!$B$2:$E$312,4,)</f>
        <v>#N/A</v>
      </c>
      <c r="F422" s="8"/>
      <c r="G422" s="8"/>
      <c r="H422" s="8"/>
      <c r="I422" s="28"/>
      <c r="J422" s="28"/>
    </row>
    <row r="423" ht="15.75" hidden="1" customHeight="1">
      <c r="A423" s="6"/>
      <c r="B423" s="6"/>
      <c r="C423" s="6" t="str">
        <f>VLOOKUP(B423,Sheet3!$B$2:$E$312,2,FALSE)</f>
        <v>#N/A</v>
      </c>
      <c r="D423" s="6" t="str">
        <f>VLOOKUP(B423,Sheet3!$B$2:$E$312,3,)</f>
        <v>#N/A</v>
      </c>
      <c r="E423" s="8" t="str">
        <f>VLOOKUP(B423,Sheet3!$B$2:$E$312,4,)</f>
        <v>#N/A</v>
      </c>
      <c r="F423" s="8"/>
      <c r="G423" s="8"/>
      <c r="H423" s="8"/>
      <c r="I423" s="28"/>
      <c r="J423" s="28"/>
    </row>
    <row r="424" ht="15.75" hidden="1" customHeight="1">
      <c r="A424" s="6"/>
      <c r="B424" s="6"/>
      <c r="C424" s="6" t="str">
        <f>VLOOKUP(B424,Sheet3!$B$2:$E$312,2,FALSE)</f>
        <v>#N/A</v>
      </c>
      <c r="D424" s="6" t="str">
        <f>VLOOKUP(B424,Sheet3!$B$2:$E$312,3,)</f>
        <v>#N/A</v>
      </c>
      <c r="E424" s="8" t="str">
        <f>VLOOKUP(B424,Sheet3!$B$2:$E$312,4,)</f>
        <v>#N/A</v>
      </c>
      <c r="F424" s="8"/>
      <c r="G424" s="8"/>
      <c r="H424" s="8"/>
      <c r="I424" s="28"/>
      <c r="J424" s="28"/>
    </row>
    <row r="425" ht="15.75" hidden="1" customHeight="1">
      <c r="A425" s="6"/>
      <c r="B425" s="6"/>
      <c r="C425" s="6" t="str">
        <f>VLOOKUP(B425,Sheet3!$B$2:$E$312,2,FALSE)</f>
        <v>#N/A</v>
      </c>
      <c r="D425" s="6" t="str">
        <f>VLOOKUP(B425,Sheet3!$B$2:$E$312,3,)</f>
        <v>#N/A</v>
      </c>
      <c r="E425" s="8" t="str">
        <f>VLOOKUP(B425,Sheet3!$B$2:$E$312,4,)</f>
        <v>#N/A</v>
      </c>
      <c r="F425" s="8"/>
      <c r="G425" s="8"/>
      <c r="H425" s="8"/>
      <c r="I425" s="28"/>
      <c r="J425" s="28"/>
    </row>
    <row r="426" ht="15.75" hidden="1" customHeight="1">
      <c r="A426" s="6"/>
      <c r="B426" s="6"/>
      <c r="C426" s="6" t="str">
        <f>VLOOKUP(B426,Sheet3!$B$2:$E$312,2,FALSE)</f>
        <v>#N/A</v>
      </c>
      <c r="D426" s="6" t="str">
        <f>VLOOKUP(B426,Sheet3!$B$2:$E$312,3,)</f>
        <v>#N/A</v>
      </c>
      <c r="E426" s="8" t="str">
        <f>VLOOKUP(B426,Sheet3!$B$2:$E$312,4,)</f>
        <v>#N/A</v>
      </c>
      <c r="F426" s="8"/>
      <c r="G426" s="8"/>
      <c r="H426" s="8"/>
      <c r="I426" s="28"/>
      <c r="J426" s="28"/>
    </row>
    <row r="427" ht="15.75" hidden="1" customHeight="1">
      <c r="A427" s="6"/>
      <c r="B427" s="6"/>
      <c r="C427" s="6" t="str">
        <f>VLOOKUP(B427,Sheet3!$B$2:$E$312,2,FALSE)</f>
        <v>#N/A</v>
      </c>
      <c r="D427" s="6" t="str">
        <f>VLOOKUP(B427,Sheet3!$B$2:$E$312,3,)</f>
        <v>#N/A</v>
      </c>
      <c r="E427" s="8" t="str">
        <f>VLOOKUP(B427,Sheet3!$B$2:$E$312,4,)</f>
        <v>#N/A</v>
      </c>
      <c r="F427" s="8"/>
      <c r="G427" s="8"/>
      <c r="H427" s="8"/>
      <c r="I427" s="28"/>
      <c r="J427" s="28"/>
    </row>
    <row r="428" ht="15.75" hidden="1" customHeight="1">
      <c r="A428" s="6"/>
      <c r="B428" s="6"/>
      <c r="C428" s="6" t="str">
        <f>VLOOKUP(B428,Sheet3!$B$2:$E$312,2,FALSE)</f>
        <v>#N/A</v>
      </c>
      <c r="D428" s="6" t="str">
        <f>VLOOKUP(B428,Sheet3!$B$2:$E$312,3,)</f>
        <v>#N/A</v>
      </c>
      <c r="E428" s="8" t="str">
        <f>VLOOKUP(B428,Sheet3!$B$2:$E$312,4,)</f>
        <v>#N/A</v>
      </c>
      <c r="F428" s="8"/>
      <c r="G428" s="8"/>
      <c r="H428" s="8"/>
      <c r="I428" s="28"/>
      <c r="J428" s="28"/>
    </row>
    <row r="429" ht="15.75" hidden="1" customHeight="1">
      <c r="A429" s="6"/>
      <c r="B429" s="6"/>
      <c r="C429" s="6" t="str">
        <f>VLOOKUP(B429,Sheet3!$B$2:$E$312,2,FALSE)</f>
        <v>#N/A</v>
      </c>
      <c r="D429" s="6" t="str">
        <f>VLOOKUP(B429,Sheet3!$B$2:$E$312,3,)</f>
        <v>#N/A</v>
      </c>
      <c r="E429" s="8" t="str">
        <f>VLOOKUP(B429,Sheet3!$B$2:$E$312,4,)</f>
        <v>#N/A</v>
      </c>
      <c r="F429" s="8"/>
      <c r="G429" s="8"/>
      <c r="H429" s="8"/>
      <c r="I429" s="28"/>
      <c r="J429" s="28"/>
    </row>
    <row r="430" ht="15.75" hidden="1" customHeight="1">
      <c r="A430" s="6"/>
      <c r="B430" s="6"/>
      <c r="C430" s="6" t="str">
        <f>VLOOKUP(B430,Sheet3!$B$2:$E$312,2,FALSE)</f>
        <v>#N/A</v>
      </c>
      <c r="D430" s="6" t="str">
        <f>VLOOKUP(B430,Sheet3!$B$2:$E$312,3,)</f>
        <v>#N/A</v>
      </c>
      <c r="E430" s="8" t="str">
        <f>VLOOKUP(B430,Sheet3!$B$2:$E$312,4,)</f>
        <v>#N/A</v>
      </c>
      <c r="F430" s="8"/>
      <c r="G430" s="8"/>
      <c r="H430" s="8"/>
      <c r="I430" s="28"/>
      <c r="J430" s="28"/>
    </row>
    <row r="431" ht="15.75" hidden="1" customHeight="1">
      <c r="A431" s="6"/>
      <c r="B431" s="6"/>
      <c r="C431" s="6" t="str">
        <f>VLOOKUP(B431,Sheet3!$B$2:$E$312,2,FALSE)</f>
        <v>#N/A</v>
      </c>
      <c r="D431" s="6" t="str">
        <f>VLOOKUP(B431,Sheet3!$B$2:$E$312,3,)</f>
        <v>#N/A</v>
      </c>
      <c r="E431" s="8" t="str">
        <f>VLOOKUP(B431,Sheet3!$B$2:$E$312,4,)</f>
        <v>#N/A</v>
      </c>
      <c r="F431" s="8"/>
      <c r="G431" s="8"/>
      <c r="H431" s="8"/>
      <c r="I431" s="28"/>
      <c r="J431" s="28"/>
    </row>
    <row r="432" ht="15.75" hidden="1" customHeight="1">
      <c r="A432" s="6"/>
      <c r="B432" s="6"/>
      <c r="C432" s="6" t="str">
        <f>VLOOKUP(B432,Sheet3!$B$2:$E$312,2,FALSE)</f>
        <v>#N/A</v>
      </c>
      <c r="D432" s="6" t="str">
        <f>VLOOKUP(B432,Sheet3!$B$2:$E$312,3,)</f>
        <v>#N/A</v>
      </c>
      <c r="E432" s="8" t="str">
        <f>VLOOKUP(B432,Sheet3!$B$2:$E$312,4,)</f>
        <v>#N/A</v>
      </c>
      <c r="F432" s="8"/>
      <c r="G432" s="8"/>
      <c r="H432" s="8"/>
      <c r="I432" s="28"/>
      <c r="J432" s="28"/>
    </row>
    <row r="433" ht="15.75" hidden="1" customHeight="1">
      <c r="A433" s="6"/>
      <c r="B433" s="6"/>
      <c r="C433" s="6" t="str">
        <f>VLOOKUP(B433,Sheet3!$B$2:$E$312,2,FALSE)</f>
        <v>#N/A</v>
      </c>
      <c r="D433" s="6" t="str">
        <f>VLOOKUP(B433,Sheet3!$B$2:$E$312,3,)</f>
        <v>#N/A</v>
      </c>
      <c r="E433" s="8" t="str">
        <f>VLOOKUP(B433,Sheet3!$B$2:$E$312,4,)</f>
        <v>#N/A</v>
      </c>
      <c r="F433" s="8"/>
      <c r="G433" s="8"/>
      <c r="H433" s="8"/>
      <c r="I433" s="28"/>
      <c r="J433" s="28"/>
    </row>
    <row r="434" ht="15.75" hidden="1" customHeight="1">
      <c r="A434" s="6"/>
      <c r="B434" s="6"/>
      <c r="C434" s="6" t="str">
        <f>VLOOKUP(B434,Sheet3!$B$2:$E$312,2,FALSE)</f>
        <v>#N/A</v>
      </c>
      <c r="D434" s="6" t="str">
        <f>VLOOKUP(B434,Sheet3!$B$2:$E$312,3,)</f>
        <v>#N/A</v>
      </c>
      <c r="E434" s="8" t="str">
        <f>VLOOKUP(B434,Sheet3!$B$2:$E$312,4,)</f>
        <v>#N/A</v>
      </c>
      <c r="F434" s="8"/>
      <c r="G434" s="8"/>
      <c r="H434" s="8"/>
      <c r="I434" s="28"/>
      <c r="J434" s="28"/>
    </row>
    <row r="435" ht="15.75" hidden="1" customHeight="1">
      <c r="A435" s="6"/>
      <c r="B435" s="6"/>
      <c r="C435" s="6" t="str">
        <f>VLOOKUP(B435,Sheet3!$B$2:$E$312,2,FALSE)</f>
        <v>#N/A</v>
      </c>
      <c r="D435" s="6" t="str">
        <f>VLOOKUP(B435,Sheet3!$B$2:$E$312,3,)</f>
        <v>#N/A</v>
      </c>
      <c r="E435" s="8" t="str">
        <f>VLOOKUP(B435,Sheet3!$B$2:$E$312,4,)</f>
        <v>#N/A</v>
      </c>
      <c r="F435" s="8"/>
      <c r="G435" s="8"/>
      <c r="H435" s="8"/>
      <c r="I435" s="28"/>
      <c r="J435" s="28"/>
    </row>
    <row r="436" ht="15.75" hidden="1" customHeight="1">
      <c r="A436" s="6"/>
      <c r="B436" s="6"/>
      <c r="C436" s="6" t="str">
        <f>VLOOKUP(B436,Sheet3!$B$2:$E$312,2,FALSE)</f>
        <v>#N/A</v>
      </c>
      <c r="D436" s="6" t="str">
        <f>VLOOKUP(B436,Sheet3!$B$2:$E$312,3,)</f>
        <v>#N/A</v>
      </c>
      <c r="E436" s="8" t="str">
        <f>VLOOKUP(B436,Sheet3!$B$2:$E$312,4,)</f>
        <v>#N/A</v>
      </c>
      <c r="F436" s="8"/>
      <c r="G436" s="8"/>
      <c r="H436" s="8"/>
      <c r="I436" s="28"/>
      <c r="J436" s="28"/>
    </row>
    <row r="437" ht="15.75" hidden="1" customHeight="1">
      <c r="A437" s="6"/>
      <c r="B437" s="6"/>
      <c r="C437" s="6" t="str">
        <f>VLOOKUP(B437,Sheet3!$B$2:$E$312,2,FALSE)</f>
        <v>#N/A</v>
      </c>
      <c r="D437" s="6" t="str">
        <f>VLOOKUP(B437,Sheet3!$B$2:$E$312,3,)</f>
        <v>#N/A</v>
      </c>
      <c r="E437" s="8" t="str">
        <f>VLOOKUP(B437,Sheet3!$B$2:$E$312,4,)</f>
        <v>#N/A</v>
      </c>
      <c r="F437" s="8"/>
      <c r="G437" s="8"/>
      <c r="H437" s="8"/>
      <c r="I437" s="28"/>
      <c r="J437" s="28"/>
    </row>
    <row r="438" ht="15.75" hidden="1" customHeight="1">
      <c r="A438" s="6"/>
      <c r="B438" s="6"/>
      <c r="C438" s="6" t="str">
        <f>VLOOKUP(B438,Sheet3!$B$2:$E$312,2,FALSE)</f>
        <v>#N/A</v>
      </c>
      <c r="D438" s="6" t="str">
        <f>VLOOKUP(B438,Sheet3!$B$2:$E$312,3,)</f>
        <v>#N/A</v>
      </c>
      <c r="E438" s="8" t="str">
        <f>VLOOKUP(B438,Sheet3!$B$2:$E$312,4,)</f>
        <v>#N/A</v>
      </c>
      <c r="F438" s="8"/>
      <c r="G438" s="8"/>
      <c r="H438" s="8"/>
      <c r="I438" s="28"/>
      <c r="J438" s="28"/>
    </row>
    <row r="439" ht="15.75" hidden="1" customHeight="1">
      <c r="A439" s="6"/>
      <c r="B439" s="6"/>
      <c r="C439" s="6" t="str">
        <f>VLOOKUP(B439,Sheet3!$B$2:$E$312,2,FALSE)</f>
        <v>#N/A</v>
      </c>
      <c r="D439" s="6" t="str">
        <f>VLOOKUP(B439,Sheet3!$B$2:$E$312,3,)</f>
        <v>#N/A</v>
      </c>
      <c r="E439" s="8" t="str">
        <f>VLOOKUP(B439,Sheet3!$B$2:$E$312,4,)</f>
        <v>#N/A</v>
      </c>
      <c r="F439" s="8"/>
      <c r="G439" s="8"/>
      <c r="H439" s="8"/>
      <c r="I439" s="28"/>
      <c r="J439" s="28"/>
    </row>
    <row r="440" ht="15.75" hidden="1" customHeight="1">
      <c r="A440" s="6"/>
      <c r="B440" s="6"/>
      <c r="C440" s="6" t="str">
        <f>VLOOKUP(B440,Sheet3!$B$2:$E$312,2,FALSE)</f>
        <v>#N/A</v>
      </c>
      <c r="D440" s="6" t="str">
        <f>VLOOKUP(B440,Sheet3!$B$2:$E$312,3,)</f>
        <v>#N/A</v>
      </c>
      <c r="E440" s="8" t="str">
        <f>VLOOKUP(B440,Sheet3!$B$2:$E$312,4,)</f>
        <v>#N/A</v>
      </c>
      <c r="F440" s="8"/>
      <c r="G440" s="8"/>
      <c r="H440" s="8"/>
      <c r="I440" s="28"/>
      <c r="J440" s="28"/>
    </row>
    <row r="441" ht="15.75" hidden="1" customHeight="1">
      <c r="A441" s="6"/>
      <c r="B441" s="6"/>
      <c r="C441" s="6" t="str">
        <f>VLOOKUP(B441,Sheet3!$B$2:$E$312,2,FALSE)</f>
        <v>#N/A</v>
      </c>
      <c r="D441" s="6" t="str">
        <f>VLOOKUP(B441,Sheet3!$B$2:$E$312,3,)</f>
        <v>#N/A</v>
      </c>
      <c r="E441" s="8" t="str">
        <f>VLOOKUP(B441,Sheet3!$B$2:$E$312,4,)</f>
        <v>#N/A</v>
      </c>
      <c r="F441" s="8"/>
      <c r="G441" s="8"/>
      <c r="H441" s="8"/>
      <c r="I441" s="28"/>
      <c r="J441" s="28"/>
    </row>
    <row r="442" ht="15.75" hidden="1" customHeight="1">
      <c r="A442" s="6"/>
      <c r="B442" s="6"/>
      <c r="C442" s="6" t="str">
        <f>VLOOKUP(B442,Sheet3!$B$2:$E$312,2,FALSE)</f>
        <v>#N/A</v>
      </c>
      <c r="D442" s="6" t="str">
        <f>VLOOKUP(B442,Sheet3!$B$2:$E$312,3,)</f>
        <v>#N/A</v>
      </c>
      <c r="E442" s="8" t="str">
        <f>VLOOKUP(B442,Sheet3!$B$2:$E$312,4,)</f>
        <v>#N/A</v>
      </c>
      <c r="F442" s="8"/>
      <c r="G442" s="8"/>
      <c r="H442" s="8"/>
      <c r="I442" s="28"/>
      <c r="J442" s="28"/>
    </row>
    <row r="443" ht="15.75" hidden="1" customHeight="1">
      <c r="A443" s="6"/>
      <c r="B443" s="6"/>
      <c r="C443" s="6" t="str">
        <f>VLOOKUP(B443,Sheet3!$B$2:$E$312,2,FALSE)</f>
        <v>#N/A</v>
      </c>
      <c r="D443" s="6" t="str">
        <f>VLOOKUP(B443,Sheet3!$B$2:$E$312,3,)</f>
        <v>#N/A</v>
      </c>
      <c r="E443" s="8" t="str">
        <f>VLOOKUP(B443,Sheet3!$B$2:$E$312,4,)</f>
        <v>#N/A</v>
      </c>
      <c r="F443" s="8"/>
      <c r="G443" s="8"/>
      <c r="H443" s="8"/>
      <c r="I443" s="28"/>
      <c r="J443" s="28"/>
    </row>
    <row r="444" ht="15.75" hidden="1" customHeight="1">
      <c r="A444" s="6"/>
      <c r="B444" s="6"/>
      <c r="C444" s="6" t="str">
        <f>VLOOKUP(B444,Sheet3!$B$2:$E$312,2,FALSE)</f>
        <v>#N/A</v>
      </c>
      <c r="D444" s="6" t="str">
        <f>VLOOKUP(B444,Sheet3!$B$2:$E$312,3,)</f>
        <v>#N/A</v>
      </c>
      <c r="E444" s="8" t="str">
        <f>VLOOKUP(B444,Sheet3!$B$2:$E$312,4,)</f>
        <v>#N/A</v>
      </c>
      <c r="F444" s="8"/>
      <c r="G444" s="8"/>
      <c r="H444" s="8"/>
      <c r="I444" s="28"/>
      <c r="J444" s="28"/>
    </row>
    <row r="445" ht="15.75" hidden="1" customHeight="1">
      <c r="A445" s="6"/>
      <c r="B445" s="6"/>
      <c r="C445" s="6" t="str">
        <f>VLOOKUP(B445,Sheet3!$B$2:$E$312,2,FALSE)</f>
        <v>#N/A</v>
      </c>
      <c r="D445" s="6" t="str">
        <f>VLOOKUP(B445,Sheet3!$B$2:$E$312,3,)</f>
        <v>#N/A</v>
      </c>
      <c r="E445" s="8" t="str">
        <f>VLOOKUP(B445,Sheet3!$B$2:$E$312,4,)</f>
        <v>#N/A</v>
      </c>
      <c r="F445" s="8"/>
      <c r="G445" s="8"/>
      <c r="H445" s="8"/>
      <c r="I445" s="28"/>
      <c r="J445" s="28"/>
    </row>
    <row r="446" ht="15.75" hidden="1" customHeight="1">
      <c r="A446" s="6"/>
      <c r="B446" s="6"/>
      <c r="C446" s="6" t="str">
        <f>VLOOKUP(B446,Sheet3!$B$2:$E$312,2,FALSE)</f>
        <v>#N/A</v>
      </c>
      <c r="D446" s="6" t="str">
        <f>VLOOKUP(B446,Sheet3!$B$2:$E$312,3,)</f>
        <v>#N/A</v>
      </c>
      <c r="E446" s="8" t="str">
        <f>VLOOKUP(B446,Sheet3!$B$2:$E$312,4,)</f>
        <v>#N/A</v>
      </c>
      <c r="F446" s="8"/>
      <c r="G446" s="8"/>
      <c r="H446" s="8"/>
      <c r="I446" s="28"/>
      <c r="J446" s="28"/>
    </row>
    <row r="447" ht="15.75" hidden="1" customHeight="1">
      <c r="A447" s="6"/>
      <c r="B447" s="6"/>
      <c r="C447" s="6" t="str">
        <f>VLOOKUP(B447,Sheet3!$B$2:$E$312,2,FALSE)</f>
        <v>#N/A</v>
      </c>
      <c r="D447" s="6" t="str">
        <f>VLOOKUP(B447,Sheet3!$B$2:$E$312,3,)</f>
        <v>#N/A</v>
      </c>
      <c r="E447" s="8" t="str">
        <f>VLOOKUP(B447,Sheet3!$B$2:$E$312,4,)</f>
        <v>#N/A</v>
      </c>
      <c r="F447" s="8"/>
      <c r="G447" s="8"/>
      <c r="H447" s="8"/>
      <c r="I447" s="28"/>
      <c r="J447" s="28"/>
    </row>
    <row r="448" ht="15.75" hidden="1" customHeight="1">
      <c r="A448" s="6"/>
      <c r="B448" s="6"/>
      <c r="C448" s="6" t="str">
        <f>VLOOKUP(B448,Sheet3!$B$2:$E$312,2,FALSE)</f>
        <v>#N/A</v>
      </c>
      <c r="D448" s="6" t="str">
        <f>VLOOKUP(B448,Sheet3!$B$2:$E$312,3,)</f>
        <v>#N/A</v>
      </c>
      <c r="E448" s="8" t="str">
        <f>VLOOKUP(B448,Sheet3!$B$2:$E$312,4,)</f>
        <v>#N/A</v>
      </c>
      <c r="F448" s="8"/>
      <c r="G448" s="8"/>
      <c r="H448" s="8"/>
      <c r="I448" s="28"/>
      <c r="J448" s="28"/>
    </row>
    <row r="449" ht="15.75" hidden="1" customHeight="1">
      <c r="A449" s="6"/>
      <c r="B449" s="6"/>
      <c r="C449" s="6" t="str">
        <f>VLOOKUP(B449,Sheet3!$B$2:$E$312,2,FALSE)</f>
        <v>#N/A</v>
      </c>
      <c r="D449" s="6" t="str">
        <f>VLOOKUP(B449,Sheet3!$B$2:$E$312,3,)</f>
        <v>#N/A</v>
      </c>
      <c r="E449" s="8" t="str">
        <f>VLOOKUP(B449,Sheet3!$B$2:$E$312,4,)</f>
        <v>#N/A</v>
      </c>
      <c r="F449" s="8"/>
      <c r="G449" s="8"/>
      <c r="H449" s="8"/>
      <c r="I449" s="28"/>
      <c r="J449" s="28"/>
    </row>
    <row r="450" ht="15.75" hidden="1" customHeight="1">
      <c r="A450" s="6"/>
      <c r="B450" s="6"/>
      <c r="C450" s="6" t="str">
        <f>VLOOKUP(B450,Sheet3!$B$2:$E$312,2,FALSE)</f>
        <v>#N/A</v>
      </c>
      <c r="D450" s="6" t="str">
        <f>VLOOKUP(B450,Sheet3!$B$2:$E$312,3,)</f>
        <v>#N/A</v>
      </c>
      <c r="E450" s="8" t="str">
        <f>VLOOKUP(B450,Sheet3!$B$2:$E$312,4,)</f>
        <v>#N/A</v>
      </c>
      <c r="F450" s="8"/>
      <c r="G450" s="8"/>
      <c r="H450" s="8"/>
      <c r="I450" s="28"/>
      <c r="J450" s="28"/>
    </row>
    <row r="451" ht="15.75" hidden="1" customHeight="1">
      <c r="A451" s="6"/>
      <c r="B451" s="6"/>
      <c r="C451" s="6" t="str">
        <f>VLOOKUP(B451,Sheet3!$B$2:$E$312,2,FALSE)</f>
        <v>#N/A</v>
      </c>
      <c r="D451" s="6" t="str">
        <f>VLOOKUP(B451,Sheet3!$B$2:$E$312,3,)</f>
        <v>#N/A</v>
      </c>
      <c r="E451" s="8" t="str">
        <f>VLOOKUP(B451,Sheet3!$B$2:$E$312,4,)</f>
        <v>#N/A</v>
      </c>
      <c r="F451" s="8"/>
      <c r="G451" s="8"/>
      <c r="H451" s="8"/>
      <c r="I451" s="28"/>
      <c r="J451" s="28"/>
    </row>
    <row r="452" ht="15.75" hidden="1" customHeight="1">
      <c r="A452" s="6"/>
      <c r="B452" s="6"/>
      <c r="C452" s="6" t="str">
        <f>VLOOKUP(B452,Sheet3!$B$2:$E$312,2,FALSE)</f>
        <v>#N/A</v>
      </c>
      <c r="D452" s="6" t="str">
        <f>VLOOKUP(B452,Sheet3!$B$2:$E$312,3,)</f>
        <v>#N/A</v>
      </c>
      <c r="E452" s="8" t="str">
        <f>VLOOKUP(B452,Sheet3!$B$2:$E$312,4,)</f>
        <v>#N/A</v>
      </c>
      <c r="F452" s="8"/>
      <c r="G452" s="8"/>
      <c r="H452" s="8"/>
      <c r="I452" s="28"/>
      <c r="J452" s="28"/>
    </row>
    <row r="453" ht="15.75" hidden="1" customHeight="1">
      <c r="A453" s="6"/>
      <c r="B453" s="6"/>
      <c r="C453" s="6" t="str">
        <f>VLOOKUP(B453,Sheet3!$B$2:$E$312,2,FALSE)</f>
        <v>#N/A</v>
      </c>
      <c r="D453" s="6" t="str">
        <f>VLOOKUP(B453,Sheet3!$B$2:$E$312,3,)</f>
        <v>#N/A</v>
      </c>
      <c r="E453" s="8" t="str">
        <f>VLOOKUP(B453,Sheet3!$B$2:$E$312,4,)</f>
        <v>#N/A</v>
      </c>
      <c r="F453" s="8"/>
      <c r="G453" s="8"/>
      <c r="H453" s="8"/>
      <c r="I453" s="28"/>
      <c r="J453" s="28"/>
    </row>
    <row r="454" ht="15.75" hidden="1" customHeight="1">
      <c r="A454" s="6"/>
      <c r="B454" s="6"/>
      <c r="C454" s="6" t="str">
        <f>VLOOKUP(B454,Sheet3!$B$2:$E$312,2,FALSE)</f>
        <v>#N/A</v>
      </c>
      <c r="D454" s="6" t="str">
        <f>VLOOKUP(B454,Sheet3!$B$2:$E$312,3,)</f>
        <v>#N/A</v>
      </c>
      <c r="E454" s="8" t="str">
        <f>VLOOKUP(B454,Sheet3!$B$2:$E$312,4,)</f>
        <v>#N/A</v>
      </c>
      <c r="F454" s="8"/>
      <c r="G454" s="8"/>
      <c r="H454" s="8"/>
      <c r="I454" s="28"/>
      <c r="J454" s="28"/>
    </row>
    <row r="455" ht="15.75" hidden="1" customHeight="1">
      <c r="A455" s="6"/>
      <c r="B455" s="6"/>
      <c r="C455" s="6" t="str">
        <f>VLOOKUP(B455,Sheet3!$B$2:$E$312,2,FALSE)</f>
        <v>#N/A</v>
      </c>
      <c r="D455" s="6" t="str">
        <f>VLOOKUP(B455,Sheet3!$B$2:$E$312,3,)</f>
        <v>#N/A</v>
      </c>
      <c r="E455" s="8" t="str">
        <f>VLOOKUP(B455,Sheet3!$B$2:$E$312,4,)</f>
        <v>#N/A</v>
      </c>
      <c r="F455" s="8"/>
      <c r="G455" s="8"/>
      <c r="H455" s="8"/>
      <c r="I455" s="28"/>
      <c r="J455" s="28"/>
    </row>
    <row r="456" ht="15.75" hidden="1" customHeight="1">
      <c r="A456" s="6"/>
      <c r="B456" s="6"/>
      <c r="C456" s="6" t="str">
        <f>VLOOKUP(B456,Sheet3!$B$2:$E$312,2,FALSE)</f>
        <v>#N/A</v>
      </c>
      <c r="D456" s="6" t="str">
        <f>VLOOKUP(B456,Sheet3!$B$2:$E$312,3,)</f>
        <v>#N/A</v>
      </c>
      <c r="E456" s="8" t="str">
        <f>VLOOKUP(B456,Sheet3!$B$2:$E$312,4,)</f>
        <v>#N/A</v>
      </c>
      <c r="F456" s="8"/>
      <c r="G456" s="8"/>
      <c r="H456" s="8"/>
      <c r="I456" s="28"/>
      <c r="J456" s="28"/>
    </row>
    <row r="457" ht="15.75" hidden="1" customHeight="1">
      <c r="A457" s="6"/>
      <c r="B457" s="6"/>
      <c r="C457" s="6" t="str">
        <f>VLOOKUP(B457,Sheet3!$B$2:$E$312,2,FALSE)</f>
        <v>#N/A</v>
      </c>
      <c r="D457" s="6" t="str">
        <f>VLOOKUP(B457,Sheet3!$B$2:$E$312,3,)</f>
        <v>#N/A</v>
      </c>
      <c r="E457" s="8" t="str">
        <f>VLOOKUP(B457,Sheet3!$B$2:$E$312,4,)</f>
        <v>#N/A</v>
      </c>
      <c r="F457" s="8"/>
      <c r="G457" s="8"/>
      <c r="H457" s="8"/>
      <c r="I457" s="28"/>
      <c r="J457" s="28"/>
    </row>
    <row r="458" ht="15.75" hidden="1" customHeight="1">
      <c r="A458" s="6"/>
      <c r="B458" s="6"/>
      <c r="C458" s="6" t="str">
        <f>VLOOKUP(B458,Sheet3!$B$2:$E$312,2,FALSE)</f>
        <v>#N/A</v>
      </c>
      <c r="D458" s="6" t="str">
        <f>VLOOKUP(B458,Sheet3!$B$2:$E$312,3,)</f>
        <v>#N/A</v>
      </c>
      <c r="E458" s="8" t="str">
        <f>VLOOKUP(B458,Sheet3!$B$2:$E$312,4,)</f>
        <v>#N/A</v>
      </c>
      <c r="F458" s="8"/>
      <c r="G458" s="8"/>
      <c r="H458" s="8"/>
      <c r="I458" s="28"/>
      <c r="J458" s="28"/>
    </row>
    <row r="459" ht="15.75" hidden="1" customHeight="1">
      <c r="A459" s="6"/>
      <c r="B459" s="6"/>
      <c r="C459" s="6" t="str">
        <f>VLOOKUP(B459,Sheet3!$B$2:$E$312,2,FALSE)</f>
        <v>#N/A</v>
      </c>
      <c r="D459" s="6" t="str">
        <f>VLOOKUP(B459,Sheet3!$B$2:$E$312,3,)</f>
        <v>#N/A</v>
      </c>
      <c r="E459" s="8" t="str">
        <f>VLOOKUP(B459,Sheet3!$B$2:$E$312,4,)</f>
        <v>#N/A</v>
      </c>
      <c r="F459" s="8"/>
      <c r="G459" s="8"/>
      <c r="H459" s="8"/>
      <c r="I459" s="28"/>
      <c r="J459" s="28"/>
    </row>
    <row r="460" ht="15.75" hidden="1" customHeight="1">
      <c r="A460" s="6"/>
      <c r="B460" s="6"/>
      <c r="C460" s="6" t="str">
        <f>VLOOKUP(B460,Sheet3!$B$2:$E$312,2,FALSE)</f>
        <v>#N/A</v>
      </c>
      <c r="D460" s="6" t="str">
        <f>VLOOKUP(B460,Sheet3!$B$2:$E$312,3,)</f>
        <v>#N/A</v>
      </c>
      <c r="E460" s="8" t="str">
        <f>VLOOKUP(B460,Sheet3!$B$2:$E$312,4,)</f>
        <v>#N/A</v>
      </c>
      <c r="F460" s="8"/>
      <c r="G460" s="8"/>
      <c r="H460" s="8"/>
      <c r="I460" s="28"/>
      <c r="J460" s="28"/>
    </row>
    <row r="461" ht="15.75" hidden="1" customHeight="1">
      <c r="A461" s="6"/>
      <c r="B461" s="6"/>
      <c r="C461" s="6" t="str">
        <f>VLOOKUP(B461,Sheet3!$B$2:$E$312,2,FALSE)</f>
        <v>#N/A</v>
      </c>
      <c r="D461" s="6" t="str">
        <f>VLOOKUP(B461,Sheet3!$B$2:$E$312,3,)</f>
        <v>#N/A</v>
      </c>
      <c r="E461" s="8" t="str">
        <f>VLOOKUP(B461,Sheet3!$B$2:$E$312,4,)</f>
        <v>#N/A</v>
      </c>
      <c r="F461" s="8"/>
      <c r="G461" s="8"/>
      <c r="H461" s="8"/>
      <c r="I461" s="28"/>
      <c r="J461" s="28"/>
    </row>
    <row r="462" ht="15.75" hidden="1" customHeight="1">
      <c r="A462" s="6"/>
      <c r="B462" s="6"/>
      <c r="C462" s="6" t="str">
        <f>VLOOKUP(B462,Sheet3!$B$2:$E$312,2,FALSE)</f>
        <v>#N/A</v>
      </c>
      <c r="D462" s="6" t="str">
        <f>VLOOKUP(B462,Sheet3!$B$2:$E$312,3,)</f>
        <v>#N/A</v>
      </c>
      <c r="E462" s="8" t="str">
        <f>VLOOKUP(B462,Sheet3!$B$2:$E$312,4,)</f>
        <v>#N/A</v>
      </c>
      <c r="F462" s="8"/>
      <c r="G462" s="8"/>
      <c r="H462" s="8"/>
      <c r="I462" s="28"/>
      <c r="J462" s="28"/>
    </row>
    <row r="463" ht="15.75" hidden="1" customHeight="1">
      <c r="A463" s="6"/>
      <c r="B463" s="6"/>
      <c r="C463" s="6" t="str">
        <f>VLOOKUP(B463,Sheet3!$B$2:$E$312,2,FALSE)</f>
        <v>#N/A</v>
      </c>
      <c r="D463" s="6" t="str">
        <f>VLOOKUP(B463,Sheet3!$B$2:$E$312,3,)</f>
        <v>#N/A</v>
      </c>
      <c r="E463" s="8" t="str">
        <f>VLOOKUP(B463,Sheet3!$B$2:$E$312,4,)</f>
        <v>#N/A</v>
      </c>
      <c r="F463" s="8"/>
      <c r="G463" s="8"/>
      <c r="H463" s="8"/>
      <c r="I463" s="28"/>
      <c r="J463" s="28"/>
    </row>
    <row r="464" ht="15.75" hidden="1" customHeight="1">
      <c r="A464" s="6"/>
      <c r="B464" s="6"/>
      <c r="C464" s="6" t="str">
        <f>VLOOKUP(B464,Sheet3!$B$2:$E$312,2,FALSE)</f>
        <v>#N/A</v>
      </c>
      <c r="D464" s="6" t="str">
        <f>VLOOKUP(B464,Sheet3!$B$2:$E$312,3,)</f>
        <v>#N/A</v>
      </c>
      <c r="E464" s="8" t="str">
        <f>VLOOKUP(B464,Sheet3!$B$2:$E$312,4,)</f>
        <v>#N/A</v>
      </c>
      <c r="F464" s="8"/>
      <c r="G464" s="8"/>
      <c r="H464" s="8"/>
      <c r="I464" s="28"/>
      <c r="J464" s="28"/>
    </row>
    <row r="465" ht="15.75" hidden="1" customHeight="1">
      <c r="A465" s="6"/>
      <c r="B465" s="6"/>
      <c r="C465" s="6" t="str">
        <f>VLOOKUP(B465,Sheet3!$B$2:$E$312,2,FALSE)</f>
        <v>#N/A</v>
      </c>
      <c r="D465" s="6" t="str">
        <f>VLOOKUP(B465,Sheet3!$B$2:$E$312,3,)</f>
        <v>#N/A</v>
      </c>
      <c r="E465" s="8" t="str">
        <f>VLOOKUP(B465,Sheet3!$B$2:$E$312,4,)</f>
        <v>#N/A</v>
      </c>
      <c r="F465" s="8"/>
      <c r="G465" s="8"/>
      <c r="H465" s="8"/>
      <c r="I465" s="28"/>
      <c r="J465" s="28"/>
    </row>
    <row r="466" ht="15.75" hidden="1" customHeight="1">
      <c r="A466" s="6"/>
      <c r="B466" s="6"/>
      <c r="C466" s="6" t="str">
        <f>VLOOKUP(B466,Sheet3!$B$2:$E$312,2,FALSE)</f>
        <v>#N/A</v>
      </c>
      <c r="D466" s="6" t="str">
        <f>VLOOKUP(B466,Sheet3!$B$2:$E$312,3,)</f>
        <v>#N/A</v>
      </c>
      <c r="E466" s="8" t="str">
        <f>VLOOKUP(B466,Sheet3!$B$2:$E$312,4,)</f>
        <v>#N/A</v>
      </c>
      <c r="F466" s="8"/>
      <c r="G466" s="8"/>
      <c r="H466" s="8"/>
      <c r="I466" s="28"/>
      <c r="J466" s="28"/>
    </row>
    <row r="467" ht="15.75" hidden="1" customHeight="1">
      <c r="A467" s="6"/>
      <c r="B467" s="6"/>
      <c r="C467" s="6" t="str">
        <f>VLOOKUP(B467,Sheet3!$B$2:$E$312,2,FALSE)</f>
        <v>#N/A</v>
      </c>
      <c r="D467" s="6" t="str">
        <f>VLOOKUP(B467,Sheet3!$B$2:$E$312,3,)</f>
        <v>#N/A</v>
      </c>
      <c r="E467" s="8" t="str">
        <f>VLOOKUP(B467,Sheet3!$B$2:$E$312,4,)</f>
        <v>#N/A</v>
      </c>
      <c r="F467" s="8"/>
      <c r="G467" s="8"/>
      <c r="H467" s="8"/>
      <c r="I467" s="28"/>
      <c r="J467" s="28"/>
    </row>
    <row r="468" ht="15.75" hidden="1" customHeight="1">
      <c r="A468" s="6"/>
      <c r="B468" s="6"/>
      <c r="C468" s="6" t="str">
        <f>VLOOKUP(B468,Sheet3!$B$2:$E$312,2,FALSE)</f>
        <v>#N/A</v>
      </c>
      <c r="D468" s="6" t="str">
        <f>VLOOKUP(B468,Sheet3!$B$2:$E$312,3,)</f>
        <v>#N/A</v>
      </c>
      <c r="E468" s="8" t="str">
        <f>VLOOKUP(B468,Sheet3!$B$2:$E$312,4,)</f>
        <v>#N/A</v>
      </c>
      <c r="F468" s="8"/>
      <c r="G468" s="8"/>
      <c r="H468" s="8"/>
      <c r="I468" s="28"/>
      <c r="J468" s="28"/>
    </row>
    <row r="469" ht="15.75" hidden="1" customHeight="1">
      <c r="A469" s="6"/>
      <c r="B469" s="6"/>
      <c r="C469" s="6" t="str">
        <f>VLOOKUP(B469,Sheet3!$B$2:$E$312,2,FALSE)</f>
        <v>#N/A</v>
      </c>
      <c r="D469" s="6" t="str">
        <f>VLOOKUP(B469,Sheet3!$B$2:$E$312,3,)</f>
        <v>#N/A</v>
      </c>
      <c r="E469" s="8" t="str">
        <f>VLOOKUP(B469,Sheet3!$B$2:$E$312,4,)</f>
        <v>#N/A</v>
      </c>
      <c r="F469" s="8"/>
      <c r="G469" s="8"/>
      <c r="H469" s="8"/>
      <c r="I469" s="28"/>
      <c r="J469" s="28"/>
    </row>
    <row r="470" ht="15.75" hidden="1" customHeight="1">
      <c r="A470" s="6"/>
      <c r="B470" s="6"/>
      <c r="C470" s="6" t="str">
        <f>VLOOKUP(B470,Sheet3!$B$2:$E$312,2,FALSE)</f>
        <v>#N/A</v>
      </c>
      <c r="D470" s="6" t="str">
        <f>VLOOKUP(B470,Sheet3!$B$2:$E$312,3,)</f>
        <v>#N/A</v>
      </c>
      <c r="E470" s="8" t="str">
        <f>VLOOKUP(B470,Sheet3!$B$2:$E$312,4,)</f>
        <v>#N/A</v>
      </c>
      <c r="F470" s="8"/>
      <c r="G470" s="8"/>
      <c r="H470" s="8"/>
      <c r="I470" s="28"/>
      <c r="J470" s="28"/>
    </row>
    <row r="471" ht="15.75" hidden="1" customHeight="1">
      <c r="A471" s="6"/>
      <c r="B471" s="6"/>
      <c r="C471" s="6" t="str">
        <f>VLOOKUP(B471,Sheet3!$B$2:$E$312,2,FALSE)</f>
        <v>#N/A</v>
      </c>
      <c r="D471" s="6" t="str">
        <f>VLOOKUP(B471,Sheet3!$B$2:$E$312,3,)</f>
        <v>#N/A</v>
      </c>
      <c r="E471" s="8" t="str">
        <f>VLOOKUP(B471,Sheet3!$B$2:$E$312,4,)</f>
        <v>#N/A</v>
      </c>
      <c r="F471" s="8"/>
      <c r="G471" s="8"/>
      <c r="H471" s="8"/>
      <c r="I471" s="28"/>
      <c r="J471" s="28"/>
    </row>
    <row r="472" ht="15.75" hidden="1" customHeight="1">
      <c r="A472" s="6"/>
      <c r="B472" s="6"/>
      <c r="C472" s="6" t="str">
        <f>VLOOKUP(B472,Sheet3!$B$2:$E$312,2,FALSE)</f>
        <v>#N/A</v>
      </c>
      <c r="D472" s="6" t="str">
        <f>VLOOKUP(B472,Sheet3!$B$2:$E$312,3,)</f>
        <v>#N/A</v>
      </c>
      <c r="E472" s="8" t="str">
        <f>VLOOKUP(B472,Sheet3!$B$2:$E$312,4,)</f>
        <v>#N/A</v>
      </c>
      <c r="F472" s="8"/>
      <c r="G472" s="8"/>
      <c r="H472" s="8"/>
      <c r="I472" s="28"/>
      <c r="J472" s="28"/>
    </row>
    <row r="473" ht="15.75" hidden="1" customHeight="1">
      <c r="A473" s="6"/>
      <c r="B473" s="6"/>
      <c r="C473" s="6" t="str">
        <f>VLOOKUP(B473,Sheet3!$B$2:$E$312,2,FALSE)</f>
        <v>#N/A</v>
      </c>
      <c r="D473" s="6" t="str">
        <f>VLOOKUP(B473,Sheet3!$B$2:$E$312,3,)</f>
        <v>#N/A</v>
      </c>
      <c r="E473" s="8" t="str">
        <f>VLOOKUP(B473,Sheet3!$B$2:$E$312,4,)</f>
        <v>#N/A</v>
      </c>
      <c r="F473" s="8"/>
      <c r="G473" s="8"/>
      <c r="H473" s="8"/>
      <c r="I473" s="28"/>
      <c r="J473" s="28"/>
    </row>
    <row r="474" ht="15.75" hidden="1" customHeight="1">
      <c r="A474" s="6"/>
      <c r="B474" s="6"/>
      <c r="C474" s="6" t="str">
        <f>VLOOKUP(B474,Sheet3!$B$2:$E$312,2,FALSE)</f>
        <v>#N/A</v>
      </c>
      <c r="D474" s="6" t="str">
        <f>VLOOKUP(B474,Sheet3!$B$2:$E$312,3,)</f>
        <v>#N/A</v>
      </c>
      <c r="E474" s="8" t="str">
        <f>VLOOKUP(B474,Sheet3!$B$2:$E$312,4,)</f>
        <v>#N/A</v>
      </c>
      <c r="F474" s="8"/>
      <c r="G474" s="8"/>
      <c r="H474" s="8"/>
      <c r="I474" s="28"/>
      <c r="J474" s="28"/>
    </row>
    <row r="475" ht="15.75" hidden="1" customHeight="1">
      <c r="A475" s="6"/>
      <c r="B475" s="6"/>
      <c r="C475" s="6" t="str">
        <f>VLOOKUP(B475,Sheet3!$B$2:$E$312,2,FALSE)</f>
        <v>#N/A</v>
      </c>
      <c r="D475" s="6" t="str">
        <f>VLOOKUP(B475,Sheet3!$B$2:$E$312,3,)</f>
        <v>#N/A</v>
      </c>
      <c r="E475" s="8" t="str">
        <f>VLOOKUP(B475,Sheet3!$B$2:$E$312,4,)</f>
        <v>#N/A</v>
      </c>
      <c r="F475" s="8"/>
      <c r="G475" s="8"/>
      <c r="H475" s="8"/>
      <c r="I475" s="28"/>
      <c r="J475" s="28"/>
    </row>
    <row r="476" ht="15.75" hidden="1" customHeight="1">
      <c r="A476" s="6"/>
      <c r="B476" s="6"/>
      <c r="C476" s="6" t="str">
        <f>VLOOKUP(B476,Sheet3!$B$2:$E$312,2,FALSE)</f>
        <v>#N/A</v>
      </c>
      <c r="D476" s="6" t="str">
        <f>VLOOKUP(B476,Sheet3!$B$2:$E$312,3,)</f>
        <v>#N/A</v>
      </c>
      <c r="E476" s="8" t="str">
        <f>VLOOKUP(B476,Sheet3!$B$2:$E$312,4,)</f>
        <v>#N/A</v>
      </c>
      <c r="F476" s="8"/>
      <c r="G476" s="8"/>
      <c r="H476" s="8"/>
      <c r="I476" s="28"/>
      <c r="J476" s="28"/>
    </row>
    <row r="477" ht="15.75" hidden="1" customHeight="1">
      <c r="A477" s="6"/>
      <c r="B477" s="6"/>
      <c r="C477" s="6" t="str">
        <f>VLOOKUP(B477,Sheet3!$B$2:$E$312,2,FALSE)</f>
        <v>#N/A</v>
      </c>
      <c r="D477" s="6" t="str">
        <f>VLOOKUP(B477,Sheet3!$B$2:$E$312,3,)</f>
        <v>#N/A</v>
      </c>
      <c r="E477" s="8" t="str">
        <f>VLOOKUP(B477,Sheet3!$B$2:$E$312,4,)</f>
        <v>#N/A</v>
      </c>
      <c r="F477" s="8"/>
      <c r="G477" s="8"/>
      <c r="H477" s="8"/>
      <c r="I477" s="28"/>
      <c r="J477" s="28"/>
    </row>
    <row r="478" ht="15.75" hidden="1" customHeight="1">
      <c r="A478" s="6"/>
      <c r="B478" s="6"/>
      <c r="C478" s="6" t="str">
        <f>VLOOKUP(B478,Sheet3!$B$2:$E$312,2,FALSE)</f>
        <v>#N/A</v>
      </c>
      <c r="D478" s="6" t="str">
        <f>VLOOKUP(B478,Sheet3!$B$2:$E$312,3,)</f>
        <v>#N/A</v>
      </c>
      <c r="E478" s="8" t="str">
        <f>VLOOKUP(B478,Sheet3!$B$2:$E$312,4,)</f>
        <v>#N/A</v>
      </c>
      <c r="F478" s="8"/>
      <c r="G478" s="8"/>
      <c r="H478" s="8"/>
      <c r="I478" s="28"/>
      <c r="J478" s="28"/>
    </row>
    <row r="479" ht="15.75" hidden="1" customHeight="1">
      <c r="A479" s="6"/>
      <c r="B479" s="6"/>
      <c r="C479" s="6" t="str">
        <f>VLOOKUP(B479,Sheet3!$B$2:$E$312,2,FALSE)</f>
        <v>#N/A</v>
      </c>
      <c r="D479" s="6" t="str">
        <f>VLOOKUP(B479,Sheet3!$B$2:$E$312,3,)</f>
        <v>#N/A</v>
      </c>
      <c r="E479" s="8" t="str">
        <f>VLOOKUP(B479,Sheet3!$B$2:$E$312,4,)</f>
        <v>#N/A</v>
      </c>
      <c r="F479" s="8"/>
      <c r="G479" s="8"/>
      <c r="H479" s="8"/>
      <c r="I479" s="28"/>
      <c r="J479" s="28"/>
    </row>
    <row r="480" ht="15.75" hidden="1" customHeight="1">
      <c r="A480" s="6"/>
      <c r="B480" s="6"/>
      <c r="C480" s="6" t="str">
        <f>VLOOKUP(B480,Sheet3!$B$2:$E$312,2,FALSE)</f>
        <v>#N/A</v>
      </c>
      <c r="D480" s="6" t="str">
        <f>VLOOKUP(B480,Sheet3!$B$2:$E$312,3,)</f>
        <v>#N/A</v>
      </c>
      <c r="E480" s="8" t="str">
        <f>VLOOKUP(B480,Sheet3!$B$2:$E$312,4,)</f>
        <v>#N/A</v>
      </c>
      <c r="F480" s="8"/>
      <c r="G480" s="8"/>
      <c r="H480" s="8"/>
      <c r="I480" s="28"/>
      <c r="J480" s="28"/>
    </row>
    <row r="481" ht="15.75" hidden="1" customHeight="1">
      <c r="A481" s="6"/>
      <c r="B481" s="6"/>
      <c r="C481" s="6" t="str">
        <f>VLOOKUP(B481,Sheet3!$B$2:$E$312,2,FALSE)</f>
        <v>#N/A</v>
      </c>
      <c r="D481" s="6" t="str">
        <f>VLOOKUP(B481,Sheet3!$B$2:$E$312,3,)</f>
        <v>#N/A</v>
      </c>
      <c r="E481" s="8" t="str">
        <f>VLOOKUP(B481,Sheet3!$B$2:$E$312,4,)</f>
        <v>#N/A</v>
      </c>
      <c r="F481" s="8"/>
      <c r="G481" s="8"/>
      <c r="H481" s="8"/>
      <c r="I481" s="28"/>
      <c r="J481" s="28"/>
    </row>
    <row r="482" ht="15.75" hidden="1" customHeight="1">
      <c r="A482" s="6"/>
      <c r="B482" s="6"/>
      <c r="C482" s="6" t="str">
        <f>VLOOKUP(B482,Sheet3!$B$2:$E$312,2,FALSE)</f>
        <v>#N/A</v>
      </c>
      <c r="D482" s="6" t="str">
        <f>VLOOKUP(B482,Sheet3!$B$2:$E$312,3,)</f>
        <v>#N/A</v>
      </c>
      <c r="E482" s="8" t="str">
        <f>VLOOKUP(B482,Sheet3!$B$2:$E$312,4,)</f>
        <v>#N/A</v>
      </c>
      <c r="F482" s="8"/>
      <c r="G482" s="8"/>
      <c r="H482" s="8"/>
      <c r="I482" s="28"/>
      <c r="J482" s="28"/>
    </row>
    <row r="483" ht="15.75" hidden="1" customHeight="1">
      <c r="A483" s="6"/>
      <c r="B483" s="6"/>
      <c r="C483" s="6" t="str">
        <f>VLOOKUP(B483,Sheet3!$B$2:$E$312,2,FALSE)</f>
        <v>#N/A</v>
      </c>
      <c r="D483" s="6" t="str">
        <f>VLOOKUP(B483,Sheet3!$B$2:$E$312,3,)</f>
        <v>#N/A</v>
      </c>
      <c r="E483" s="8" t="str">
        <f>VLOOKUP(B483,Sheet3!$B$2:$E$312,4,)</f>
        <v>#N/A</v>
      </c>
      <c r="F483" s="8"/>
      <c r="G483" s="8"/>
      <c r="H483" s="8"/>
      <c r="I483" s="28"/>
      <c r="J483" s="28"/>
    </row>
    <row r="484" ht="15.75" hidden="1" customHeight="1">
      <c r="A484" s="6"/>
      <c r="B484" s="6"/>
      <c r="C484" s="6" t="str">
        <f>VLOOKUP(B484,Sheet3!$B$2:$E$312,2,FALSE)</f>
        <v>#N/A</v>
      </c>
      <c r="D484" s="6" t="str">
        <f>VLOOKUP(B484,Sheet3!$B$2:$E$312,3,)</f>
        <v>#N/A</v>
      </c>
      <c r="E484" s="8" t="str">
        <f>VLOOKUP(B484,Sheet3!$B$2:$E$312,4,)</f>
        <v>#N/A</v>
      </c>
      <c r="F484" s="8"/>
      <c r="G484" s="8"/>
      <c r="H484" s="8"/>
      <c r="I484" s="28"/>
      <c r="J484" s="28"/>
    </row>
    <row r="485" ht="15.75" hidden="1" customHeight="1">
      <c r="A485" s="6"/>
      <c r="B485" s="6"/>
      <c r="C485" s="6" t="str">
        <f>VLOOKUP(B485,Sheet3!$B$2:$E$312,2,FALSE)</f>
        <v>#N/A</v>
      </c>
      <c r="D485" s="6" t="str">
        <f>VLOOKUP(B485,Sheet3!$B$2:$E$312,3,)</f>
        <v>#N/A</v>
      </c>
      <c r="E485" s="8" t="str">
        <f>VLOOKUP(B485,Sheet3!$B$2:$E$312,4,)</f>
        <v>#N/A</v>
      </c>
      <c r="F485" s="8"/>
      <c r="G485" s="8"/>
      <c r="H485" s="8"/>
      <c r="I485" s="28"/>
      <c r="J485" s="28"/>
    </row>
    <row r="486" ht="15.75" hidden="1" customHeight="1">
      <c r="A486" s="6"/>
      <c r="B486" s="6"/>
      <c r="C486" s="6" t="str">
        <f>VLOOKUP(B486,Sheet3!$B$2:$E$312,2,FALSE)</f>
        <v>#N/A</v>
      </c>
      <c r="D486" s="6" t="str">
        <f>VLOOKUP(B486,Sheet3!$B$2:$E$312,3,)</f>
        <v>#N/A</v>
      </c>
      <c r="E486" s="8" t="str">
        <f>VLOOKUP(B486,Sheet3!$B$2:$E$312,4,)</f>
        <v>#N/A</v>
      </c>
      <c r="F486" s="8"/>
      <c r="G486" s="8"/>
      <c r="H486" s="8"/>
      <c r="I486" s="28"/>
      <c r="J486" s="28"/>
    </row>
    <row r="487" ht="15.75" hidden="1" customHeight="1">
      <c r="A487" s="6"/>
      <c r="B487" s="6"/>
      <c r="C487" s="6" t="str">
        <f>VLOOKUP(B487,Sheet3!$B$2:$E$312,2,FALSE)</f>
        <v>#N/A</v>
      </c>
      <c r="D487" s="6" t="str">
        <f>VLOOKUP(B487,Sheet3!$B$2:$E$312,3,)</f>
        <v>#N/A</v>
      </c>
      <c r="E487" s="8" t="str">
        <f>VLOOKUP(B487,Sheet3!$B$2:$E$312,4,)</f>
        <v>#N/A</v>
      </c>
      <c r="F487" s="8"/>
      <c r="G487" s="8"/>
      <c r="H487" s="8"/>
      <c r="I487" s="28"/>
      <c r="J487" s="28"/>
    </row>
    <row r="488" ht="15.75" hidden="1" customHeight="1">
      <c r="A488" s="6"/>
      <c r="B488" s="6"/>
      <c r="C488" s="6" t="str">
        <f>VLOOKUP(B488,Sheet3!$B$2:$E$312,2,FALSE)</f>
        <v>#N/A</v>
      </c>
      <c r="D488" s="6" t="str">
        <f>VLOOKUP(B488,Sheet3!$B$2:$E$312,3,)</f>
        <v>#N/A</v>
      </c>
      <c r="E488" s="8" t="str">
        <f>VLOOKUP(B488,Sheet3!$B$2:$E$312,4,)</f>
        <v>#N/A</v>
      </c>
      <c r="F488" s="8"/>
      <c r="G488" s="8"/>
      <c r="H488" s="8"/>
      <c r="I488" s="28"/>
      <c r="J488" s="28"/>
    </row>
    <row r="489" ht="15.75" hidden="1" customHeight="1">
      <c r="A489" s="6"/>
      <c r="B489" s="6"/>
      <c r="C489" s="6" t="str">
        <f>VLOOKUP(B489,Sheet3!$B$2:$E$312,2,FALSE)</f>
        <v>#N/A</v>
      </c>
      <c r="D489" s="6" t="str">
        <f>VLOOKUP(B489,Sheet3!$B$2:$E$312,3,)</f>
        <v>#N/A</v>
      </c>
      <c r="E489" s="8" t="str">
        <f>VLOOKUP(B489,Sheet3!$B$2:$E$312,4,)</f>
        <v>#N/A</v>
      </c>
      <c r="F489" s="8"/>
      <c r="G489" s="8"/>
      <c r="H489" s="8"/>
      <c r="I489" s="28"/>
      <c r="J489" s="28"/>
    </row>
    <row r="490" ht="15.75" hidden="1" customHeight="1">
      <c r="A490" s="6"/>
      <c r="B490" s="6"/>
      <c r="C490" s="6" t="str">
        <f>VLOOKUP(B490,Sheet3!$B$2:$E$312,2,FALSE)</f>
        <v>#N/A</v>
      </c>
      <c r="D490" s="6" t="str">
        <f>VLOOKUP(B490,Sheet3!$B$2:$E$312,3,)</f>
        <v>#N/A</v>
      </c>
      <c r="E490" s="8" t="str">
        <f>VLOOKUP(B490,Sheet3!$B$2:$E$312,4,)</f>
        <v>#N/A</v>
      </c>
      <c r="F490" s="8"/>
      <c r="G490" s="8"/>
      <c r="H490" s="8"/>
      <c r="I490" s="28"/>
      <c r="J490" s="28"/>
    </row>
    <row r="491" ht="15.75" hidden="1" customHeight="1">
      <c r="A491" s="6"/>
      <c r="B491" s="6"/>
      <c r="C491" s="6" t="str">
        <f>VLOOKUP(B491,Sheet3!$B$2:$E$312,2,FALSE)</f>
        <v>#N/A</v>
      </c>
      <c r="D491" s="6" t="str">
        <f>VLOOKUP(B491,Sheet3!$B$2:$E$312,3,)</f>
        <v>#N/A</v>
      </c>
      <c r="E491" s="8" t="str">
        <f>VLOOKUP(B491,Sheet3!$B$2:$E$312,4,)</f>
        <v>#N/A</v>
      </c>
      <c r="F491" s="8"/>
      <c r="G491" s="8"/>
      <c r="H491" s="8"/>
      <c r="I491" s="28"/>
      <c r="J491" s="28"/>
    </row>
    <row r="492" ht="15.75" hidden="1" customHeight="1">
      <c r="A492" s="6"/>
      <c r="B492" s="6"/>
      <c r="C492" s="6" t="str">
        <f>VLOOKUP(B492,Sheet3!$B$2:$E$312,2,FALSE)</f>
        <v>#N/A</v>
      </c>
      <c r="D492" s="6" t="str">
        <f>VLOOKUP(B492,Sheet3!$B$2:$E$312,3,)</f>
        <v>#N/A</v>
      </c>
      <c r="E492" s="8" t="str">
        <f>VLOOKUP(B492,Sheet3!$B$2:$E$312,4,)</f>
        <v>#N/A</v>
      </c>
      <c r="F492" s="8"/>
      <c r="G492" s="8"/>
      <c r="H492" s="8"/>
      <c r="I492" s="28"/>
      <c r="J492" s="28"/>
    </row>
    <row r="493" ht="15.75" hidden="1" customHeight="1">
      <c r="A493" s="6"/>
      <c r="B493" s="6"/>
      <c r="C493" s="6" t="str">
        <f>VLOOKUP(B493,Sheet3!$B$2:$E$312,2,FALSE)</f>
        <v>#N/A</v>
      </c>
      <c r="D493" s="6" t="str">
        <f>VLOOKUP(B493,Sheet3!$B$2:$E$312,3,)</f>
        <v>#N/A</v>
      </c>
      <c r="E493" s="8" t="str">
        <f>VLOOKUP(B493,Sheet3!$B$2:$E$312,4,)</f>
        <v>#N/A</v>
      </c>
      <c r="F493" s="8"/>
      <c r="G493" s="8"/>
      <c r="H493" s="8"/>
      <c r="I493" s="28"/>
      <c r="J493" s="28"/>
    </row>
    <row r="494" ht="15.75" hidden="1" customHeight="1">
      <c r="A494" s="6"/>
      <c r="B494" s="6"/>
      <c r="C494" s="6" t="str">
        <f>VLOOKUP(B494,Sheet3!$B$2:$E$312,2,FALSE)</f>
        <v>#N/A</v>
      </c>
      <c r="D494" s="6" t="str">
        <f>VLOOKUP(B494,Sheet3!$B$2:$E$312,3,)</f>
        <v>#N/A</v>
      </c>
      <c r="E494" s="8" t="str">
        <f>VLOOKUP(B494,Sheet3!$B$2:$E$312,4,)</f>
        <v>#N/A</v>
      </c>
      <c r="F494" s="8"/>
      <c r="G494" s="8"/>
      <c r="H494" s="8"/>
      <c r="I494" s="28"/>
      <c r="J494" s="28"/>
    </row>
    <row r="495" ht="15.75" hidden="1" customHeight="1">
      <c r="A495" s="6"/>
      <c r="B495" s="6"/>
      <c r="C495" s="6" t="str">
        <f>VLOOKUP(B495,Sheet3!$B$2:$E$312,2,FALSE)</f>
        <v>#N/A</v>
      </c>
      <c r="D495" s="6" t="str">
        <f>VLOOKUP(B495,Sheet3!$B$2:$E$312,3,)</f>
        <v>#N/A</v>
      </c>
      <c r="E495" s="8" t="str">
        <f>VLOOKUP(B495,Sheet3!$B$2:$E$312,4,)</f>
        <v>#N/A</v>
      </c>
      <c r="F495" s="8"/>
      <c r="G495" s="8"/>
      <c r="H495" s="8"/>
      <c r="I495" s="28"/>
      <c r="J495" s="28"/>
    </row>
    <row r="496" ht="15.75" hidden="1" customHeight="1">
      <c r="A496" s="6"/>
      <c r="B496" s="6"/>
      <c r="C496" s="6" t="str">
        <f>VLOOKUP(B496,Sheet3!$B$2:$E$312,2,FALSE)</f>
        <v>#N/A</v>
      </c>
      <c r="D496" s="6" t="str">
        <f>VLOOKUP(B496,Sheet3!$B$2:$E$312,3,)</f>
        <v>#N/A</v>
      </c>
      <c r="E496" s="8" t="str">
        <f>VLOOKUP(B496,Sheet3!$B$2:$E$312,4,)</f>
        <v>#N/A</v>
      </c>
      <c r="F496" s="8"/>
      <c r="G496" s="8"/>
      <c r="H496" s="8"/>
      <c r="I496" s="28"/>
      <c r="J496" s="28"/>
    </row>
    <row r="497" ht="15.75" hidden="1" customHeight="1">
      <c r="A497" s="6"/>
      <c r="B497" s="6"/>
      <c r="C497" s="6" t="str">
        <f>VLOOKUP(B497,Sheet3!$B$2:$E$312,2,FALSE)</f>
        <v>#N/A</v>
      </c>
      <c r="D497" s="6" t="str">
        <f>VLOOKUP(B497,Sheet3!$B$2:$E$312,3,)</f>
        <v>#N/A</v>
      </c>
      <c r="E497" s="8" t="str">
        <f>VLOOKUP(B497,Sheet3!$B$2:$E$312,4,)</f>
        <v>#N/A</v>
      </c>
      <c r="F497" s="8"/>
      <c r="G497" s="8"/>
      <c r="H497" s="8"/>
      <c r="I497" s="28"/>
      <c r="J497" s="28"/>
    </row>
    <row r="498" ht="15.75" hidden="1" customHeight="1">
      <c r="A498" s="6"/>
      <c r="B498" s="6"/>
      <c r="C498" s="6" t="str">
        <f>VLOOKUP(B498,Sheet3!$B$2:$E$312,2,FALSE)</f>
        <v>#N/A</v>
      </c>
      <c r="D498" s="6" t="str">
        <f>VLOOKUP(B498,Sheet3!$B$2:$E$312,3,)</f>
        <v>#N/A</v>
      </c>
      <c r="E498" s="8" t="str">
        <f>VLOOKUP(B498,Sheet3!$B$2:$E$312,4,)</f>
        <v>#N/A</v>
      </c>
      <c r="F498" s="8"/>
      <c r="G498" s="8"/>
      <c r="H498" s="8"/>
      <c r="I498" s="28"/>
      <c r="J498" s="28"/>
    </row>
    <row r="499" ht="15.75" hidden="1" customHeight="1">
      <c r="A499" s="6"/>
      <c r="B499" s="6"/>
      <c r="C499" s="6" t="str">
        <f>VLOOKUP(B499,Sheet3!$B$2:$E$312,2,FALSE)</f>
        <v>#N/A</v>
      </c>
      <c r="D499" s="6" t="str">
        <f>VLOOKUP(B499,Sheet3!$B$2:$E$312,3,)</f>
        <v>#N/A</v>
      </c>
      <c r="E499" s="8" t="str">
        <f>VLOOKUP(B499,Sheet3!$B$2:$E$312,4,)</f>
        <v>#N/A</v>
      </c>
      <c r="F499" s="8"/>
      <c r="G499" s="8"/>
      <c r="H499" s="8"/>
      <c r="I499" s="28"/>
      <c r="J499" s="28"/>
    </row>
    <row r="500" ht="15.75" hidden="1" customHeight="1">
      <c r="A500" s="6"/>
      <c r="B500" s="6"/>
      <c r="C500" s="6" t="str">
        <f>VLOOKUP(B500,Sheet3!$B$2:$E$312,2,FALSE)</f>
        <v>#N/A</v>
      </c>
      <c r="D500" s="6" t="str">
        <f>VLOOKUP(B500,Sheet3!$B$2:$E$312,3,)</f>
        <v>#N/A</v>
      </c>
      <c r="E500" s="8" t="str">
        <f>VLOOKUP(B500,Sheet3!$B$2:$E$312,4,)</f>
        <v>#N/A</v>
      </c>
      <c r="F500" s="8"/>
      <c r="G500" s="8"/>
      <c r="H500" s="8"/>
      <c r="I500" s="28"/>
      <c r="J500" s="28"/>
    </row>
    <row r="501" ht="15.75" hidden="1" customHeight="1">
      <c r="A501" s="6"/>
      <c r="B501" s="6"/>
      <c r="C501" s="6" t="str">
        <f>VLOOKUP(B501,Sheet3!$B$2:$E$312,2,FALSE)</f>
        <v>#N/A</v>
      </c>
      <c r="D501" s="6" t="str">
        <f>VLOOKUP(B501,Sheet3!$B$2:$E$312,3,)</f>
        <v>#N/A</v>
      </c>
      <c r="E501" s="8" t="str">
        <f>VLOOKUP(B501,Sheet3!$B$2:$E$312,4,)</f>
        <v>#N/A</v>
      </c>
      <c r="F501" s="8"/>
      <c r="G501" s="8"/>
      <c r="H501" s="8"/>
      <c r="I501" s="28"/>
      <c r="J501" s="28"/>
    </row>
    <row r="502" ht="15.75" hidden="1" customHeight="1">
      <c r="A502" s="6"/>
      <c r="B502" s="6"/>
      <c r="C502" s="6" t="str">
        <f>VLOOKUP(B502,Sheet3!$B$2:$E$312,2,FALSE)</f>
        <v>#N/A</v>
      </c>
      <c r="D502" s="6" t="str">
        <f>VLOOKUP(B502,Sheet3!$B$2:$E$312,3,)</f>
        <v>#N/A</v>
      </c>
      <c r="E502" s="8" t="str">
        <f>VLOOKUP(B502,Sheet3!$B$2:$E$312,4,)</f>
        <v>#N/A</v>
      </c>
      <c r="F502" s="8"/>
      <c r="G502" s="8"/>
      <c r="H502" s="8"/>
      <c r="I502" s="28"/>
      <c r="J502" s="28"/>
    </row>
    <row r="503" ht="15.75" hidden="1" customHeight="1">
      <c r="A503" s="6"/>
      <c r="B503" s="6"/>
      <c r="C503" s="6" t="str">
        <f>VLOOKUP(B503,Sheet3!$B$2:$E$312,2,FALSE)</f>
        <v>#N/A</v>
      </c>
      <c r="D503" s="6" t="str">
        <f>VLOOKUP(B503,Sheet3!$B$2:$E$312,3,)</f>
        <v>#N/A</v>
      </c>
      <c r="E503" s="8" t="str">
        <f>VLOOKUP(B503,Sheet3!$B$2:$E$312,4,)</f>
        <v>#N/A</v>
      </c>
      <c r="F503" s="8"/>
      <c r="G503" s="8"/>
      <c r="H503" s="8"/>
      <c r="I503" s="28"/>
      <c r="J503" s="28"/>
    </row>
    <row r="504" ht="15.75" hidden="1" customHeight="1">
      <c r="A504" s="6"/>
      <c r="B504" s="6"/>
      <c r="C504" s="6" t="str">
        <f>VLOOKUP(B504,Sheet3!$B$2:$E$312,2,FALSE)</f>
        <v>#N/A</v>
      </c>
      <c r="D504" s="6" t="str">
        <f>VLOOKUP(B504,Sheet3!$B$2:$E$312,3,)</f>
        <v>#N/A</v>
      </c>
      <c r="E504" s="8" t="str">
        <f>VLOOKUP(B504,Sheet3!$B$2:$E$312,4,)</f>
        <v>#N/A</v>
      </c>
      <c r="F504" s="8"/>
      <c r="G504" s="8"/>
      <c r="H504" s="8"/>
      <c r="I504" s="28"/>
      <c r="J504" s="28"/>
    </row>
    <row r="505" ht="15.75" hidden="1" customHeight="1">
      <c r="A505" s="6"/>
      <c r="B505" s="6"/>
      <c r="C505" s="6" t="str">
        <f>VLOOKUP(B505,Sheet3!$B$2:$E$312,2,FALSE)</f>
        <v>#N/A</v>
      </c>
      <c r="D505" s="6" t="str">
        <f>VLOOKUP(B505,Sheet3!$B$2:$E$312,3,)</f>
        <v>#N/A</v>
      </c>
      <c r="E505" s="8" t="str">
        <f>VLOOKUP(B505,Sheet3!$B$2:$E$312,4,)</f>
        <v>#N/A</v>
      </c>
      <c r="F505" s="8"/>
      <c r="G505" s="8"/>
      <c r="H505" s="8"/>
      <c r="I505" s="28"/>
      <c r="J505" s="28"/>
    </row>
    <row r="506" ht="15.75" hidden="1" customHeight="1">
      <c r="A506" s="6"/>
      <c r="B506" s="6"/>
      <c r="C506" s="6" t="str">
        <f>VLOOKUP(B506,Sheet3!$B$2:$E$312,2,FALSE)</f>
        <v>#N/A</v>
      </c>
      <c r="D506" s="6" t="str">
        <f>VLOOKUP(B506,Sheet3!$B$2:$E$312,3,)</f>
        <v>#N/A</v>
      </c>
      <c r="E506" s="8" t="str">
        <f>VLOOKUP(B506,Sheet3!$B$2:$E$312,4,)</f>
        <v>#N/A</v>
      </c>
      <c r="F506" s="8"/>
      <c r="G506" s="8"/>
      <c r="H506" s="8"/>
      <c r="I506" s="28"/>
      <c r="J506" s="28"/>
    </row>
    <row r="507" ht="15.75" hidden="1" customHeight="1">
      <c r="A507" s="6"/>
      <c r="B507" s="6"/>
      <c r="C507" s="6" t="str">
        <f>VLOOKUP(B507,Sheet3!$B$2:$E$312,2,FALSE)</f>
        <v>#N/A</v>
      </c>
      <c r="D507" s="6" t="str">
        <f>VLOOKUP(B507,Sheet3!$B$2:$E$312,3,)</f>
        <v>#N/A</v>
      </c>
      <c r="E507" s="8" t="str">
        <f>VLOOKUP(B507,Sheet3!$B$2:$E$312,4,)</f>
        <v>#N/A</v>
      </c>
      <c r="F507" s="8"/>
      <c r="G507" s="8"/>
      <c r="H507" s="8"/>
      <c r="I507" s="28"/>
      <c r="J507" s="28"/>
    </row>
    <row r="508" ht="15.75" hidden="1" customHeight="1">
      <c r="A508" s="6"/>
      <c r="B508" s="6"/>
      <c r="C508" s="6" t="str">
        <f>VLOOKUP(B508,Sheet3!$B$2:$E$312,2,FALSE)</f>
        <v>#N/A</v>
      </c>
      <c r="D508" s="6" t="str">
        <f>VLOOKUP(B508,Sheet3!$B$2:$E$312,3,)</f>
        <v>#N/A</v>
      </c>
      <c r="E508" s="8" t="str">
        <f>VLOOKUP(B508,Sheet3!$B$2:$E$312,4,)</f>
        <v>#N/A</v>
      </c>
      <c r="F508" s="8"/>
      <c r="G508" s="8"/>
      <c r="H508" s="8"/>
      <c r="I508" s="28"/>
      <c r="J508" s="28"/>
    </row>
    <row r="509" ht="15.75" hidden="1" customHeight="1">
      <c r="A509" s="6"/>
      <c r="B509" s="6"/>
      <c r="C509" s="6" t="str">
        <f>VLOOKUP(B509,Sheet3!$B$2:$E$312,2,FALSE)</f>
        <v>#N/A</v>
      </c>
      <c r="D509" s="6" t="str">
        <f>VLOOKUP(B509,Sheet3!$B$2:$E$312,3,)</f>
        <v>#N/A</v>
      </c>
      <c r="E509" s="8" t="str">
        <f>VLOOKUP(B509,Sheet3!$B$2:$E$312,4,)</f>
        <v>#N/A</v>
      </c>
      <c r="F509" s="8"/>
      <c r="G509" s="8"/>
      <c r="H509" s="8"/>
      <c r="I509" s="28"/>
      <c r="J509" s="28"/>
    </row>
    <row r="510" ht="15.75" hidden="1" customHeight="1">
      <c r="A510" s="6"/>
      <c r="B510" s="6"/>
      <c r="C510" s="6" t="str">
        <f>VLOOKUP(B510,Sheet3!$B$2:$E$312,2,FALSE)</f>
        <v>#N/A</v>
      </c>
      <c r="D510" s="6" t="str">
        <f>VLOOKUP(B510,Sheet3!$B$2:$E$312,3,)</f>
        <v>#N/A</v>
      </c>
      <c r="E510" s="8" t="str">
        <f>VLOOKUP(B510,Sheet3!$B$2:$E$312,4,)</f>
        <v>#N/A</v>
      </c>
      <c r="F510" s="8"/>
      <c r="G510" s="8"/>
      <c r="H510" s="8"/>
      <c r="I510" s="28"/>
      <c r="J510" s="28"/>
    </row>
    <row r="511" ht="15.75" hidden="1" customHeight="1">
      <c r="A511" s="6"/>
      <c r="B511" s="6"/>
      <c r="C511" s="6" t="str">
        <f>VLOOKUP(B511,Sheet3!$B$2:$E$312,2,FALSE)</f>
        <v>#N/A</v>
      </c>
      <c r="D511" s="6" t="str">
        <f>VLOOKUP(B511,Sheet3!$B$2:$E$312,3,)</f>
        <v>#N/A</v>
      </c>
      <c r="E511" s="8" t="str">
        <f>VLOOKUP(B511,Sheet3!$B$2:$E$312,4,)</f>
        <v>#N/A</v>
      </c>
      <c r="F511" s="8"/>
      <c r="G511" s="8"/>
      <c r="H511" s="8"/>
      <c r="I511" s="28"/>
      <c r="J511" s="28"/>
    </row>
    <row r="512" ht="15.75" hidden="1" customHeight="1">
      <c r="A512" s="6"/>
      <c r="B512" s="6"/>
      <c r="C512" s="6" t="str">
        <f>VLOOKUP(B512,Sheet3!$B$2:$E$312,2,FALSE)</f>
        <v>#N/A</v>
      </c>
      <c r="D512" s="6" t="str">
        <f>VLOOKUP(B512,Sheet3!$B$2:$E$312,3,)</f>
        <v>#N/A</v>
      </c>
      <c r="E512" s="8" t="str">
        <f>VLOOKUP(B512,Sheet3!$B$2:$E$312,4,)</f>
        <v>#N/A</v>
      </c>
      <c r="F512" s="8"/>
      <c r="G512" s="8"/>
      <c r="H512" s="8"/>
      <c r="I512" s="28"/>
      <c r="J512" s="28"/>
    </row>
    <row r="513" ht="15.75" hidden="1" customHeight="1">
      <c r="A513" s="6"/>
      <c r="B513" s="6"/>
      <c r="C513" s="6" t="str">
        <f>VLOOKUP(B513,Sheet3!$B$2:$E$312,2,FALSE)</f>
        <v>#N/A</v>
      </c>
      <c r="D513" s="6" t="str">
        <f>VLOOKUP(B513,Sheet3!$B$2:$E$312,3,)</f>
        <v>#N/A</v>
      </c>
      <c r="E513" s="8" t="str">
        <f>VLOOKUP(B513,Sheet3!$B$2:$E$312,4,)</f>
        <v>#N/A</v>
      </c>
      <c r="F513" s="8"/>
      <c r="G513" s="8"/>
      <c r="H513" s="8"/>
      <c r="I513" s="28"/>
      <c r="J513" s="28"/>
    </row>
    <row r="514" ht="15.75" hidden="1" customHeight="1">
      <c r="A514" s="6"/>
      <c r="B514" s="6"/>
      <c r="C514" s="6" t="str">
        <f>VLOOKUP(B514,Sheet3!$B$2:$E$312,2,FALSE)</f>
        <v>#N/A</v>
      </c>
      <c r="D514" s="6" t="str">
        <f>VLOOKUP(B514,Sheet3!$B$2:$E$312,3,)</f>
        <v>#N/A</v>
      </c>
      <c r="E514" s="8" t="str">
        <f>VLOOKUP(B514,Sheet3!$B$2:$E$312,4,)</f>
        <v>#N/A</v>
      </c>
      <c r="F514" s="8"/>
      <c r="G514" s="8"/>
      <c r="H514" s="8"/>
      <c r="I514" s="28"/>
      <c r="J514" s="28"/>
    </row>
    <row r="515" ht="15.75" hidden="1" customHeight="1">
      <c r="A515" s="6"/>
      <c r="B515" s="6"/>
      <c r="C515" s="6" t="str">
        <f>VLOOKUP(B515,Sheet3!$B$2:$E$312,2,FALSE)</f>
        <v>#N/A</v>
      </c>
      <c r="D515" s="6" t="str">
        <f>VLOOKUP(B515,Sheet3!$B$2:$E$312,3,)</f>
        <v>#N/A</v>
      </c>
      <c r="E515" s="8" t="str">
        <f>VLOOKUP(B515,Sheet3!$B$2:$E$312,4,)</f>
        <v>#N/A</v>
      </c>
      <c r="F515" s="8"/>
      <c r="G515" s="8"/>
      <c r="H515" s="8"/>
      <c r="I515" s="28"/>
      <c r="J515" s="28"/>
    </row>
    <row r="516" ht="15.75" hidden="1" customHeight="1">
      <c r="A516" s="6"/>
      <c r="B516" s="6"/>
      <c r="C516" s="6" t="str">
        <f>VLOOKUP(B516,Sheet3!$B$2:$E$312,2,FALSE)</f>
        <v>#N/A</v>
      </c>
      <c r="D516" s="6" t="str">
        <f>VLOOKUP(B516,Sheet3!$B$2:$E$312,3,)</f>
        <v>#N/A</v>
      </c>
      <c r="E516" s="8" t="str">
        <f>VLOOKUP(B516,Sheet3!$B$2:$E$312,4,)</f>
        <v>#N/A</v>
      </c>
      <c r="F516" s="8"/>
      <c r="G516" s="8"/>
      <c r="H516" s="8"/>
      <c r="I516" s="28"/>
      <c r="J516" s="28"/>
    </row>
    <row r="517" ht="15.75" hidden="1" customHeight="1">
      <c r="A517" s="6"/>
      <c r="B517" s="6"/>
      <c r="C517" s="6" t="str">
        <f>VLOOKUP(B517,Sheet3!$B$2:$E$312,2,FALSE)</f>
        <v>#N/A</v>
      </c>
      <c r="D517" s="6" t="str">
        <f>VLOOKUP(B517,Sheet3!$B$2:$E$312,3,)</f>
        <v>#N/A</v>
      </c>
      <c r="E517" s="8" t="str">
        <f>VLOOKUP(B517,Sheet3!$B$2:$E$312,4,)</f>
        <v>#N/A</v>
      </c>
      <c r="F517" s="8"/>
      <c r="G517" s="8"/>
      <c r="H517" s="8"/>
      <c r="I517" s="28"/>
      <c r="J517" s="28"/>
    </row>
    <row r="518" ht="15.75" hidden="1" customHeight="1">
      <c r="A518" s="6"/>
      <c r="B518" s="6"/>
      <c r="C518" s="6" t="str">
        <f>VLOOKUP(B518,Sheet3!$B$2:$E$312,2,FALSE)</f>
        <v>#N/A</v>
      </c>
      <c r="D518" s="6" t="str">
        <f>VLOOKUP(B518,Sheet3!$B$2:$E$312,3,)</f>
        <v>#N/A</v>
      </c>
      <c r="E518" s="8" t="str">
        <f>VLOOKUP(B518,Sheet3!$B$2:$E$312,4,)</f>
        <v>#N/A</v>
      </c>
      <c r="F518" s="8"/>
      <c r="G518" s="8"/>
      <c r="H518" s="8"/>
      <c r="I518" s="28"/>
      <c r="J518" s="28"/>
    </row>
    <row r="519" ht="15.75" hidden="1" customHeight="1">
      <c r="A519" s="6"/>
      <c r="B519" s="6"/>
      <c r="C519" s="6" t="str">
        <f>VLOOKUP(B519,Sheet3!$B$2:$E$312,2,FALSE)</f>
        <v>#N/A</v>
      </c>
      <c r="D519" s="6" t="str">
        <f>VLOOKUP(B519,Sheet3!$B$2:$E$312,3,)</f>
        <v>#N/A</v>
      </c>
      <c r="E519" s="8" t="str">
        <f>VLOOKUP(B519,Sheet3!$B$2:$E$312,4,)</f>
        <v>#N/A</v>
      </c>
      <c r="F519" s="8"/>
      <c r="G519" s="8"/>
      <c r="H519" s="8"/>
      <c r="I519" s="28"/>
      <c r="J519" s="28"/>
    </row>
    <row r="520" ht="15.75" hidden="1" customHeight="1">
      <c r="A520" s="6"/>
      <c r="B520" s="6"/>
      <c r="C520" s="6" t="str">
        <f>VLOOKUP(B520,Sheet3!$B$2:$E$312,2,FALSE)</f>
        <v>#N/A</v>
      </c>
      <c r="D520" s="6" t="str">
        <f>VLOOKUP(B520,Sheet3!$B$2:$E$312,3,)</f>
        <v>#N/A</v>
      </c>
      <c r="E520" s="8" t="str">
        <f>VLOOKUP(B520,Sheet3!$B$2:$E$312,4,)</f>
        <v>#N/A</v>
      </c>
      <c r="F520" s="8"/>
      <c r="G520" s="8"/>
      <c r="H520" s="8"/>
      <c r="I520" s="28"/>
      <c r="J520" s="28"/>
    </row>
    <row r="521" ht="15.75" hidden="1" customHeight="1">
      <c r="A521" s="6"/>
      <c r="B521" s="6"/>
      <c r="C521" s="6" t="str">
        <f>VLOOKUP(B521,Sheet3!$B$2:$E$312,2,FALSE)</f>
        <v>#N/A</v>
      </c>
      <c r="D521" s="6" t="str">
        <f>VLOOKUP(B521,Sheet3!$B$2:$E$312,3,)</f>
        <v>#N/A</v>
      </c>
      <c r="E521" s="8" t="str">
        <f>VLOOKUP(B521,Sheet3!$B$2:$E$312,4,)</f>
        <v>#N/A</v>
      </c>
      <c r="F521" s="8"/>
      <c r="G521" s="8"/>
      <c r="H521" s="8"/>
      <c r="I521" s="28"/>
      <c r="J521" s="28"/>
    </row>
    <row r="522" ht="15.75" hidden="1" customHeight="1">
      <c r="A522" s="6"/>
      <c r="B522" s="6"/>
      <c r="C522" s="6" t="str">
        <f>VLOOKUP(B522,Sheet3!$B$2:$E$312,2,FALSE)</f>
        <v>#N/A</v>
      </c>
      <c r="D522" s="6" t="str">
        <f>VLOOKUP(B522,Sheet3!$B$2:$E$312,3,)</f>
        <v>#N/A</v>
      </c>
      <c r="E522" s="8" t="str">
        <f>VLOOKUP(B522,Sheet3!$B$2:$E$312,4,)</f>
        <v>#N/A</v>
      </c>
      <c r="F522" s="8"/>
      <c r="G522" s="8"/>
      <c r="H522" s="8"/>
      <c r="I522" s="28"/>
      <c r="J522" s="28"/>
    </row>
    <row r="523" ht="15.75" hidden="1" customHeight="1">
      <c r="A523" s="6"/>
      <c r="B523" s="6"/>
      <c r="C523" s="6" t="str">
        <f>VLOOKUP(B523,Sheet3!$B$2:$E$312,2,FALSE)</f>
        <v>#N/A</v>
      </c>
      <c r="D523" s="6" t="str">
        <f>VLOOKUP(B523,Sheet3!$B$2:$E$312,3,)</f>
        <v>#N/A</v>
      </c>
      <c r="E523" s="8" t="str">
        <f>VLOOKUP(B523,Sheet3!$B$2:$E$312,4,)</f>
        <v>#N/A</v>
      </c>
      <c r="F523" s="8"/>
      <c r="G523" s="8"/>
      <c r="H523" s="8"/>
      <c r="I523" s="28"/>
      <c r="J523" s="28"/>
    </row>
    <row r="524" ht="15.75" hidden="1" customHeight="1">
      <c r="A524" s="6"/>
      <c r="B524" s="6"/>
      <c r="C524" s="6" t="str">
        <f>VLOOKUP(B524,Sheet3!$B$2:$E$312,2,FALSE)</f>
        <v>#N/A</v>
      </c>
      <c r="D524" s="6" t="str">
        <f>VLOOKUP(B524,Sheet3!$B$2:$E$312,3,)</f>
        <v>#N/A</v>
      </c>
      <c r="E524" s="8" t="str">
        <f>VLOOKUP(B524,Sheet3!$B$2:$E$312,4,)</f>
        <v>#N/A</v>
      </c>
      <c r="F524" s="8"/>
      <c r="G524" s="8"/>
      <c r="H524" s="8"/>
      <c r="I524" s="28"/>
      <c r="J524" s="28"/>
    </row>
    <row r="525" ht="15.75" hidden="1" customHeight="1">
      <c r="A525" s="6"/>
      <c r="B525" s="6"/>
      <c r="C525" s="6" t="str">
        <f>VLOOKUP(B525,Sheet3!$B$2:$E$312,2,FALSE)</f>
        <v>#N/A</v>
      </c>
      <c r="D525" s="6" t="str">
        <f>VLOOKUP(B525,Sheet3!$B$2:$E$312,3,)</f>
        <v>#N/A</v>
      </c>
      <c r="E525" s="8" t="str">
        <f>VLOOKUP(B525,Sheet3!$B$2:$E$312,4,)</f>
        <v>#N/A</v>
      </c>
      <c r="F525" s="8"/>
      <c r="G525" s="8"/>
      <c r="H525" s="8"/>
      <c r="I525" s="28"/>
      <c r="J525" s="28"/>
    </row>
    <row r="526" ht="15.75" hidden="1" customHeight="1">
      <c r="A526" s="6"/>
      <c r="B526" s="6"/>
      <c r="C526" s="6" t="str">
        <f>VLOOKUP(B526,Sheet3!$B$2:$E$312,2,FALSE)</f>
        <v>#N/A</v>
      </c>
      <c r="D526" s="6" t="str">
        <f>VLOOKUP(B526,Sheet3!$B$2:$E$312,3,)</f>
        <v>#N/A</v>
      </c>
      <c r="E526" s="8" t="str">
        <f>VLOOKUP(B526,Sheet3!$B$2:$E$312,4,)</f>
        <v>#N/A</v>
      </c>
      <c r="F526" s="8"/>
      <c r="G526" s="8"/>
      <c r="H526" s="8"/>
      <c r="I526" s="28"/>
      <c r="J526" s="28"/>
    </row>
    <row r="527" ht="15.75" hidden="1" customHeight="1">
      <c r="A527" s="6"/>
      <c r="B527" s="6"/>
      <c r="C527" s="6" t="str">
        <f>VLOOKUP(B527,Sheet3!$B$2:$E$312,2,FALSE)</f>
        <v>#N/A</v>
      </c>
      <c r="D527" s="6" t="str">
        <f>VLOOKUP(B527,Sheet3!$B$2:$E$312,3,)</f>
        <v>#N/A</v>
      </c>
      <c r="E527" s="8" t="str">
        <f>VLOOKUP(B527,Sheet3!$B$2:$E$312,4,)</f>
        <v>#N/A</v>
      </c>
      <c r="F527" s="8"/>
      <c r="G527" s="8"/>
      <c r="H527" s="8"/>
      <c r="I527" s="28"/>
      <c r="J527" s="28"/>
    </row>
    <row r="528" ht="15.75" hidden="1" customHeight="1">
      <c r="A528" s="6"/>
      <c r="B528" s="6"/>
      <c r="C528" s="6" t="str">
        <f>VLOOKUP(B528,Sheet3!$B$2:$E$312,2,FALSE)</f>
        <v>#N/A</v>
      </c>
      <c r="D528" s="6" t="str">
        <f>VLOOKUP(B528,Sheet3!$B$2:$E$312,3,)</f>
        <v>#N/A</v>
      </c>
      <c r="E528" s="8" t="str">
        <f>VLOOKUP(B528,Sheet3!$B$2:$E$312,4,)</f>
        <v>#N/A</v>
      </c>
      <c r="F528" s="8"/>
      <c r="G528" s="8"/>
      <c r="H528" s="8"/>
      <c r="I528" s="28"/>
      <c r="J528" s="28"/>
    </row>
    <row r="529" ht="15.75" hidden="1" customHeight="1">
      <c r="A529" s="6"/>
      <c r="B529" s="6"/>
      <c r="C529" s="6" t="str">
        <f>VLOOKUP(B529,Sheet3!$B$2:$E$312,2,FALSE)</f>
        <v>#N/A</v>
      </c>
      <c r="D529" s="6" t="str">
        <f>VLOOKUP(B529,Sheet3!$B$2:$E$312,3,)</f>
        <v>#N/A</v>
      </c>
      <c r="E529" s="8" t="str">
        <f>VLOOKUP(B529,Sheet3!$B$2:$E$312,4,)</f>
        <v>#N/A</v>
      </c>
      <c r="F529" s="8"/>
      <c r="G529" s="8"/>
      <c r="H529" s="8"/>
      <c r="I529" s="28"/>
      <c r="J529" s="28"/>
    </row>
    <row r="530" ht="15.75" hidden="1" customHeight="1">
      <c r="A530" s="6"/>
      <c r="B530" s="6"/>
      <c r="C530" s="6" t="str">
        <f>VLOOKUP(B530,Sheet3!$B$2:$E$312,2,FALSE)</f>
        <v>#N/A</v>
      </c>
      <c r="D530" s="6" t="str">
        <f>VLOOKUP(B530,Sheet3!$B$2:$E$312,3,)</f>
        <v>#N/A</v>
      </c>
      <c r="E530" s="8" t="str">
        <f>VLOOKUP(B530,Sheet3!$B$2:$E$312,4,)</f>
        <v>#N/A</v>
      </c>
      <c r="F530" s="8"/>
      <c r="G530" s="8"/>
      <c r="H530" s="8"/>
      <c r="I530" s="28"/>
      <c r="J530" s="28"/>
    </row>
    <row r="531" ht="15.75" hidden="1" customHeight="1">
      <c r="A531" s="6"/>
      <c r="B531" s="6"/>
      <c r="C531" s="6" t="str">
        <f>VLOOKUP(B531,Sheet3!$B$2:$E$312,2,FALSE)</f>
        <v>#N/A</v>
      </c>
      <c r="D531" s="6" t="str">
        <f>VLOOKUP(B531,Sheet3!$B$2:$E$312,3,)</f>
        <v>#N/A</v>
      </c>
      <c r="E531" s="8" t="str">
        <f>VLOOKUP(B531,Sheet3!$B$2:$E$312,4,)</f>
        <v>#N/A</v>
      </c>
      <c r="F531" s="8"/>
      <c r="G531" s="8"/>
      <c r="H531" s="8"/>
      <c r="I531" s="28"/>
      <c r="J531" s="28"/>
    </row>
    <row r="532" ht="15.75" hidden="1" customHeight="1">
      <c r="A532" s="6"/>
      <c r="B532" s="6"/>
      <c r="C532" s="6" t="str">
        <f>VLOOKUP(B532,Sheet3!$B$2:$E$312,2,FALSE)</f>
        <v>#N/A</v>
      </c>
      <c r="D532" s="6" t="str">
        <f>VLOOKUP(B532,Sheet3!$B$2:$E$312,3,)</f>
        <v>#N/A</v>
      </c>
      <c r="E532" s="8" t="str">
        <f>VLOOKUP(B532,Sheet3!$B$2:$E$312,4,)</f>
        <v>#N/A</v>
      </c>
      <c r="F532" s="8"/>
      <c r="G532" s="8"/>
      <c r="H532" s="8"/>
      <c r="I532" s="28"/>
      <c r="J532" s="28"/>
    </row>
    <row r="533" ht="15.75" hidden="1" customHeight="1">
      <c r="A533" s="6"/>
      <c r="B533" s="6"/>
      <c r="C533" s="6" t="str">
        <f>VLOOKUP(B533,Sheet3!$B$2:$E$312,2,FALSE)</f>
        <v>#N/A</v>
      </c>
      <c r="D533" s="6" t="str">
        <f>VLOOKUP(B533,Sheet3!$B$2:$E$312,3,)</f>
        <v>#N/A</v>
      </c>
      <c r="E533" s="8" t="str">
        <f>VLOOKUP(B533,Sheet3!$B$2:$E$312,4,)</f>
        <v>#N/A</v>
      </c>
      <c r="F533" s="8"/>
      <c r="G533" s="8"/>
      <c r="H533" s="8"/>
      <c r="I533" s="28"/>
      <c r="J533" s="28"/>
    </row>
    <row r="534" ht="15.75" hidden="1" customHeight="1">
      <c r="A534" s="6"/>
      <c r="B534" s="6"/>
      <c r="C534" s="6" t="str">
        <f>VLOOKUP(B534,Sheet3!$B$2:$E$312,2,FALSE)</f>
        <v>#N/A</v>
      </c>
      <c r="D534" s="6" t="str">
        <f>VLOOKUP(B534,Sheet3!$B$2:$E$312,3,)</f>
        <v>#N/A</v>
      </c>
      <c r="E534" s="8" t="str">
        <f>VLOOKUP(B534,Sheet3!$B$2:$E$312,4,)</f>
        <v>#N/A</v>
      </c>
      <c r="F534" s="8"/>
      <c r="G534" s="8"/>
      <c r="H534" s="8"/>
      <c r="I534" s="28"/>
      <c r="J534" s="28"/>
    </row>
    <row r="535" ht="15.75" hidden="1" customHeight="1">
      <c r="A535" s="6"/>
      <c r="B535" s="6"/>
      <c r="C535" s="6" t="str">
        <f>VLOOKUP(B535,Sheet3!$B$2:$E$312,2,FALSE)</f>
        <v>#N/A</v>
      </c>
      <c r="D535" s="6" t="str">
        <f>VLOOKUP(B535,Sheet3!$B$2:$E$312,3,)</f>
        <v>#N/A</v>
      </c>
      <c r="E535" s="8" t="str">
        <f>VLOOKUP(B535,Sheet3!$B$2:$E$312,4,)</f>
        <v>#N/A</v>
      </c>
      <c r="F535" s="8"/>
      <c r="G535" s="8"/>
      <c r="H535" s="8"/>
      <c r="I535" s="28"/>
      <c r="J535" s="28"/>
    </row>
    <row r="536" ht="15.75" hidden="1" customHeight="1">
      <c r="A536" s="6"/>
      <c r="B536" s="6"/>
      <c r="C536" s="6" t="str">
        <f>VLOOKUP(B536,Sheet3!$B$2:$E$312,2,FALSE)</f>
        <v>#N/A</v>
      </c>
      <c r="D536" s="6" t="str">
        <f>VLOOKUP(B536,Sheet3!$B$2:$E$312,3,)</f>
        <v>#N/A</v>
      </c>
      <c r="E536" s="8" t="str">
        <f>VLOOKUP(B536,Sheet3!$B$2:$E$312,4,)</f>
        <v>#N/A</v>
      </c>
      <c r="F536" s="8"/>
      <c r="G536" s="8"/>
      <c r="H536" s="8"/>
      <c r="I536" s="28"/>
      <c r="J536" s="28"/>
    </row>
    <row r="537" ht="15.75" hidden="1" customHeight="1">
      <c r="A537" s="6"/>
      <c r="B537" s="6"/>
      <c r="C537" s="6" t="str">
        <f>VLOOKUP(B537,Sheet3!$B$2:$E$312,2,FALSE)</f>
        <v>#N/A</v>
      </c>
      <c r="D537" s="6" t="str">
        <f>VLOOKUP(B537,Sheet3!$B$2:$E$312,3,)</f>
        <v>#N/A</v>
      </c>
      <c r="E537" s="8" t="str">
        <f>VLOOKUP(B537,Sheet3!$B$2:$E$312,4,)</f>
        <v>#N/A</v>
      </c>
      <c r="F537" s="8"/>
      <c r="G537" s="8"/>
      <c r="H537" s="8"/>
      <c r="I537" s="28"/>
      <c r="J537" s="28"/>
    </row>
    <row r="538" ht="15.75" hidden="1" customHeight="1">
      <c r="A538" s="6"/>
      <c r="B538" s="6"/>
      <c r="C538" s="6" t="str">
        <f>VLOOKUP(B538,Sheet3!$B$2:$E$312,2,FALSE)</f>
        <v>#N/A</v>
      </c>
      <c r="D538" s="6" t="str">
        <f>VLOOKUP(B538,Sheet3!$B$2:$E$312,3,)</f>
        <v>#N/A</v>
      </c>
      <c r="E538" s="8" t="str">
        <f>VLOOKUP(B538,Sheet3!$B$2:$E$312,4,)</f>
        <v>#N/A</v>
      </c>
      <c r="F538" s="8"/>
      <c r="G538" s="8"/>
      <c r="H538" s="8"/>
      <c r="I538" s="28"/>
      <c r="J538" s="28"/>
    </row>
    <row r="539" ht="15.75" hidden="1" customHeight="1">
      <c r="A539" s="6"/>
      <c r="B539" s="6"/>
      <c r="C539" s="6" t="str">
        <f>VLOOKUP(B539,Sheet3!$B$2:$E$312,2,FALSE)</f>
        <v>#N/A</v>
      </c>
      <c r="D539" s="6" t="str">
        <f>VLOOKUP(B539,Sheet3!$B$2:$E$312,3,)</f>
        <v>#N/A</v>
      </c>
      <c r="E539" s="8" t="str">
        <f>VLOOKUP(B539,Sheet3!$B$2:$E$312,4,)</f>
        <v>#N/A</v>
      </c>
      <c r="F539" s="8"/>
      <c r="G539" s="8"/>
      <c r="H539" s="8"/>
      <c r="I539" s="28"/>
      <c r="J539" s="28"/>
    </row>
    <row r="540" ht="15.75" hidden="1" customHeight="1">
      <c r="A540" s="6"/>
      <c r="B540" s="6"/>
      <c r="C540" s="6" t="str">
        <f>VLOOKUP(B540,Sheet3!$B$2:$E$312,2,FALSE)</f>
        <v>#N/A</v>
      </c>
      <c r="D540" s="6" t="str">
        <f>VLOOKUP(B540,Sheet3!$B$2:$E$312,3,)</f>
        <v>#N/A</v>
      </c>
      <c r="E540" s="8" t="str">
        <f>VLOOKUP(B540,Sheet3!$B$2:$E$312,4,)</f>
        <v>#N/A</v>
      </c>
      <c r="F540" s="8"/>
      <c r="G540" s="8"/>
      <c r="H540" s="8"/>
      <c r="I540" s="28"/>
      <c r="J540" s="28"/>
    </row>
    <row r="541" ht="15.75" hidden="1" customHeight="1">
      <c r="A541" s="6"/>
      <c r="B541" s="6"/>
      <c r="C541" s="6" t="str">
        <f>VLOOKUP(B541,Sheet3!$B$2:$E$312,2,FALSE)</f>
        <v>#N/A</v>
      </c>
      <c r="D541" s="6" t="str">
        <f>VLOOKUP(B541,Sheet3!$B$2:$E$312,3,)</f>
        <v>#N/A</v>
      </c>
      <c r="E541" s="8" t="str">
        <f>VLOOKUP(B541,Sheet3!$B$2:$E$312,4,)</f>
        <v>#N/A</v>
      </c>
      <c r="F541" s="8"/>
      <c r="G541" s="8"/>
      <c r="H541" s="8"/>
      <c r="I541" s="28"/>
      <c r="J541" s="28"/>
    </row>
    <row r="542" ht="15.75" hidden="1" customHeight="1">
      <c r="A542" s="6"/>
      <c r="B542" s="6"/>
      <c r="C542" s="6" t="str">
        <f>VLOOKUP(B542,Sheet3!$B$2:$E$312,2,FALSE)</f>
        <v>#N/A</v>
      </c>
      <c r="D542" s="6" t="str">
        <f>VLOOKUP(B542,Sheet3!$B$2:$E$312,3,)</f>
        <v>#N/A</v>
      </c>
      <c r="E542" s="8" t="str">
        <f>VLOOKUP(B542,Sheet3!$B$2:$E$312,4,)</f>
        <v>#N/A</v>
      </c>
      <c r="F542" s="8"/>
      <c r="G542" s="8"/>
      <c r="H542" s="8"/>
      <c r="I542" s="28"/>
      <c r="J542" s="28"/>
    </row>
    <row r="543" ht="15.75" hidden="1" customHeight="1">
      <c r="A543" s="6"/>
      <c r="B543" s="6"/>
      <c r="C543" s="6" t="str">
        <f>VLOOKUP(B543,Sheet3!$B$2:$E$312,2,FALSE)</f>
        <v>#N/A</v>
      </c>
      <c r="D543" s="6" t="str">
        <f>VLOOKUP(B543,Sheet3!$B$2:$E$312,3,)</f>
        <v>#N/A</v>
      </c>
      <c r="E543" s="8" t="str">
        <f>VLOOKUP(B543,Sheet3!$B$2:$E$312,4,)</f>
        <v>#N/A</v>
      </c>
      <c r="F543" s="8"/>
      <c r="G543" s="8"/>
      <c r="H543" s="8"/>
      <c r="I543" s="28"/>
      <c r="J543" s="28"/>
    </row>
    <row r="544" ht="15.75" hidden="1" customHeight="1">
      <c r="A544" s="6"/>
      <c r="B544" s="6"/>
      <c r="C544" s="6" t="str">
        <f>VLOOKUP(B544,Sheet3!$B$2:$E$312,2,FALSE)</f>
        <v>#N/A</v>
      </c>
      <c r="D544" s="6" t="str">
        <f>VLOOKUP(B544,Sheet3!$B$2:$E$312,3,)</f>
        <v>#N/A</v>
      </c>
      <c r="E544" s="8" t="str">
        <f>VLOOKUP(B544,Sheet3!$B$2:$E$312,4,)</f>
        <v>#N/A</v>
      </c>
      <c r="F544" s="8"/>
      <c r="G544" s="8"/>
      <c r="H544" s="8"/>
      <c r="I544" s="28"/>
      <c r="J544" s="28"/>
    </row>
    <row r="545" ht="15.75" hidden="1" customHeight="1">
      <c r="B545" s="16"/>
      <c r="C545" s="16" t="str">
        <f>VLOOKUP(B545,Sheet3!$B$2:$E$312,2,FALSE)</f>
        <v>#N/A</v>
      </c>
      <c r="D545" s="16" t="str">
        <f>VLOOKUP(B545,Sheet3!$B$2:$E$312,3,)</f>
        <v>#N/A</v>
      </c>
      <c r="E545" s="8" t="str">
        <f>VLOOKUP(B545,Sheet3!$B$2:$E$312,4,)</f>
        <v>#N/A</v>
      </c>
      <c r="F545" s="29"/>
      <c r="G545" s="29"/>
      <c r="H545" s="29"/>
      <c r="I545" s="28"/>
      <c r="J545" s="28"/>
    </row>
    <row r="546" ht="15.75" hidden="1" customHeight="1">
      <c r="B546" s="16"/>
      <c r="C546" s="16" t="str">
        <f>VLOOKUP(B546,Sheet3!$B$2:$E$312,2,FALSE)</f>
        <v>#N/A</v>
      </c>
      <c r="D546" s="16" t="str">
        <f>VLOOKUP(B546,Sheet3!$B$2:$E$312,3,)</f>
        <v>#N/A</v>
      </c>
      <c r="E546" s="8" t="str">
        <f>VLOOKUP(B546,Sheet3!$B$2:$E$312,4,)</f>
        <v>#N/A</v>
      </c>
      <c r="F546" s="29"/>
      <c r="G546" s="29"/>
      <c r="H546" s="29"/>
      <c r="I546" s="28"/>
      <c r="J546" s="28"/>
    </row>
    <row r="547" ht="15.75" hidden="1" customHeight="1">
      <c r="B547" s="16"/>
      <c r="C547" s="16" t="str">
        <f>VLOOKUP(B547,Sheet3!$B$2:$E$312,2,FALSE)</f>
        <v>#N/A</v>
      </c>
      <c r="D547" s="16" t="str">
        <f>VLOOKUP(B547,Sheet3!$B$2:$E$312,3,)</f>
        <v>#N/A</v>
      </c>
      <c r="E547" s="8" t="str">
        <f>VLOOKUP(B547,Sheet3!$B$2:$E$312,4,)</f>
        <v>#N/A</v>
      </c>
      <c r="F547" s="29"/>
      <c r="G547" s="29"/>
      <c r="H547" s="29"/>
      <c r="I547" s="28"/>
      <c r="J547" s="28"/>
    </row>
    <row r="548" ht="15.75" hidden="1" customHeight="1">
      <c r="B548" s="16"/>
      <c r="C548" s="16" t="str">
        <f>VLOOKUP(B548,Sheet3!$B$2:$E$312,2,FALSE)</f>
        <v>#N/A</v>
      </c>
      <c r="D548" s="16" t="str">
        <f>VLOOKUP(B548,Sheet3!$B$2:$E$312,3,)</f>
        <v>#N/A</v>
      </c>
      <c r="E548" s="8" t="str">
        <f>VLOOKUP(B548,Sheet3!$B$2:$E$312,4,)</f>
        <v>#N/A</v>
      </c>
      <c r="F548" s="29"/>
      <c r="G548" s="29"/>
      <c r="H548" s="29"/>
      <c r="I548" s="28"/>
      <c r="J548" s="28"/>
    </row>
    <row r="549" ht="15.75" hidden="1" customHeight="1">
      <c r="B549" s="16"/>
      <c r="C549" s="16" t="str">
        <f>VLOOKUP(B549,Sheet3!$B$2:$E$312,2,FALSE)</f>
        <v>#N/A</v>
      </c>
      <c r="D549" s="16" t="str">
        <f>VLOOKUP(B549,Sheet3!$B$2:$E$312,3,)</f>
        <v>#N/A</v>
      </c>
      <c r="E549" s="8" t="str">
        <f>VLOOKUP(B549,Sheet3!$B$2:$E$312,4,)</f>
        <v>#N/A</v>
      </c>
      <c r="F549" s="29"/>
      <c r="G549" s="29"/>
      <c r="H549" s="29"/>
      <c r="I549" s="28"/>
      <c r="J549" s="28"/>
    </row>
    <row r="550" ht="15.75" hidden="1" customHeight="1">
      <c r="B550" s="16"/>
      <c r="C550" s="16" t="str">
        <f>VLOOKUP(B550,Sheet3!$B$2:$E$312,2,FALSE)</f>
        <v>#N/A</v>
      </c>
      <c r="D550" s="16" t="str">
        <f>VLOOKUP(B550,Sheet3!$B$2:$E$312,3,)</f>
        <v>#N/A</v>
      </c>
      <c r="E550" s="8" t="str">
        <f>VLOOKUP(B550,Sheet3!$B$2:$E$312,4,)</f>
        <v>#N/A</v>
      </c>
      <c r="F550" s="29"/>
      <c r="G550" s="29"/>
      <c r="H550" s="29"/>
      <c r="I550" s="28"/>
      <c r="J550" s="28"/>
    </row>
    <row r="551" ht="15.75" hidden="1" customHeight="1">
      <c r="B551" s="16"/>
      <c r="C551" s="16" t="str">
        <f>VLOOKUP(B551,Sheet3!$B$2:$E$312,2,FALSE)</f>
        <v>#N/A</v>
      </c>
      <c r="D551" s="16" t="str">
        <f>VLOOKUP(B551,Sheet3!$B$2:$E$312,3,)</f>
        <v>#N/A</v>
      </c>
      <c r="E551" s="8" t="str">
        <f>VLOOKUP(B551,Sheet3!$B$2:$E$312,4,)</f>
        <v>#N/A</v>
      </c>
      <c r="F551" s="29"/>
      <c r="G551" s="29"/>
      <c r="H551" s="29"/>
      <c r="I551" s="28"/>
      <c r="J551" s="28"/>
    </row>
    <row r="552" ht="15.75" hidden="1" customHeight="1">
      <c r="B552" s="16"/>
      <c r="C552" s="16" t="str">
        <f>VLOOKUP(B552,Sheet3!$B$2:$E$312,2,FALSE)</f>
        <v>#N/A</v>
      </c>
      <c r="D552" s="16" t="str">
        <f>VLOOKUP(B552,Sheet3!$B$2:$E$312,3,)</f>
        <v>#N/A</v>
      </c>
      <c r="E552" s="8" t="str">
        <f>VLOOKUP(B552,Sheet3!$B$2:$E$312,4,)</f>
        <v>#N/A</v>
      </c>
      <c r="F552" s="29"/>
      <c r="G552" s="29"/>
      <c r="H552" s="29"/>
      <c r="I552" s="28"/>
      <c r="J552" s="28"/>
    </row>
    <row r="553" ht="15.75" hidden="1" customHeight="1">
      <c r="B553" s="16"/>
      <c r="C553" s="16" t="str">
        <f>VLOOKUP(B553,Sheet3!$B$2:$E$312,2,FALSE)</f>
        <v>#N/A</v>
      </c>
      <c r="D553" s="16" t="str">
        <f>VLOOKUP(B553,Sheet3!$B$2:$E$312,3,)</f>
        <v>#N/A</v>
      </c>
      <c r="E553" s="8" t="str">
        <f>VLOOKUP(B553,Sheet3!$B$2:$E$312,4,)</f>
        <v>#N/A</v>
      </c>
      <c r="F553" s="29"/>
      <c r="G553" s="29"/>
      <c r="H553" s="29"/>
      <c r="I553" s="28"/>
      <c r="J553" s="28"/>
    </row>
    <row r="554" ht="15.75" hidden="1" customHeight="1">
      <c r="B554" s="16"/>
      <c r="C554" s="16" t="str">
        <f>VLOOKUP(B554,Sheet3!$B$2:$E$312,2,FALSE)</f>
        <v>#N/A</v>
      </c>
      <c r="D554" s="16" t="str">
        <f>VLOOKUP(B554,Sheet3!$B$2:$E$312,3,)</f>
        <v>#N/A</v>
      </c>
      <c r="E554" s="8" t="str">
        <f>VLOOKUP(B554,Sheet3!$B$2:$E$312,4,)</f>
        <v>#N/A</v>
      </c>
      <c r="F554" s="29"/>
      <c r="G554" s="29"/>
      <c r="H554" s="29"/>
      <c r="I554" s="28"/>
      <c r="J554" s="28"/>
    </row>
    <row r="555" ht="15.75" hidden="1" customHeight="1">
      <c r="B555" s="16"/>
      <c r="C555" s="16" t="str">
        <f>VLOOKUP(B555,Sheet3!$B$2:$E$312,2,FALSE)</f>
        <v>#N/A</v>
      </c>
      <c r="D555" s="16" t="str">
        <f>VLOOKUP(B555,Sheet3!$B$2:$E$312,3,)</f>
        <v>#N/A</v>
      </c>
      <c r="E555" s="8" t="str">
        <f>VLOOKUP(B555,Sheet3!$B$2:$E$312,4,)</f>
        <v>#N/A</v>
      </c>
      <c r="F555" s="29"/>
      <c r="G555" s="29"/>
      <c r="H555" s="29"/>
      <c r="I555" s="28"/>
      <c r="J555" s="28"/>
    </row>
    <row r="556" ht="15.75" hidden="1" customHeight="1">
      <c r="B556" s="16"/>
      <c r="C556" s="16" t="str">
        <f>VLOOKUP(B556,Sheet3!$B$2:$E$312,2,FALSE)</f>
        <v>#N/A</v>
      </c>
      <c r="D556" s="16" t="str">
        <f>VLOOKUP(B556,Sheet3!$B$2:$E$312,3,)</f>
        <v>#N/A</v>
      </c>
      <c r="E556" s="8" t="str">
        <f>VLOOKUP(B556,Sheet3!$B$2:$E$312,4,)</f>
        <v>#N/A</v>
      </c>
      <c r="F556" s="29"/>
      <c r="G556" s="29"/>
      <c r="H556" s="29"/>
      <c r="I556" s="28"/>
      <c r="J556" s="28"/>
    </row>
    <row r="557" ht="15.75" hidden="1" customHeight="1">
      <c r="B557" s="16"/>
      <c r="C557" s="16" t="str">
        <f>VLOOKUP(B557,Sheet3!$B$2:$E$312,2,FALSE)</f>
        <v>#N/A</v>
      </c>
      <c r="D557" s="16" t="str">
        <f>VLOOKUP(B557,Sheet3!$B$2:$E$312,3,)</f>
        <v>#N/A</v>
      </c>
      <c r="E557" s="8" t="str">
        <f>VLOOKUP(B557,Sheet3!$B$2:$E$312,4,)</f>
        <v>#N/A</v>
      </c>
      <c r="F557" s="29"/>
      <c r="G557" s="29"/>
      <c r="H557" s="29"/>
      <c r="I557" s="28"/>
      <c r="J557" s="28"/>
    </row>
    <row r="558" ht="15.75" hidden="1" customHeight="1">
      <c r="B558" s="16"/>
      <c r="C558" s="16" t="str">
        <f>VLOOKUP(B558,Sheet3!$B$2:$E$312,2,FALSE)</f>
        <v>#N/A</v>
      </c>
      <c r="D558" s="16" t="str">
        <f>VLOOKUP(B558,Sheet3!$B$2:$E$312,3,)</f>
        <v>#N/A</v>
      </c>
      <c r="E558" s="8" t="str">
        <f>VLOOKUP(B558,Sheet3!$B$2:$E$312,4,)</f>
        <v>#N/A</v>
      </c>
      <c r="F558" s="29"/>
      <c r="G558" s="29"/>
      <c r="H558" s="29"/>
      <c r="I558" s="28"/>
      <c r="J558" s="28"/>
    </row>
    <row r="559" ht="15.75" hidden="1" customHeight="1">
      <c r="B559" s="16"/>
      <c r="C559" s="16" t="str">
        <f>VLOOKUP(B559,Sheet3!$B$2:$E$312,2,FALSE)</f>
        <v>#N/A</v>
      </c>
      <c r="D559" s="16" t="str">
        <f>VLOOKUP(B559,Sheet3!$B$2:$E$312,3,)</f>
        <v>#N/A</v>
      </c>
      <c r="E559" s="8" t="str">
        <f>VLOOKUP(B559,Sheet3!$B$2:$E$312,4,)</f>
        <v>#N/A</v>
      </c>
      <c r="F559" s="29"/>
      <c r="G559" s="29"/>
      <c r="H559" s="29"/>
      <c r="I559" s="28"/>
      <c r="J559" s="28"/>
    </row>
    <row r="560" ht="15.75" hidden="1" customHeight="1">
      <c r="B560" s="16"/>
      <c r="C560" s="16" t="str">
        <f>VLOOKUP(B560,Sheet3!$B$2:$E$312,2,FALSE)</f>
        <v>#N/A</v>
      </c>
      <c r="D560" s="16" t="str">
        <f>VLOOKUP(B560,Sheet3!$B$2:$E$312,3,)</f>
        <v>#N/A</v>
      </c>
      <c r="E560" s="8" t="str">
        <f>VLOOKUP(B560,Sheet3!$B$2:$E$312,4,)</f>
        <v>#N/A</v>
      </c>
      <c r="F560" s="29"/>
      <c r="G560" s="29"/>
      <c r="H560" s="29"/>
      <c r="I560" s="28"/>
      <c r="J560" s="28"/>
    </row>
    <row r="561" ht="15.75" hidden="1" customHeight="1">
      <c r="B561" s="16"/>
      <c r="C561" s="16" t="str">
        <f>VLOOKUP(B561,Sheet3!$B$2:$E$312,2,FALSE)</f>
        <v>#N/A</v>
      </c>
      <c r="D561" s="16" t="str">
        <f>VLOOKUP(B561,Sheet3!$B$2:$E$312,3,)</f>
        <v>#N/A</v>
      </c>
      <c r="E561" s="8" t="str">
        <f>VLOOKUP(B561,Sheet3!$B$2:$E$312,4,)</f>
        <v>#N/A</v>
      </c>
      <c r="F561" s="29"/>
      <c r="G561" s="29"/>
      <c r="H561" s="29"/>
      <c r="I561" s="28"/>
      <c r="J561" s="28"/>
    </row>
    <row r="562" ht="15.75" hidden="1" customHeight="1">
      <c r="B562" s="16"/>
      <c r="C562" s="16" t="str">
        <f>VLOOKUP(B562,Sheet3!$B$2:$E$312,2,FALSE)</f>
        <v>#N/A</v>
      </c>
      <c r="D562" s="16" t="str">
        <f>VLOOKUP(B562,Sheet3!$B$2:$E$312,3,)</f>
        <v>#N/A</v>
      </c>
      <c r="E562" s="8" t="str">
        <f>VLOOKUP(B562,Sheet3!$B$2:$E$312,4,)</f>
        <v>#N/A</v>
      </c>
      <c r="F562" s="29"/>
      <c r="G562" s="29"/>
      <c r="H562" s="29"/>
      <c r="I562" s="28"/>
      <c r="J562" s="28"/>
    </row>
    <row r="563" ht="15.75" hidden="1" customHeight="1">
      <c r="B563" s="16"/>
      <c r="C563" s="16" t="str">
        <f>VLOOKUP(B563,Sheet3!$B$2:$E$312,2,FALSE)</f>
        <v>#N/A</v>
      </c>
      <c r="D563" s="16" t="str">
        <f>VLOOKUP(B563,Sheet3!$B$2:$E$312,3,)</f>
        <v>#N/A</v>
      </c>
      <c r="E563" s="8" t="str">
        <f>VLOOKUP(B563,Sheet3!$B$2:$E$312,4,)</f>
        <v>#N/A</v>
      </c>
      <c r="F563" s="29"/>
      <c r="G563" s="29"/>
      <c r="H563" s="29"/>
      <c r="I563" s="28"/>
      <c r="J563" s="28"/>
    </row>
    <row r="564" ht="15.75" hidden="1" customHeight="1">
      <c r="B564" s="16"/>
      <c r="C564" s="16" t="str">
        <f>VLOOKUP(B564,Sheet3!$B$2:$E$312,2,FALSE)</f>
        <v>#N/A</v>
      </c>
      <c r="D564" s="16" t="str">
        <f>VLOOKUP(B564,Sheet3!$B$2:$E$312,3,)</f>
        <v>#N/A</v>
      </c>
      <c r="E564" s="8" t="str">
        <f>VLOOKUP(B564,Sheet3!$B$2:$E$312,4,)</f>
        <v>#N/A</v>
      </c>
      <c r="F564" s="29"/>
      <c r="G564" s="29"/>
      <c r="H564" s="29"/>
      <c r="I564" s="28"/>
      <c r="J564" s="28"/>
    </row>
    <row r="565" ht="15.75" hidden="1" customHeight="1">
      <c r="B565" s="16"/>
      <c r="C565" s="16" t="str">
        <f>VLOOKUP(B565,Sheet3!$B$2:$E$312,2,FALSE)</f>
        <v>#N/A</v>
      </c>
      <c r="D565" s="16" t="str">
        <f>VLOOKUP(B565,Sheet3!$B$2:$E$312,3,)</f>
        <v>#N/A</v>
      </c>
      <c r="E565" s="8" t="str">
        <f>VLOOKUP(B565,Sheet3!$B$2:$E$312,4,)</f>
        <v>#N/A</v>
      </c>
      <c r="F565" s="29"/>
      <c r="G565" s="29"/>
      <c r="H565" s="29"/>
      <c r="I565" s="28"/>
      <c r="J565" s="28"/>
    </row>
    <row r="566" ht="15.75" hidden="1" customHeight="1">
      <c r="B566" s="16"/>
      <c r="C566" s="16" t="str">
        <f>VLOOKUP(B566,Sheet3!$B$2:$E$312,2,FALSE)</f>
        <v>#N/A</v>
      </c>
      <c r="D566" s="16" t="str">
        <f>VLOOKUP(B566,Sheet3!$B$2:$E$312,3,)</f>
        <v>#N/A</v>
      </c>
      <c r="E566" s="8" t="str">
        <f>VLOOKUP(B566,Sheet3!$B$2:$E$312,4,)</f>
        <v>#N/A</v>
      </c>
      <c r="F566" s="29"/>
      <c r="G566" s="29"/>
      <c r="H566" s="29"/>
      <c r="I566" s="28"/>
      <c r="J566" s="28"/>
    </row>
    <row r="567" ht="15.75" hidden="1" customHeight="1">
      <c r="B567" s="16"/>
      <c r="C567" s="16" t="str">
        <f>VLOOKUP(B567,Sheet3!$B$2:$E$312,2,FALSE)</f>
        <v>#N/A</v>
      </c>
      <c r="D567" s="16" t="str">
        <f>VLOOKUP(B567,Sheet3!$B$2:$E$312,3,)</f>
        <v>#N/A</v>
      </c>
      <c r="E567" s="8" t="str">
        <f>VLOOKUP(B567,Sheet3!$B$2:$E$312,4,)</f>
        <v>#N/A</v>
      </c>
      <c r="F567" s="29"/>
      <c r="G567" s="29"/>
      <c r="H567" s="29"/>
      <c r="I567" s="28"/>
      <c r="J567" s="28"/>
    </row>
    <row r="568" ht="15.75" hidden="1" customHeight="1">
      <c r="B568" s="16"/>
      <c r="C568" s="16" t="str">
        <f>VLOOKUP(B568,Sheet3!$B$2:$E$312,2,FALSE)</f>
        <v>#N/A</v>
      </c>
      <c r="D568" s="16" t="str">
        <f>VLOOKUP(B568,Sheet3!$B$2:$E$312,3,)</f>
        <v>#N/A</v>
      </c>
      <c r="E568" s="8" t="str">
        <f>VLOOKUP(B568,Sheet3!$B$2:$E$312,4,)</f>
        <v>#N/A</v>
      </c>
      <c r="F568" s="29"/>
      <c r="G568" s="29"/>
      <c r="H568" s="29"/>
      <c r="I568" s="28"/>
      <c r="J568" s="28"/>
    </row>
    <row r="569" ht="15.75" hidden="1" customHeight="1">
      <c r="B569" s="16"/>
      <c r="C569" s="16" t="str">
        <f>VLOOKUP(B569,Sheet3!$B$2:$E$312,2,FALSE)</f>
        <v>#N/A</v>
      </c>
      <c r="D569" s="16" t="str">
        <f>VLOOKUP(B569,Sheet3!$B$2:$E$312,3,)</f>
        <v>#N/A</v>
      </c>
      <c r="E569" s="8" t="str">
        <f>VLOOKUP(B569,Sheet3!$B$2:$E$312,4,)</f>
        <v>#N/A</v>
      </c>
      <c r="F569" s="29"/>
      <c r="G569" s="29"/>
      <c r="H569" s="29"/>
      <c r="I569" s="28"/>
      <c r="J569" s="28"/>
    </row>
    <row r="570" ht="15.75" hidden="1" customHeight="1">
      <c r="B570" s="16"/>
      <c r="C570" s="16" t="str">
        <f>VLOOKUP(B570,Sheet3!$B$2:$E$312,2,FALSE)</f>
        <v>#N/A</v>
      </c>
      <c r="D570" s="16" t="str">
        <f>VLOOKUP(B570,Sheet3!$B$2:$E$312,3,)</f>
        <v>#N/A</v>
      </c>
      <c r="E570" s="29" t="str">
        <f>VLOOKUP(B570,Sheet3!$B$2:$E$312,4,)</f>
        <v>#N/A</v>
      </c>
      <c r="F570" s="29"/>
      <c r="G570" s="29"/>
      <c r="H570" s="29"/>
      <c r="I570" s="28"/>
      <c r="J570" s="28"/>
    </row>
    <row r="571" ht="15.75" hidden="1" customHeight="1">
      <c r="B571" s="16"/>
      <c r="C571" s="16" t="str">
        <f>VLOOKUP(B571,Sheet3!$B$2:$E$312,2,FALSE)</f>
        <v>#N/A</v>
      </c>
      <c r="D571" s="16" t="str">
        <f>VLOOKUP(B571,Sheet3!$B$2:$E$312,3,)</f>
        <v>#N/A</v>
      </c>
      <c r="E571" s="29" t="str">
        <f>VLOOKUP(B571,Sheet3!$B$2:$E$312,4,)</f>
        <v>#N/A</v>
      </c>
      <c r="F571" s="29"/>
      <c r="G571" s="29"/>
      <c r="H571" s="29"/>
      <c r="I571" s="28"/>
      <c r="J571" s="28"/>
    </row>
    <row r="572" ht="15.75" hidden="1" customHeight="1">
      <c r="B572" s="16"/>
      <c r="C572" s="16" t="str">
        <f>VLOOKUP(B572,Sheet3!$B$2:$E$312,2,FALSE)</f>
        <v>#N/A</v>
      </c>
      <c r="D572" s="16" t="str">
        <f>VLOOKUP(B572,Sheet3!$B$2:$E$312,3,)</f>
        <v>#N/A</v>
      </c>
      <c r="E572" s="29" t="str">
        <f>VLOOKUP(B572,Sheet3!$B$2:$E$312,4,)</f>
        <v>#N/A</v>
      </c>
      <c r="F572" s="29"/>
      <c r="G572" s="29"/>
      <c r="H572" s="29"/>
      <c r="I572" s="28"/>
      <c r="J572" s="28"/>
    </row>
    <row r="573" ht="15.75" hidden="1" customHeight="1">
      <c r="B573" s="16"/>
      <c r="C573" s="16" t="str">
        <f>VLOOKUP(B573,Sheet3!$B$2:$E$312,2,FALSE)</f>
        <v>#N/A</v>
      </c>
      <c r="D573" s="16" t="str">
        <f>VLOOKUP(B573,Sheet3!$B$2:$E$312,3,)</f>
        <v>#N/A</v>
      </c>
      <c r="E573" s="29" t="str">
        <f>VLOOKUP(B573,Sheet3!$B$2:$E$312,4,)</f>
        <v>#N/A</v>
      </c>
      <c r="F573" s="29"/>
      <c r="G573" s="29"/>
      <c r="H573" s="29"/>
      <c r="I573" s="28"/>
      <c r="J573" s="28"/>
    </row>
    <row r="574" ht="15.75" hidden="1" customHeight="1">
      <c r="B574" s="16"/>
      <c r="C574" s="16" t="str">
        <f>VLOOKUP(B574,Sheet3!$B$2:$E$312,2,FALSE)</f>
        <v>#N/A</v>
      </c>
      <c r="D574" s="16" t="str">
        <f>VLOOKUP(B574,Sheet3!$B$2:$E$312,3,)</f>
        <v>#N/A</v>
      </c>
      <c r="E574" s="29" t="str">
        <f>VLOOKUP(B574,Sheet3!$B$2:$E$312,4,)</f>
        <v>#N/A</v>
      </c>
      <c r="F574" s="29"/>
      <c r="G574" s="29"/>
      <c r="H574" s="29"/>
      <c r="I574" s="28"/>
      <c r="J574" s="28"/>
    </row>
    <row r="575" ht="15.75" hidden="1" customHeight="1">
      <c r="B575" s="16"/>
      <c r="C575" s="16" t="str">
        <f>VLOOKUP(B575,Sheet3!$B$2:$E$312,2,FALSE)</f>
        <v>#N/A</v>
      </c>
      <c r="D575" s="16" t="str">
        <f>VLOOKUP(B575,Sheet3!$B$2:$E$312,3,)</f>
        <v>#N/A</v>
      </c>
      <c r="E575" s="29" t="str">
        <f>VLOOKUP(B575,Sheet3!$B$2:$E$312,4,)</f>
        <v>#N/A</v>
      </c>
      <c r="F575" s="29"/>
      <c r="G575" s="29"/>
      <c r="H575" s="29"/>
      <c r="I575" s="28"/>
      <c r="J575" s="28"/>
    </row>
    <row r="576" ht="15.75" hidden="1" customHeight="1">
      <c r="B576" s="16"/>
      <c r="C576" s="16" t="str">
        <f>VLOOKUP(B576,Sheet3!$B$2:$E$312,2,FALSE)</f>
        <v>#N/A</v>
      </c>
      <c r="D576" s="16" t="str">
        <f>VLOOKUP(B576,Sheet3!$B$2:$E$312,3,)</f>
        <v>#N/A</v>
      </c>
      <c r="E576" s="29" t="str">
        <f>VLOOKUP(B576,Sheet3!$B$2:$E$312,4,)</f>
        <v>#N/A</v>
      </c>
      <c r="F576" s="29"/>
      <c r="G576" s="29"/>
      <c r="H576" s="29"/>
      <c r="I576" s="28"/>
      <c r="J576" s="28"/>
    </row>
    <row r="577" ht="15.75" hidden="1" customHeight="1">
      <c r="B577" s="16"/>
      <c r="C577" s="16" t="str">
        <f>VLOOKUP(B577,Sheet3!$B$2:$E$312,2,FALSE)</f>
        <v>#N/A</v>
      </c>
      <c r="D577" s="16" t="str">
        <f>VLOOKUP(B577,Sheet3!$B$2:$E$312,3,)</f>
        <v>#N/A</v>
      </c>
      <c r="E577" s="29" t="str">
        <f>VLOOKUP(B577,Sheet3!$B$2:$E$312,4,)</f>
        <v>#N/A</v>
      </c>
      <c r="F577" s="29"/>
      <c r="G577" s="29"/>
      <c r="H577" s="29"/>
      <c r="I577" s="28"/>
      <c r="J577" s="28"/>
    </row>
    <row r="578" ht="15.75" hidden="1" customHeight="1">
      <c r="B578" s="16"/>
      <c r="C578" s="16" t="str">
        <f>VLOOKUP(B578,Sheet3!$B$2:$E$312,2,FALSE)</f>
        <v>#N/A</v>
      </c>
      <c r="D578" s="16" t="str">
        <f>VLOOKUP(B578,Sheet3!$B$2:$E$312,3,)</f>
        <v>#N/A</v>
      </c>
      <c r="E578" s="29" t="str">
        <f>VLOOKUP(B578,Sheet3!$B$2:$E$312,4,)</f>
        <v>#N/A</v>
      </c>
      <c r="F578" s="29"/>
      <c r="G578" s="29"/>
      <c r="H578" s="29"/>
      <c r="I578" s="28"/>
      <c r="J578" s="28"/>
    </row>
    <row r="579" ht="15.75" hidden="1" customHeight="1">
      <c r="B579" s="16"/>
      <c r="C579" s="16" t="str">
        <f>VLOOKUP(B579,Sheet3!$B$2:$E$312,2,FALSE)</f>
        <v>#N/A</v>
      </c>
      <c r="D579" s="16" t="str">
        <f>VLOOKUP(B579,Sheet3!$B$2:$E$312,3,)</f>
        <v>#N/A</v>
      </c>
      <c r="E579" s="29" t="str">
        <f>VLOOKUP(B579,Sheet3!$B$2:$E$312,4,)</f>
        <v>#N/A</v>
      </c>
      <c r="F579" s="29"/>
      <c r="G579" s="29"/>
      <c r="H579" s="29"/>
      <c r="I579" s="28"/>
      <c r="J579" s="28"/>
    </row>
    <row r="580" ht="15.75" hidden="1" customHeight="1">
      <c r="B580" s="16"/>
      <c r="C580" s="16" t="str">
        <f>VLOOKUP(B580,Sheet3!$B$2:$E$312,2,FALSE)</f>
        <v>#N/A</v>
      </c>
      <c r="D580" s="16" t="str">
        <f>VLOOKUP(B580,Sheet3!$B$2:$E$312,3,)</f>
        <v>#N/A</v>
      </c>
      <c r="E580" s="29" t="str">
        <f>VLOOKUP(B580,Sheet3!$B$2:$E$312,4,)</f>
        <v>#N/A</v>
      </c>
      <c r="F580" s="29"/>
      <c r="G580" s="29"/>
      <c r="H580" s="29"/>
      <c r="I580" s="28"/>
      <c r="J580" s="28"/>
    </row>
    <row r="581" ht="15.75" hidden="1" customHeight="1">
      <c r="B581" s="16"/>
      <c r="C581" s="16" t="str">
        <f>VLOOKUP(B581,Sheet3!$B$2:$E$312,2,FALSE)</f>
        <v>#N/A</v>
      </c>
      <c r="D581" s="16" t="str">
        <f>VLOOKUP(B581,Sheet3!$B$2:$E$312,3,)</f>
        <v>#N/A</v>
      </c>
      <c r="E581" s="29" t="str">
        <f>VLOOKUP(B581,Sheet3!$B$2:$E$312,4,)</f>
        <v>#N/A</v>
      </c>
      <c r="F581" s="29"/>
      <c r="G581" s="29"/>
      <c r="H581" s="29"/>
      <c r="I581" s="28"/>
      <c r="J581" s="28"/>
    </row>
    <row r="582" ht="15.75" hidden="1" customHeight="1">
      <c r="B582" s="16"/>
      <c r="C582" s="16" t="str">
        <f>VLOOKUP(B582,Sheet3!$B$2:$E$312,2,FALSE)</f>
        <v>#N/A</v>
      </c>
      <c r="D582" s="16" t="str">
        <f>VLOOKUP(B582,Sheet3!$B$2:$E$312,3,)</f>
        <v>#N/A</v>
      </c>
      <c r="E582" s="29" t="str">
        <f>VLOOKUP(B582,Sheet3!$B$2:$E$312,4,)</f>
        <v>#N/A</v>
      </c>
      <c r="F582" s="29"/>
      <c r="G582" s="29"/>
      <c r="H582" s="29"/>
      <c r="I582" s="28"/>
      <c r="J582" s="28"/>
    </row>
    <row r="583" ht="15.75" hidden="1" customHeight="1">
      <c r="B583" s="16"/>
      <c r="C583" s="16" t="str">
        <f>VLOOKUP(B583,Sheet3!$B$2:$E$312,2,FALSE)</f>
        <v>#N/A</v>
      </c>
      <c r="D583" s="16" t="str">
        <f>VLOOKUP(B583,Sheet3!$B$2:$E$312,3,)</f>
        <v>#N/A</v>
      </c>
      <c r="E583" s="29" t="str">
        <f>VLOOKUP(B583,Sheet3!$B$2:$E$312,4,)</f>
        <v>#N/A</v>
      </c>
      <c r="F583" s="29"/>
      <c r="G583" s="29"/>
      <c r="H583" s="29"/>
      <c r="I583" s="28"/>
      <c r="J583" s="28"/>
    </row>
    <row r="584" ht="15.75" hidden="1" customHeight="1">
      <c r="B584" s="16"/>
      <c r="C584" s="16" t="str">
        <f>VLOOKUP(B584,Sheet3!$B$2:$E$312,2,FALSE)</f>
        <v>#N/A</v>
      </c>
      <c r="D584" s="16" t="str">
        <f>VLOOKUP(B584,Sheet3!$B$2:$E$312,3,)</f>
        <v>#N/A</v>
      </c>
      <c r="E584" s="29" t="str">
        <f>VLOOKUP(B584,Sheet3!$B$2:$E$312,4,)</f>
        <v>#N/A</v>
      </c>
      <c r="F584" s="29"/>
      <c r="G584" s="29"/>
      <c r="H584" s="29"/>
      <c r="I584" s="28"/>
      <c r="J584" s="28"/>
    </row>
    <row r="585" ht="15.75" hidden="1" customHeight="1">
      <c r="B585" s="16"/>
      <c r="C585" s="16" t="str">
        <f>VLOOKUP(B585,Sheet3!$B$2:$E$312,2,FALSE)</f>
        <v>#N/A</v>
      </c>
      <c r="D585" s="16" t="str">
        <f>VLOOKUP(B585,Sheet3!$B$2:$E$312,3,)</f>
        <v>#N/A</v>
      </c>
      <c r="E585" s="29" t="str">
        <f>VLOOKUP(B585,Sheet3!$B$2:$E$312,4,)</f>
        <v>#N/A</v>
      </c>
      <c r="F585" s="29"/>
      <c r="G585" s="29"/>
      <c r="H585" s="29"/>
      <c r="I585" s="28"/>
      <c r="J585" s="28"/>
    </row>
    <row r="586" ht="15.75" hidden="1" customHeight="1">
      <c r="B586" s="16"/>
      <c r="C586" s="16" t="str">
        <f>VLOOKUP(B586,Sheet3!$B$2:$E$312,2,FALSE)</f>
        <v>#N/A</v>
      </c>
      <c r="D586" s="16" t="str">
        <f>VLOOKUP(B586,Sheet3!$B$2:$E$312,3,)</f>
        <v>#N/A</v>
      </c>
      <c r="E586" s="29" t="str">
        <f>VLOOKUP(B586,Sheet3!$B$2:$E$312,4,)</f>
        <v>#N/A</v>
      </c>
      <c r="F586" s="29"/>
      <c r="G586" s="29"/>
      <c r="H586" s="29"/>
      <c r="I586" s="28"/>
      <c r="J586" s="28"/>
    </row>
    <row r="587" ht="15.75" hidden="1" customHeight="1">
      <c r="B587" s="16"/>
      <c r="C587" s="16" t="str">
        <f>VLOOKUP(B587,Sheet3!$B$2:$E$312,2,FALSE)</f>
        <v>#N/A</v>
      </c>
      <c r="D587" s="16" t="str">
        <f>VLOOKUP(B587,Sheet3!$B$2:$E$312,3,)</f>
        <v>#N/A</v>
      </c>
      <c r="E587" s="29" t="str">
        <f>VLOOKUP(B587,Sheet3!$B$2:$E$312,4,)</f>
        <v>#N/A</v>
      </c>
      <c r="F587" s="29"/>
      <c r="G587" s="29"/>
      <c r="H587" s="29"/>
      <c r="I587" s="28"/>
      <c r="J587" s="28"/>
    </row>
    <row r="588" ht="15.75" hidden="1" customHeight="1">
      <c r="B588" s="16"/>
      <c r="C588" s="16" t="str">
        <f>VLOOKUP(B588,Sheet3!$B$2:$E$312,2,FALSE)</f>
        <v>#N/A</v>
      </c>
      <c r="D588" s="16" t="str">
        <f>VLOOKUP(B588,Sheet3!$B$2:$E$312,3,)</f>
        <v>#N/A</v>
      </c>
      <c r="E588" s="29" t="str">
        <f>VLOOKUP(B588,Sheet3!$B$2:$E$312,4,)</f>
        <v>#N/A</v>
      </c>
      <c r="F588" s="29"/>
      <c r="G588" s="29"/>
      <c r="H588" s="29"/>
      <c r="I588" s="28"/>
      <c r="J588" s="28"/>
    </row>
    <row r="589" ht="15.75" hidden="1" customHeight="1">
      <c r="B589" s="16"/>
      <c r="C589" s="16" t="str">
        <f>VLOOKUP(B589,Sheet3!$B$2:$E$312,2,FALSE)</f>
        <v>#N/A</v>
      </c>
      <c r="D589" s="16" t="str">
        <f>VLOOKUP(B589,Sheet3!$B$2:$E$312,3,)</f>
        <v>#N/A</v>
      </c>
      <c r="E589" s="29" t="str">
        <f>VLOOKUP(B589,Sheet3!$B$2:$E$312,4,)</f>
        <v>#N/A</v>
      </c>
      <c r="F589" s="29"/>
      <c r="G589" s="29"/>
      <c r="H589" s="29"/>
      <c r="I589" s="28"/>
      <c r="J589" s="28"/>
    </row>
    <row r="590" ht="15.75" hidden="1" customHeight="1">
      <c r="B590" s="16"/>
      <c r="C590" s="16" t="str">
        <f>VLOOKUP(B590,Sheet3!$B$2:$E$312,2,FALSE)</f>
        <v>#N/A</v>
      </c>
      <c r="D590" s="16" t="str">
        <f>VLOOKUP(B590,Sheet3!$B$2:$E$312,3,)</f>
        <v>#N/A</v>
      </c>
      <c r="E590" s="29" t="str">
        <f>VLOOKUP(B590,Sheet3!$B$2:$E$312,4,)</f>
        <v>#N/A</v>
      </c>
      <c r="F590" s="29"/>
      <c r="G590" s="29"/>
      <c r="H590" s="29"/>
      <c r="I590" s="28"/>
      <c r="J590" s="28"/>
    </row>
    <row r="591" ht="15.75" hidden="1" customHeight="1">
      <c r="B591" s="16"/>
      <c r="C591" s="16" t="str">
        <f>VLOOKUP(B591,Sheet3!$B$2:$E$312,2,FALSE)</f>
        <v>#N/A</v>
      </c>
      <c r="D591" s="16" t="str">
        <f>VLOOKUP(B591,Sheet3!$B$2:$E$312,3,)</f>
        <v>#N/A</v>
      </c>
      <c r="E591" s="29" t="str">
        <f>VLOOKUP(B591,Sheet3!$B$2:$E$312,4,)</f>
        <v>#N/A</v>
      </c>
      <c r="F591" s="29"/>
      <c r="G591" s="29"/>
      <c r="H591" s="29"/>
      <c r="I591" s="28"/>
      <c r="J591" s="28"/>
    </row>
    <row r="592" ht="15.75" hidden="1" customHeight="1">
      <c r="B592" s="16"/>
      <c r="C592" s="16" t="str">
        <f>VLOOKUP(B592,Sheet3!$B$2:$E$312,2,FALSE)</f>
        <v>#N/A</v>
      </c>
      <c r="D592" s="16" t="str">
        <f>VLOOKUP(B592,Sheet3!$B$2:$E$312,3,)</f>
        <v>#N/A</v>
      </c>
      <c r="E592" s="29" t="str">
        <f>VLOOKUP(B592,Sheet3!$B$2:$E$312,4,)</f>
        <v>#N/A</v>
      </c>
      <c r="F592" s="29"/>
      <c r="G592" s="29"/>
      <c r="H592" s="29"/>
      <c r="I592" s="28"/>
      <c r="J592" s="28"/>
    </row>
    <row r="593" ht="15.75" hidden="1" customHeight="1">
      <c r="B593" s="16"/>
      <c r="C593" s="16" t="str">
        <f>VLOOKUP(B593,Sheet3!$B$2:$E$312,2,FALSE)</f>
        <v>#N/A</v>
      </c>
      <c r="D593" s="16" t="str">
        <f>VLOOKUP(B593,Sheet3!$B$2:$E$312,3,)</f>
        <v>#N/A</v>
      </c>
      <c r="E593" s="29" t="str">
        <f>VLOOKUP(B593,Sheet3!$B$2:$E$312,4,)</f>
        <v>#N/A</v>
      </c>
      <c r="F593" s="29"/>
      <c r="G593" s="29"/>
      <c r="H593" s="29"/>
      <c r="I593" s="28"/>
      <c r="J593" s="28"/>
    </row>
    <row r="594" ht="15.75" hidden="1" customHeight="1">
      <c r="B594" s="16"/>
      <c r="C594" s="16" t="str">
        <f>VLOOKUP(B594,Sheet3!$B$2:$E$312,2,FALSE)</f>
        <v>#N/A</v>
      </c>
      <c r="D594" s="16" t="str">
        <f>VLOOKUP(B594,Sheet3!$B$2:$E$312,3,)</f>
        <v>#N/A</v>
      </c>
      <c r="E594" s="29" t="str">
        <f>VLOOKUP(B594,Sheet3!$B$2:$E$312,4,)</f>
        <v>#N/A</v>
      </c>
      <c r="F594" s="29"/>
      <c r="G594" s="29"/>
      <c r="H594" s="29"/>
      <c r="I594" s="28"/>
      <c r="J594" s="28"/>
    </row>
    <row r="595" ht="15.75" hidden="1" customHeight="1">
      <c r="B595" s="16"/>
      <c r="C595" s="16" t="str">
        <f>VLOOKUP(B595,Sheet3!$B$2:$E$312,2,FALSE)</f>
        <v>#N/A</v>
      </c>
      <c r="D595" s="16" t="str">
        <f>VLOOKUP(B595,Sheet3!$B$2:$E$312,3,)</f>
        <v>#N/A</v>
      </c>
      <c r="E595" s="29" t="str">
        <f>VLOOKUP(B595,Sheet3!$B$2:$E$312,4,)</f>
        <v>#N/A</v>
      </c>
      <c r="F595" s="29"/>
      <c r="G595" s="29"/>
      <c r="H595" s="29"/>
      <c r="I595" s="28"/>
      <c r="J595" s="28"/>
    </row>
    <row r="596" ht="15.75" hidden="1" customHeight="1">
      <c r="B596" s="16"/>
      <c r="C596" s="16" t="str">
        <f>VLOOKUP(B596,Sheet3!$B$2:$E$312,2,FALSE)</f>
        <v>#N/A</v>
      </c>
      <c r="D596" s="16" t="str">
        <f>VLOOKUP(B596,Sheet3!$B$2:$E$312,3,)</f>
        <v>#N/A</v>
      </c>
      <c r="E596" s="29" t="str">
        <f>VLOOKUP(B596,Sheet3!$B$2:$E$312,4,)</f>
        <v>#N/A</v>
      </c>
      <c r="F596" s="29"/>
      <c r="G596" s="29"/>
      <c r="H596" s="29"/>
      <c r="I596" s="28"/>
      <c r="J596" s="28"/>
    </row>
    <row r="597" ht="15.75" hidden="1" customHeight="1">
      <c r="B597" s="16"/>
      <c r="C597" s="16" t="str">
        <f>VLOOKUP(B597,Sheet3!$B$2:$E$312,2,FALSE)</f>
        <v>#N/A</v>
      </c>
      <c r="D597" s="16" t="str">
        <f>VLOOKUP(B597,Sheet3!$B$2:$E$312,3,)</f>
        <v>#N/A</v>
      </c>
      <c r="E597" s="29" t="str">
        <f>VLOOKUP(B597,Sheet3!$B$2:$E$312,4,)</f>
        <v>#N/A</v>
      </c>
      <c r="F597" s="29"/>
      <c r="G597" s="29"/>
      <c r="H597" s="29"/>
      <c r="I597" s="28"/>
      <c r="J597" s="28"/>
    </row>
    <row r="598" ht="15.75" hidden="1" customHeight="1">
      <c r="B598" s="16"/>
      <c r="C598" s="16" t="str">
        <f>VLOOKUP(B598,Sheet3!$B$2:$E$312,2,FALSE)</f>
        <v>#N/A</v>
      </c>
      <c r="D598" s="16" t="str">
        <f>VLOOKUP(B598,Sheet3!$B$2:$E$312,3,)</f>
        <v>#N/A</v>
      </c>
      <c r="E598" s="29" t="str">
        <f>VLOOKUP(B598,Sheet3!$B$2:$E$312,4,)</f>
        <v>#N/A</v>
      </c>
      <c r="F598" s="29"/>
      <c r="G598" s="29"/>
      <c r="H598" s="29"/>
      <c r="I598" s="28"/>
      <c r="J598" s="28"/>
    </row>
    <row r="599" ht="15.75" hidden="1" customHeight="1">
      <c r="B599" s="16"/>
      <c r="C599" s="16" t="str">
        <f>VLOOKUP(B599,Sheet3!$B$2:$E$312,2,FALSE)</f>
        <v>#N/A</v>
      </c>
      <c r="D599" s="16" t="str">
        <f>VLOOKUP(B599,Sheet3!$B$2:$E$312,3,)</f>
        <v>#N/A</v>
      </c>
      <c r="E599" s="29" t="str">
        <f>VLOOKUP(B599,Sheet3!$B$2:$E$312,4,)</f>
        <v>#N/A</v>
      </c>
      <c r="F599" s="29"/>
      <c r="G599" s="29"/>
      <c r="H599" s="29"/>
      <c r="I599" s="28"/>
      <c r="J599" s="28"/>
    </row>
    <row r="600" ht="15.75" hidden="1" customHeight="1">
      <c r="B600" s="16"/>
      <c r="C600" s="16" t="str">
        <f>VLOOKUP(B600,Sheet3!$B$2:$E$312,2,FALSE)</f>
        <v>#N/A</v>
      </c>
      <c r="D600" s="16" t="str">
        <f>VLOOKUP(B600,Sheet3!$B$2:$E$312,3,)</f>
        <v>#N/A</v>
      </c>
      <c r="E600" s="29" t="str">
        <f>VLOOKUP(B600,Sheet3!$B$2:$E$312,4,)</f>
        <v>#N/A</v>
      </c>
      <c r="F600" s="29"/>
      <c r="G600" s="29"/>
      <c r="H600" s="29"/>
      <c r="I600" s="28"/>
      <c r="J600" s="28"/>
    </row>
    <row r="601" ht="15.75" hidden="1" customHeight="1">
      <c r="B601" s="16"/>
      <c r="C601" s="16" t="str">
        <f>VLOOKUP(B601,Sheet3!$B$2:$E$312,2,FALSE)</f>
        <v>#N/A</v>
      </c>
      <c r="D601" s="16" t="str">
        <f>VLOOKUP(B601,Sheet3!$B$2:$E$312,3,)</f>
        <v>#N/A</v>
      </c>
      <c r="E601" s="29" t="str">
        <f>VLOOKUP(B601,Sheet3!$B$2:$E$312,4,)</f>
        <v>#N/A</v>
      </c>
      <c r="F601" s="29"/>
      <c r="G601" s="29"/>
      <c r="H601" s="29"/>
      <c r="I601" s="28"/>
      <c r="J601" s="28"/>
    </row>
    <row r="602" ht="15.75" hidden="1" customHeight="1">
      <c r="B602" s="16"/>
      <c r="C602" s="16" t="str">
        <f>VLOOKUP(B602,Sheet3!$B$2:$E$312,2,FALSE)</f>
        <v>#N/A</v>
      </c>
      <c r="D602" s="16" t="str">
        <f>VLOOKUP(B602,Sheet3!$B$2:$E$312,3,)</f>
        <v>#N/A</v>
      </c>
      <c r="E602" s="29" t="str">
        <f>VLOOKUP(B602,Sheet3!$B$2:$E$312,4,)</f>
        <v>#N/A</v>
      </c>
      <c r="F602" s="29"/>
      <c r="G602" s="29"/>
      <c r="H602" s="29"/>
      <c r="I602" s="28"/>
      <c r="J602" s="28"/>
    </row>
    <row r="603" ht="15.75" hidden="1" customHeight="1">
      <c r="B603" s="16"/>
      <c r="C603" s="16" t="str">
        <f>VLOOKUP(B603,Sheet3!$B$2:$E$312,2,FALSE)</f>
        <v>#N/A</v>
      </c>
      <c r="D603" s="16" t="str">
        <f>VLOOKUP(B603,Sheet3!$B$2:$E$312,3,)</f>
        <v>#N/A</v>
      </c>
      <c r="E603" s="29" t="str">
        <f>VLOOKUP(B603,Sheet3!$B$2:$E$312,4,)</f>
        <v>#N/A</v>
      </c>
      <c r="F603" s="29"/>
      <c r="G603" s="29"/>
      <c r="H603" s="29"/>
      <c r="I603" s="28"/>
      <c r="J603" s="28"/>
    </row>
    <row r="604" ht="15.75" hidden="1" customHeight="1">
      <c r="B604" s="16"/>
      <c r="C604" s="16" t="str">
        <f>VLOOKUP(B604,Sheet3!$B$2:$E$312,2,FALSE)</f>
        <v>#N/A</v>
      </c>
      <c r="D604" s="16" t="str">
        <f>VLOOKUP(B604,Sheet3!$B$2:$E$312,3,)</f>
        <v>#N/A</v>
      </c>
      <c r="E604" s="29" t="str">
        <f>VLOOKUP(B604,Sheet3!$B$2:$E$312,4,)</f>
        <v>#N/A</v>
      </c>
      <c r="F604" s="29"/>
      <c r="G604" s="29"/>
      <c r="H604" s="29"/>
      <c r="I604" s="28"/>
      <c r="J604" s="28"/>
    </row>
    <row r="605" ht="15.75" hidden="1" customHeight="1">
      <c r="B605" s="16"/>
      <c r="C605" s="16" t="str">
        <f>VLOOKUP(B605,Sheet3!$B$2:$E$312,2,FALSE)</f>
        <v>#N/A</v>
      </c>
      <c r="D605" s="16" t="str">
        <f>VLOOKUP(B605,Sheet3!$B$2:$E$312,3,)</f>
        <v>#N/A</v>
      </c>
      <c r="E605" s="29" t="str">
        <f>VLOOKUP(B605,Sheet3!$B$2:$E$312,4,)</f>
        <v>#N/A</v>
      </c>
      <c r="F605" s="29"/>
      <c r="G605" s="29"/>
      <c r="H605" s="29"/>
      <c r="I605" s="28"/>
      <c r="J605" s="28"/>
    </row>
    <row r="606" ht="15.75" hidden="1" customHeight="1">
      <c r="B606" s="16"/>
      <c r="C606" s="16" t="str">
        <f>VLOOKUP(B606,Sheet3!$B$2:$E$312,2,FALSE)</f>
        <v>#N/A</v>
      </c>
      <c r="D606" s="16" t="str">
        <f>VLOOKUP(B606,Sheet3!$B$2:$E$312,3,)</f>
        <v>#N/A</v>
      </c>
      <c r="E606" s="29" t="str">
        <f>VLOOKUP(B606,Sheet3!$B$2:$E$312,4,)</f>
        <v>#N/A</v>
      </c>
      <c r="F606" s="29"/>
      <c r="G606" s="29"/>
      <c r="H606" s="29"/>
      <c r="I606" s="28"/>
      <c r="J606" s="28"/>
    </row>
    <row r="607" ht="15.75" hidden="1" customHeight="1">
      <c r="B607" s="16"/>
      <c r="C607" s="16" t="str">
        <f>VLOOKUP(B607,Sheet3!$B$2:$E$312,2,FALSE)</f>
        <v>#N/A</v>
      </c>
      <c r="D607" s="16" t="str">
        <f>VLOOKUP(B607,Sheet3!$B$2:$E$312,3,)</f>
        <v>#N/A</v>
      </c>
      <c r="E607" s="29" t="str">
        <f>VLOOKUP(B607,Sheet3!$B$2:$E$312,4,)</f>
        <v>#N/A</v>
      </c>
      <c r="F607" s="29"/>
      <c r="G607" s="29"/>
      <c r="H607" s="29"/>
      <c r="I607" s="28"/>
      <c r="J607" s="28"/>
    </row>
    <row r="608" ht="15.75" hidden="1" customHeight="1">
      <c r="B608" s="16"/>
      <c r="C608" s="16" t="str">
        <f>VLOOKUP(B608,Sheet3!$B$2:$E$312,2,FALSE)</f>
        <v>#N/A</v>
      </c>
      <c r="D608" s="16" t="str">
        <f>VLOOKUP(B608,Sheet3!$B$2:$E$312,3,)</f>
        <v>#N/A</v>
      </c>
      <c r="E608" s="29" t="str">
        <f>VLOOKUP(B608,Sheet3!$B$2:$E$312,4,)</f>
        <v>#N/A</v>
      </c>
      <c r="F608" s="29"/>
      <c r="G608" s="29"/>
      <c r="H608" s="29"/>
      <c r="I608" s="28"/>
      <c r="J608" s="28"/>
    </row>
    <row r="609" ht="15.75" hidden="1" customHeight="1">
      <c r="B609" s="16"/>
      <c r="C609" s="16" t="str">
        <f>VLOOKUP(B609,Sheet3!$B$2:$E$312,2,FALSE)</f>
        <v>#N/A</v>
      </c>
      <c r="D609" s="16" t="str">
        <f>VLOOKUP(B609,Sheet3!$B$2:$E$312,3,)</f>
        <v>#N/A</v>
      </c>
      <c r="E609" s="29" t="str">
        <f>VLOOKUP(B609,Sheet3!$B$2:$E$312,4,)</f>
        <v>#N/A</v>
      </c>
      <c r="F609" s="29"/>
      <c r="G609" s="29"/>
      <c r="H609" s="29"/>
      <c r="I609" s="28"/>
      <c r="J609" s="28"/>
    </row>
    <row r="610" ht="15.75" hidden="1" customHeight="1">
      <c r="B610" s="16"/>
      <c r="C610" s="16" t="str">
        <f>VLOOKUP(B610,Sheet3!$B$2:$E$312,2,FALSE)</f>
        <v>#N/A</v>
      </c>
      <c r="D610" s="16" t="str">
        <f>VLOOKUP(B610,Sheet3!$B$2:$E$312,3,)</f>
        <v>#N/A</v>
      </c>
      <c r="E610" s="29" t="str">
        <f>VLOOKUP(B610,Sheet3!$B$2:$E$312,4,)</f>
        <v>#N/A</v>
      </c>
      <c r="F610" s="29"/>
      <c r="G610" s="29"/>
      <c r="H610" s="29"/>
      <c r="I610" s="28"/>
      <c r="J610" s="28"/>
    </row>
    <row r="611" ht="15.75" hidden="1" customHeight="1">
      <c r="B611" s="16"/>
      <c r="C611" s="16" t="str">
        <f>VLOOKUP(B611,Sheet3!$B$2:$E$312,2,FALSE)</f>
        <v>#N/A</v>
      </c>
      <c r="D611" s="16" t="str">
        <f>VLOOKUP(B611,Sheet3!$B$2:$E$312,3,)</f>
        <v>#N/A</v>
      </c>
      <c r="E611" s="29" t="str">
        <f>VLOOKUP(B611,Sheet3!$B$2:$E$312,4,)</f>
        <v>#N/A</v>
      </c>
      <c r="F611" s="29"/>
      <c r="G611" s="29"/>
      <c r="H611" s="29"/>
      <c r="I611" s="28"/>
      <c r="J611" s="28"/>
    </row>
    <row r="612" ht="15.75" hidden="1" customHeight="1">
      <c r="B612" s="16"/>
      <c r="C612" s="16" t="str">
        <f>VLOOKUP(B612,Sheet3!$B$2:$E$312,2,FALSE)</f>
        <v>#N/A</v>
      </c>
      <c r="D612" s="16" t="str">
        <f>VLOOKUP(B612,Sheet3!$B$2:$E$312,3,)</f>
        <v>#N/A</v>
      </c>
      <c r="E612" s="29" t="str">
        <f>VLOOKUP(B612,Sheet3!$B$2:$E$312,4,)</f>
        <v>#N/A</v>
      </c>
      <c r="F612" s="29"/>
      <c r="G612" s="29"/>
      <c r="H612" s="29"/>
      <c r="I612" s="28"/>
      <c r="J612" s="28"/>
    </row>
    <row r="613" ht="15.75" hidden="1" customHeight="1">
      <c r="B613" s="16"/>
      <c r="C613" s="16" t="str">
        <f>VLOOKUP(B613,Sheet3!$B$2:$E$312,2,FALSE)</f>
        <v>#N/A</v>
      </c>
      <c r="D613" s="16" t="str">
        <f>VLOOKUP(B613,Sheet3!$B$2:$E$312,3,)</f>
        <v>#N/A</v>
      </c>
      <c r="E613" s="29" t="str">
        <f>VLOOKUP(B613,Sheet3!$B$2:$E$312,4,)</f>
        <v>#N/A</v>
      </c>
      <c r="F613" s="29"/>
      <c r="G613" s="29"/>
      <c r="H613" s="29"/>
      <c r="I613" s="28"/>
      <c r="J613" s="28"/>
    </row>
    <row r="614" ht="15.75" hidden="1" customHeight="1">
      <c r="B614" s="16"/>
      <c r="C614" s="16" t="str">
        <f>VLOOKUP(B614,Sheet3!$B$2:$E$312,2,FALSE)</f>
        <v>#N/A</v>
      </c>
      <c r="D614" s="16" t="str">
        <f>VLOOKUP(B614,Sheet3!$B$2:$E$312,3,)</f>
        <v>#N/A</v>
      </c>
      <c r="E614" s="29" t="str">
        <f>VLOOKUP(B614,Sheet3!$B$2:$E$312,4,)</f>
        <v>#N/A</v>
      </c>
      <c r="F614" s="29"/>
      <c r="G614" s="29"/>
      <c r="H614" s="29"/>
      <c r="I614" s="28"/>
      <c r="J614" s="28"/>
    </row>
    <row r="615" ht="15.75" hidden="1" customHeight="1">
      <c r="B615" s="16"/>
      <c r="C615" s="16" t="str">
        <f>VLOOKUP(B615,Sheet3!$B$2:$E$312,2,FALSE)</f>
        <v>#N/A</v>
      </c>
      <c r="D615" s="16" t="str">
        <f>VLOOKUP(B615,Sheet3!$B$2:$E$312,3,)</f>
        <v>#N/A</v>
      </c>
      <c r="E615" s="29" t="str">
        <f>VLOOKUP(B615,Sheet3!$B$2:$E$312,4,)</f>
        <v>#N/A</v>
      </c>
      <c r="F615" s="29"/>
      <c r="G615" s="29"/>
      <c r="H615" s="29"/>
      <c r="I615" s="28"/>
      <c r="J615" s="28"/>
    </row>
    <row r="616" ht="15.75" hidden="1" customHeight="1">
      <c r="B616" s="16"/>
      <c r="C616" s="16" t="str">
        <f>VLOOKUP(B616,Sheet3!$B$2:$E$312,2,FALSE)</f>
        <v>#N/A</v>
      </c>
      <c r="D616" s="16" t="str">
        <f>VLOOKUP(B616,Sheet3!$B$2:$E$312,3,)</f>
        <v>#N/A</v>
      </c>
      <c r="E616" s="29" t="str">
        <f>VLOOKUP(B616,Sheet3!$B$2:$E$312,4,)</f>
        <v>#N/A</v>
      </c>
      <c r="F616" s="29"/>
      <c r="G616" s="29"/>
      <c r="H616" s="29"/>
      <c r="I616" s="28"/>
      <c r="J616" s="28"/>
    </row>
    <row r="617" ht="15.75" hidden="1" customHeight="1">
      <c r="B617" s="16"/>
      <c r="C617" s="16" t="str">
        <f>VLOOKUP(B617,Sheet3!$B$2:$E$312,2,FALSE)</f>
        <v>#N/A</v>
      </c>
      <c r="D617" s="16" t="str">
        <f>VLOOKUP(B617,Sheet3!$B$2:$E$312,3,)</f>
        <v>#N/A</v>
      </c>
      <c r="E617" s="29" t="str">
        <f>VLOOKUP(B617,Sheet3!$B$2:$E$312,4,)</f>
        <v>#N/A</v>
      </c>
      <c r="F617" s="29"/>
      <c r="G617" s="29"/>
      <c r="H617" s="29"/>
      <c r="I617" s="28"/>
      <c r="J617" s="28"/>
    </row>
    <row r="618" ht="15.75" hidden="1" customHeight="1">
      <c r="B618" s="16"/>
      <c r="C618" s="16" t="str">
        <f>VLOOKUP(B618,Sheet3!$B$2:$E$312,2,FALSE)</f>
        <v>#N/A</v>
      </c>
      <c r="D618" s="16" t="str">
        <f>VLOOKUP(B618,Sheet3!$B$2:$E$312,3,)</f>
        <v>#N/A</v>
      </c>
      <c r="E618" s="29" t="str">
        <f>VLOOKUP(B618,Sheet3!$B$2:$E$312,4,)</f>
        <v>#N/A</v>
      </c>
      <c r="F618" s="29"/>
      <c r="G618" s="29"/>
      <c r="H618" s="29"/>
      <c r="I618" s="28"/>
      <c r="J618" s="28"/>
    </row>
    <row r="619" ht="15.75" hidden="1" customHeight="1">
      <c r="B619" s="16"/>
      <c r="C619" s="16" t="str">
        <f>VLOOKUP(B619,Sheet3!$B$2:$E$312,2,FALSE)</f>
        <v>#N/A</v>
      </c>
      <c r="D619" s="16" t="str">
        <f>VLOOKUP(B619,Sheet3!$B$2:$E$312,3,)</f>
        <v>#N/A</v>
      </c>
      <c r="E619" s="29" t="str">
        <f>VLOOKUP(B619,Sheet3!$B$2:$E$312,4,)</f>
        <v>#N/A</v>
      </c>
      <c r="F619" s="29"/>
      <c r="G619" s="29"/>
      <c r="H619" s="29"/>
      <c r="I619" s="28"/>
      <c r="J619" s="28"/>
    </row>
    <row r="620" ht="15.75" hidden="1" customHeight="1">
      <c r="B620" s="16"/>
      <c r="C620" s="16" t="str">
        <f>VLOOKUP(B620,Sheet3!$B$2:$E$312,2,FALSE)</f>
        <v>#N/A</v>
      </c>
      <c r="D620" s="16" t="str">
        <f>VLOOKUP(B620,Sheet3!$B$2:$E$312,3,)</f>
        <v>#N/A</v>
      </c>
      <c r="E620" s="29" t="str">
        <f>VLOOKUP(B620,Sheet3!$B$2:$E$312,4,)</f>
        <v>#N/A</v>
      </c>
      <c r="F620" s="29"/>
      <c r="G620" s="29"/>
      <c r="H620" s="29"/>
      <c r="I620" s="28"/>
      <c r="J620" s="28"/>
    </row>
    <row r="621" ht="15.75" hidden="1" customHeight="1">
      <c r="B621" s="16"/>
      <c r="C621" s="16" t="str">
        <f>VLOOKUP(B621,Sheet3!$B$2:$E$312,2,FALSE)</f>
        <v>#N/A</v>
      </c>
      <c r="D621" s="16" t="str">
        <f>VLOOKUP(B621,Sheet3!$B$2:$E$312,3,)</f>
        <v>#N/A</v>
      </c>
      <c r="E621" s="29" t="str">
        <f>VLOOKUP(B621,Sheet3!$B$2:$E$312,4,)</f>
        <v>#N/A</v>
      </c>
      <c r="F621" s="29"/>
      <c r="G621" s="29"/>
      <c r="H621" s="29"/>
      <c r="I621" s="28"/>
      <c r="J621" s="28"/>
    </row>
    <row r="622" ht="15.75" hidden="1" customHeight="1">
      <c r="B622" s="16"/>
      <c r="C622" s="16" t="str">
        <f>VLOOKUP(B622,Sheet3!$B$2:$E$312,2,FALSE)</f>
        <v>#N/A</v>
      </c>
      <c r="D622" s="16" t="str">
        <f>VLOOKUP(B622,Sheet3!$B$2:$E$312,3,)</f>
        <v>#N/A</v>
      </c>
      <c r="E622" s="29" t="str">
        <f>VLOOKUP(B622,Sheet3!$B$2:$E$312,4,)</f>
        <v>#N/A</v>
      </c>
      <c r="F622" s="29"/>
      <c r="G622" s="29"/>
      <c r="H622" s="29"/>
      <c r="I622" s="28"/>
      <c r="J622" s="28"/>
    </row>
    <row r="623" ht="15.75" hidden="1" customHeight="1">
      <c r="B623" s="16"/>
      <c r="C623" s="16" t="str">
        <f>VLOOKUP(B623,Sheet3!$B$2:$E$312,2,FALSE)</f>
        <v>#N/A</v>
      </c>
      <c r="D623" s="16" t="str">
        <f>VLOOKUP(B623,Sheet3!$B$2:$E$312,3,)</f>
        <v>#N/A</v>
      </c>
      <c r="E623" s="29" t="str">
        <f>VLOOKUP(B623,Sheet3!$B$2:$E$312,4,)</f>
        <v>#N/A</v>
      </c>
      <c r="F623" s="29"/>
      <c r="G623" s="29"/>
      <c r="H623" s="29"/>
      <c r="I623" s="28"/>
      <c r="J623" s="28"/>
    </row>
    <row r="624" ht="15.75" hidden="1" customHeight="1">
      <c r="B624" s="16"/>
      <c r="C624" s="16" t="str">
        <f>VLOOKUP(B624,Sheet3!$B$2:$E$312,2,FALSE)</f>
        <v>#N/A</v>
      </c>
      <c r="D624" s="16" t="str">
        <f>VLOOKUP(B624,Sheet3!$B$2:$E$312,3,)</f>
        <v>#N/A</v>
      </c>
      <c r="E624" s="29" t="str">
        <f>VLOOKUP(B624,Sheet3!$B$2:$E$312,4,)</f>
        <v>#N/A</v>
      </c>
      <c r="F624" s="29"/>
      <c r="G624" s="29"/>
      <c r="H624" s="29"/>
      <c r="I624" s="28"/>
      <c r="J624" s="28"/>
    </row>
    <row r="625" ht="15.75" hidden="1" customHeight="1">
      <c r="B625" s="16"/>
      <c r="C625" s="16" t="str">
        <f>VLOOKUP(B625,Sheet3!$B$2:$E$312,2,FALSE)</f>
        <v>#N/A</v>
      </c>
      <c r="D625" s="16" t="str">
        <f>VLOOKUP(B625,Sheet3!$B$2:$E$312,3,)</f>
        <v>#N/A</v>
      </c>
      <c r="E625" s="29" t="str">
        <f>VLOOKUP(B625,Sheet3!$B$2:$E$312,4,)</f>
        <v>#N/A</v>
      </c>
      <c r="F625" s="29"/>
      <c r="G625" s="29"/>
      <c r="H625" s="29"/>
      <c r="I625" s="28"/>
      <c r="J625" s="28"/>
    </row>
    <row r="626" ht="15.75" hidden="1" customHeight="1">
      <c r="B626" s="16"/>
      <c r="C626" s="16" t="str">
        <f>VLOOKUP(B626,Sheet3!$B$2:$E$312,2,FALSE)</f>
        <v>#N/A</v>
      </c>
      <c r="D626" s="16" t="str">
        <f>VLOOKUP(B626,Sheet3!$B$2:$E$312,3,)</f>
        <v>#N/A</v>
      </c>
      <c r="E626" s="29" t="str">
        <f>VLOOKUP(B626,Sheet3!$B$2:$E$312,4,)</f>
        <v>#N/A</v>
      </c>
      <c r="F626" s="29"/>
      <c r="G626" s="29"/>
      <c r="H626" s="29"/>
      <c r="I626" s="28"/>
      <c r="J626" s="28"/>
    </row>
    <row r="627" ht="15.75" hidden="1" customHeight="1">
      <c r="B627" s="16"/>
      <c r="C627" s="16" t="str">
        <f>VLOOKUP(B627,Sheet3!$B$2:$E$312,2,FALSE)</f>
        <v>#N/A</v>
      </c>
      <c r="D627" s="16" t="str">
        <f>VLOOKUP(B627,Sheet3!$B$2:$E$312,3,)</f>
        <v>#N/A</v>
      </c>
      <c r="E627" s="29" t="str">
        <f>VLOOKUP(B627,Sheet3!$B$2:$E$312,4,)</f>
        <v>#N/A</v>
      </c>
      <c r="F627" s="29"/>
      <c r="G627" s="29"/>
      <c r="H627" s="29"/>
      <c r="I627" s="28"/>
      <c r="J627" s="28"/>
    </row>
    <row r="628" ht="15.75" hidden="1" customHeight="1">
      <c r="B628" s="16"/>
      <c r="C628" s="16" t="str">
        <f>VLOOKUP(B628,Sheet3!$B$2:$E$312,2,FALSE)</f>
        <v>#N/A</v>
      </c>
      <c r="D628" s="16" t="str">
        <f>VLOOKUP(B628,Sheet3!$B$2:$E$312,3,)</f>
        <v>#N/A</v>
      </c>
      <c r="E628" s="29" t="str">
        <f>VLOOKUP(B628,Sheet3!$B$2:$E$312,4,)</f>
        <v>#N/A</v>
      </c>
      <c r="F628" s="29"/>
      <c r="G628" s="29"/>
      <c r="H628" s="29"/>
      <c r="I628" s="28"/>
      <c r="J628" s="28"/>
    </row>
    <row r="629" ht="15.75" hidden="1" customHeight="1">
      <c r="B629" s="16"/>
      <c r="C629" s="16" t="str">
        <f>VLOOKUP(B629,Sheet3!$B$2:$E$312,2,FALSE)</f>
        <v>#N/A</v>
      </c>
      <c r="D629" s="16" t="str">
        <f>VLOOKUP(B629,Sheet3!$B$2:$E$312,3,)</f>
        <v>#N/A</v>
      </c>
      <c r="E629" s="29" t="str">
        <f>VLOOKUP(B629,Sheet3!$B$2:$E$312,4,)</f>
        <v>#N/A</v>
      </c>
      <c r="F629" s="29"/>
      <c r="G629" s="29"/>
      <c r="H629" s="29"/>
      <c r="I629" s="28"/>
      <c r="J629" s="28"/>
    </row>
    <row r="630" ht="15.75" hidden="1" customHeight="1">
      <c r="B630" s="16"/>
      <c r="C630" s="16" t="str">
        <f>VLOOKUP(B630,Sheet3!$B$2:$E$312,2,FALSE)</f>
        <v>#N/A</v>
      </c>
      <c r="D630" s="16" t="str">
        <f>VLOOKUP(B630,Sheet3!$B$2:$E$312,3,)</f>
        <v>#N/A</v>
      </c>
      <c r="E630" s="29" t="str">
        <f>VLOOKUP(B630,Sheet3!$B$2:$E$312,4,)</f>
        <v>#N/A</v>
      </c>
      <c r="F630" s="29"/>
      <c r="G630" s="29"/>
      <c r="H630" s="29"/>
      <c r="I630" s="28"/>
      <c r="J630" s="28"/>
    </row>
    <row r="631" ht="15.75" hidden="1" customHeight="1">
      <c r="B631" s="16"/>
      <c r="C631" s="16" t="str">
        <f>VLOOKUP(B631,Sheet3!$B$2:$E$312,2,FALSE)</f>
        <v>#N/A</v>
      </c>
      <c r="D631" s="16" t="str">
        <f>VLOOKUP(B631,Sheet3!$B$2:$E$312,3,)</f>
        <v>#N/A</v>
      </c>
      <c r="E631" s="29" t="str">
        <f>VLOOKUP(B631,Sheet3!$B$2:$E$312,4,)</f>
        <v>#N/A</v>
      </c>
      <c r="F631" s="29"/>
      <c r="G631" s="29"/>
      <c r="H631" s="29"/>
      <c r="I631" s="28"/>
      <c r="J631" s="28"/>
    </row>
    <row r="632" ht="15.75" hidden="1" customHeight="1">
      <c r="B632" s="16"/>
      <c r="C632" s="16" t="str">
        <f>VLOOKUP(B632,Sheet3!$B$2:$E$312,2,FALSE)</f>
        <v>#N/A</v>
      </c>
      <c r="D632" s="16" t="str">
        <f>VLOOKUP(B632,Sheet3!$B$2:$E$312,3,)</f>
        <v>#N/A</v>
      </c>
      <c r="E632" s="29" t="str">
        <f>VLOOKUP(B632,Sheet3!$B$2:$E$312,4,)</f>
        <v>#N/A</v>
      </c>
      <c r="F632" s="29"/>
      <c r="G632" s="29"/>
      <c r="H632" s="29"/>
      <c r="I632" s="28"/>
      <c r="J632" s="28"/>
    </row>
    <row r="633" ht="15.75" hidden="1" customHeight="1">
      <c r="B633" s="16"/>
      <c r="C633" s="16" t="str">
        <f>VLOOKUP(B633,Sheet3!$B$2:$E$312,2,FALSE)</f>
        <v>#N/A</v>
      </c>
      <c r="D633" s="16" t="str">
        <f>VLOOKUP(B633,Sheet3!$B$2:$E$312,3,)</f>
        <v>#N/A</v>
      </c>
      <c r="E633" s="29" t="str">
        <f>VLOOKUP(B633,Sheet3!$B$2:$E$312,4,)</f>
        <v>#N/A</v>
      </c>
      <c r="F633" s="29"/>
      <c r="G633" s="29"/>
      <c r="H633" s="29"/>
      <c r="I633" s="28"/>
      <c r="J633" s="28"/>
    </row>
    <row r="634" ht="15.75" hidden="1" customHeight="1">
      <c r="B634" s="16"/>
      <c r="C634" s="16" t="str">
        <f>VLOOKUP(B634,Sheet3!$B$2:$E$312,2,FALSE)</f>
        <v>#N/A</v>
      </c>
      <c r="D634" s="16" t="str">
        <f>VLOOKUP(B634,Sheet3!$B$2:$E$312,3,)</f>
        <v>#N/A</v>
      </c>
      <c r="E634" s="29" t="str">
        <f>VLOOKUP(B634,Sheet3!$B$2:$E$312,4,)</f>
        <v>#N/A</v>
      </c>
      <c r="F634" s="29"/>
      <c r="G634" s="29"/>
      <c r="H634" s="29"/>
      <c r="I634" s="28"/>
      <c r="J634" s="28"/>
    </row>
    <row r="635" ht="15.75" hidden="1" customHeight="1">
      <c r="B635" s="16"/>
      <c r="C635" s="16" t="str">
        <f>VLOOKUP(B635,Sheet3!$B$2:$E$312,2,FALSE)</f>
        <v>#N/A</v>
      </c>
      <c r="D635" s="16" t="str">
        <f>VLOOKUP(B635,Sheet3!$B$2:$E$312,3,)</f>
        <v>#N/A</v>
      </c>
      <c r="E635" s="29" t="str">
        <f>VLOOKUP(B635,Sheet3!$B$2:$E$312,4,)</f>
        <v>#N/A</v>
      </c>
      <c r="F635" s="29"/>
      <c r="G635" s="29"/>
      <c r="H635" s="29"/>
      <c r="I635" s="28"/>
      <c r="J635" s="28"/>
    </row>
    <row r="636" ht="15.75" hidden="1" customHeight="1">
      <c r="B636" s="16"/>
      <c r="C636" s="16" t="str">
        <f>VLOOKUP(B636,Sheet3!$B$2:$E$312,2,FALSE)</f>
        <v>#N/A</v>
      </c>
      <c r="D636" s="16" t="str">
        <f>VLOOKUP(B636,Sheet3!$B$2:$E$312,3,)</f>
        <v>#N/A</v>
      </c>
      <c r="E636" s="29" t="str">
        <f>VLOOKUP(B636,Sheet3!$B$2:$E$312,4,)</f>
        <v>#N/A</v>
      </c>
      <c r="F636" s="29"/>
      <c r="G636" s="29"/>
      <c r="H636" s="29"/>
      <c r="I636" s="28"/>
      <c r="J636" s="28"/>
    </row>
    <row r="637" ht="15.75" hidden="1" customHeight="1">
      <c r="B637" s="16"/>
      <c r="C637" s="16" t="str">
        <f>VLOOKUP(B637,Sheet3!$B$2:$E$312,2,FALSE)</f>
        <v>#N/A</v>
      </c>
      <c r="D637" s="16" t="str">
        <f>VLOOKUP(B637,Sheet3!$B$2:$E$312,3,)</f>
        <v>#N/A</v>
      </c>
      <c r="E637" s="29" t="str">
        <f>VLOOKUP(B637,Sheet3!$B$2:$E$312,4,)</f>
        <v>#N/A</v>
      </c>
      <c r="F637" s="29"/>
      <c r="G637" s="29"/>
      <c r="H637" s="29"/>
      <c r="I637" s="28"/>
      <c r="J637" s="28"/>
    </row>
    <row r="638" ht="15.75" hidden="1" customHeight="1">
      <c r="B638" s="16"/>
      <c r="C638" s="16" t="str">
        <f>VLOOKUP(B638,Sheet3!$B$2:$E$312,2,FALSE)</f>
        <v>#N/A</v>
      </c>
      <c r="D638" s="16" t="str">
        <f>VLOOKUP(B638,Sheet3!$B$2:$E$312,3,)</f>
        <v>#N/A</v>
      </c>
      <c r="E638" s="29" t="str">
        <f>VLOOKUP(B638,Sheet3!$B$2:$E$312,4,)</f>
        <v>#N/A</v>
      </c>
      <c r="F638" s="29"/>
      <c r="G638" s="29"/>
      <c r="H638" s="29"/>
      <c r="I638" s="28"/>
      <c r="J638" s="28"/>
    </row>
    <row r="639" ht="15.75" hidden="1" customHeight="1">
      <c r="B639" s="16"/>
      <c r="C639" s="16" t="str">
        <f>VLOOKUP(B639,Sheet3!$B$2:$E$312,2,FALSE)</f>
        <v>#N/A</v>
      </c>
      <c r="D639" s="16" t="str">
        <f>VLOOKUP(B639,Sheet3!$B$2:$E$312,3,)</f>
        <v>#N/A</v>
      </c>
      <c r="E639" s="29" t="str">
        <f>VLOOKUP(B639,Sheet3!$B$2:$E$312,4,)</f>
        <v>#N/A</v>
      </c>
      <c r="F639" s="29"/>
      <c r="G639" s="29"/>
      <c r="H639" s="29"/>
      <c r="I639" s="28"/>
      <c r="J639" s="28"/>
    </row>
    <row r="640" ht="15.75" hidden="1" customHeight="1">
      <c r="B640" s="16"/>
      <c r="C640" s="16" t="str">
        <f>VLOOKUP(B640,Sheet3!$B$2:$E$312,2,FALSE)</f>
        <v>#N/A</v>
      </c>
      <c r="D640" s="16" t="str">
        <f>VLOOKUP(B640,Sheet3!$B$2:$E$312,3,)</f>
        <v>#N/A</v>
      </c>
      <c r="E640" s="29" t="str">
        <f>VLOOKUP(B640,Sheet3!$B$2:$E$312,4,)</f>
        <v>#N/A</v>
      </c>
      <c r="F640" s="29"/>
      <c r="G640" s="29"/>
      <c r="H640" s="29"/>
      <c r="I640" s="28"/>
      <c r="J640" s="28"/>
    </row>
    <row r="641" ht="15.75" hidden="1" customHeight="1">
      <c r="B641" s="16"/>
      <c r="C641" s="16" t="str">
        <f>VLOOKUP(B641,Sheet3!$B$2:$E$312,2,FALSE)</f>
        <v>#N/A</v>
      </c>
      <c r="D641" s="16" t="str">
        <f>VLOOKUP(B641,Sheet3!$B$2:$E$312,3,)</f>
        <v>#N/A</v>
      </c>
      <c r="E641" s="29" t="str">
        <f>VLOOKUP(B641,Sheet3!$B$2:$E$312,4,)</f>
        <v>#N/A</v>
      </c>
      <c r="F641" s="29"/>
      <c r="G641" s="29"/>
      <c r="H641" s="29"/>
      <c r="I641" s="28"/>
      <c r="J641" s="28"/>
    </row>
    <row r="642" ht="15.75" hidden="1" customHeight="1">
      <c r="B642" s="16"/>
      <c r="C642" s="16" t="str">
        <f>VLOOKUP(B642,Sheet3!$B$2:$E$312,2,FALSE)</f>
        <v>#N/A</v>
      </c>
      <c r="D642" s="16" t="str">
        <f>VLOOKUP(B642,Sheet3!$B$2:$E$312,3,)</f>
        <v>#N/A</v>
      </c>
      <c r="E642" s="29" t="str">
        <f>VLOOKUP(B642,Sheet3!$B$2:$E$312,4,)</f>
        <v>#N/A</v>
      </c>
      <c r="F642" s="29"/>
      <c r="G642" s="29"/>
      <c r="H642" s="29"/>
      <c r="I642" s="28"/>
      <c r="J642" s="28"/>
    </row>
    <row r="643" ht="15.75" hidden="1" customHeight="1">
      <c r="B643" s="16"/>
      <c r="C643" s="16" t="str">
        <f>VLOOKUP(B643,Sheet3!$B$2:$E$312,2,FALSE)</f>
        <v>#N/A</v>
      </c>
      <c r="D643" s="16" t="str">
        <f>VLOOKUP(B643,Sheet3!$B$2:$E$312,3,)</f>
        <v>#N/A</v>
      </c>
      <c r="E643" s="29" t="str">
        <f>VLOOKUP(B643,Sheet3!$B$2:$E$312,4,)</f>
        <v>#N/A</v>
      </c>
      <c r="F643" s="29"/>
      <c r="G643" s="29"/>
      <c r="H643" s="29"/>
      <c r="I643" s="28"/>
      <c r="J643" s="28"/>
    </row>
    <row r="644" ht="15.75" hidden="1" customHeight="1">
      <c r="B644" s="16"/>
      <c r="C644" s="16" t="str">
        <f>VLOOKUP(B644,Sheet3!$B$2:$E$312,2,FALSE)</f>
        <v>#N/A</v>
      </c>
      <c r="D644" s="16" t="str">
        <f>VLOOKUP(B644,Sheet3!$B$2:$E$312,3,)</f>
        <v>#N/A</v>
      </c>
      <c r="E644" s="29" t="str">
        <f>VLOOKUP(B644,Sheet3!$B$2:$E$312,4,)</f>
        <v>#N/A</v>
      </c>
      <c r="F644" s="29"/>
      <c r="G644" s="29"/>
      <c r="H644" s="29"/>
      <c r="I644" s="28"/>
      <c r="J644" s="28"/>
    </row>
    <row r="645" ht="15.75" hidden="1" customHeight="1">
      <c r="B645" s="16"/>
      <c r="C645" s="16" t="str">
        <f>VLOOKUP(B645,Sheet3!$B$2:$E$312,2,FALSE)</f>
        <v>#N/A</v>
      </c>
      <c r="D645" s="16" t="str">
        <f>VLOOKUP(B645,Sheet3!$B$2:$E$312,3,)</f>
        <v>#N/A</v>
      </c>
      <c r="E645" s="29" t="str">
        <f>VLOOKUP(B645,Sheet3!$B$2:$E$312,4,)</f>
        <v>#N/A</v>
      </c>
      <c r="F645" s="29"/>
      <c r="G645" s="29"/>
      <c r="H645" s="29"/>
      <c r="I645" s="28"/>
      <c r="J645" s="28"/>
    </row>
    <row r="646" ht="15.75" hidden="1" customHeight="1">
      <c r="B646" s="16"/>
      <c r="C646" s="16" t="str">
        <f>VLOOKUP(B646,Sheet3!$B$2:$E$312,2,FALSE)</f>
        <v>#N/A</v>
      </c>
      <c r="D646" s="16" t="str">
        <f>VLOOKUP(B646,Sheet3!$B$2:$E$312,3,)</f>
        <v>#N/A</v>
      </c>
      <c r="E646" s="29" t="str">
        <f>VLOOKUP(B646,Sheet3!$B$2:$E$312,4,)</f>
        <v>#N/A</v>
      </c>
      <c r="F646" s="29"/>
      <c r="G646" s="29"/>
      <c r="H646" s="29"/>
      <c r="I646" s="28"/>
      <c r="J646" s="28"/>
    </row>
    <row r="647" ht="15.75" hidden="1" customHeight="1">
      <c r="B647" s="16"/>
      <c r="C647" s="16" t="str">
        <f>VLOOKUP(B647,Sheet3!$B$2:$E$312,2,FALSE)</f>
        <v>#N/A</v>
      </c>
      <c r="D647" s="16" t="str">
        <f>VLOOKUP(B647,Sheet3!$B$2:$E$312,3,)</f>
        <v>#N/A</v>
      </c>
      <c r="E647" s="29" t="str">
        <f>VLOOKUP(B647,Sheet3!$B$2:$E$312,4,)</f>
        <v>#N/A</v>
      </c>
      <c r="F647" s="29"/>
      <c r="G647" s="29"/>
      <c r="H647" s="29"/>
      <c r="I647" s="28"/>
      <c r="J647" s="28"/>
    </row>
    <row r="648" ht="15.75" hidden="1" customHeight="1">
      <c r="B648" s="16"/>
      <c r="C648" s="16" t="str">
        <f>VLOOKUP(B648,Sheet3!$B$2:$E$312,2,FALSE)</f>
        <v>#N/A</v>
      </c>
      <c r="D648" s="16" t="str">
        <f>VLOOKUP(B648,Sheet3!$B$2:$E$312,3,)</f>
        <v>#N/A</v>
      </c>
      <c r="E648" s="29" t="str">
        <f>VLOOKUP(B648,Sheet3!$B$2:$E$312,4,)</f>
        <v>#N/A</v>
      </c>
      <c r="F648" s="29"/>
      <c r="G648" s="29"/>
      <c r="H648" s="29"/>
      <c r="I648" s="28"/>
      <c r="J648" s="28"/>
    </row>
    <row r="649" ht="15.75" hidden="1" customHeight="1">
      <c r="B649" s="16"/>
      <c r="C649" s="16" t="str">
        <f>VLOOKUP(B649,Sheet3!$B$2:$E$312,2,FALSE)</f>
        <v>#N/A</v>
      </c>
      <c r="D649" s="16" t="str">
        <f>VLOOKUP(B649,Sheet3!$B$2:$E$312,3,)</f>
        <v>#N/A</v>
      </c>
      <c r="E649" s="29" t="str">
        <f>VLOOKUP(B649,Sheet3!$B$2:$E$312,4,)</f>
        <v>#N/A</v>
      </c>
      <c r="F649" s="29"/>
      <c r="G649" s="29"/>
      <c r="H649" s="29"/>
      <c r="I649" s="28"/>
      <c r="J649" s="28"/>
    </row>
    <row r="650" ht="15.75" hidden="1" customHeight="1">
      <c r="B650" s="16"/>
      <c r="C650" s="16" t="str">
        <f>VLOOKUP(B650,Sheet3!$B$2:$E$312,2,FALSE)</f>
        <v>#N/A</v>
      </c>
      <c r="D650" s="16" t="str">
        <f>VLOOKUP(B650,Sheet3!$B$2:$E$312,3,)</f>
        <v>#N/A</v>
      </c>
      <c r="E650" s="29" t="str">
        <f>VLOOKUP(B650,Sheet3!$B$2:$E$312,4,)</f>
        <v>#N/A</v>
      </c>
      <c r="F650" s="29"/>
      <c r="G650" s="29"/>
      <c r="H650" s="29"/>
      <c r="I650" s="28"/>
      <c r="J650" s="28"/>
    </row>
    <row r="651" ht="15.75" hidden="1" customHeight="1">
      <c r="B651" s="16"/>
      <c r="C651" s="16" t="str">
        <f>VLOOKUP(B651,Sheet3!$B$2:$E$312,2,FALSE)</f>
        <v>#N/A</v>
      </c>
      <c r="D651" s="16" t="str">
        <f>VLOOKUP(B651,Sheet3!$B$2:$E$312,3,)</f>
        <v>#N/A</v>
      </c>
      <c r="E651" s="29" t="str">
        <f>VLOOKUP(B651,Sheet3!$B$2:$E$312,4,)</f>
        <v>#N/A</v>
      </c>
      <c r="F651" s="29"/>
      <c r="G651" s="29"/>
      <c r="H651" s="29"/>
      <c r="I651" s="28"/>
      <c r="J651" s="28"/>
    </row>
    <row r="652" ht="15.75" hidden="1" customHeight="1">
      <c r="B652" s="16"/>
      <c r="C652" s="16" t="str">
        <f>VLOOKUP(B652,Sheet3!$B$2:$E$312,2,FALSE)</f>
        <v>#N/A</v>
      </c>
      <c r="D652" s="16" t="str">
        <f>VLOOKUP(B652,Sheet3!$B$2:$E$312,3,)</f>
        <v>#N/A</v>
      </c>
      <c r="E652" s="29" t="str">
        <f>VLOOKUP(B652,Sheet3!$B$2:$E$312,4,)</f>
        <v>#N/A</v>
      </c>
      <c r="F652" s="29"/>
      <c r="G652" s="29"/>
      <c r="H652" s="29"/>
      <c r="I652" s="28"/>
      <c r="J652" s="28"/>
    </row>
    <row r="653" ht="15.75" hidden="1" customHeight="1">
      <c r="B653" s="16"/>
      <c r="C653" s="16" t="str">
        <f>VLOOKUP(B653,Sheet3!$B$2:$E$312,2,FALSE)</f>
        <v>#N/A</v>
      </c>
      <c r="D653" s="16" t="str">
        <f>VLOOKUP(B653,Sheet3!$B$2:$E$312,3,)</f>
        <v>#N/A</v>
      </c>
      <c r="E653" s="29" t="str">
        <f>VLOOKUP(B653,Sheet3!$B$2:$E$312,4,)</f>
        <v>#N/A</v>
      </c>
      <c r="F653" s="29"/>
      <c r="G653" s="29"/>
      <c r="H653" s="29"/>
      <c r="I653" s="28"/>
      <c r="J653" s="28"/>
    </row>
    <row r="654" ht="15.75" hidden="1" customHeight="1">
      <c r="B654" s="16"/>
      <c r="C654" s="16" t="str">
        <f>VLOOKUP(B654,Sheet3!$B$2:$E$312,2,FALSE)</f>
        <v>#N/A</v>
      </c>
      <c r="D654" s="16" t="str">
        <f>VLOOKUP(B654,Sheet3!$B$2:$E$312,3,)</f>
        <v>#N/A</v>
      </c>
      <c r="E654" s="29" t="str">
        <f>VLOOKUP(B654,Sheet3!$B$2:$E$312,4,)</f>
        <v>#N/A</v>
      </c>
      <c r="F654" s="29"/>
      <c r="G654" s="29"/>
      <c r="H654" s="29"/>
      <c r="I654" s="28"/>
      <c r="J654" s="28"/>
    </row>
    <row r="655" ht="15.75" hidden="1" customHeight="1">
      <c r="B655" s="16"/>
      <c r="C655" s="16" t="str">
        <f>VLOOKUP(B655,Sheet3!$B$2:$E$312,2,FALSE)</f>
        <v>#N/A</v>
      </c>
      <c r="D655" s="16" t="str">
        <f>VLOOKUP(B655,Sheet3!$B$2:$E$312,3,)</f>
        <v>#N/A</v>
      </c>
      <c r="E655" s="29" t="str">
        <f>VLOOKUP(B655,Sheet3!$B$2:$E$312,4,)</f>
        <v>#N/A</v>
      </c>
      <c r="F655" s="29"/>
      <c r="G655" s="29"/>
      <c r="H655" s="29"/>
      <c r="I655" s="28"/>
      <c r="J655" s="28"/>
    </row>
    <row r="656" ht="15.75" hidden="1" customHeight="1">
      <c r="B656" s="16"/>
      <c r="C656" s="16" t="str">
        <f>VLOOKUP(B656,Sheet3!$B$2:$E$312,2,FALSE)</f>
        <v>#N/A</v>
      </c>
      <c r="D656" s="16" t="str">
        <f>VLOOKUP(B656,Sheet3!$B$2:$E$312,3,)</f>
        <v>#N/A</v>
      </c>
      <c r="E656" s="29" t="str">
        <f>VLOOKUP(B656,Sheet3!$B$2:$E$312,4,)</f>
        <v>#N/A</v>
      </c>
      <c r="F656" s="29"/>
      <c r="G656" s="29"/>
      <c r="H656" s="29"/>
      <c r="I656" s="28"/>
      <c r="J656" s="28"/>
    </row>
    <row r="657" ht="15.75" hidden="1" customHeight="1">
      <c r="B657" s="16"/>
      <c r="C657" s="16" t="str">
        <f>VLOOKUP(B657,Sheet3!$B$2:$E$312,2,FALSE)</f>
        <v>#N/A</v>
      </c>
      <c r="D657" s="16" t="str">
        <f>VLOOKUP(B657,Sheet3!$B$2:$E$312,3,)</f>
        <v>#N/A</v>
      </c>
      <c r="E657" s="29" t="str">
        <f>VLOOKUP(B657,Sheet3!$B$2:$E$312,4,)</f>
        <v>#N/A</v>
      </c>
      <c r="F657" s="29"/>
      <c r="G657" s="29"/>
      <c r="H657" s="29"/>
      <c r="I657" s="28"/>
      <c r="J657" s="28"/>
    </row>
    <row r="658" ht="15.75" hidden="1" customHeight="1">
      <c r="B658" s="16"/>
      <c r="C658" s="16" t="str">
        <f>VLOOKUP(B658,Sheet3!$B$2:$E$312,2,FALSE)</f>
        <v>#N/A</v>
      </c>
      <c r="D658" s="16" t="str">
        <f>VLOOKUP(B658,Sheet3!$B$2:$E$312,3,)</f>
        <v>#N/A</v>
      </c>
      <c r="E658" s="29" t="str">
        <f>VLOOKUP(B658,Sheet3!$B$2:$E$312,4,)</f>
        <v>#N/A</v>
      </c>
      <c r="F658" s="29"/>
      <c r="G658" s="29"/>
      <c r="H658" s="29"/>
      <c r="I658" s="28"/>
      <c r="J658" s="28"/>
    </row>
    <row r="659" ht="15.75" hidden="1" customHeight="1">
      <c r="B659" s="16"/>
      <c r="C659" s="16" t="str">
        <f>VLOOKUP(B659,Sheet3!$B$2:$E$312,2,FALSE)</f>
        <v>#N/A</v>
      </c>
      <c r="D659" s="16" t="str">
        <f>VLOOKUP(B659,Sheet3!$B$2:$E$312,3,)</f>
        <v>#N/A</v>
      </c>
      <c r="E659" s="29" t="str">
        <f>VLOOKUP(B659,Sheet3!$B$2:$E$312,4,)</f>
        <v>#N/A</v>
      </c>
      <c r="F659" s="29"/>
      <c r="G659" s="29"/>
      <c r="H659" s="29"/>
      <c r="I659" s="28"/>
      <c r="J659" s="28"/>
    </row>
    <row r="660" ht="15.75" hidden="1" customHeight="1">
      <c r="B660" s="16"/>
      <c r="C660" s="16" t="str">
        <f>VLOOKUP(B660,Sheet3!$B$2:$E$312,2,FALSE)</f>
        <v>#N/A</v>
      </c>
      <c r="D660" s="16" t="str">
        <f>VLOOKUP(B660,Sheet3!$B$2:$E$312,3,)</f>
        <v>#N/A</v>
      </c>
      <c r="E660" s="29" t="str">
        <f>VLOOKUP(B660,Sheet3!$B$2:$E$312,4,)</f>
        <v>#N/A</v>
      </c>
      <c r="F660" s="29"/>
      <c r="G660" s="29"/>
      <c r="H660" s="29"/>
      <c r="I660" s="28"/>
      <c r="J660" s="28"/>
    </row>
    <row r="661" ht="15.75" hidden="1" customHeight="1">
      <c r="B661" s="16"/>
      <c r="C661" s="16" t="str">
        <f>VLOOKUP(B661,Sheet3!$B$2:$E$312,2,FALSE)</f>
        <v>#N/A</v>
      </c>
      <c r="D661" s="16" t="str">
        <f>VLOOKUP(B661,Sheet3!$B$2:$E$312,3,)</f>
        <v>#N/A</v>
      </c>
      <c r="E661" s="29" t="str">
        <f>VLOOKUP(B661,Sheet3!$B$2:$E$312,4,)</f>
        <v>#N/A</v>
      </c>
      <c r="F661" s="29"/>
      <c r="G661" s="29"/>
      <c r="H661" s="29"/>
      <c r="I661" s="28"/>
      <c r="J661" s="28"/>
    </row>
    <row r="662" ht="15.75" hidden="1" customHeight="1">
      <c r="B662" s="16"/>
      <c r="C662" s="16" t="str">
        <f>VLOOKUP(B662,Sheet3!$B$2:$E$312,2,FALSE)</f>
        <v>#N/A</v>
      </c>
      <c r="D662" s="16" t="str">
        <f>VLOOKUP(B662,Sheet3!$B$2:$E$312,3,)</f>
        <v>#N/A</v>
      </c>
      <c r="E662" s="29" t="str">
        <f>VLOOKUP(B662,Sheet3!$B$2:$E$312,4,)</f>
        <v>#N/A</v>
      </c>
      <c r="F662" s="29"/>
      <c r="G662" s="29"/>
      <c r="H662" s="29"/>
      <c r="I662" s="28"/>
      <c r="J662" s="28"/>
    </row>
    <row r="663" ht="15.75" hidden="1" customHeight="1">
      <c r="B663" s="16"/>
      <c r="C663" s="16" t="str">
        <f>VLOOKUP(B663,Sheet3!$B$2:$E$312,2,FALSE)</f>
        <v>#N/A</v>
      </c>
      <c r="D663" s="16" t="str">
        <f>VLOOKUP(B663,Sheet3!$B$2:$E$312,3,)</f>
        <v>#N/A</v>
      </c>
      <c r="E663" s="29" t="str">
        <f>VLOOKUP(B663,Sheet3!$B$2:$E$312,4,)</f>
        <v>#N/A</v>
      </c>
      <c r="F663" s="29"/>
      <c r="G663" s="29"/>
      <c r="H663" s="29"/>
      <c r="I663" s="28"/>
      <c r="J663" s="28"/>
    </row>
    <row r="664" ht="15.75" hidden="1" customHeight="1">
      <c r="B664" s="16"/>
      <c r="C664" s="16" t="str">
        <f>VLOOKUP(B664,Sheet3!$B$2:$E$312,2,FALSE)</f>
        <v>#N/A</v>
      </c>
      <c r="D664" s="16" t="str">
        <f>VLOOKUP(B664,Sheet3!$B$2:$E$312,3,)</f>
        <v>#N/A</v>
      </c>
      <c r="E664" s="29" t="str">
        <f>VLOOKUP(B664,Sheet3!$B$2:$E$312,4,)</f>
        <v>#N/A</v>
      </c>
      <c r="F664" s="29"/>
      <c r="G664" s="29"/>
      <c r="H664" s="29"/>
      <c r="I664" s="28"/>
      <c r="J664" s="28"/>
    </row>
    <row r="665" ht="15.75" hidden="1" customHeight="1">
      <c r="B665" s="16"/>
      <c r="C665" s="16" t="str">
        <f>VLOOKUP(B665,Sheet3!$B$2:$E$312,2,FALSE)</f>
        <v>#N/A</v>
      </c>
      <c r="D665" s="16" t="str">
        <f>VLOOKUP(B665,Sheet3!$B$2:$E$312,3,)</f>
        <v>#N/A</v>
      </c>
      <c r="E665" s="29" t="str">
        <f>VLOOKUP(B665,Sheet3!$B$2:$E$312,4,)</f>
        <v>#N/A</v>
      </c>
      <c r="F665" s="29"/>
      <c r="G665" s="29"/>
      <c r="H665" s="29"/>
      <c r="I665" s="28"/>
      <c r="J665" s="28"/>
    </row>
    <row r="666" ht="15.75" hidden="1" customHeight="1">
      <c r="B666" s="16"/>
      <c r="C666" s="16" t="str">
        <f>VLOOKUP(B666,Sheet3!$B$2:$E$312,2,FALSE)</f>
        <v>#N/A</v>
      </c>
      <c r="D666" s="16" t="str">
        <f>VLOOKUP(B666,Sheet3!$B$2:$E$312,3,)</f>
        <v>#N/A</v>
      </c>
      <c r="E666" s="29" t="str">
        <f>VLOOKUP(B666,Sheet3!$B$2:$E$312,4,)</f>
        <v>#N/A</v>
      </c>
      <c r="F666" s="29"/>
      <c r="G666" s="29"/>
      <c r="H666" s="29"/>
      <c r="I666" s="28"/>
      <c r="J666" s="28"/>
    </row>
    <row r="667" ht="15.75" hidden="1" customHeight="1">
      <c r="B667" s="16"/>
      <c r="C667" s="16" t="str">
        <f>VLOOKUP(B667,Sheet3!$B$2:$E$312,2,FALSE)</f>
        <v>#N/A</v>
      </c>
      <c r="D667" s="16" t="str">
        <f>VLOOKUP(B667,Sheet3!$B$2:$E$312,3,)</f>
        <v>#N/A</v>
      </c>
      <c r="E667" s="29" t="str">
        <f>VLOOKUP(B667,Sheet3!$B$2:$E$312,4,)</f>
        <v>#N/A</v>
      </c>
      <c r="F667" s="29"/>
      <c r="G667" s="29"/>
      <c r="H667" s="29"/>
      <c r="I667" s="28"/>
      <c r="J667" s="28"/>
    </row>
    <row r="668" ht="15.75" hidden="1" customHeight="1">
      <c r="B668" s="16"/>
      <c r="C668" s="16" t="str">
        <f>VLOOKUP(B668,Sheet3!$B$2:$E$312,2,FALSE)</f>
        <v>#N/A</v>
      </c>
      <c r="D668" s="16" t="str">
        <f>VLOOKUP(B668,Sheet3!$B$2:$E$312,3,)</f>
        <v>#N/A</v>
      </c>
      <c r="E668" s="29" t="str">
        <f>VLOOKUP(B668,Sheet3!$B$2:$E$312,4,)</f>
        <v>#N/A</v>
      </c>
      <c r="F668" s="29"/>
      <c r="G668" s="29"/>
      <c r="H668" s="29"/>
      <c r="I668" s="28"/>
      <c r="J668" s="28"/>
    </row>
    <row r="669" ht="15.75" hidden="1" customHeight="1">
      <c r="B669" s="16"/>
      <c r="C669" s="16" t="str">
        <f>VLOOKUP(B669,Sheet3!$B$2:$E$312,2,FALSE)</f>
        <v>#N/A</v>
      </c>
      <c r="D669" s="16" t="str">
        <f>VLOOKUP(B669,Sheet3!$B$2:$E$312,3,)</f>
        <v>#N/A</v>
      </c>
      <c r="E669" s="29" t="str">
        <f>VLOOKUP(B669,Sheet3!$B$2:$E$312,4,)</f>
        <v>#N/A</v>
      </c>
      <c r="F669" s="29"/>
      <c r="G669" s="29"/>
      <c r="H669" s="29"/>
      <c r="I669" s="28"/>
      <c r="J669" s="28"/>
    </row>
    <row r="670" ht="15.75" hidden="1" customHeight="1">
      <c r="B670" s="16"/>
      <c r="C670" s="16" t="str">
        <f>VLOOKUP(B670,Sheet3!$B$2:$E$312,2,FALSE)</f>
        <v>#N/A</v>
      </c>
      <c r="D670" s="16" t="str">
        <f>VLOOKUP(B670,Sheet3!$B$2:$E$312,3,)</f>
        <v>#N/A</v>
      </c>
      <c r="E670" s="29" t="str">
        <f>VLOOKUP(B670,Sheet3!$B$2:$E$312,4,)</f>
        <v>#N/A</v>
      </c>
      <c r="F670" s="29"/>
      <c r="G670" s="29"/>
      <c r="H670" s="29"/>
      <c r="I670" s="28"/>
      <c r="J670" s="28"/>
    </row>
    <row r="671" ht="15.75" hidden="1" customHeight="1">
      <c r="B671" s="16"/>
      <c r="C671" s="16" t="str">
        <f>VLOOKUP(B671,Sheet3!$B$2:$E$312,2,FALSE)</f>
        <v>#N/A</v>
      </c>
      <c r="D671" s="16" t="str">
        <f>VLOOKUP(B671,Sheet3!$B$2:$E$312,3,)</f>
        <v>#N/A</v>
      </c>
      <c r="E671" s="29" t="str">
        <f>VLOOKUP(B671,Sheet3!$B$2:$E$312,4,)</f>
        <v>#N/A</v>
      </c>
      <c r="F671" s="29"/>
      <c r="G671" s="29"/>
      <c r="H671" s="29"/>
      <c r="I671" s="28"/>
      <c r="J671" s="28"/>
    </row>
    <row r="672" ht="15.75" hidden="1" customHeight="1">
      <c r="B672" s="16"/>
      <c r="C672" s="16" t="str">
        <f>VLOOKUP(B672,Sheet3!$B$2:$E$312,2,FALSE)</f>
        <v>#N/A</v>
      </c>
      <c r="D672" s="16" t="str">
        <f>VLOOKUP(B672,Sheet3!$B$2:$E$312,3,)</f>
        <v>#N/A</v>
      </c>
      <c r="E672" s="29" t="str">
        <f>VLOOKUP(B672,Sheet3!$B$2:$E$312,4,)</f>
        <v>#N/A</v>
      </c>
      <c r="F672" s="29"/>
      <c r="G672" s="29"/>
      <c r="H672" s="29"/>
      <c r="I672" s="28"/>
      <c r="J672" s="28"/>
    </row>
    <row r="673" ht="15.75" hidden="1" customHeight="1">
      <c r="B673" s="16"/>
      <c r="C673" s="16" t="str">
        <f>VLOOKUP(B673,Sheet3!$B$2:$E$312,2,FALSE)</f>
        <v>#N/A</v>
      </c>
      <c r="D673" s="16" t="str">
        <f>VLOOKUP(B673,Sheet3!$B$2:$E$312,3,)</f>
        <v>#N/A</v>
      </c>
      <c r="E673" s="29" t="str">
        <f>VLOOKUP(B673,Sheet3!$B$2:$E$312,4,)</f>
        <v>#N/A</v>
      </c>
      <c r="F673" s="29"/>
      <c r="G673" s="29"/>
      <c r="H673" s="29"/>
      <c r="I673" s="28"/>
      <c r="J673" s="28"/>
    </row>
    <row r="674" ht="15.75" hidden="1" customHeight="1">
      <c r="B674" s="16"/>
      <c r="C674" s="16" t="str">
        <f>VLOOKUP(B674,Sheet3!$B$2:$E$312,2,FALSE)</f>
        <v>#N/A</v>
      </c>
      <c r="D674" s="16" t="str">
        <f>VLOOKUP(B674,Sheet3!$B$2:$E$312,3,)</f>
        <v>#N/A</v>
      </c>
      <c r="E674" s="29" t="str">
        <f>VLOOKUP(B674,Sheet3!$B$2:$E$312,4,)</f>
        <v>#N/A</v>
      </c>
      <c r="F674" s="29"/>
      <c r="G674" s="29"/>
      <c r="H674" s="29"/>
      <c r="I674" s="28"/>
      <c r="J674" s="28"/>
    </row>
    <row r="675" ht="15.75" hidden="1" customHeight="1">
      <c r="B675" s="16"/>
      <c r="C675" s="16" t="str">
        <f>VLOOKUP(B675,Sheet3!$B$2:$E$312,2,FALSE)</f>
        <v>#N/A</v>
      </c>
      <c r="D675" s="16" t="str">
        <f>VLOOKUP(B675,Sheet3!$B$2:$E$312,3,)</f>
        <v>#N/A</v>
      </c>
      <c r="E675" s="29" t="str">
        <f>VLOOKUP(B675,Sheet3!$B$2:$E$312,4,)</f>
        <v>#N/A</v>
      </c>
      <c r="F675" s="29"/>
      <c r="G675" s="29"/>
      <c r="H675" s="29"/>
      <c r="I675" s="28"/>
      <c r="J675" s="28"/>
    </row>
    <row r="676" ht="15.75" hidden="1" customHeight="1">
      <c r="B676" s="16"/>
      <c r="C676" s="16" t="str">
        <f>VLOOKUP(B676,Sheet3!$B$2:$E$312,2,FALSE)</f>
        <v>#N/A</v>
      </c>
      <c r="D676" s="16" t="str">
        <f>VLOOKUP(B676,Sheet3!$B$2:$E$312,3,)</f>
        <v>#N/A</v>
      </c>
      <c r="E676" s="29" t="str">
        <f>VLOOKUP(B676,Sheet3!$B$2:$E$312,4,)</f>
        <v>#N/A</v>
      </c>
      <c r="F676" s="29"/>
      <c r="G676" s="29"/>
      <c r="H676" s="29"/>
      <c r="I676" s="28"/>
      <c r="J676" s="28"/>
    </row>
    <row r="677" ht="15.75" hidden="1" customHeight="1">
      <c r="B677" s="16"/>
      <c r="C677" s="16" t="str">
        <f>VLOOKUP(B677,Sheet3!$B$2:$E$312,2,FALSE)</f>
        <v>#N/A</v>
      </c>
      <c r="D677" s="16" t="str">
        <f>VLOOKUP(B677,Sheet3!$B$2:$E$312,3,)</f>
        <v>#N/A</v>
      </c>
      <c r="E677" s="29" t="str">
        <f>VLOOKUP(B677,Sheet3!$B$2:$E$312,4,)</f>
        <v>#N/A</v>
      </c>
      <c r="F677" s="29"/>
      <c r="G677" s="29"/>
      <c r="H677" s="29"/>
      <c r="I677" s="28"/>
      <c r="J677" s="28"/>
    </row>
    <row r="678" ht="15.75" hidden="1" customHeight="1">
      <c r="B678" s="16"/>
      <c r="C678" s="16" t="str">
        <f>VLOOKUP(B678,Sheet3!$B$2:$E$312,2,FALSE)</f>
        <v>#N/A</v>
      </c>
      <c r="D678" s="16" t="str">
        <f>VLOOKUP(B678,Sheet3!$B$2:$E$312,3,)</f>
        <v>#N/A</v>
      </c>
      <c r="E678" s="29" t="str">
        <f>VLOOKUP(B678,Sheet3!$B$2:$E$312,4,)</f>
        <v>#N/A</v>
      </c>
      <c r="F678" s="29"/>
      <c r="G678" s="29"/>
      <c r="H678" s="29"/>
      <c r="I678" s="28"/>
      <c r="J678" s="28"/>
    </row>
    <row r="679" ht="15.75" hidden="1" customHeight="1">
      <c r="B679" s="16"/>
      <c r="C679" s="16" t="str">
        <f>VLOOKUP(B679,Sheet3!$B$2:$E$312,2,FALSE)</f>
        <v>#N/A</v>
      </c>
      <c r="D679" s="16" t="str">
        <f>VLOOKUP(B679,Sheet3!$B$2:$E$312,3,)</f>
        <v>#N/A</v>
      </c>
      <c r="E679" s="29" t="str">
        <f>VLOOKUP(B679,Sheet3!$B$2:$E$312,4,)</f>
        <v>#N/A</v>
      </c>
      <c r="F679" s="29"/>
      <c r="G679" s="29"/>
      <c r="H679" s="29"/>
      <c r="I679" s="28"/>
      <c r="J679" s="28"/>
    </row>
    <row r="680" ht="15.75" hidden="1" customHeight="1">
      <c r="B680" s="16"/>
      <c r="C680" s="16" t="str">
        <f>VLOOKUP(B680,Sheet3!$B$2:$E$312,2,FALSE)</f>
        <v>#N/A</v>
      </c>
      <c r="D680" s="16" t="str">
        <f>VLOOKUP(B680,Sheet3!$B$2:$E$312,3,)</f>
        <v>#N/A</v>
      </c>
      <c r="E680" s="29" t="str">
        <f>VLOOKUP(B680,Sheet3!$B$2:$E$312,4,)</f>
        <v>#N/A</v>
      </c>
      <c r="F680" s="29"/>
      <c r="G680" s="29"/>
      <c r="H680" s="29"/>
      <c r="I680" s="28"/>
      <c r="J680" s="28"/>
    </row>
    <row r="681" ht="15.75" hidden="1" customHeight="1">
      <c r="B681" s="16"/>
      <c r="C681" s="16" t="str">
        <f>VLOOKUP(B681,Sheet3!$B$2:$E$312,2,FALSE)</f>
        <v>#N/A</v>
      </c>
      <c r="D681" s="16" t="str">
        <f>VLOOKUP(B681,Sheet3!$B$2:$E$312,3,)</f>
        <v>#N/A</v>
      </c>
      <c r="E681" s="29" t="str">
        <f>VLOOKUP(B681,Sheet3!$B$2:$E$312,4,)</f>
        <v>#N/A</v>
      </c>
      <c r="F681" s="29"/>
      <c r="G681" s="29"/>
      <c r="H681" s="29"/>
      <c r="I681" s="28"/>
      <c r="J681" s="28"/>
    </row>
    <row r="682" ht="15.75" hidden="1" customHeight="1">
      <c r="B682" s="16"/>
      <c r="C682" s="16" t="str">
        <f>VLOOKUP(B682,Sheet3!$B$2:$E$312,2,FALSE)</f>
        <v>#N/A</v>
      </c>
      <c r="D682" s="16" t="str">
        <f>VLOOKUP(B682,Sheet3!$B$2:$E$312,3,)</f>
        <v>#N/A</v>
      </c>
      <c r="E682" s="29" t="str">
        <f>VLOOKUP(B682,Sheet3!$B$2:$E$312,4,)</f>
        <v>#N/A</v>
      </c>
      <c r="F682" s="29"/>
      <c r="G682" s="29"/>
      <c r="H682" s="29"/>
      <c r="I682" s="28"/>
      <c r="J682" s="28"/>
    </row>
    <row r="683" ht="15.75" hidden="1" customHeight="1">
      <c r="B683" s="16"/>
      <c r="C683" s="16" t="str">
        <f>VLOOKUP(B683,Sheet3!$B$2:$E$312,2,FALSE)</f>
        <v>#N/A</v>
      </c>
      <c r="D683" s="16" t="str">
        <f>VLOOKUP(B683,Sheet3!$B$2:$E$312,3,)</f>
        <v>#N/A</v>
      </c>
      <c r="E683" s="29" t="str">
        <f>VLOOKUP(B683,Sheet3!$B$2:$E$312,4,)</f>
        <v>#N/A</v>
      </c>
      <c r="F683" s="29"/>
      <c r="G683" s="29"/>
      <c r="H683" s="29"/>
      <c r="I683" s="28"/>
      <c r="J683" s="28"/>
    </row>
    <row r="684" ht="15.75" hidden="1" customHeight="1">
      <c r="B684" s="16"/>
      <c r="C684" s="16" t="str">
        <f>VLOOKUP(B684,Sheet3!$B$2:$E$312,2,FALSE)</f>
        <v>#N/A</v>
      </c>
      <c r="D684" s="16" t="str">
        <f>VLOOKUP(B684,Sheet3!$B$2:$E$312,3,)</f>
        <v>#N/A</v>
      </c>
      <c r="E684" s="29" t="str">
        <f>VLOOKUP(B684,Sheet3!$B$2:$E$312,4,)</f>
        <v>#N/A</v>
      </c>
      <c r="F684" s="29"/>
      <c r="G684" s="29"/>
      <c r="H684" s="29"/>
      <c r="I684" s="28"/>
      <c r="J684" s="28"/>
    </row>
    <row r="685" ht="15.75" hidden="1" customHeight="1">
      <c r="B685" s="16"/>
      <c r="C685" s="16" t="str">
        <f>VLOOKUP(B685,Sheet3!$B$2:$E$312,2,FALSE)</f>
        <v>#N/A</v>
      </c>
      <c r="D685" s="16" t="str">
        <f>VLOOKUP(B685,Sheet3!$B$2:$E$312,3,)</f>
        <v>#N/A</v>
      </c>
      <c r="E685" s="29" t="str">
        <f>VLOOKUP(B685,Sheet3!$B$2:$E$312,4,)</f>
        <v>#N/A</v>
      </c>
      <c r="F685" s="29"/>
      <c r="G685" s="29"/>
      <c r="H685" s="29"/>
      <c r="I685" s="28"/>
      <c r="J685" s="28"/>
    </row>
    <row r="686" ht="15.75" hidden="1" customHeight="1">
      <c r="B686" s="16"/>
      <c r="C686" s="16" t="str">
        <f>VLOOKUP(B686,Sheet3!$B$2:$E$312,2,FALSE)</f>
        <v>#N/A</v>
      </c>
      <c r="D686" s="16" t="str">
        <f>VLOOKUP(B686,Sheet3!$B$2:$E$312,3,)</f>
        <v>#N/A</v>
      </c>
      <c r="E686" s="29" t="str">
        <f>VLOOKUP(B686,Sheet3!$B$2:$E$312,4,)</f>
        <v>#N/A</v>
      </c>
      <c r="F686" s="29"/>
      <c r="G686" s="29"/>
      <c r="H686" s="29"/>
      <c r="I686" s="28"/>
      <c r="J686" s="28"/>
    </row>
    <row r="687" ht="15.75" hidden="1" customHeight="1">
      <c r="B687" s="16"/>
      <c r="C687" s="16" t="str">
        <f>VLOOKUP(B687,Sheet3!$B$2:$E$312,2,FALSE)</f>
        <v>#N/A</v>
      </c>
      <c r="D687" s="16" t="str">
        <f>VLOOKUP(B687,Sheet3!$B$2:$E$312,3,)</f>
        <v>#N/A</v>
      </c>
      <c r="E687" s="29" t="str">
        <f>VLOOKUP(B687,Sheet3!$B$2:$E$312,4,)</f>
        <v>#N/A</v>
      </c>
      <c r="F687" s="29"/>
      <c r="G687" s="29"/>
      <c r="H687" s="29"/>
      <c r="I687" s="28"/>
      <c r="J687" s="28"/>
    </row>
    <row r="688" ht="15.75" hidden="1" customHeight="1">
      <c r="B688" s="16"/>
      <c r="C688" s="16" t="str">
        <f>VLOOKUP(B688,Sheet3!$B$2:$E$312,2,FALSE)</f>
        <v>#N/A</v>
      </c>
      <c r="D688" s="16" t="str">
        <f>VLOOKUP(B688,Sheet3!$B$2:$E$312,3,)</f>
        <v>#N/A</v>
      </c>
      <c r="E688" s="29" t="str">
        <f>VLOOKUP(B688,Sheet3!$B$2:$E$312,4,)</f>
        <v>#N/A</v>
      </c>
      <c r="F688" s="29"/>
      <c r="G688" s="29"/>
      <c r="H688" s="29"/>
      <c r="I688" s="28"/>
      <c r="J688" s="28"/>
    </row>
    <row r="689" ht="15.75" hidden="1" customHeight="1">
      <c r="B689" s="16"/>
      <c r="C689" s="16" t="str">
        <f>VLOOKUP(B689,Sheet3!$B$2:$E$312,2,FALSE)</f>
        <v>#N/A</v>
      </c>
      <c r="D689" s="16" t="str">
        <f>VLOOKUP(B689,Sheet3!$B$2:$E$312,3,)</f>
        <v>#N/A</v>
      </c>
      <c r="E689" s="29" t="str">
        <f>VLOOKUP(B689,Sheet3!$B$2:$E$312,4,)</f>
        <v>#N/A</v>
      </c>
      <c r="F689" s="29"/>
      <c r="G689" s="29"/>
      <c r="H689" s="29"/>
      <c r="I689" s="28"/>
      <c r="J689" s="28"/>
    </row>
    <row r="690" ht="15.75" hidden="1" customHeight="1">
      <c r="B690" s="16"/>
      <c r="C690" s="16" t="str">
        <f>VLOOKUP(B690,Sheet3!$B$2:$E$312,2,FALSE)</f>
        <v>#N/A</v>
      </c>
      <c r="D690" s="16" t="str">
        <f>VLOOKUP(B690,Sheet3!$B$2:$E$312,3,)</f>
        <v>#N/A</v>
      </c>
      <c r="E690" s="29" t="str">
        <f>VLOOKUP(B690,Sheet3!$B$2:$E$312,4,)</f>
        <v>#N/A</v>
      </c>
      <c r="F690" s="29"/>
      <c r="G690" s="29"/>
      <c r="H690" s="29"/>
      <c r="I690" s="28"/>
      <c r="J690" s="28"/>
    </row>
    <row r="691" ht="15.75" hidden="1" customHeight="1">
      <c r="B691" s="16"/>
      <c r="C691" s="16" t="str">
        <f>VLOOKUP(B691,Sheet3!$B$2:$E$312,2,FALSE)</f>
        <v>#N/A</v>
      </c>
      <c r="D691" s="16" t="str">
        <f>VLOOKUP(B691,Sheet3!$B$2:$E$312,3,)</f>
        <v>#N/A</v>
      </c>
      <c r="E691" s="29" t="str">
        <f>VLOOKUP(B691,Sheet3!$B$2:$E$312,4,)</f>
        <v>#N/A</v>
      </c>
      <c r="F691" s="29"/>
      <c r="G691" s="29"/>
      <c r="H691" s="29"/>
      <c r="I691" s="28"/>
      <c r="J691" s="28"/>
    </row>
    <row r="692" ht="15.75" hidden="1" customHeight="1">
      <c r="B692" s="16"/>
      <c r="C692" s="16" t="str">
        <f>VLOOKUP(B692,Sheet3!$B$2:$E$312,2,FALSE)</f>
        <v>#N/A</v>
      </c>
      <c r="D692" s="16" t="str">
        <f>VLOOKUP(B692,Sheet3!$B$2:$E$312,3,)</f>
        <v>#N/A</v>
      </c>
      <c r="E692" s="29" t="str">
        <f>VLOOKUP(B692,Sheet3!$B$2:$E$312,4,)</f>
        <v>#N/A</v>
      </c>
      <c r="F692" s="29"/>
      <c r="G692" s="29"/>
      <c r="H692" s="29"/>
      <c r="I692" s="28"/>
      <c r="J692" s="28"/>
    </row>
    <row r="693" ht="15.75" hidden="1" customHeight="1">
      <c r="B693" s="16"/>
      <c r="C693" s="16" t="str">
        <f>VLOOKUP(B693,Sheet3!$B$2:$E$312,2,FALSE)</f>
        <v>#N/A</v>
      </c>
      <c r="D693" s="16" t="str">
        <f>VLOOKUP(B693,Sheet3!$B$2:$E$312,3,)</f>
        <v>#N/A</v>
      </c>
      <c r="E693" s="29" t="str">
        <f>VLOOKUP(B693,Sheet3!$B$2:$E$312,4,)</f>
        <v>#N/A</v>
      </c>
      <c r="F693" s="29"/>
      <c r="G693" s="29"/>
      <c r="H693" s="29"/>
      <c r="I693" s="28"/>
      <c r="J693" s="28"/>
    </row>
    <row r="694" ht="15.75" hidden="1" customHeight="1">
      <c r="B694" s="16"/>
      <c r="C694" s="16" t="str">
        <f>VLOOKUP(B694,Sheet3!$B$2:$E$312,2,FALSE)</f>
        <v>#N/A</v>
      </c>
      <c r="D694" s="16" t="str">
        <f>VLOOKUP(B694,Sheet3!$B$2:$E$312,3,)</f>
        <v>#N/A</v>
      </c>
      <c r="E694" s="29" t="str">
        <f>VLOOKUP(B694,Sheet3!$B$2:$E$312,4,)</f>
        <v>#N/A</v>
      </c>
      <c r="F694" s="29"/>
      <c r="G694" s="29"/>
      <c r="H694" s="29"/>
      <c r="I694" s="28"/>
      <c r="J694" s="28"/>
    </row>
    <row r="695" ht="15.75" hidden="1" customHeight="1">
      <c r="B695" s="16"/>
      <c r="C695" s="16" t="str">
        <f>VLOOKUP(B695,Sheet3!$B$2:$E$312,2,FALSE)</f>
        <v>#N/A</v>
      </c>
      <c r="D695" s="16" t="str">
        <f>VLOOKUP(B695,Sheet3!$B$2:$E$312,3,)</f>
        <v>#N/A</v>
      </c>
      <c r="E695" s="29" t="str">
        <f>VLOOKUP(B695,Sheet3!$B$2:$E$312,4,)</f>
        <v>#N/A</v>
      </c>
      <c r="F695" s="29"/>
      <c r="G695" s="29"/>
      <c r="H695" s="29"/>
      <c r="I695" s="28"/>
      <c r="J695" s="28"/>
    </row>
    <row r="696" ht="15.75" hidden="1" customHeight="1">
      <c r="B696" s="16"/>
      <c r="C696" s="16" t="str">
        <f>VLOOKUP(B696,Sheet3!$B$2:$E$312,2,FALSE)</f>
        <v>#N/A</v>
      </c>
      <c r="D696" s="16" t="str">
        <f>VLOOKUP(B696,Sheet3!$B$2:$E$312,3,)</f>
        <v>#N/A</v>
      </c>
      <c r="E696" s="29" t="str">
        <f>VLOOKUP(B696,Sheet3!$B$2:$E$312,4,)</f>
        <v>#N/A</v>
      </c>
      <c r="F696" s="29"/>
      <c r="G696" s="29"/>
      <c r="H696" s="29"/>
      <c r="I696" s="28"/>
      <c r="J696" s="28"/>
    </row>
    <row r="697" ht="15.75" hidden="1" customHeight="1">
      <c r="B697" s="16"/>
      <c r="C697" s="16" t="str">
        <f>VLOOKUP(B697,Sheet3!$B$2:$E$312,2,FALSE)</f>
        <v>#N/A</v>
      </c>
      <c r="D697" s="16" t="str">
        <f>VLOOKUP(B697,Sheet3!$B$2:$E$312,3,)</f>
        <v>#N/A</v>
      </c>
      <c r="E697" s="29" t="str">
        <f>VLOOKUP(B697,Sheet3!$B$2:$E$312,4,)</f>
        <v>#N/A</v>
      </c>
      <c r="F697" s="29"/>
      <c r="G697" s="29"/>
      <c r="H697" s="29"/>
      <c r="I697" s="28"/>
      <c r="J697" s="28"/>
    </row>
    <row r="698" ht="15.75" hidden="1" customHeight="1">
      <c r="B698" s="16"/>
      <c r="C698" s="16" t="str">
        <f>VLOOKUP(B698,Sheet3!$B$2:$E$312,2,FALSE)</f>
        <v>#N/A</v>
      </c>
      <c r="D698" s="16" t="str">
        <f>VLOOKUP(B698,Sheet3!$B$2:$E$312,3,)</f>
        <v>#N/A</v>
      </c>
      <c r="E698" s="29" t="str">
        <f>VLOOKUP(B698,Sheet3!$B$2:$E$312,4,)</f>
        <v>#N/A</v>
      </c>
      <c r="F698" s="29"/>
      <c r="G698" s="29"/>
      <c r="H698" s="29"/>
      <c r="I698" s="28"/>
      <c r="J698" s="28"/>
    </row>
    <row r="699" ht="15.75" hidden="1" customHeight="1">
      <c r="B699" s="16"/>
      <c r="C699" s="16" t="str">
        <f>VLOOKUP(B699,Sheet3!$B$2:$E$312,2,FALSE)</f>
        <v>#N/A</v>
      </c>
      <c r="D699" s="16" t="str">
        <f>VLOOKUP(B699,Sheet3!$B$2:$E$312,3,)</f>
        <v>#N/A</v>
      </c>
      <c r="E699" s="29" t="str">
        <f>VLOOKUP(B699,Sheet3!$B$2:$E$312,4,)</f>
        <v>#N/A</v>
      </c>
      <c r="F699" s="29"/>
      <c r="G699" s="29"/>
      <c r="H699" s="29"/>
      <c r="I699" s="28"/>
      <c r="J699" s="28"/>
    </row>
    <row r="700" ht="15.75" hidden="1" customHeight="1">
      <c r="B700" s="16"/>
      <c r="C700" s="16" t="str">
        <f>VLOOKUP(B700,Sheet3!$B$2:$E$312,2,FALSE)</f>
        <v>#N/A</v>
      </c>
      <c r="D700" s="16" t="str">
        <f>VLOOKUP(B700,Sheet3!$B$2:$E$312,3,)</f>
        <v>#N/A</v>
      </c>
      <c r="E700" s="29" t="str">
        <f>VLOOKUP(B700,Sheet3!$B$2:$E$312,4,)</f>
        <v>#N/A</v>
      </c>
      <c r="F700" s="29"/>
      <c r="G700" s="29"/>
      <c r="H700" s="29"/>
      <c r="I700" s="28"/>
      <c r="J700" s="28"/>
    </row>
    <row r="701" ht="15.75" hidden="1" customHeight="1">
      <c r="B701" s="16"/>
      <c r="C701" s="16" t="str">
        <f>VLOOKUP(B701,Sheet3!$B$2:$E$312,2,FALSE)</f>
        <v>#N/A</v>
      </c>
      <c r="D701" s="16" t="str">
        <f>VLOOKUP(B701,Sheet3!$B$2:$E$312,3,)</f>
        <v>#N/A</v>
      </c>
      <c r="E701" s="29" t="str">
        <f>VLOOKUP(B701,Sheet3!$B$2:$E$312,4,)</f>
        <v>#N/A</v>
      </c>
      <c r="F701" s="29"/>
      <c r="G701" s="29"/>
      <c r="H701" s="29"/>
      <c r="I701" s="28"/>
      <c r="J701" s="28"/>
    </row>
    <row r="702" ht="15.75" hidden="1" customHeight="1">
      <c r="B702" s="16"/>
      <c r="C702" s="16" t="str">
        <f>VLOOKUP(B702,Sheet3!$B$2:$E$312,2,FALSE)</f>
        <v>#N/A</v>
      </c>
      <c r="D702" s="16" t="str">
        <f>VLOOKUP(B702,Sheet3!$B$2:$E$312,3,)</f>
        <v>#N/A</v>
      </c>
      <c r="E702" s="29" t="str">
        <f>VLOOKUP(B702,Sheet3!$B$2:$E$312,4,)</f>
        <v>#N/A</v>
      </c>
      <c r="F702" s="29"/>
      <c r="G702" s="29"/>
      <c r="H702" s="29"/>
      <c r="I702" s="28"/>
      <c r="J702" s="28"/>
    </row>
    <row r="703" ht="15.75" hidden="1" customHeight="1">
      <c r="B703" s="16"/>
      <c r="C703" s="16" t="str">
        <f>VLOOKUP(B703,Sheet3!$B$2:$E$312,2,FALSE)</f>
        <v>#N/A</v>
      </c>
      <c r="D703" s="16" t="str">
        <f>VLOOKUP(B703,Sheet3!$B$2:$E$312,3,)</f>
        <v>#N/A</v>
      </c>
      <c r="E703" s="29" t="str">
        <f>VLOOKUP(B703,Sheet3!$B$2:$E$312,4,)</f>
        <v>#N/A</v>
      </c>
      <c r="F703" s="29"/>
      <c r="G703" s="29"/>
      <c r="H703" s="29"/>
      <c r="I703" s="28"/>
      <c r="J703" s="28"/>
    </row>
    <row r="704" ht="15.75" hidden="1" customHeight="1">
      <c r="B704" s="16"/>
      <c r="C704" s="16" t="str">
        <f>VLOOKUP(B704,Sheet3!$B$2:$E$312,2,FALSE)</f>
        <v>#N/A</v>
      </c>
      <c r="D704" s="16" t="str">
        <f>VLOOKUP(B704,Sheet3!$B$2:$E$312,3,)</f>
        <v>#N/A</v>
      </c>
      <c r="E704" s="29" t="str">
        <f>VLOOKUP(B704,Sheet3!$B$2:$E$312,4,)</f>
        <v>#N/A</v>
      </c>
      <c r="F704" s="29"/>
      <c r="G704" s="29"/>
      <c r="H704" s="29"/>
      <c r="I704" s="28"/>
      <c r="J704" s="28"/>
    </row>
    <row r="705" ht="15.75" hidden="1" customHeight="1">
      <c r="B705" s="16"/>
      <c r="C705" s="16" t="str">
        <f>VLOOKUP(B705,Sheet3!$B$2:$E$312,2,FALSE)</f>
        <v>#N/A</v>
      </c>
      <c r="D705" s="16" t="str">
        <f>VLOOKUP(B705,Sheet3!$B$2:$E$312,3,)</f>
        <v>#N/A</v>
      </c>
      <c r="E705" s="29" t="str">
        <f>VLOOKUP(B705,Sheet3!$B$2:$E$312,4,)</f>
        <v>#N/A</v>
      </c>
      <c r="F705" s="29"/>
      <c r="G705" s="29"/>
      <c r="H705" s="29"/>
      <c r="I705" s="28"/>
      <c r="J705" s="28"/>
    </row>
    <row r="706" ht="15.75" hidden="1" customHeight="1">
      <c r="B706" s="16"/>
      <c r="C706" s="16" t="str">
        <f>VLOOKUP(B706,Sheet3!$B$2:$E$312,2,FALSE)</f>
        <v>#N/A</v>
      </c>
      <c r="D706" s="16" t="str">
        <f>VLOOKUP(B706,Sheet3!$B$2:$E$312,3,)</f>
        <v>#N/A</v>
      </c>
      <c r="E706" s="29" t="str">
        <f>VLOOKUP(B706,Sheet3!$B$2:$E$312,4,)</f>
        <v>#N/A</v>
      </c>
      <c r="F706" s="29"/>
      <c r="G706" s="29"/>
      <c r="H706" s="29"/>
      <c r="I706" s="28"/>
      <c r="J706" s="28"/>
    </row>
    <row r="707" ht="15.75" hidden="1" customHeight="1">
      <c r="B707" s="16"/>
      <c r="C707" s="16" t="str">
        <f>VLOOKUP(B707,Sheet3!$B$2:$E$312,2,FALSE)</f>
        <v>#N/A</v>
      </c>
      <c r="D707" s="16" t="str">
        <f>VLOOKUP(B707,Sheet3!$B$2:$E$312,3,)</f>
        <v>#N/A</v>
      </c>
      <c r="E707" s="29" t="str">
        <f>VLOOKUP(B707,Sheet3!$B$2:$E$312,4,)</f>
        <v>#N/A</v>
      </c>
      <c r="F707" s="29"/>
      <c r="G707" s="29"/>
      <c r="H707" s="29"/>
      <c r="I707" s="28"/>
      <c r="J707" s="28"/>
    </row>
    <row r="708" ht="15.75" hidden="1" customHeight="1">
      <c r="B708" s="16"/>
      <c r="C708" s="16" t="str">
        <f>VLOOKUP(B708,Sheet3!$B$2:$E$312,2,FALSE)</f>
        <v>#N/A</v>
      </c>
      <c r="D708" s="16" t="str">
        <f>VLOOKUP(B708,Sheet3!$B$2:$E$312,3,)</f>
        <v>#N/A</v>
      </c>
      <c r="E708" s="29" t="str">
        <f>VLOOKUP(B708,Sheet3!$B$2:$E$312,4,)</f>
        <v>#N/A</v>
      </c>
      <c r="F708" s="29"/>
      <c r="G708" s="29"/>
      <c r="H708" s="29"/>
      <c r="I708" s="28"/>
      <c r="J708" s="28"/>
    </row>
    <row r="709" ht="15.75" hidden="1" customHeight="1">
      <c r="B709" s="16"/>
      <c r="C709" s="16" t="str">
        <f>VLOOKUP(B709,Sheet3!$B$2:$E$312,2,FALSE)</f>
        <v>#N/A</v>
      </c>
      <c r="D709" s="16" t="str">
        <f>VLOOKUP(B709,Sheet3!$B$2:$E$312,3,)</f>
        <v>#N/A</v>
      </c>
      <c r="E709" s="29" t="str">
        <f>VLOOKUP(B709,Sheet3!$B$2:$E$312,4,)</f>
        <v>#N/A</v>
      </c>
      <c r="F709" s="29"/>
      <c r="G709" s="29"/>
      <c r="H709" s="29"/>
      <c r="I709" s="28"/>
      <c r="J709" s="28"/>
    </row>
    <row r="710" ht="15.75" hidden="1" customHeight="1">
      <c r="B710" s="16"/>
      <c r="C710" s="16" t="str">
        <f>VLOOKUP(B710,Sheet3!$B$2:$E$312,2,FALSE)</f>
        <v>#N/A</v>
      </c>
      <c r="D710" s="16" t="str">
        <f>VLOOKUP(B710,Sheet3!$B$2:$E$312,3,)</f>
        <v>#N/A</v>
      </c>
      <c r="E710" s="29" t="str">
        <f>VLOOKUP(B710,Sheet3!$B$2:$E$312,4,)</f>
        <v>#N/A</v>
      </c>
      <c r="F710" s="29"/>
      <c r="G710" s="29"/>
      <c r="H710" s="29"/>
      <c r="I710" s="28"/>
      <c r="J710" s="28"/>
    </row>
    <row r="711" ht="15.75" hidden="1" customHeight="1">
      <c r="B711" s="16"/>
      <c r="C711" s="16" t="str">
        <f>VLOOKUP(B711,Sheet3!$B$2:$E$312,2,FALSE)</f>
        <v>#N/A</v>
      </c>
      <c r="D711" s="16" t="str">
        <f>VLOOKUP(B711,Sheet3!$B$2:$E$312,3,)</f>
        <v>#N/A</v>
      </c>
      <c r="E711" s="29" t="str">
        <f>VLOOKUP(B711,Sheet3!$B$2:$E$312,4,)</f>
        <v>#N/A</v>
      </c>
      <c r="F711" s="29"/>
      <c r="G711" s="29"/>
      <c r="H711" s="29"/>
      <c r="I711" s="28"/>
      <c r="J711" s="28"/>
    </row>
    <row r="712" ht="15.75" hidden="1" customHeight="1">
      <c r="B712" s="16"/>
      <c r="C712" s="16" t="str">
        <f>VLOOKUP(B712,Sheet3!$B$2:$E$312,2,FALSE)</f>
        <v>#N/A</v>
      </c>
      <c r="D712" s="16" t="str">
        <f>VLOOKUP(B712,Sheet3!$B$2:$E$312,3,)</f>
        <v>#N/A</v>
      </c>
      <c r="E712" s="29" t="str">
        <f>VLOOKUP(B712,Sheet3!$B$2:$E$312,4,)</f>
        <v>#N/A</v>
      </c>
      <c r="F712" s="29"/>
      <c r="G712" s="29"/>
      <c r="H712" s="29"/>
      <c r="I712" s="28"/>
      <c r="J712" s="28"/>
    </row>
    <row r="713" ht="15.75" hidden="1" customHeight="1">
      <c r="B713" s="16"/>
      <c r="C713" s="16" t="str">
        <f>VLOOKUP(B713,Sheet3!$B$2:$E$312,2,FALSE)</f>
        <v>#N/A</v>
      </c>
      <c r="D713" s="16" t="str">
        <f>VLOOKUP(B713,Sheet3!$B$2:$E$312,3,)</f>
        <v>#N/A</v>
      </c>
      <c r="E713" s="29" t="str">
        <f>VLOOKUP(B713,Sheet3!$B$2:$E$312,4,)</f>
        <v>#N/A</v>
      </c>
      <c r="F713" s="29"/>
      <c r="G713" s="29"/>
      <c r="H713" s="29"/>
      <c r="I713" s="28"/>
      <c r="J713" s="28"/>
    </row>
    <row r="714" ht="15.75" hidden="1" customHeight="1">
      <c r="B714" s="16"/>
      <c r="C714" s="16" t="str">
        <f>VLOOKUP(B714,Sheet3!$B$2:$E$312,2,FALSE)</f>
        <v>#N/A</v>
      </c>
      <c r="D714" s="16" t="str">
        <f>VLOOKUP(B714,Sheet3!$B$2:$E$312,3,)</f>
        <v>#N/A</v>
      </c>
      <c r="E714" s="29" t="str">
        <f>VLOOKUP(B714,Sheet3!$B$2:$E$312,4,)</f>
        <v>#N/A</v>
      </c>
      <c r="F714" s="29"/>
      <c r="G714" s="29"/>
      <c r="H714" s="29"/>
      <c r="I714" s="28"/>
      <c r="J714" s="28"/>
    </row>
    <row r="715" ht="15.75" hidden="1" customHeight="1">
      <c r="B715" s="16"/>
      <c r="C715" s="16" t="str">
        <f>VLOOKUP(B715,Sheet3!$B$2:$E$312,2,FALSE)</f>
        <v>#N/A</v>
      </c>
      <c r="D715" s="16" t="str">
        <f>VLOOKUP(B715,Sheet3!$B$2:$E$312,3,)</f>
        <v>#N/A</v>
      </c>
      <c r="E715" s="29" t="str">
        <f>VLOOKUP(B715,Sheet3!$B$2:$E$312,4,)</f>
        <v>#N/A</v>
      </c>
      <c r="F715" s="29"/>
      <c r="G715" s="29"/>
      <c r="H715" s="29"/>
      <c r="I715" s="28"/>
      <c r="J715" s="28"/>
    </row>
    <row r="716" ht="15.75" hidden="1" customHeight="1">
      <c r="B716" s="16"/>
      <c r="C716" s="16" t="str">
        <f>VLOOKUP(B716,Sheet3!$B$2:$E$312,2,FALSE)</f>
        <v>#N/A</v>
      </c>
      <c r="D716" s="16" t="str">
        <f>VLOOKUP(B716,Sheet3!$B$2:$E$312,3,)</f>
        <v>#N/A</v>
      </c>
      <c r="E716" s="29" t="str">
        <f>VLOOKUP(B716,Sheet3!$B$2:$E$312,4,)</f>
        <v>#N/A</v>
      </c>
      <c r="F716" s="29"/>
      <c r="G716" s="29"/>
      <c r="H716" s="29"/>
      <c r="I716" s="28"/>
      <c r="J716" s="28"/>
    </row>
    <row r="717" ht="15.75" hidden="1" customHeight="1">
      <c r="B717" s="16"/>
      <c r="C717" s="16" t="str">
        <f>VLOOKUP(B717,Sheet3!$B$2:$E$312,2,FALSE)</f>
        <v>#N/A</v>
      </c>
      <c r="D717" s="16" t="str">
        <f>VLOOKUP(B717,Sheet3!$B$2:$E$312,3,)</f>
        <v>#N/A</v>
      </c>
      <c r="E717" s="29" t="str">
        <f>VLOOKUP(B717,Sheet3!$B$2:$E$312,4,)</f>
        <v>#N/A</v>
      </c>
      <c r="F717" s="29"/>
      <c r="G717" s="29"/>
      <c r="H717" s="29"/>
      <c r="I717" s="28"/>
      <c r="J717" s="28"/>
    </row>
    <row r="718" ht="15.75" hidden="1" customHeight="1">
      <c r="B718" s="16"/>
      <c r="C718" s="16" t="str">
        <f>VLOOKUP(B718,Sheet3!$B$2:$E$312,2,FALSE)</f>
        <v>#N/A</v>
      </c>
      <c r="D718" s="16" t="str">
        <f>VLOOKUP(B718,Sheet3!$B$2:$E$312,3,)</f>
        <v>#N/A</v>
      </c>
      <c r="E718" s="29" t="str">
        <f>VLOOKUP(B718,Sheet3!$B$2:$E$312,4,)</f>
        <v>#N/A</v>
      </c>
      <c r="F718" s="29"/>
      <c r="G718" s="29"/>
      <c r="H718" s="29"/>
      <c r="I718" s="28"/>
      <c r="J718" s="28"/>
    </row>
    <row r="719" ht="15.75" hidden="1" customHeight="1">
      <c r="B719" s="16"/>
      <c r="C719" s="16" t="str">
        <f>VLOOKUP(B719,Sheet3!$B$2:$E$312,2,FALSE)</f>
        <v>#N/A</v>
      </c>
      <c r="D719" s="16" t="str">
        <f>VLOOKUP(B719,Sheet3!$B$2:$E$312,3,)</f>
        <v>#N/A</v>
      </c>
      <c r="E719" s="29" t="str">
        <f>VLOOKUP(B719,Sheet3!$B$2:$E$312,4,)</f>
        <v>#N/A</v>
      </c>
      <c r="F719" s="29"/>
      <c r="G719" s="29"/>
      <c r="H719" s="29"/>
      <c r="I719" s="28"/>
      <c r="J719" s="28"/>
    </row>
    <row r="720" ht="15.75" hidden="1" customHeight="1">
      <c r="B720" s="16"/>
      <c r="C720" s="16" t="str">
        <f>VLOOKUP(B720,Sheet3!$B$2:$E$312,2,FALSE)</f>
        <v>#N/A</v>
      </c>
      <c r="D720" s="16" t="str">
        <f>VLOOKUP(B720,Sheet3!$B$2:$E$312,3,)</f>
        <v>#N/A</v>
      </c>
      <c r="E720" s="29" t="str">
        <f>VLOOKUP(B720,Sheet3!$B$2:$E$312,4,)</f>
        <v>#N/A</v>
      </c>
      <c r="F720" s="29"/>
      <c r="G720" s="29"/>
      <c r="H720" s="29"/>
      <c r="I720" s="28"/>
      <c r="J720" s="28"/>
    </row>
    <row r="721" ht="15.75" hidden="1" customHeight="1">
      <c r="B721" s="16"/>
      <c r="C721" s="16" t="str">
        <f>VLOOKUP(B721,Sheet3!$B$2:$E$312,2,FALSE)</f>
        <v>#N/A</v>
      </c>
      <c r="D721" s="16" t="str">
        <f>VLOOKUP(B721,Sheet3!$B$2:$E$312,3,)</f>
        <v>#N/A</v>
      </c>
      <c r="E721" s="29" t="str">
        <f>VLOOKUP(B721,Sheet3!$B$2:$E$312,4,)</f>
        <v>#N/A</v>
      </c>
      <c r="F721" s="29"/>
      <c r="G721" s="29"/>
      <c r="H721" s="29"/>
      <c r="I721" s="28"/>
      <c r="J721" s="28"/>
    </row>
    <row r="722" ht="15.75" hidden="1" customHeight="1">
      <c r="B722" s="16"/>
      <c r="C722" s="16" t="str">
        <f>VLOOKUP(B722,Sheet3!$B$2:$E$312,2,FALSE)</f>
        <v>#N/A</v>
      </c>
      <c r="D722" s="16" t="str">
        <f>VLOOKUP(B722,Sheet3!$B$2:$E$312,3,)</f>
        <v>#N/A</v>
      </c>
      <c r="E722" s="29" t="str">
        <f>VLOOKUP(B722,Sheet3!$B$2:$E$312,4,)</f>
        <v>#N/A</v>
      </c>
      <c r="F722" s="29"/>
      <c r="G722" s="29"/>
      <c r="H722" s="29"/>
      <c r="I722" s="28"/>
      <c r="J722" s="28"/>
    </row>
    <row r="723" ht="15.75" hidden="1" customHeight="1">
      <c r="B723" s="16"/>
      <c r="C723" s="16" t="str">
        <f>VLOOKUP(B723,Sheet3!$B$2:$E$312,2,FALSE)</f>
        <v>#N/A</v>
      </c>
      <c r="D723" s="16" t="str">
        <f>VLOOKUP(B723,Sheet3!$B$2:$E$312,3,)</f>
        <v>#N/A</v>
      </c>
      <c r="E723" s="29" t="str">
        <f>VLOOKUP(B723,Sheet3!$B$2:$E$312,4,)</f>
        <v>#N/A</v>
      </c>
      <c r="F723" s="29"/>
      <c r="G723" s="29"/>
      <c r="H723" s="29"/>
      <c r="I723" s="28"/>
      <c r="J723" s="28"/>
    </row>
    <row r="724" ht="15.75" hidden="1" customHeight="1">
      <c r="B724" s="16"/>
      <c r="C724" s="16" t="str">
        <f>VLOOKUP(B724,Sheet3!$B$2:$E$312,2,FALSE)</f>
        <v>#N/A</v>
      </c>
      <c r="D724" s="16" t="str">
        <f>VLOOKUP(B724,Sheet3!$B$2:$E$312,3,)</f>
        <v>#N/A</v>
      </c>
      <c r="E724" s="29" t="str">
        <f>VLOOKUP(B724,Sheet3!$B$2:$E$312,4,)</f>
        <v>#N/A</v>
      </c>
      <c r="F724" s="29"/>
      <c r="G724" s="29"/>
      <c r="H724" s="29"/>
      <c r="I724" s="28"/>
      <c r="J724" s="28"/>
    </row>
    <row r="725" ht="15.75" hidden="1" customHeight="1">
      <c r="B725" s="16"/>
      <c r="C725" s="16" t="str">
        <f>VLOOKUP(B725,Sheet3!$B$2:$E$312,2,FALSE)</f>
        <v>#N/A</v>
      </c>
      <c r="D725" s="16" t="str">
        <f>VLOOKUP(B725,Sheet3!$B$2:$E$312,3,)</f>
        <v>#N/A</v>
      </c>
      <c r="E725" s="29" t="str">
        <f>VLOOKUP(B725,Sheet3!$B$2:$E$312,4,)</f>
        <v>#N/A</v>
      </c>
      <c r="F725" s="29"/>
      <c r="G725" s="29"/>
      <c r="H725" s="29"/>
      <c r="I725" s="28"/>
      <c r="J725" s="28"/>
    </row>
    <row r="726" ht="15.75" hidden="1" customHeight="1">
      <c r="B726" s="16"/>
      <c r="C726" s="16" t="str">
        <f>VLOOKUP(B726,Sheet3!$B$2:$E$312,2,FALSE)</f>
        <v>#N/A</v>
      </c>
      <c r="D726" s="16" t="str">
        <f>VLOOKUP(B726,Sheet3!$B$2:$E$312,3,)</f>
        <v>#N/A</v>
      </c>
      <c r="E726" s="29"/>
      <c r="F726" s="29"/>
      <c r="G726" s="29"/>
      <c r="H726" s="29"/>
      <c r="I726" s="28"/>
      <c r="J726" s="28"/>
    </row>
    <row r="727" ht="15.75" hidden="1" customHeight="1">
      <c r="B727" s="16"/>
      <c r="C727" s="16" t="str">
        <f>VLOOKUP(B727,Sheet3!$B$2:$E$312,2,FALSE)</f>
        <v>#N/A</v>
      </c>
      <c r="D727" s="16" t="str">
        <f>VLOOKUP(B727,Sheet3!$B$2:$E$312,3,)</f>
        <v>#N/A</v>
      </c>
      <c r="E727" s="29"/>
      <c r="F727" s="29"/>
      <c r="G727" s="29"/>
      <c r="H727" s="29"/>
      <c r="I727" s="28"/>
      <c r="J727" s="28"/>
    </row>
    <row r="728" ht="15.75" hidden="1" customHeight="1">
      <c r="B728" s="16"/>
      <c r="C728" s="16" t="str">
        <f>VLOOKUP(B728,Sheet3!$B$2:$E$312,2,FALSE)</f>
        <v>#N/A</v>
      </c>
      <c r="D728" s="16" t="str">
        <f>VLOOKUP(B728,Sheet3!$B$2:$E$312,3,)</f>
        <v>#N/A</v>
      </c>
      <c r="E728" s="29"/>
      <c r="F728" s="29"/>
      <c r="G728" s="29"/>
      <c r="H728" s="29"/>
      <c r="I728" s="28"/>
      <c r="J728" s="28"/>
    </row>
    <row r="729" ht="15.75" hidden="1" customHeight="1">
      <c r="B729" s="16"/>
      <c r="C729" s="16" t="str">
        <f>VLOOKUP(B729,Sheet3!$B$2:$E$312,2,FALSE)</f>
        <v>#N/A</v>
      </c>
      <c r="D729" s="16" t="str">
        <f>VLOOKUP(B729,Sheet3!$B$2:$E$312,3,)</f>
        <v>#N/A</v>
      </c>
      <c r="E729" s="29"/>
      <c r="F729" s="29"/>
      <c r="G729" s="29"/>
      <c r="H729" s="29"/>
      <c r="I729" s="28"/>
      <c r="J729" s="28"/>
    </row>
    <row r="730" ht="15.75" hidden="1" customHeight="1">
      <c r="B730" s="16"/>
      <c r="C730" s="16" t="str">
        <f>VLOOKUP(B730,Sheet3!$B$2:$E$312,2,FALSE)</f>
        <v>#N/A</v>
      </c>
      <c r="D730" s="16" t="str">
        <f>VLOOKUP(B730,Sheet3!$B$2:$E$312,3,)</f>
        <v>#N/A</v>
      </c>
      <c r="E730" s="29"/>
      <c r="F730" s="29"/>
      <c r="G730" s="29"/>
      <c r="H730" s="29"/>
      <c r="I730" s="28"/>
      <c r="J730" s="28"/>
    </row>
    <row r="731" ht="15.75" hidden="1" customHeight="1">
      <c r="B731" s="16"/>
      <c r="C731" s="16" t="str">
        <f>VLOOKUP(B731,Sheet3!$B$2:$E$312,2,FALSE)</f>
        <v>#N/A</v>
      </c>
      <c r="D731" s="16" t="str">
        <f>VLOOKUP(B731,Sheet3!$B$2:$E$312,3,)</f>
        <v>#N/A</v>
      </c>
      <c r="E731" s="29"/>
      <c r="F731" s="29"/>
      <c r="G731" s="29"/>
      <c r="H731" s="29"/>
      <c r="I731" s="28"/>
      <c r="J731" s="28"/>
    </row>
    <row r="732" ht="15.75" hidden="1" customHeight="1">
      <c r="B732" s="16"/>
      <c r="C732" s="16" t="str">
        <f>VLOOKUP(B732,Sheet3!$B$2:$E$312,2,FALSE)</f>
        <v>#N/A</v>
      </c>
      <c r="D732" s="16" t="str">
        <f>VLOOKUP(B732,Sheet3!$B$2:$E$312,3,)</f>
        <v>#N/A</v>
      </c>
      <c r="E732" s="29"/>
      <c r="F732" s="29"/>
      <c r="G732" s="29"/>
      <c r="H732" s="29"/>
      <c r="I732" s="28"/>
      <c r="J732" s="28"/>
    </row>
    <row r="733" ht="15.75" hidden="1" customHeight="1">
      <c r="B733" s="16"/>
      <c r="C733" s="16" t="str">
        <f>VLOOKUP(B733,Sheet3!$B$2:$E$312,2,FALSE)</f>
        <v>#N/A</v>
      </c>
      <c r="D733" s="16" t="str">
        <f>VLOOKUP(B733,Sheet3!$B$2:$E$312,3,)</f>
        <v>#N/A</v>
      </c>
      <c r="E733" s="29"/>
      <c r="F733" s="29"/>
      <c r="G733" s="29"/>
      <c r="H733" s="29"/>
      <c r="I733" s="28"/>
      <c r="J733" s="28"/>
    </row>
    <row r="734" ht="15.75" hidden="1" customHeight="1">
      <c r="B734" s="16"/>
      <c r="C734" s="16" t="str">
        <f>VLOOKUP(B734,Sheet3!$B$2:$E$312,2,FALSE)</f>
        <v>#N/A</v>
      </c>
      <c r="E734" s="29"/>
      <c r="F734" s="29"/>
      <c r="G734" s="29"/>
      <c r="H734" s="29"/>
      <c r="I734" s="28"/>
      <c r="J734" s="28"/>
    </row>
    <row r="735" ht="15.75" hidden="1" customHeight="1">
      <c r="B735" s="16"/>
      <c r="C735" s="16" t="str">
        <f>VLOOKUP(B735,Sheet3!$B$2:$E$312,2,FALSE)</f>
        <v>#N/A</v>
      </c>
      <c r="E735" s="29"/>
      <c r="F735" s="29"/>
      <c r="G735" s="29"/>
      <c r="H735" s="29"/>
      <c r="I735" s="28"/>
      <c r="J735" s="28"/>
    </row>
    <row r="736" ht="15.75" hidden="1" customHeight="1">
      <c r="B736" s="16"/>
      <c r="E736" s="29"/>
      <c r="F736" s="29"/>
      <c r="G736" s="29"/>
      <c r="H736" s="29"/>
      <c r="I736" s="28"/>
      <c r="J736" s="28"/>
    </row>
    <row r="737" ht="15.75" hidden="1" customHeight="1">
      <c r="B737" s="16"/>
      <c r="E737" s="29"/>
      <c r="F737" s="29"/>
      <c r="G737" s="29"/>
      <c r="H737" s="29"/>
      <c r="I737" s="28"/>
      <c r="J737" s="28"/>
    </row>
    <row r="738" ht="15.75" hidden="1" customHeight="1">
      <c r="B738" s="16"/>
      <c r="E738" s="29"/>
      <c r="F738" s="29"/>
      <c r="G738" s="29"/>
      <c r="H738" s="29"/>
      <c r="I738" s="28"/>
      <c r="J738" s="28"/>
    </row>
    <row r="739" ht="15.75" hidden="1" customHeight="1">
      <c r="B739" s="16"/>
      <c r="E739" s="29"/>
      <c r="F739" s="29"/>
      <c r="G739" s="29"/>
      <c r="H739" s="29"/>
      <c r="I739" s="28"/>
      <c r="J739" s="28"/>
    </row>
    <row r="740" ht="15.75" hidden="1" customHeight="1">
      <c r="B740" s="16"/>
      <c r="E740" s="29"/>
      <c r="F740" s="29"/>
      <c r="G740" s="29"/>
      <c r="H740" s="29"/>
      <c r="I740" s="28"/>
      <c r="J740" s="28"/>
    </row>
    <row r="741" ht="15.75" hidden="1" customHeight="1">
      <c r="B741" s="16"/>
      <c r="E741" s="29"/>
      <c r="F741" s="29"/>
      <c r="G741" s="29"/>
      <c r="H741" s="29"/>
      <c r="I741" s="28"/>
      <c r="J741" s="28"/>
    </row>
    <row r="742" ht="15.75" hidden="1" customHeight="1">
      <c r="E742" s="29"/>
      <c r="F742" s="29"/>
      <c r="G742" s="29"/>
      <c r="H742" s="29"/>
      <c r="I742" s="28"/>
      <c r="J742" s="28"/>
    </row>
    <row r="743" ht="15.75" hidden="1" customHeight="1">
      <c r="E743" s="29"/>
      <c r="F743" s="29"/>
      <c r="G743" s="29"/>
      <c r="H743" s="29"/>
      <c r="I743" s="28"/>
      <c r="J743" s="28"/>
    </row>
    <row r="744" ht="15.75" hidden="1" customHeight="1">
      <c r="E744" s="29"/>
      <c r="F744" s="29"/>
      <c r="G744" s="29"/>
      <c r="H744" s="29"/>
      <c r="I744" s="28"/>
      <c r="J744" s="28"/>
    </row>
    <row r="745" ht="15.75" hidden="1" customHeight="1">
      <c r="E745" s="29"/>
      <c r="F745" s="29"/>
      <c r="G745" s="29"/>
      <c r="H745" s="29"/>
      <c r="I745" s="28"/>
      <c r="J745" s="28"/>
    </row>
    <row r="746" ht="15.75" hidden="1" customHeight="1">
      <c r="E746" s="29"/>
      <c r="F746" s="29"/>
      <c r="G746" s="29"/>
      <c r="H746" s="29"/>
      <c r="I746" s="28"/>
      <c r="J746" s="28"/>
    </row>
    <row r="747" ht="15.75" hidden="1" customHeight="1">
      <c r="E747" s="29"/>
      <c r="F747" s="29"/>
      <c r="G747" s="29"/>
      <c r="H747" s="29"/>
      <c r="I747" s="28"/>
      <c r="J747" s="28"/>
    </row>
    <row r="748" ht="15.75" hidden="1" customHeight="1">
      <c r="E748" s="29"/>
      <c r="F748" s="29"/>
      <c r="G748" s="29"/>
      <c r="H748" s="29"/>
      <c r="I748" s="28"/>
      <c r="J748" s="28"/>
    </row>
    <row r="749" ht="15.75" hidden="1" customHeight="1">
      <c r="E749" s="29"/>
      <c r="F749" s="29"/>
      <c r="G749" s="29"/>
      <c r="H749" s="29"/>
      <c r="I749" s="28"/>
      <c r="J749" s="28"/>
    </row>
    <row r="750" ht="15.75" hidden="1" customHeight="1">
      <c r="E750" s="29"/>
      <c r="F750" s="29"/>
      <c r="G750" s="29"/>
      <c r="H750" s="29"/>
      <c r="I750" s="28"/>
      <c r="J750" s="28"/>
    </row>
    <row r="751" ht="15.75" hidden="1" customHeight="1">
      <c r="E751" s="29"/>
      <c r="F751" s="29"/>
      <c r="G751" s="29"/>
      <c r="H751" s="29"/>
      <c r="I751" s="28"/>
      <c r="J751" s="28"/>
    </row>
    <row r="752" ht="15.75" hidden="1" customHeight="1">
      <c r="E752" s="29"/>
      <c r="F752" s="29"/>
      <c r="G752" s="29"/>
      <c r="H752" s="29"/>
      <c r="I752" s="28"/>
      <c r="J752" s="28"/>
    </row>
    <row r="753" ht="15.75" hidden="1" customHeight="1">
      <c r="E753" s="29"/>
      <c r="F753" s="29"/>
      <c r="G753" s="29"/>
      <c r="H753" s="29"/>
      <c r="I753" s="28"/>
      <c r="J753" s="28"/>
    </row>
    <row r="754" ht="15.75" hidden="1" customHeight="1">
      <c r="E754" s="29"/>
      <c r="F754" s="29"/>
      <c r="G754" s="29"/>
      <c r="H754" s="29"/>
      <c r="I754" s="28"/>
      <c r="J754" s="28"/>
    </row>
    <row r="755" ht="15.75" hidden="1" customHeight="1">
      <c r="E755" s="29"/>
      <c r="F755" s="29"/>
      <c r="G755" s="29"/>
      <c r="H755" s="29"/>
      <c r="I755" s="28"/>
      <c r="J755" s="28"/>
    </row>
    <row r="756" ht="15.75" hidden="1" customHeight="1">
      <c r="E756" s="29"/>
      <c r="F756" s="29"/>
      <c r="G756" s="29"/>
      <c r="H756" s="29"/>
      <c r="I756" s="28"/>
      <c r="J756" s="28"/>
    </row>
    <row r="757" ht="15.75" hidden="1" customHeight="1">
      <c r="E757" s="29"/>
      <c r="F757" s="29"/>
      <c r="G757" s="29"/>
      <c r="H757" s="29"/>
      <c r="I757" s="28"/>
      <c r="J757" s="28"/>
    </row>
    <row r="758" ht="15.75" hidden="1" customHeight="1">
      <c r="E758" s="29"/>
      <c r="F758" s="29"/>
      <c r="G758" s="29"/>
      <c r="H758" s="29"/>
      <c r="I758" s="28"/>
      <c r="J758" s="28"/>
    </row>
    <row r="759" ht="15.75" hidden="1" customHeight="1">
      <c r="E759" s="29"/>
      <c r="F759" s="29"/>
      <c r="G759" s="29"/>
      <c r="H759" s="29"/>
      <c r="I759" s="28"/>
      <c r="J759" s="28"/>
    </row>
    <row r="760" ht="15.75" hidden="1" customHeight="1">
      <c r="E760" s="29"/>
      <c r="F760" s="29"/>
      <c r="G760" s="29"/>
      <c r="H760" s="29"/>
      <c r="I760" s="28"/>
      <c r="J760" s="28"/>
    </row>
    <row r="761" ht="15.75" hidden="1" customHeight="1">
      <c r="E761" s="29"/>
      <c r="F761" s="29"/>
      <c r="G761" s="29"/>
      <c r="H761" s="29"/>
      <c r="I761" s="28"/>
      <c r="J761" s="28"/>
    </row>
    <row r="762" ht="15.75" hidden="1" customHeight="1">
      <c r="E762" s="29"/>
      <c r="F762" s="29"/>
      <c r="G762" s="29"/>
      <c r="H762" s="29"/>
      <c r="I762" s="28"/>
      <c r="J762" s="28"/>
    </row>
    <row r="763" ht="15.75" hidden="1" customHeight="1">
      <c r="E763" s="29"/>
      <c r="F763" s="29"/>
      <c r="G763" s="29"/>
      <c r="H763" s="29"/>
      <c r="I763" s="28"/>
      <c r="J763" s="28"/>
    </row>
    <row r="764" ht="15.75" hidden="1" customHeight="1">
      <c r="E764" s="29"/>
      <c r="F764" s="29"/>
      <c r="G764" s="29"/>
      <c r="H764" s="29"/>
      <c r="I764" s="28"/>
      <c r="J764" s="28"/>
    </row>
    <row r="765" ht="15.75" hidden="1" customHeight="1">
      <c r="E765" s="29"/>
      <c r="F765" s="29"/>
      <c r="G765" s="29"/>
      <c r="H765" s="29"/>
      <c r="I765" s="28"/>
      <c r="J765" s="28"/>
    </row>
    <row r="766" ht="15.75" hidden="1" customHeight="1">
      <c r="E766" s="29"/>
      <c r="F766" s="29"/>
      <c r="G766" s="29"/>
      <c r="H766" s="29"/>
      <c r="I766" s="28"/>
      <c r="J766" s="28"/>
    </row>
    <row r="767" ht="15.75" hidden="1" customHeight="1">
      <c r="E767" s="29"/>
      <c r="F767" s="29"/>
      <c r="G767" s="29"/>
      <c r="H767" s="29"/>
      <c r="I767" s="28"/>
      <c r="J767" s="28"/>
    </row>
    <row r="768" ht="15.75" hidden="1" customHeight="1">
      <c r="E768" s="29"/>
      <c r="F768" s="29"/>
      <c r="G768" s="29"/>
      <c r="H768" s="29"/>
      <c r="I768" s="28"/>
      <c r="J768" s="28"/>
    </row>
    <row r="769" ht="15.75" hidden="1" customHeight="1">
      <c r="E769" s="29"/>
      <c r="F769" s="29"/>
      <c r="G769" s="29"/>
      <c r="H769" s="29"/>
      <c r="I769" s="28"/>
      <c r="J769" s="28"/>
    </row>
    <row r="770" ht="15.75" hidden="1" customHeight="1">
      <c r="E770" s="29"/>
      <c r="F770" s="29"/>
      <c r="G770" s="29"/>
      <c r="H770" s="29"/>
      <c r="I770" s="28"/>
      <c r="J770" s="28"/>
    </row>
    <row r="771" ht="15.75" hidden="1" customHeight="1">
      <c r="E771" s="29"/>
      <c r="F771" s="29"/>
      <c r="G771" s="29"/>
      <c r="H771" s="29"/>
      <c r="I771" s="28"/>
      <c r="J771" s="28"/>
    </row>
    <row r="772" ht="15.75" hidden="1" customHeight="1">
      <c r="E772" s="29"/>
      <c r="F772" s="29"/>
      <c r="G772" s="29"/>
      <c r="H772" s="29"/>
      <c r="I772" s="28"/>
      <c r="J772" s="28"/>
    </row>
    <row r="773" ht="15.75" hidden="1" customHeight="1">
      <c r="E773" s="29"/>
      <c r="F773" s="29"/>
      <c r="G773" s="29"/>
      <c r="H773" s="29"/>
      <c r="I773" s="28"/>
      <c r="J773" s="28"/>
    </row>
    <row r="774" ht="15.75" hidden="1" customHeight="1">
      <c r="E774" s="29"/>
      <c r="F774" s="29"/>
      <c r="G774" s="29"/>
      <c r="H774" s="29"/>
      <c r="I774" s="28"/>
      <c r="J774" s="28"/>
    </row>
    <row r="775" ht="15.75" hidden="1" customHeight="1">
      <c r="E775" s="29"/>
      <c r="F775" s="29"/>
      <c r="G775" s="29"/>
      <c r="H775" s="29"/>
      <c r="I775" s="28"/>
      <c r="J775" s="28"/>
    </row>
    <row r="776" ht="15.75" hidden="1" customHeight="1">
      <c r="E776" s="29"/>
      <c r="F776" s="29"/>
      <c r="G776" s="29"/>
      <c r="H776" s="29"/>
      <c r="I776" s="28"/>
      <c r="J776" s="28"/>
    </row>
    <row r="777" ht="15.75" hidden="1" customHeight="1">
      <c r="E777" s="29"/>
      <c r="F777" s="29"/>
      <c r="G777" s="29"/>
      <c r="H777" s="29"/>
      <c r="I777" s="28"/>
      <c r="J777" s="28"/>
    </row>
    <row r="778" ht="15.75" hidden="1" customHeight="1">
      <c r="E778" s="29"/>
      <c r="F778" s="29"/>
      <c r="G778" s="29"/>
      <c r="H778" s="29"/>
      <c r="I778" s="28"/>
      <c r="J778" s="28"/>
    </row>
    <row r="779" ht="15.75" hidden="1" customHeight="1">
      <c r="E779" s="29"/>
      <c r="F779" s="29"/>
      <c r="G779" s="29"/>
      <c r="H779" s="29"/>
      <c r="I779" s="28"/>
      <c r="J779" s="28"/>
    </row>
    <row r="780" ht="15.75" hidden="1" customHeight="1">
      <c r="E780" s="29"/>
      <c r="F780" s="29"/>
      <c r="G780" s="29"/>
      <c r="H780" s="29"/>
      <c r="I780" s="28"/>
      <c r="J780" s="28"/>
    </row>
    <row r="781" ht="15.75" hidden="1" customHeight="1">
      <c r="E781" s="29"/>
      <c r="F781" s="29"/>
      <c r="G781" s="29"/>
      <c r="H781" s="29"/>
      <c r="I781" s="28"/>
      <c r="J781" s="28"/>
    </row>
    <row r="782" ht="15.75" hidden="1" customHeight="1">
      <c r="E782" s="29"/>
      <c r="F782" s="29"/>
      <c r="G782" s="29"/>
      <c r="H782" s="29"/>
      <c r="I782" s="28"/>
      <c r="J782" s="28"/>
    </row>
    <row r="783" ht="15.75" hidden="1" customHeight="1">
      <c r="E783" s="29"/>
      <c r="F783" s="29"/>
      <c r="G783" s="29"/>
      <c r="H783" s="29"/>
      <c r="I783" s="28"/>
      <c r="J783" s="28"/>
    </row>
    <row r="784" ht="15.75" hidden="1" customHeight="1">
      <c r="E784" s="29"/>
      <c r="F784" s="29"/>
      <c r="G784" s="29"/>
      <c r="H784" s="29"/>
      <c r="I784" s="28"/>
      <c r="J784" s="28"/>
    </row>
    <row r="785" ht="15.75" hidden="1" customHeight="1">
      <c r="E785" s="29"/>
      <c r="F785" s="29"/>
      <c r="G785" s="29"/>
      <c r="H785" s="29"/>
      <c r="I785" s="28"/>
      <c r="J785" s="28"/>
    </row>
    <row r="786" ht="15.75" hidden="1" customHeight="1">
      <c r="E786" s="29"/>
      <c r="F786" s="29"/>
      <c r="G786" s="29"/>
      <c r="H786" s="29"/>
      <c r="I786" s="28"/>
      <c r="J786" s="28"/>
    </row>
    <row r="787" ht="15.75" hidden="1" customHeight="1">
      <c r="E787" s="29"/>
      <c r="F787" s="29"/>
      <c r="G787" s="29"/>
      <c r="H787" s="29"/>
      <c r="I787" s="28"/>
      <c r="J787" s="28"/>
    </row>
    <row r="788" ht="15.75" hidden="1" customHeight="1">
      <c r="E788" s="29"/>
      <c r="F788" s="29"/>
      <c r="G788" s="29"/>
      <c r="H788" s="29"/>
      <c r="I788" s="28"/>
      <c r="J788" s="28"/>
    </row>
    <row r="789" ht="15.75" hidden="1" customHeight="1">
      <c r="E789" s="29"/>
      <c r="F789" s="29"/>
      <c r="G789" s="29"/>
      <c r="H789" s="29"/>
      <c r="I789" s="28"/>
      <c r="J789" s="28"/>
    </row>
    <row r="790" ht="15.75" hidden="1" customHeight="1">
      <c r="E790" s="29"/>
      <c r="F790" s="29"/>
      <c r="G790" s="29"/>
      <c r="H790" s="29"/>
      <c r="I790" s="28"/>
      <c r="J790" s="28"/>
    </row>
    <row r="791" ht="15.75" hidden="1" customHeight="1">
      <c r="E791" s="29"/>
      <c r="F791" s="29"/>
      <c r="G791" s="29"/>
      <c r="H791" s="29"/>
      <c r="I791" s="28"/>
      <c r="J791" s="28"/>
    </row>
    <row r="792" ht="15.75" hidden="1" customHeight="1">
      <c r="E792" s="29"/>
      <c r="F792" s="29"/>
      <c r="G792" s="29"/>
      <c r="H792" s="29"/>
      <c r="I792" s="28"/>
      <c r="J792" s="28"/>
    </row>
    <row r="793" ht="15.75" hidden="1" customHeight="1">
      <c r="E793" s="29"/>
      <c r="F793" s="29"/>
      <c r="G793" s="29"/>
      <c r="H793" s="29"/>
      <c r="I793" s="28"/>
      <c r="J793" s="28"/>
    </row>
    <row r="794" ht="15.75" hidden="1" customHeight="1">
      <c r="E794" s="29"/>
      <c r="F794" s="29"/>
      <c r="G794" s="29"/>
      <c r="H794" s="29"/>
      <c r="I794" s="28"/>
      <c r="J794" s="28"/>
    </row>
    <row r="795" ht="15.75" hidden="1" customHeight="1">
      <c r="E795" s="29"/>
      <c r="F795" s="29"/>
      <c r="G795" s="29"/>
      <c r="H795" s="29"/>
      <c r="I795" s="28"/>
      <c r="J795" s="28"/>
    </row>
    <row r="796" ht="15.75" hidden="1" customHeight="1">
      <c r="E796" s="29"/>
      <c r="F796" s="29"/>
      <c r="G796" s="29"/>
      <c r="H796" s="29"/>
      <c r="I796" s="28"/>
      <c r="J796" s="28"/>
    </row>
    <row r="797" ht="15.75" hidden="1" customHeight="1">
      <c r="E797" s="29"/>
      <c r="F797" s="29"/>
      <c r="G797" s="29"/>
      <c r="H797" s="29"/>
      <c r="I797" s="28"/>
      <c r="J797" s="28"/>
    </row>
    <row r="798" ht="15.75" hidden="1" customHeight="1">
      <c r="E798" s="29"/>
      <c r="F798" s="29"/>
      <c r="G798" s="29"/>
      <c r="H798" s="29"/>
      <c r="I798" s="28"/>
      <c r="J798" s="28"/>
    </row>
    <row r="799" ht="15.75" hidden="1" customHeight="1">
      <c r="E799" s="29"/>
      <c r="F799" s="29"/>
      <c r="G799" s="29"/>
      <c r="H799" s="29"/>
      <c r="I799" s="28"/>
      <c r="J799" s="28"/>
    </row>
    <row r="800" ht="15.75" hidden="1" customHeight="1">
      <c r="E800" s="29"/>
      <c r="F800" s="29"/>
      <c r="G800" s="29"/>
      <c r="H800" s="29"/>
      <c r="I800" s="28"/>
      <c r="J800" s="28"/>
    </row>
    <row r="801" ht="15.75" hidden="1" customHeight="1">
      <c r="E801" s="29"/>
      <c r="F801" s="29"/>
      <c r="G801" s="29"/>
      <c r="H801" s="29"/>
      <c r="I801" s="28"/>
      <c r="J801" s="28"/>
    </row>
    <row r="802" ht="15.75" hidden="1" customHeight="1">
      <c r="E802" s="29"/>
      <c r="F802" s="29"/>
      <c r="G802" s="29"/>
      <c r="H802" s="29"/>
      <c r="I802" s="28"/>
      <c r="J802" s="28"/>
    </row>
    <row r="803" ht="15.75" hidden="1" customHeight="1">
      <c r="E803" s="29"/>
      <c r="F803" s="29"/>
      <c r="G803" s="29"/>
      <c r="H803" s="29"/>
      <c r="I803" s="28"/>
      <c r="J803" s="28"/>
    </row>
    <row r="804" ht="15.75" hidden="1" customHeight="1">
      <c r="E804" s="29"/>
      <c r="F804" s="29"/>
      <c r="G804" s="29"/>
      <c r="H804" s="29"/>
      <c r="I804" s="28"/>
      <c r="J804" s="28"/>
    </row>
    <row r="805" ht="15.75" hidden="1" customHeight="1">
      <c r="E805" s="29"/>
      <c r="F805" s="29"/>
      <c r="G805" s="29"/>
      <c r="H805" s="29"/>
      <c r="I805" s="28"/>
      <c r="J805" s="28"/>
    </row>
    <row r="806" ht="15.75" hidden="1" customHeight="1">
      <c r="E806" s="29"/>
      <c r="F806" s="29"/>
      <c r="G806" s="29"/>
      <c r="H806" s="29"/>
      <c r="I806" s="28"/>
      <c r="J806" s="28"/>
    </row>
    <row r="807" ht="15.75" hidden="1" customHeight="1">
      <c r="E807" s="29"/>
      <c r="F807" s="29"/>
      <c r="G807" s="29"/>
      <c r="H807" s="29"/>
      <c r="I807" s="28"/>
      <c r="J807" s="28"/>
    </row>
    <row r="808" ht="15.75" hidden="1" customHeight="1">
      <c r="E808" s="29"/>
      <c r="F808" s="29"/>
      <c r="G808" s="29"/>
      <c r="H808" s="29"/>
      <c r="I808" s="28"/>
      <c r="J808" s="28"/>
    </row>
    <row r="809" ht="15.75" hidden="1" customHeight="1">
      <c r="E809" s="29"/>
      <c r="F809" s="29"/>
      <c r="G809" s="29"/>
      <c r="H809" s="29"/>
      <c r="I809" s="28"/>
      <c r="J809" s="28"/>
    </row>
    <row r="810" ht="15.75" hidden="1" customHeight="1">
      <c r="E810" s="29"/>
      <c r="F810" s="29"/>
      <c r="G810" s="29"/>
      <c r="H810" s="29"/>
      <c r="I810" s="28"/>
      <c r="J810" s="28"/>
    </row>
    <row r="811" ht="15.75" hidden="1" customHeight="1">
      <c r="E811" s="29"/>
      <c r="F811" s="29"/>
      <c r="G811" s="29"/>
      <c r="H811" s="29"/>
      <c r="I811" s="28"/>
      <c r="J811" s="28"/>
    </row>
    <row r="812" ht="15.75" hidden="1" customHeight="1">
      <c r="E812" s="29"/>
      <c r="F812" s="29"/>
      <c r="G812" s="29"/>
      <c r="H812" s="29"/>
      <c r="I812" s="28"/>
      <c r="J812" s="28"/>
    </row>
    <row r="813" ht="15.75" hidden="1" customHeight="1">
      <c r="E813" s="29"/>
      <c r="F813" s="29"/>
      <c r="G813" s="29"/>
      <c r="H813" s="29"/>
      <c r="I813" s="28"/>
      <c r="J813" s="28"/>
    </row>
    <row r="814" ht="15.75" hidden="1" customHeight="1">
      <c r="E814" s="29"/>
      <c r="F814" s="29"/>
      <c r="G814" s="29"/>
      <c r="H814" s="29"/>
      <c r="I814" s="28"/>
      <c r="J814" s="28"/>
    </row>
    <row r="815" ht="15.75" hidden="1" customHeight="1">
      <c r="E815" s="29"/>
      <c r="F815" s="29"/>
      <c r="G815" s="29"/>
      <c r="H815" s="29"/>
      <c r="I815" s="28"/>
      <c r="J815" s="28"/>
    </row>
    <row r="816" ht="15.75" hidden="1" customHeight="1">
      <c r="E816" s="29"/>
      <c r="F816" s="29"/>
      <c r="G816" s="29"/>
      <c r="H816" s="29"/>
      <c r="I816" s="28"/>
      <c r="J816" s="28"/>
    </row>
    <row r="817" ht="15.75" hidden="1" customHeight="1">
      <c r="E817" s="29"/>
      <c r="F817" s="29"/>
      <c r="G817" s="29"/>
      <c r="H817" s="29"/>
      <c r="I817" s="28"/>
      <c r="J817" s="28"/>
    </row>
    <row r="818" ht="15.75" hidden="1" customHeight="1">
      <c r="E818" s="29"/>
      <c r="F818" s="29"/>
      <c r="G818" s="29"/>
      <c r="H818" s="29"/>
      <c r="I818" s="28"/>
      <c r="J818" s="28"/>
    </row>
    <row r="819" ht="15.75" hidden="1" customHeight="1">
      <c r="E819" s="29"/>
      <c r="F819" s="29"/>
      <c r="G819" s="29"/>
      <c r="H819" s="29"/>
      <c r="I819" s="28"/>
      <c r="J819" s="28"/>
    </row>
    <row r="820" ht="15.75" hidden="1" customHeight="1">
      <c r="E820" s="29"/>
      <c r="F820" s="29"/>
      <c r="G820" s="29"/>
      <c r="H820" s="29"/>
      <c r="I820" s="28"/>
      <c r="J820" s="28"/>
    </row>
    <row r="821" ht="15.75" hidden="1" customHeight="1">
      <c r="E821" s="29"/>
      <c r="F821" s="29"/>
      <c r="G821" s="29"/>
      <c r="H821" s="29"/>
      <c r="I821" s="28"/>
      <c r="J821" s="28"/>
    </row>
    <row r="822" ht="15.75" hidden="1" customHeight="1">
      <c r="E822" s="29"/>
      <c r="F822" s="29"/>
      <c r="G822" s="29"/>
      <c r="H822" s="29"/>
      <c r="I822" s="28"/>
      <c r="J822" s="28"/>
    </row>
    <row r="823" ht="15.75" hidden="1" customHeight="1">
      <c r="E823" s="29"/>
      <c r="F823" s="29"/>
      <c r="G823" s="29"/>
      <c r="H823" s="29"/>
      <c r="I823" s="28"/>
      <c r="J823" s="28"/>
    </row>
    <row r="824" ht="15.75" hidden="1" customHeight="1">
      <c r="E824" s="29"/>
      <c r="F824" s="29"/>
      <c r="G824" s="29"/>
      <c r="H824" s="29"/>
      <c r="I824" s="28"/>
      <c r="J824" s="28"/>
    </row>
    <row r="825" ht="15.75" hidden="1" customHeight="1">
      <c r="E825" s="29"/>
      <c r="F825" s="29"/>
      <c r="G825" s="29"/>
      <c r="H825" s="29"/>
      <c r="I825" s="28"/>
      <c r="J825" s="28"/>
    </row>
    <row r="826" ht="15.75" hidden="1" customHeight="1">
      <c r="E826" s="29"/>
      <c r="F826" s="29"/>
      <c r="G826" s="29"/>
      <c r="H826" s="29"/>
      <c r="I826" s="28"/>
      <c r="J826" s="28"/>
    </row>
    <row r="827" ht="15.75" hidden="1" customHeight="1">
      <c r="E827" s="29"/>
      <c r="F827" s="29"/>
      <c r="G827" s="29"/>
      <c r="H827" s="29"/>
      <c r="I827" s="28"/>
      <c r="J827" s="28"/>
    </row>
    <row r="828" ht="15.75" hidden="1" customHeight="1">
      <c r="E828" s="29"/>
      <c r="F828" s="29"/>
      <c r="G828" s="29"/>
      <c r="H828" s="29"/>
      <c r="I828" s="28"/>
      <c r="J828" s="28"/>
    </row>
    <row r="829" ht="15.75" hidden="1" customHeight="1">
      <c r="E829" s="29"/>
      <c r="F829" s="29"/>
      <c r="G829" s="29"/>
      <c r="H829" s="29"/>
      <c r="I829" s="28"/>
      <c r="J829" s="28"/>
    </row>
    <row r="830" ht="15.75" hidden="1" customHeight="1">
      <c r="E830" s="29"/>
      <c r="F830" s="29"/>
      <c r="G830" s="29"/>
      <c r="H830" s="29"/>
      <c r="I830" s="28"/>
      <c r="J830" s="28"/>
    </row>
    <row r="831" ht="15.75" hidden="1" customHeight="1">
      <c r="E831" s="29"/>
      <c r="F831" s="29"/>
      <c r="G831" s="29"/>
      <c r="H831" s="29"/>
      <c r="I831" s="28"/>
      <c r="J831" s="28"/>
    </row>
    <row r="832" ht="15.75" hidden="1" customHeight="1">
      <c r="E832" s="29"/>
      <c r="F832" s="29"/>
      <c r="G832" s="29"/>
      <c r="H832" s="29"/>
      <c r="I832" s="28"/>
      <c r="J832" s="28"/>
    </row>
    <row r="833" ht="15.75" hidden="1" customHeight="1">
      <c r="E833" s="29"/>
      <c r="F833" s="29"/>
      <c r="G833" s="29"/>
      <c r="H833" s="29"/>
      <c r="I833" s="28"/>
      <c r="J833" s="28"/>
    </row>
    <row r="834" ht="15.75" hidden="1" customHeight="1">
      <c r="E834" s="29"/>
      <c r="F834" s="29"/>
      <c r="G834" s="29"/>
      <c r="H834" s="29"/>
      <c r="I834" s="28"/>
      <c r="J834" s="28"/>
    </row>
    <row r="835" ht="15.75" hidden="1" customHeight="1">
      <c r="E835" s="29"/>
      <c r="F835" s="29"/>
      <c r="G835" s="29"/>
      <c r="H835" s="29"/>
      <c r="I835" s="28"/>
      <c r="J835" s="28"/>
    </row>
    <row r="836" ht="15.75" hidden="1" customHeight="1">
      <c r="E836" s="29"/>
      <c r="F836" s="29"/>
      <c r="G836" s="29"/>
      <c r="H836" s="29"/>
      <c r="I836" s="28"/>
      <c r="J836" s="28"/>
    </row>
    <row r="837" ht="15.75" hidden="1" customHeight="1">
      <c r="E837" s="29"/>
      <c r="F837" s="29"/>
      <c r="G837" s="29"/>
      <c r="H837" s="29"/>
      <c r="I837" s="28"/>
      <c r="J837" s="28"/>
    </row>
    <row r="838" ht="15.75" hidden="1" customHeight="1">
      <c r="E838" s="29"/>
      <c r="F838" s="29"/>
      <c r="G838" s="29"/>
      <c r="H838" s="29"/>
      <c r="I838" s="28"/>
      <c r="J838" s="28"/>
    </row>
    <row r="839" ht="15.75" hidden="1" customHeight="1">
      <c r="E839" s="29"/>
      <c r="F839" s="29"/>
      <c r="G839" s="29"/>
      <c r="H839" s="29"/>
      <c r="I839" s="28"/>
      <c r="J839" s="28"/>
    </row>
    <row r="840" ht="15.75" hidden="1" customHeight="1">
      <c r="E840" s="29"/>
      <c r="F840" s="29"/>
      <c r="G840" s="29"/>
      <c r="H840" s="29"/>
      <c r="I840" s="28"/>
      <c r="J840" s="28"/>
    </row>
    <row r="841" ht="15.75" hidden="1" customHeight="1">
      <c r="E841" s="29"/>
      <c r="F841" s="29"/>
      <c r="G841" s="29"/>
      <c r="H841" s="29"/>
      <c r="I841" s="28"/>
      <c r="J841" s="28"/>
    </row>
    <row r="842" ht="15.75" hidden="1" customHeight="1">
      <c r="E842" s="29"/>
      <c r="F842" s="29"/>
      <c r="G842" s="29"/>
      <c r="H842" s="29"/>
      <c r="I842" s="28"/>
      <c r="J842" s="28"/>
    </row>
    <row r="843" ht="15.75" hidden="1" customHeight="1">
      <c r="E843" s="29"/>
      <c r="F843" s="29"/>
      <c r="G843" s="29"/>
      <c r="H843" s="29"/>
      <c r="I843" s="28"/>
      <c r="J843" s="28"/>
    </row>
    <row r="844" ht="15.75" hidden="1" customHeight="1">
      <c r="E844" s="29"/>
      <c r="F844" s="29"/>
      <c r="G844" s="29"/>
      <c r="H844" s="29"/>
      <c r="I844" s="28"/>
      <c r="J844" s="28"/>
    </row>
    <row r="845" ht="15.75" hidden="1" customHeight="1">
      <c r="E845" s="29"/>
      <c r="F845" s="29"/>
      <c r="G845" s="29"/>
      <c r="H845" s="29"/>
      <c r="I845" s="28"/>
      <c r="J845" s="28"/>
    </row>
    <row r="846" ht="15.75" hidden="1" customHeight="1">
      <c r="E846" s="29"/>
      <c r="F846" s="29"/>
      <c r="G846" s="29"/>
      <c r="H846" s="29"/>
      <c r="I846" s="28"/>
      <c r="J846" s="28"/>
    </row>
    <row r="847" ht="15.75" hidden="1" customHeight="1">
      <c r="E847" s="29"/>
      <c r="F847" s="29"/>
      <c r="G847" s="29"/>
      <c r="H847" s="29"/>
      <c r="I847" s="28"/>
      <c r="J847" s="28"/>
    </row>
    <row r="848" ht="15.75" hidden="1" customHeight="1">
      <c r="E848" s="29"/>
      <c r="F848" s="29"/>
      <c r="G848" s="29"/>
      <c r="H848" s="29"/>
      <c r="I848" s="28"/>
      <c r="J848" s="28"/>
    </row>
    <row r="849" ht="15.75" hidden="1" customHeight="1">
      <c r="E849" s="29"/>
      <c r="F849" s="29"/>
      <c r="G849" s="29"/>
      <c r="H849" s="29"/>
      <c r="I849" s="28"/>
      <c r="J849" s="28"/>
    </row>
    <row r="850" ht="15.75" hidden="1" customHeight="1">
      <c r="E850" s="29"/>
      <c r="F850" s="29"/>
      <c r="G850" s="29"/>
      <c r="H850" s="29"/>
      <c r="I850" s="28"/>
      <c r="J850" s="28"/>
    </row>
    <row r="851" ht="15.75" hidden="1" customHeight="1">
      <c r="E851" s="29"/>
      <c r="F851" s="29"/>
      <c r="G851" s="29"/>
      <c r="H851" s="29"/>
      <c r="I851" s="28"/>
      <c r="J851" s="28"/>
    </row>
    <row r="852" ht="15.75" hidden="1" customHeight="1">
      <c r="E852" s="29"/>
      <c r="F852" s="29"/>
      <c r="G852" s="29"/>
      <c r="H852" s="29"/>
      <c r="I852" s="28"/>
      <c r="J852" s="28"/>
    </row>
    <row r="853" ht="15.75" hidden="1" customHeight="1">
      <c r="E853" s="29"/>
      <c r="F853" s="29"/>
      <c r="G853" s="29"/>
      <c r="H853" s="29"/>
      <c r="I853" s="28"/>
      <c r="J853" s="28"/>
    </row>
    <row r="854" ht="15.75" hidden="1" customHeight="1">
      <c r="E854" s="29"/>
      <c r="F854" s="29"/>
      <c r="G854" s="29"/>
      <c r="H854" s="29"/>
      <c r="I854" s="28"/>
      <c r="J854" s="28"/>
    </row>
    <row r="855" ht="15.75" hidden="1" customHeight="1">
      <c r="E855" s="29"/>
      <c r="F855" s="29"/>
      <c r="G855" s="29"/>
      <c r="H855" s="29"/>
      <c r="I855" s="28"/>
      <c r="J855" s="28"/>
    </row>
    <row r="856" ht="15.75" hidden="1" customHeight="1">
      <c r="E856" s="29"/>
      <c r="F856" s="29"/>
      <c r="G856" s="29"/>
      <c r="H856" s="29"/>
      <c r="I856" s="28"/>
      <c r="J856" s="28"/>
    </row>
    <row r="857" ht="15.75" hidden="1" customHeight="1">
      <c r="E857" s="29"/>
      <c r="F857" s="29"/>
      <c r="G857" s="29"/>
      <c r="H857" s="29"/>
      <c r="I857" s="28"/>
      <c r="J857" s="28"/>
    </row>
    <row r="858" ht="15.75" hidden="1" customHeight="1">
      <c r="E858" s="29"/>
      <c r="F858" s="29"/>
      <c r="G858" s="29"/>
      <c r="H858" s="29"/>
      <c r="I858" s="28"/>
      <c r="J858" s="28"/>
    </row>
    <row r="859" ht="15.75" hidden="1" customHeight="1">
      <c r="E859" s="29"/>
      <c r="F859" s="29"/>
      <c r="G859" s="29"/>
      <c r="H859" s="29"/>
      <c r="I859" s="28"/>
      <c r="J859" s="28"/>
    </row>
    <row r="860" ht="15.75" hidden="1" customHeight="1">
      <c r="E860" s="29"/>
      <c r="F860" s="29"/>
      <c r="G860" s="29"/>
      <c r="H860" s="29"/>
      <c r="I860" s="28"/>
      <c r="J860" s="28"/>
    </row>
    <row r="861" ht="15.75" hidden="1" customHeight="1">
      <c r="E861" s="29"/>
      <c r="F861" s="29"/>
      <c r="G861" s="29"/>
      <c r="H861" s="29"/>
      <c r="I861" s="28"/>
      <c r="J861" s="28"/>
    </row>
    <row r="862" ht="15.75" hidden="1" customHeight="1">
      <c r="E862" s="29"/>
      <c r="F862" s="29"/>
      <c r="G862" s="29"/>
      <c r="H862" s="29"/>
      <c r="I862" s="28"/>
      <c r="J862" s="28"/>
    </row>
    <row r="863" ht="15.75" hidden="1" customHeight="1">
      <c r="E863" s="29"/>
      <c r="F863" s="29"/>
      <c r="G863" s="29"/>
      <c r="H863" s="29"/>
      <c r="I863" s="28"/>
      <c r="J863" s="28"/>
    </row>
    <row r="864" ht="15.75" hidden="1" customHeight="1">
      <c r="E864" s="29"/>
      <c r="F864" s="29"/>
      <c r="G864" s="29"/>
      <c r="H864" s="29"/>
      <c r="I864" s="28"/>
      <c r="J864" s="28"/>
    </row>
    <row r="865" ht="15.75" hidden="1" customHeight="1">
      <c r="E865" s="29"/>
      <c r="F865" s="29"/>
      <c r="G865" s="29"/>
      <c r="H865" s="29"/>
      <c r="I865" s="28"/>
      <c r="J865" s="28"/>
    </row>
    <row r="866" ht="15.75" hidden="1" customHeight="1">
      <c r="E866" s="29"/>
      <c r="F866" s="29"/>
      <c r="G866" s="29"/>
      <c r="H866" s="29"/>
      <c r="I866" s="28"/>
      <c r="J866" s="28"/>
    </row>
    <row r="867" ht="15.75" hidden="1" customHeight="1">
      <c r="E867" s="29"/>
      <c r="F867" s="29"/>
      <c r="G867" s="29"/>
      <c r="H867" s="29"/>
      <c r="I867" s="28"/>
      <c r="J867" s="28"/>
    </row>
    <row r="868" ht="15.75" hidden="1" customHeight="1">
      <c r="E868" s="29"/>
      <c r="F868" s="29"/>
      <c r="G868" s="29"/>
      <c r="H868" s="29"/>
      <c r="I868" s="28"/>
      <c r="J868" s="28"/>
    </row>
    <row r="869" ht="15.75" hidden="1" customHeight="1">
      <c r="E869" s="29"/>
      <c r="F869" s="29"/>
      <c r="G869" s="29"/>
      <c r="H869" s="29"/>
      <c r="I869" s="28"/>
      <c r="J869" s="28"/>
    </row>
    <row r="870" ht="15.75" hidden="1" customHeight="1">
      <c r="E870" s="29"/>
      <c r="F870" s="29"/>
      <c r="G870" s="29"/>
      <c r="H870" s="29"/>
      <c r="I870" s="28"/>
      <c r="J870" s="28"/>
    </row>
    <row r="871" ht="15.75" hidden="1" customHeight="1">
      <c r="E871" s="29"/>
      <c r="F871" s="29"/>
      <c r="G871" s="29"/>
      <c r="H871" s="29"/>
      <c r="I871" s="28"/>
      <c r="J871" s="28"/>
    </row>
    <row r="872" ht="15.75" hidden="1" customHeight="1">
      <c r="E872" s="29"/>
      <c r="F872" s="29"/>
      <c r="G872" s="29"/>
      <c r="H872" s="29"/>
      <c r="I872" s="28"/>
      <c r="J872" s="28"/>
    </row>
    <row r="873" ht="15.75" hidden="1" customHeight="1">
      <c r="E873" s="29"/>
      <c r="F873" s="29"/>
      <c r="G873" s="29"/>
      <c r="H873" s="29"/>
      <c r="I873" s="28"/>
      <c r="J873" s="28"/>
    </row>
    <row r="874" ht="15.75" hidden="1" customHeight="1">
      <c r="E874" s="29"/>
      <c r="F874" s="29"/>
      <c r="G874" s="29"/>
      <c r="H874" s="29"/>
      <c r="I874" s="28"/>
      <c r="J874" s="28"/>
    </row>
    <row r="875" ht="15.75" hidden="1" customHeight="1">
      <c r="E875" s="29"/>
      <c r="F875" s="29"/>
      <c r="G875" s="29"/>
      <c r="H875" s="29"/>
      <c r="I875" s="28"/>
      <c r="J875" s="28"/>
    </row>
    <row r="876" ht="15.75" hidden="1" customHeight="1">
      <c r="E876" s="29"/>
      <c r="F876" s="29"/>
      <c r="G876" s="29"/>
      <c r="H876" s="29"/>
      <c r="I876" s="28"/>
      <c r="J876" s="28"/>
    </row>
    <row r="877" ht="15.75" hidden="1" customHeight="1">
      <c r="E877" s="29"/>
      <c r="F877" s="29"/>
      <c r="G877" s="29"/>
      <c r="H877" s="29"/>
      <c r="I877" s="28"/>
      <c r="J877" s="28"/>
    </row>
    <row r="878" ht="15.75" hidden="1" customHeight="1">
      <c r="E878" s="29"/>
      <c r="F878" s="29"/>
      <c r="G878" s="29"/>
      <c r="H878" s="29"/>
      <c r="I878" s="28"/>
      <c r="J878" s="28"/>
    </row>
    <row r="879" ht="15.75" hidden="1" customHeight="1">
      <c r="E879" s="29"/>
      <c r="F879" s="29"/>
      <c r="G879" s="29"/>
      <c r="H879" s="29"/>
      <c r="I879" s="28"/>
      <c r="J879" s="28"/>
    </row>
    <row r="880" ht="15.75" hidden="1" customHeight="1">
      <c r="E880" s="29"/>
      <c r="F880" s="29"/>
      <c r="G880" s="29"/>
      <c r="H880" s="29"/>
      <c r="I880" s="28"/>
      <c r="J880" s="28"/>
    </row>
    <row r="881" ht="15.75" hidden="1" customHeight="1">
      <c r="E881" s="29"/>
      <c r="F881" s="29"/>
      <c r="G881" s="29"/>
      <c r="H881" s="29"/>
      <c r="I881" s="28"/>
      <c r="J881" s="28"/>
    </row>
    <row r="882" ht="15.75" hidden="1" customHeight="1">
      <c r="E882" s="29"/>
      <c r="F882" s="29"/>
      <c r="G882" s="29"/>
      <c r="H882" s="29"/>
      <c r="I882" s="28"/>
      <c r="J882" s="28"/>
    </row>
    <row r="883" ht="15.75" hidden="1" customHeight="1">
      <c r="E883" s="29"/>
      <c r="F883" s="29"/>
      <c r="G883" s="29"/>
      <c r="H883" s="29"/>
      <c r="I883" s="28"/>
      <c r="J883" s="28"/>
    </row>
    <row r="884" ht="15.75" hidden="1" customHeight="1">
      <c r="E884" s="29"/>
      <c r="F884" s="29"/>
      <c r="G884" s="29"/>
      <c r="H884" s="29"/>
      <c r="I884" s="28"/>
      <c r="J884" s="28"/>
    </row>
    <row r="885" ht="15.75" hidden="1" customHeight="1">
      <c r="E885" s="29"/>
      <c r="F885" s="29"/>
      <c r="G885" s="29"/>
      <c r="H885" s="29"/>
      <c r="I885" s="28"/>
      <c r="J885" s="28"/>
    </row>
    <row r="886" ht="15.75" hidden="1" customHeight="1">
      <c r="E886" s="29"/>
      <c r="F886" s="29"/>
      <c r="G886" s="29"/>
      <c r="H886" s="29"/>
      <c r="I886" s="28"/>
      <c r="J886" s="28"/>
    </row>
    <row r="887" ht="15.75" hidden="1" customHeight="1">
      <c r="E887" s="29"/>
      <c r="F887" s="29"/>
      <c r="G887" s="29"/>
      <c r="H887" s="29"/>
      <c r="I887" s="28"/>
      <c r="J887" s="28"/>
    </row>
    <row r="888" ht="15.75" hidden="1" customHeight="1">
      <c r="E888" s="29"/>
      <c r="F888" s="29"/>
      <c r="G888" s="29"/>
      <c r="H888" s="29"/>
      <c r="I888" s="28"/>
      <c r="J888" s="28"/>
    </row>
    <row r="889" ht="15.75" hidden="1" customHeight="1">
      <c r="E889" s="29"/>
      <c r="F889" s="29"/>
      <c r="G889" s="29"/>
      <c r="H889" s="29"/>
      <c r="I889" s="28"/>
      <c r="J889" s="28"/>
    </row>
    <row r="890" ht="15.75" hidden="1" customHeight="1">
      <c r="E890" s="29"/>
      <c r="F890" s="29"/>
      <c r="G890" s="29"/>
      <c r="H890" s="29"/>
      <c r="I890" s="28"/>
      <c r="J890" s="28"/>
    </row>
    <row r="891" ht="15.75" hidden="1" customHeight="1">
      <c r="E891" s="29"/>
      <c r="F891" s="29"/>
      <c r="G891" s="29"/>
      <c r="H891" s="29"/>
      <c r="I891" s="28"/>
      <c r="J891" s="28"/>
    </row>
    <row r="892" ht="15.75" hidden="1" customHeight="1">
      <c r="E892" s="29"/>
      <c r="F892" s="29"/>
      <c r="G892" s="29"/>
      <c r="H892" s="29"/>
      <c r="I892" s="28"/>
      <c r="J892" s="28"/>
    </row>
    <row r="893" ht="15.75" hidden="1" customHeight="1">
      <c r="E893" s="29"/>
      <c r="F893" s="29"/>
      <c r="G893" s="29"/>
      <c r="H893" s="29"/>
      <c r="I893" s="28"/>
      <c r="J893" s="28"/>
    </row>
    <row r="894" ht="15.75" hidden="1" customHeight="1">
      <c r="E894" s="29"/>
      <c r="F894" s="29"/>
      <c r="G894" s="29"/>
      <c r="H894" s="29"/>
      <c r="I894" s="28"/>
      <c r="J894" s="28"/>
    </row>
    <row r="895" ht="15.75" hidden="1" customHeight="1">
      <c r="E895" s="29"/>
      <c r="F895" s="29"/>
      <c r="G895" s="29"/>
      <c r="H895" s="29"/>
      <c r="I895" s="28"/>
      <c r="J895" s="28"/>
    </row>
    <row r="896" ht="15.75" hidden="1" customHeight="1">
      <c r="E896" s="29"/>
      <c r="F896" s="29"/>
      <c r="G896" s="29"/>
      <c r="H896" s="29"/>
      <c r="I896" s="28"/>
      <c r="J896" s="28"/>
    </row>
    <row r="897" ht="15.75" hidden="1" customHeight="1">
      <c r="E897" s="29"/>
      <c r="F897" s="29"/>
      <c r="G897" s="29"/>
      <c r="H897" s="29"/>
      <c r="I897" s="28"/>
      <c r="J897" s="28"/>
    </row>
    <row r="898" ht="15.75" hidden="1" customHeight="1">
      <c r="E898" s="29"/>
      <c r="F898" s="29"/>
      <c r="G898" s="29"/>
      <c r="H898" s="29"/>
      <c r="I898" s="28"/>
      <c r="J898" s="28"/>
    </row>
    <row r="899" ht="15.75" hidden="1" customHeight="1">
      <c r="E899" s="29"/>
      <c r="F899" s="29"/>
      <c r="G899" s="29"/>
      <c r="H899" s="29"/>
      <c r="I899" s="28"/>
      <c r="J899" s="28"/>
    </row>
    <row r="900" ht="15.75" hidden="1" customHeight="1">
      <c r="E900" s="29"/>
      <c r="F900" s="29"/>
      <c r="G900" s="29"/>
      <c r="H900" s="29"/>
      <c r="I900" s="28"/>
      <c r="J900" s="28"/>
    </row>
    <row r="901" ht="15.75" hidden="1" customHeight="1">
      <c r="E901" s="29"/>
      <c r="F901" s="29"/>
      <c r="G901" s="29"/>
      <c r="H901" s="29"/>
      <c r="I901" s="28"/>
      <c r="J901" s="28"/>
    </row>
    <row r="902" ht="15.75" hidden="1" customHeight="1">
      <c r="E902" s="29"/>
      <c r="F902" s="29"/>
      <c r="G902" s="29"/>
      <c r="H902" s="29"/>
      <c r="I902" s="28"/>
      <c r="J902" s="28"/>
    </row>
    <row r="903" ht="15.75" hidden="1" customHeight="1">
      <c r="E903" s="29"/>
      <c r="F903" s="29"/>
      <c r="G903" s="29"/>
      <c r="H903" s="29"/>
      <c r="I903" s="28"/>
      <c r="J903" s="28"/>
    </row>
    <row r="904" ht="15.75" hidden="1" customHeight="1">
      <c r="E904" s="29"/>
      <c r="F904" s="29"/>
      <c r="G904" s="29"/>
      <c r="H904" s="29"/>
      <c r="I904" s="28"/>
      <c r="J904" s="28"/>
    </row>
    <row r="905" ht="15.75" hidden="1" customHeight="1">
      <c r="E905" s="29"/>
      <c r="F905" s="29"/>
      <c r="G905" s="29"/>
      <c r="H905" s="29"/>
      <c r="I905" s="28"/>
      <c r="J905" s="28"/>
    </row>
    <row r="906" ht="15.75" hidden="1" customHeight="1">
      <c r="E906" s="29"/>
      <c r="F906" s="29"/>
      <c r="G906" s="29"/>
      <c r="H906" s="29"/>
      <c r="I906" s="28"/>
      <c r="J906" s="28"/>
    </row>
    <row r="907" ht="15.75" hidden="1" customHeight="1">
      <c r="E907" s="29"/>
      <c r="F907" s="29"/>
      <c r="G907" s="29"/>
      <c r="H907" s="29"/>
      <c r="I907" s="28"/>
      <c r="J907" s="28"/>
    </row>
    <row r="908" ht="15.75" hidden="1" customHeight="1">
      <c r="E908" s="29"/>
      <c r="F908" s="29"/>
      <c r="G908" s="29"/>
      <c r="H908" s="29"/>
      <c r="I908" s="28"/>
      <c r="J908" s="28"/>
    </row>
    <row r="909" ht="15.75" hidden="1" customHeight="1">
      <c r="E909" s="29"/>
      <c r="F909" s="29"/>
      <c r="G909" s="29"/>
      <c r="H909" s="29"/>
      <c r="I909" s="28"/>
      <c r="J909" s="28"/>
    </row>
    <row r="910" ht="15.75" hidden="1" customHeight="1">
      <c r="E910" s="29"/>
      <c r="F910" s="29"/>
      <c r="G910" s="29"/>
      <c r="H910" s="29"/>
      <c r="I910" s="28"/>
      <c r="J910" s="28"/>
    </row>
    <row r="911" ht="15.75" hidden="1" customHeight="1">
      <c r="E911" s="29"/>
      <c r="F911" s="29"/>
      <c r="G911" s="29"/>
      <c r="H911" s="29"/>
      <c r="I911" s="28"/>
      <c r="J911" s="28"/>
    </row>
    <row r="912" ht="15.75" hidden="1" customHeight="1">
      <c r="E912" s="29"/>
      <c r="F912" s="29"/>
      <c r="G912" s="29"/>
      <c r="H912" s="29"/>
      <c r="I912" s="28"/>
      <c r="J912" s="28"/>
    </row>
    <row r="913" ht="15.75" hidden="1" customHeight="1">
      <c r="E913" s="29"/>
      <c r="F913" s="29"/>
      <c r="G913" s="29"/>
      <c r="H913" s="29"/>
      <c r="I913" s="28"/>
      <c r="J913" s="28"/>
    </row>
    <row r="914" ht="15.75" hidden="1" customHeight="1">
      <c r="E914" s="29"/>
      <c r="F914" s="29"/>
      <c r="G914" s="29"/>
      <c r="H914" s="29"/>
      <c r="I914" s="28"/>
      <c r="J914" s="28"/>
    </row>
    <row r="915" ht="15.75" hidden="1" customHeight="1">
      <c r="E915" s="29"/>
      <c r="F915" s="29"/>
      <c r="G915" s="29"/>
      <c r="H915" s="29"/>
      <c r="I915" s="28"/>
      <c r="J915" s="28"/>
    </row>
    <row r="916" ht="15.75" hidden="1" customHeight="1">
      <c r="E916" s="29"/>
      <c r="F916" s="29"/>
      <c r="G916" s="29"/>
      <c r="H916" s="29"/>
      <c r="I916" s="28"/>
      <c r="J916" s="28"/>
    </row>
    <row r="917" ht="15.75" hidden="1" customHeight="1">
      <c r="E917" s="29"/>
      <c r="F917" s="29"/>
      <c r="G917" s="29"/>
      <c r="H917" s="29"/>
      <c r="I917" s="28"/>
      <c r="J917" s="28"/>
    </row>
    <row r="918" ht="15.75" hidden="1" customHeight="1">
      <c r="E918" s="29"/>
      <c r="F918" s="29"/>
      <c r="G918" s="29"/>
      <c r="H918" s="29"/>
      <c r="I918" s="28"/>
      <c r="J918" s="28"/>
    </row>
    <row r="919" ht="15.75" hidden="1" customHeight="1">
      <c r="E919" s="29"/>
      <c r="F919" s="29"/>
      <c r="G919" s="29"/>
      <c r="H919" s="29"/>
      <c r="I919" s="28"/>
      <c r="J919" s="28"/>
    </row>
    <row r="920" ht="15.75" hidden="1" customHeight="1">
      <c r="E920" s="29"/>
      <c r="F920" s="29"/>
      <c r="G920" s="29"/>
      <c r="H920" s="29"/>
      <c r="I920" s="28"/>
      <c r="J920" s="28"/>
    </row>
    <row r="921" ht="15.75" hidden="1" customHeight="1">
      <c r="E921" s="29"/>
      <c r="F921" s="29"/>
      <c r="G921" s="29"/>
      <c r="H921" s="29"/>
      <c r="I921" s="28"/>
      <c r="J921" s="28"/>
    </row>
    <row r="922" ht="15.75" hidden="1" customHeight="1">
      <c r="E922" s="29"/>
      <c r="F922" s="29"/>
      <c r="G922" s="29"/>
      <c r="H922" s="29"/>
      <c r="I922" s="28"/>
      <c r="J922" s="28"/>
    </row>
    <row r="923" ht="15.75" hidden="1" customHeight="1">
      <c r="E923" s="29"/>
      <c r="F923" s="29"/>
      <c r="G923" s="29"/>
      <c r="H923" s="29"/>
      <c r="I923" s="28"/>
      <c r="J923" s="28"/>
    </row>
    <row r="924" ht="15.75" hidden="1" customHeight="1">
      <c r="E924" s="29"/>
      <c r="F924" s="29"/>
      <c r="G924" s="29"/>
      <c r="H924" s="29"/>
      <c r="I924" s="28"/>
      <c r="J924" s="28"/>
    </row>
    <row r="925" ht="15.75" hidden="1" customHeight="1">
      <c r="E925" s="29"/>
      <c r="F925" s="29"/>
      <c r="G925" s="29"/>
      <c r="H925" s="29"/>
      <c r="I925" s="28"/>
      <c r="J925" s="28"/>
    </row>
    <row r="926" ht="15.75" hidden="1" customHeight="1">
      <c r="E926" s="29"/>
      <c r="F926" s="29"/>
      <c r="G926" s="29"/>
      <c r="H926" s="29"/>
      <c r="I926" s="28"/>
      <c r="J926" s="28"/>
    </row>
    <row r="927" ht="15.75" hidden="1" customHeight="1">
      <c r="E927" s="29"/>
      <c r="F927" s="29"/>
      <c r="G927" s="29"/>
      <c r="H927" s="29"/>
      <c r="I927" s="28"/>
      <c r="J927" s="28"/>
    </row>
    <row r="928" ht="15.75" hidden="1" customHeight="1">
      <c r="E928" s="29"/>
      <c r="F928" s="29"/>
      <c r="G928" s="29"/>
      <c r="H928" s="29"/>
      <c r="I928" s="28"/>
      <c r="J928" s="28"/>
    </row>
    <row r="929" ht="15.75" hidden="1" customHeight="1">
      <c r="E929" s="29"/>
      <c r="F929" s="29"/>
      <c r="G929" s="29"/>
      <c r="H929" s="29"/>
      <c r="I929" s="28"/>
      <c r="J929" s="28"/>
    </row>
    <row r="930" ht="15.75" hidden="1" customHeight="1">
      <c r="E930" s="29"/>
      <c r="F930" s="29"/>
      <c r="G930" s="29"/>
      <c r="H930" s="29"/>
      <c r="I930" s="28"/>
      <c r="J930" s="28"/>
    </row>
    <row r="931" ht="15.75" hidden="1" customHeight="1">
      <c r="E931" s="29"/>
      <c r="F931" s="29"/>
      <c r="G931" s="29"/>
      <c r="H931" s="29"/>
      <c r="I931" s="28"/>
      <c r="J931" s="28"/>
    </row>
    <row r="932" ht="15.75" hidden="1" customHeight="1">
      <c r="E932" s="29"/>
      <c r="F932" s="29"/>
      <c r="G932" s="29"/>
      <c r="H932" s="29"/>
      <c r="I932" s="28"/>
      <c r="J932" s="28"/>
    </row>
    <row r="933" ht="15.75" hidden="1" customHeight="1">
      <c r="E933" s="29"/>
      <c r="F933" s="29"/>
      <c r="G933" s="29"/>
      <c r="H933" s="29"/>
      <c r="I933" s="28"/>
      <c r="J933" s="28"/>
    </row>
    <row r="934" ht="15.75" hidden="1" customHeight="1">
      <c r="E934" s="29"/>
      <c r="F934" s="29"/>
      <c r="G934" s="29"/>
      <c r="H934" s="29"/>
      <c r="I934" s="28"/>
      <c r="J934" s="28"/>
    </row>
    <row r="935" ht="15.75" hidden="1" customHeight="1">
      <c r="E935" s="29"/>
      <c r="F935" s="29"/>
      <c r="G935" s="29"/>
      <c r="H935" s="29"/>
      <c r="I935" s="28"/>
      <c r="J935" s="28"/>
    </row>
    <row r="936" ht="15.75" hidden="1" customHeight="1">
      <c r="E936" s="29"/>
      <c r="F936" s="29"/>
      <c r="G936" s="29"/>
      <c r="H936" s="29"/>
      <c r="I936" s="28"/>
      <c r="J936" s="28"/>
    </row>
    <row r="937" ht="15.75" hidden="1" customHeight="1">
      <c r="E937" s="29"/>
      <c r="F937" s="29"/>
      <c r="G937" s="29"/>
      <c r="H937" s="29"/>
      <c r="I937" s="28"/>
      <c r="J937" s="28"/>
    </row>
    <row r="938" ht="15.75" hidden="1" customHeight="1">
      <c r="E938" s="29"/>
      <c r="F938" s="29"/>
      <c r="G938" s="29"/>
      <c r="H938" s="29"/>
      <c r="I938" s="28"/>
      <c r="J938" s="28"/>
    </row>
    <row r="939" ht="15.75" hidden="1" customHeight="1">
      <c r="E939" s="29"/>
      <c r="F939" s="29"/>
      <c r="G939" s="29"/>
      <c r="H939" s="29"/>
      <c r="I939" s="28"/>
      <c r="J939" s="28"/>
    </row>
    <row r="940" ht="15.75" hidden="1" customHeight="1">
      <c r="E940" s="29"/>
      <c r="F940" s="29"/>
      <c r="G940" s="29"/>
      <c r="H940" s="29"/>
      <c r="I940" s="28"/>
      <c r="J940" s="28"/>
    </row>
    <row r="941" ht="15.75" hidden="1" customHeight="1">
      <c r="E941" s="29"/>
      <c r="F941" s="29"/>
      <c r="G941" s="29"/>
      <c r="H941" s="29"/>
      <c r="I941" s="28"/>
      <c r="J941" s="28"/>
    </row>
    <row r="942" ht="15.75" hidden="1" customHeight="1">
      <c r="E942" s="29"/>
      <c r="F942" s="29"/>
      <c r="G942" s="29"/>
      <c r="H942" s="29"/>
      <c r="I942" s="28"/>
      <c r="J942" s="28"/>
    </row>
    <row r="943" ht="15.75" hidden="1" customHeight="1">
      <c r="E943" s="29"/>
      <c r="F943" s="29"/>
      <c r="G943" s="29"/>
      <c r="H943" s="29"/>
      <c r="I943" s="28"/>
      <c r="J943" s="28"/>
    </row>
    <row r="944" ht="15.75" hidden="1" customHeight="1">
      <c r="E944" s="29"/>
      <c r="F944" s="29"/>
      <c r="G944" s="29"/>
      <c r="H944" s="29"/>
      <c r="I944" s="28"/>
      <c r="J944" s="28"/>
    </row>
    <row r="945" ht="15.75" hidden="1" customHeight="1">
      <c r="E945" s="29"/>
      <c r="F945" s="29"/>
      <c r="G945" s="29"/>
      <c r="H945" s="29"/>
      <c r="I945" s="28"/>
      <c r="J945" s="28"/>
    </row>
    <row r="946" ht="15.75" hidden="1" customHeight="1">
      <c r="E946" s="29"/>
      <c r="F946" s="29"/>
      <c r="G946" s="29"/>
      <c r="H946" s="29"/>
      <c r="I946" s="28"/>
      <c r="J946" s="28"/>
    </row>
    <row r="947" ht="15.75" hidden="1" customHeight="1">
      <c r="E947" s="29"/>
      <c r="F947" s="29"/>
      <c r="G947" s="29"/>
      <c r="H947" s="29"/>
      <c r="I947" s="28"/>
      <c r="J947" s="28"/>
    </row>
    <row r="948" ht="15.75" hidden="1" customHeight="1">
      <c r="E948" s="29"/>
      <c r="F948" s="29"/>
      <c r="G948" s="29"/>
      <c r="H948" s="29"/>
      <c r="I948" s="28"/>
      <c r="J948" s="28"/>
    </row>
    <row r="949" ht="15.75" hidden="1" customHeight="1">
      <c r="E949" s="29"/>
      <c r="F949" s="29"/>
      <c r="G949" s="29"/>
      <c r="H949" s="29"/>
      <c r="I949" s="28"/>
      <c r="J949" s="28"/>
    </row>
    <row r="950" ht="15.75" hidden="1" customHeight="1">
      <c r="E950" s="29"/>
      <c r="F950" s="29"/>
      <c r="G950" s="29"/>
      <c r="H950" s="29"/>
      <c r="I950" s="28"/>
      <c r="J950" s="28"/>
    </row>
    <row r="951" ht="15.75" hidden="1" customHeight="1">
      <c r="E951" s="29"/>
      <c r="F951" s="29"/>
      <c r="G951" s="29"/>
      <c r="H951" s="29"/>
      <c r="I951" s="28"/>
      <c r="J951" s="28"/>
    </row>
    <row r="952" ht="15.75" hidden="1" customHeight="1">
      <c r="E952" s="29"/>
      <c r="F952" s="29"/>
      <c r="G952" s="29"/>
      <c r="H952" s="29"/>
      <c r="I952" s="28"/>
      <c r="J952" s="28"/>
    </row>
    <row r="953" ht="15.75" hidden="1" customHeight="1">
      <c r="E953" s="29"/>
      <c r="F953" s="29"/>
      <c r="G953" s="29"/>
      <c r="H953" s="29"/>
      <c r="I953" s="28"/>
      <c r="J953" s="28"/>
    </row>
    <row r="954" ht="15.75" hidden="1" customHeight="1">
      <c r="E954" s="29"/>
      <c r="F954" s="29"/>
      <c r="G954" s="29"/>
      <c r="H954" s="29"/>
      <c r="I954" s="28"/>
      <c r="J954" s="28"/>
    </row>
    <row r="955" ht="15.75" hidden="1" customHeight="1">
      <c r="E955" s="29"/>
      <c r="F955" s="29"/>
      <c r="G955" s="29"/>
      <c r="H955" s="29"/>
      <c r="I955" s="28"/>
      <c r="J955" s="28"/>
    </row>
    <row r="956" ht="15.75" hidden="1" customHeight="1">
      <c r="E956" s="29"/>
      <c r="F956" s="29"/>
      <c r="G956" s="29"/>
      <c r="H956" s="29"/>
      <c r="I956" s="28"/>
      <c r="J956" s="28"/>
    </row>
    <row r="957" ht="15.75" hidden="1" customHeight="1">
      <c r="E957" s="29"/>
      <c r="F957" s="29"/>
      <c r="G957" s="29"/>
      <c r="H957" s="29"/>
      <c r="I957" s="28"/>
      <c r="J957" s="28"/>
    </row>
    <row r="958" ht="15.75" hidden="1" customHeight="1">
      <c r="E958" s="29"/>
      <c r="F958" s="29"/>
      <c r="G958" s="29"/>
      <c r="H958" s="29"/>
      <c r="I958" s="28"/>
      <c r="J958" s="28"/>
    </row>
    <row r="959" ht="15.75" hidden="1" customHeight="1">
      <c r="E959" s="29"/>
      <c r="F959" s="29"/>
      <c r="G959" s="29"/>
      <c r="H959" s="29"/>
      <c r="I959" s="28"/>
      <c r="J959" s="28"/>
    </row>
    <row r="960" ht="15.75" hidden="1" customHeight="1">
      <c r="E960" s="29"/>
      <c r="F960" s="29"/>
      <c r="G960" s="29"/>
      <c r="H960" s="29"/>
      <c r="I960" s="28"/>
      <c r="J960" s="28"/>
    </row>
    <row r="961" ht="15.75" hidden="1" customHeight="1">
      <c r="E961" s="29"/>
      <c r="F961" s="29"/>
      <c r="G961" s="29"/>
      <c r="H961" s="29"/>
      <c r="I961" s="28"/>
      <c r="J961" s="28"/>
    </row>
    <row r="962" ht="15.75" hidden="1" customHeight="1">
      <c r="E962" s="29"/>
      <c r="F962" s="29"/>
      <c r="G962" s="29"/>
      <c r="H962" s="29"/>
      <c r="I962" s="28"/>
      <c r="J962" s="28"/>
    </row>
    <row r="963" ht="15.75" hidden="1" customHeight="1">
      <c r="E963" s="29"/>
      <c r="F963" s="29"/>
      <c r="G963" s="29"/>
      <c r="H963" s="29"/>
      <c r="I963" s="28"/>
      <c r="J963" s="28"/>
    </row>
    <row r="964" ht="15.75" hidden="1" customHeight="1">
      <c r="E964" s="29"/>
      <c r="F964" s="29"/>
      <c r="G964" s="29"/>
      <c r="H964" s="29"/>
      <c r="I964" s="28"/>
      <c r="J964" s="28"/>
    </row>
    <row r="965" ht="15.75" hidden="1" customHeight="1">
      <c r="E965" s="29"/>
      <c r="F965" s="29"/>
      <c r="G965" s="29"/>
      <c r="H965" s="29"/>
      <c r="I965" s="28"/>
      <c r="J965" s="28"/>
    </row>
    <row r="966" ht="15.75" hidden="1" customHeight="1">
      <c r="E966" s="29"/>
      <c r="F966" s="29"/>
      <c r="G966" s="29"/>
      <c r="H966" s="29"/>
      <c r="I966" s="28"/>
      <c r="J966" s="28"/>
    </row>
    <row r="967" ht="15.75" hidden="1" customHeight="1">
      <c r="E967" s="29"/>
      <c r="F967" s="29"/>
      <c r="G967" s="29"/>
      <c r="H967" s="29"/>
      <c r="I967" s="28"/>
      <c r="J967" s="28"/>
    </row>
    <row r="968" ht="15.75" hidden="1" customHeight="1">
      <c r="E968" s="29"/>
      <c r="F968" s="29"/>
      <c r="G968" s="29"/>
      <c r="H968" s="29"/>
      <c r="I968" s="28"/>
      <c r="J968" s="28"/>
    </row>
    <row r="969" ht="15.75" hidden="1" customHeight="1">
      <c r="E969" s="29"/>
      <c r="F969" s="29"/>
      <c r="G969" s="29"/>
      <c r="H969" s="29"/>
      <c r="I969" s="28"/>
      <c r="J969" s="28"/>
    </row>
    <row r="970" ht="15.75" hidden="1" customHeight="1">
      <c r="E970" s="29"/>
      <c r="F970" s="29"/>
      <c r="G970" s="29"/>
      <c r="H970" s="29"/>
      <c r="I970" s="28"/>
      <c r="J970" s="28"/>
    </row>
    <row r="971" ht="15.75" hidden="1" customHeight="1">
      <c r="E971" s="29"/>
      <c r="F971" s="29"/>
      <c r="G971" s="29"/>
      <c r="H971" s="29"/>
      <c r="I971" s="28"/>
      <c r="J971" s="28"/>
    </row>
    <row r="972" ht="15.75" hidden="1" customHeight="1">
      <c r="E972" s="29"/>
      <c r="F972" s="29"/>
      <c r="G972" s="29"/>
      <c r="H972" s="29"/>
      <c r="I972" s="28"/>
      <c r="J972" s="28"/>
    </row>
    <row r="973" ht="15.75" hidden="1" customHeight="1">
      <c r="E973" s="29"/>
      <c r="F973" s="29"/>
      <c r="G973" s="29"/>
      <c r="H973" s="29"/>
      <c r="I973" s="28"/>
      <c r="J973" s="28"/>
    </row>
    <row r="974" ht="15.75" hidden="1" customHeight="1">
      <c r="E974" s="29"/>
      <c r="F974" s="29"/>
      <c r="G974" s="29"/>
      <c r="H974" s="29"/>
      <c r="I974" s="28"/>
      <c r="J974" s="28"/>
    </row>
    <row r="975" ht="15.75" hidden="1" customHeight="1">
      <c r="E975" s="29"/>
      <c r="F975" s="29"/>
      <c r="G975" s="29"/>
      <c r="H975" s="29"/>
      <c r="I975" s="28"/>
      <c r="J975" s="28"/>
    </row>
    <row r="976" ht="15.75" hidden="1" customHeight="1">
      <c r="E976" s="29"/>
      <c r="F976" s="29"/>
      <c r="G976" s="29"/>
      <c r="H976" s="29"/>
      <c r="I976" s="28"/>
      <c r="J976" s="28"/>
    </row>
    <row r="977" ht="15.75" hidden="1" customHeight="1">
      <c r="E977" s="29"/>
      <c r="F977" s="29"/>
      <c r="G977" s="29"/>
      <c r="H977" s="29"/>
      <c r="I977" s="28"/>
      <c r="J977" s="28"/>
    </row>
    <row r="978" ht="15.75" hidden="1" customHeight="1">
      <c r="E978" s="29"/>
      <c r="F978" s="29"/>
      <c r="G978" s="29"/>
      <c r="H978" s="29"/>
      <c r="I978" s="28"/>
      <c r="J978" s="28"/>
    </row>
    <row r="979" ht="15.75" hidden="1" customHeight="1">
      <c r="E979" s="29"/>
      <c r="F979" s="29"/>
      <c r="G979" s="29"/>
      <c r="H979" s="29"/>
      <c r="I979" s="28"/>
      <c r="J979" s="28"/>
    </row>
    <row r="980" ht="15.75" hidden="1" customHeight="1">
      <c r="E980" s="29"/>
      <c r="F980" s="29"/>
      <c r="G980" s="29"/>
      <c r="H980" s="29"/>
      <c r="I980" s="28"/>
      <c r="J980" s="28"/>
    </row>
    <row r="981" ht="15.75" hidden="1" customHeight="1">
      <c r="E981" s="29"/>
      <c r="F981" s="29"/>
      <c r="G981" s="29"/>
      <c r="H981" s="29"/>
      <c r="I981" s="28"/>
      <c r="J981" s="28"/>
    </row>
    <row r="982" ht="15.75" hidden="1" customHeight="1">
      <c r="E982" s="29"/>
      <c r="F982" s="29"/>
      <c r="G982" s="29"/>
      <c r="H982" s="29"/>
      <c r="I982" s="28"/>
      <c r="J982" s="28"/>
    </row>
    <row r="983" ht="15.75" hidden="1" customHeight="1">
      <c r="E983" s="29"/>
      <c r="F983" s="29"/>
      <c r="G983" s="29"/>
      <c r="H983" s="29"/>
      <c r="I983" s="28"/>
      <c r="J983" s="28"/>
    </row>
    <row r="984" ht="15.75" hidden="1" customHeight="1">
      <c r="E984" s="29"/>
      <c r="F984" s="29"/>
      <c r="G984" s="29"/>
      <c r="H984" s="29"/>
      <c r="I984" s="28"/>
      <c r="J984" s="28"/>
    </row>
    <row r="985" ht="15.75" hidden="1" customHeight="1">
      <c r="E985" s="29"/>
      <c r="F985" s="29"/>
      <c r="G985" s="29"/>
      <c r="H985" s="29"/>
      <c r="I985" s="28"/>
      <c r="J985" s="28"/>
    </row>
    <row r="986" ht="15.75" hidden="1" customHeight="1">
      <c r="E986" s="29"/>
      <c r="F986" s="29"/>
      <c r="G986" s="29"/>
      <c r="H986" s="29"/>
      <c r="I986" s="28"/>
      <c r="J986" s="28"/>
    </row>
    <row r="987" ht="15.75" hidden="1" customHeight="1">
      <c r="E987" s="29"/>
      <c r="F987" s="29"/>
      <c r="G987" s="29"/>
      <c r="H987" s="29"/>
      <c r="I987" s="28"/>
      <c r="J987" s="28"/>
    </row>
    <row r="988" ht="15.75" hidden="1" customHeight="1">
      <c r="E988" s="29"/>
      <c r="F988" s="29"/>
      <c r="G988" s="29"/>
      <c r="H988" s="29"/>
      <c r="I988" s="28"/>
      <c r="J988" s="28"/>
    </row>
  </sheetData>
  <autoFilter ref="$G$1:$G$988">
    <filterColumn colId="0">
      <filters>
        <filter val="discard"/>
        <filter val="konsumsi tukang"/>
        <filter val="remuk"/>
        <filter val="rusak"/>
        <filter val="tidak digunakan"/>
        <filter val="lebih orderan"/>
        <filter val="sisa(nasi)"/>
        <filter val="busuk"/>
        <filter val="dicard"/>
        <filter val="sisa"/>
        <filter val="kering"/>
        <filter val="kontaminasi kotoran"/>
        <filter val="kekurangan gelas"/>
        <filter val="busuk&amp;tangkai"/>
        <filter val="discad"/>
        <filter val="menghitam"/>
        <filter val="tidak mengembang"/>
        <filter val="sisa tapisan"/>
        <filter val="bekas kalibrasi"/>
        <filter val="kalibrasi"/>
        <filter val="tidak layak"/>
        <filter val="batang daun"/>
        <filter val="disccard"/>
        <filter val="gosong"/>
        <filter val="dsicard"/>
        <filter val="kotor"/>
        <filter val="batang"/>
        <filter val="bonggol"/>
        <filter val="gagal mengembang"/>
        <filter val="basi"/>
        <filter val="discrad"/>
        <filter val="BUSUK"/>
      </filters>
    </filterColumn>
  </autoFilter>
  <mergeCells count="30">
    <mergeCell ref="A2:A7"/>
    <mergeCell ref="A8:A18"/>
    <mergeCell ref="A19:A28"/>
    <mergeCell ref="A29:A39"/>
    <mergeCell ref="A40:A47"/>
    <mergeCell ref="A48:A56"/>
    <mergeCell ref="A57:A68"/>
    <mergeCell ref="A69:A80"/>
    <mergeCell ref="A81:A94"/>
    <mergeCell ref="A95:A109"/>
    <mergeCell ref="A110:A117"/>
    <mergeCell ref="A118:A132"/>
    <mergeCell ref="A133:A143"/>
    <mergeCell ref="A144:A152"/>
    <mergeCell ref="A153:A166"/>
    <mergeCell ref="A167:A178"/>
    <mergeCell ref="A179:A195"/>
    <mergeCell ref="A196:A211"/>
    <mergeCell ref="A212:A223"/>
    <mergeCell ref="A224:A235"/>
    <mergeCell ref="A236:A241"/>
    <mergeCell ref="A340:A354"/>
    <mergeCell ref="A355:A365"/>
    <mergeCell ref="A242:A256"/>
    <mergeCell ref="A257:A277"/>
    <mergeCell ref="A278:A290"/>
    <mergeCell ref="A291:A304"/>
    <mergeCell ref="A305:A321"/>
    <mergeCell ref="A322:A328"/>
    <mergeCell ref="A329:A339"/>
  </mergeCells>
  <dataValidations>
    <dataValidation type="list" allowBlank="1" showErrorMessage="1" sqref="B110 B112:B132">
      <formula1>'DATA PER 111225'!$B$2:$B$313</formula1>
    </dataValidation>
    <dataValidation type="list" allowBlank="1" showErrorMessage="1" sqref="B38">
      <formula1>'DATA PER 111225'!$B$2:$B$312</formula1>
    </dataValidation>
    <dataValidation type="list" allowBlank="1" showErrorMessage="1" sqref="B2:B35 B37 B39:B109 B111 B133:B182 B184:B206 B208:B221 B223 B225:B307 B309:B741">
      <formula1>'DATA PER 111225'!$B$2:$B$313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2.86"/>
    <col customWidth="1" min="3" max="3" width="13.0"/>
    <col customWidth="1" min="4" max="4" width="27.29"/>
    <col customWidth="1" min="5" max="5" width="13.14"/>
    <col customWidth="1" min="6" max="6" width="11.86"/>
    <col customWidth="1" min="7" max="7" width="21.0"/>
    <col customWidth="1" min="8" max="8" width="16.71"/>
    <col customWidth="1" min="9" max="9" width="13.14"/>
    <col customWidth="1" min="10" max="26" width="8.71"/>
  </cols>
  <sheetData>
    <row r="1">
      <c r="A1" s="14" t="s">
        <v>10</v>
      </c>
      <c r="B1" s="13" t="s">
        <v>2</v>
      </c>
      <c r="C1" s="14" t="s">
        <v>11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36" t="s">
        <v>1526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8">
        <v>46027.0</v>
      </c>
      <c r="B2" s="39" t="s">
        <v>648</v>
      </c>
      <c r="C2" s="40" t="str">
        <f>VLOOKUP(B2,Sheet3!$B$2:$E$312,2,FALSE)</f>
        <v>P004-020</v>
      </c>
      <c r="D2" s="40" t="str">
        <f>VLOOKUP(B2,Sheet3!$B$2:$E$312,3,)</f>
        <v>barang jadi &amp; bahan baku</v>
      </c>
      <c r="E2" s="40" t="str">
        <f>VLOOKUP(B2,Sheet3!$B$2:$E$312,4,)</f>
        <v>GR</v>
      </c>
      <c r="F2" s="41">
        <v>300.0</v>
      </c>
      <c r="G2" s="41" t="s">
        <v>1164</v>
      </c>
      <c r="H2" s="41" t="s">
        <v>1417</v>
      </c>
      <c r="I2" s="42" t="s">
        <v>1165</v>
      </c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8"/>
      <c r="B3" s="39" t="s">
        <v>54</v>
      </c>
      <c r="C3" s="40" t="str">
        <f>VLOOKUP(B3,Sheet3!$B$2:$E$312,2,FALSE)</f>
        <v>B001-019</v>
      </c>
      <c r="D3" s="40" t="str">
        <f>VLOOKUP(B3,Sheet3!$B$2:$E$312,3,)</f>
        <v>bahan baku</v>
      </c>
      <c r="E3" s="40" t="str">
        <f>VLOOKUP(B3,Sheet3!$B$2:$E$312,4,)</f>
        <v>GR</v>
      </c>
      <c r="F3" s="41">
        <v>100.0</v>
      </c>
      <c r="G3" s="41" t="s">
        <v>1527</v>
      </c>
      <c r="H3" s="41" t="s">
        <v>1528</v>
      </c>
      <c r="I3" s="42" t="s">
        <v>1165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8"/>
      <c r="B4" s="39" t="s">
        <v>28</v>
      </c>
      <c r="C4" s="40" t="str">
        <f>VLOOKUP(B4,Sheet3!$B$2:$E$312,2,FALSE)</f>
        <v>B001-006</v>
      </c>
      <c r="D4" s="40" t="str">
        <f>VLOOKUP(B4,Sheet3!$B$2:$E$312,3,)</f>
        <v>bahan baku</v>
      </c>
      <c r="E4" s="40" t="str">
        <f>VLOOKUP(B4,Sheet3!$B$2:$E$312,4,)</f>
        <v>GR</v>
      </c>
      <c r="F4" s="41">
        <v>23.0</v>
      </c>
      <c r="G4" s="41" t="s">
        <v>1529</v>
      </c>
      <c r="H4" s="41" t="s">
        <v>1528</v>
      </c>
      <c r="I4" s="42" t="s">
        <v>1165</v>
      </c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8"/>
      <c r="B5" s="39" t="s">
        <v>132</v>
      </c>
      <c r="C5" s="40" t="str">
        <f>VLOOKUP(B5,Sheet3!$B$2:$E$312,2,FALSE)</f>
        <v>B001-057</v>
      </c>
      <c r="D5" s="40" t="str">
        <f>VLOOKUP(B5,Sheet3!$B$2:$E$312,3,)</f>
        <v>bahan baku</v>
      </c>
      <c r="E5" s="40" t="str">
        <f>VLOOKUP(B5,Sheet3!$B$2:$E$312,4,)</f>
        <v>GR</v>
      </c>
      <c r="F5" s="41">
        <v>509.0</v>
      </c>
      <c r="G5" s="41" t="s">
        <v>1164</v>
      </c>
      <c r="H5" s="41" t="s">
        <v>1528</v>
      </c>
      <c r="I5" s="42" t="s">
        <v>1165</v>
      </c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8"/>
      <c r="B6" s="39" t="s">
        <v>805</v>
      </c>
      <c r="C6" s="40" t="str">
        <f>VLOOKUP(B6,Sheet3!$B$2:$E$312,2,FALSE)</f>
        <v>#N/A</v>
      </c>
      <c r="D6" s="40" t="str">
        <f>VLOOKUP(B6,Sheet3!$B$2:$E$312,3,)</f>
        <v>#N/A</v>
      </c>
      <c r="E6" s="40" t="str">
        <f>VLOOKUP(B6,Sheet3!$B$2:$E$312,4,)</f>
        <v>#N/A</v>
      </c>
      <c r="F6" s="41">
        <v>2468.0</v>
      </c>
      <c r="G6" s="41" t="s">
        <v>1216</v>
      </c>
      <c r="H6" s="41" t="s">
        <v>1417</v>
      </c>
      <c r="I6" s="42" t="s">
        <v>1165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8"/>
      <c r="B7" s="39" t="s">
        <v>664</v>
      </c>
      <c r="C7" s="40" t="str">
        <f>VLOOKUP(B7,Sheet3!$B$2:$E$312,2,FALSE)</f>
        <v>P004-025</v>
      </c>
      <c r="D7" s="40" t="str">
        <f>VLOOKUP(B7,Sheet3!$B$2:$E$312,3,)</f>
        <v>barang jadi &amp; bahan baku</v>
      </c>
      <c r="E7" s="40" t="str">
        <f>VLOOKUP(B7,Sheet3!$B$2:$E$312,4,)</f>
        <v>ML</v>
      </c>
      <c r="F7" s="41">
        <v>1021.0</v>
      </c>
      <c r="G7" s="41" t="s">
        <v>1216</v>
      </c>
      <c r="H7" s="41" t="s">
        <v>1417</v>
      </c>
      <c r="I7" s="42" t="s">
        <v>1165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8"/>
      <c r="B8" s="39" t="s">
        <v>653</v>
      </c>
      <c r="C8" s="40" t="str">
        <f>VLOOKUP(B8,Sheet3!$B$2:$E$312,2,FALSE)</f>
        <v>P004-022</v>
      </c>
      <c r="D8" s="40" t="str">
        <f>VLOOKUP(B8,Sheet3!$B$2:$E$312,3,)</f>
        <v>barang jadi &amp; bahan baku</v>
      </c>
      <c r="E8" s="40" t="str">
        <f>VLOOKUP(B8,Sheet3!$B$2:$E$312,4,)</f>
        <v>CC</v>
      </c>
      <c r="F8" s="41">
        <v>1891.0</v>
      </c>
      <c r="G8" s="41" t="s">
        <v>1216</v>
      </c>
      <c r="H8" s="41" t="s">
        <v>1417</v>
      </c>
      <c r="I8" s="42" t="s">
        <v>1165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8"/>
      <c r="B9" s="39" t="s">
        <v>657</v>
      </c>
      <c r="C9" s="40" t="str">
        <f>VLOOKUP(B9,Sheet3!$B$2:$E$312,2,FALSE)</f>
        <v>P004-023</v>
      </c>
      <c r="D9" s="40" t="str">
        <f>VLOOKUP(B9,Sheet3!$B$2:$E$312,3,)</f>
        <v>barang jadi &amp; bahan baku</v>
      </c>
      <c r="E9" s="40" t="str">
        <f>VLOOKUP(B9,Sheet3!$B$2:$E$312,4,)</f>
        <v>CC</v>
      </c>
      <c r="F9" s="41">
        <v>1992.0</v>
      </c>
      <c r="G9" s="41" t="s">
        <v>1216</v>
      </c>
      <c r="H9" s="41" t="s">
        <v>1417</v>
      </c>
      <c r="I9" s="42" t="s">
        <v>1165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53"/>
      <c r="B10" s="54" t="s">
        <v>720</v>
      </c>
      <c r="C10" s="55" t="str">
        <f>VLOOKUP(B10,Sheet3!$B$2:$E$312,2,FALSE)</f>
        <v>B002-005</v>
      </c>
      <c r="D10" s="55" t="str">
        <f>VLOOKUP(B10,Sheet3!$B$2:$E$312,3,)</f>
        <v>others</v>
      </c>
      <c r="E10" s="55" t="str">
        <f>VLOOKUP(B10,Sheet3!$B$2:$E$312,4,)</f>
        <v>PCS</v>
      </c>
      <c r="F10" s="56">
        <v>44.0</v>
      </c>
      <c r="G10" s="56" t="s">
        <v>1532</v>
      </c>
      <c r="H10" s="56" t="s">
        <v>1417</v>
      </c>
      <c r="I10" s="57" t="s">
        <v>1165</v>
      </c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>
      <c r="A11" s="38"/>
      <c r="B11" s="39" t="s">
        <v>502</v>
      </c>
      <c r="C11" s="40" t="str">
        <f>VLOOKUP(B11,Sheet3!$B$2:$E$312,2,FALSE)</f>
        <v>S001-002</v>
      </c>
      <c r="D11" s="40" t="str">
        <f>VLOOKUP(B11,Sheet3!$B$2:$E$312,3,)</f>
        <v>barang jadi</v>
      </c>
      <c r="E11" s="40" t="str">
        <f>VLOOKUP(B11,Sheet3!$B$2:$E$312,4,)</f>
        <v>PORSI</v>
      </c>
      <c r="F11" s="41">
        <v>4.0</v>
      </c>
      <c r="G11" s="41" t="s">
        <v>1216</v>
      </c>
      <c r="H11" s="41" t="s">
        <v>1225</v>
      </c>
      <c r="I11" s="42" t="s">
        <v>1165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8"/>
      <c r="B12" s="39" t="s">
        <v>33</v>
      </c>
      <c r="C12" s="40" t="str">
        <f>VLOOKUP(B12,Sheet3!$B$2:$E$312,2,FALSE)</f>
        <v>B001-008</v>
      </c>
      <c r="D12" s="40" t="str">
        <f>VLOOKUP(B12,Sheet3!$B$2:$E$312,3,)</f>
        <v>bahan baku</v>
      </c>
      <c r="E12" s="40" t="str">
        <f>VLOOKUP(B12,Sheet3!$B$2:$E$312,4,)</f>
        <v>GR</v>
      </c>
      <c r="F12" s="41">
        <f>1117</f>
        <v>1117</v>
      </c>
      <c r="G12" s="41" t="s">
        <v>1533</v>
      </c>
      <c r="H12" s="41" t="s">
        <v>1225</v>
      </c>
      <c r="I12" s="42" t="s">
        <v>1165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8"/>
      <c r="B13" s="39" t="s">
        <v>129</v>
      </c>
      <c r="C13" s="40" t="str">
        <f>VLOOKUP(B13,Sheet3!$B$2:$E$312,2,FALSE)</f>
        <v>B001-056</v>
      </c>
      <c r="D13" s="40" t="str">
        <f>VLOOKUP(B13,Sheet3!$B$2:$E$312,3,)</f>
        <v>bahan baku</v>
      </c>
      <c r="E13" s="40" t="str">
        <f>VLOOKUP(B13,Sheet3!$B$2:$E$312,4,)</f>
        <v>ML</v>
      </c>
      <c r="F13" s="41">
        <v>11.0</v>
      </c>
      <c r="G13" s="41" t="s">
        <v>1533</v>
      </c>
      <c r="H13" s="41" t="s">
        <v>1225</v>
      </c>
      <c r="I13" s="42" t="s">
        <v>1165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8"/>
      <c r="B14" s="39" t="s">
        <v>18</v>
      </c>
      <c r="C14" s="40" t="str">
        <f>VLOOKUP(B14,Sheet3!$B$2:$E$312,2,FALSE)</f>
        <v>B001-002</v>
      </c>
      <c r="D14" s="40" t="str">
        <f>VLOOKUP(B14,Sheet3!$B$2:$E$312,3,)</f>
        <v>bahan baku</v>
      </c>
      <c r="E14" s="40" t="str">
        <f>VLOOKUP(B14,Sheet3!$B$2:$E$312,4,)</f>
        <v>GR</v>
      </c>
      <c r="F14" s="41">
        <v>209.0</v>
      </c>
      <c r="G14" s="41" t="s">
        <v>1216</v>
      </c>
      <c r="H14" s="41" t="s">
        <v>1225</v>
      </c>
      <c r="I14" s="42" t="s">
        <v>1165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8">
        <v>46058.0</v>
      </c>
      <c r="B15" s="39" t="s">
        <v>33</v>
      </c>
      <c r="C15" s="40" t="str">
        <f>VLOOKUP(B15,Sheet3!$B$2:$E$312,2,FALSE)</f>
        <v>B001-008</v>
      </c>
      <c r="D15" s="40" t="str">
        <f>VLOOKUP(B15,Sheet3!$B$2:$E$312,3,)</f>
        <v>bahan baku</v>
      </c>
      <c r="E15" s="40" t="str">
        <f>VLOOKUP(B15,Sheet3!$B$2:$E$312,4,)</f>
        <v>GR</v>
      </c>
      <c r="F15" s="41">
        <f>1859</f>
        <v>1859</v>
      </c>
      <c r="G15" s="41" t="s">
        <v>1533</v>
      </c>
      <c r="H15" s="41" t="s">
        <v>1225</v>
      </c>
      <c r="I15" s="61" t="s">
        <v>1534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8"/>
      <c r="B16" s="39" t="s">
        <v>129</v>
      </c>
      <c r="C16" s="40" t="str">
        <f>VLOOKUP(B16,Sheet3!$B$2:$E$312,2,FALSE)</f>
        <v>B001-056</v>
      </c>
      <c r="D16" s="40" t="str">
        <f>VLOOKUP(B16,Sheet3!$B$2:$E$312,3,)</f>
        <v>bahan baku</v>
      </c>
      <c r="E16" s="40" t="str">
        <f>VLOOKUP(B16,Sheet3!$B$2:$E$312,4,)</f>
        <v>ML</v>
      </c>
      <c r="F16" s="41">
        <v>19.0</v>
      </c>
      <c r="G16" s="41" t="s">
        <v>1533</v>
      </c>
      <c r="H16" s="41" t="s">
        <v>1225</v>
      </c>
      <c r="I16" s="61" t="s">
        <v>1536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8"/>
      <c r="B17" s="39" t="s">
        <v>502</v>
      </c>
      <c r="C17" s="40" t="str">
        <f>VLOOKUP(B17,Sheet3!$B$2:$E$312,2,FALSE)</f>
        <v>S001-002</v>
      </c>
      <c r="D17" s="40" t="str">
        <f>VLOOKUP(B17,Sheet3!$B$2:$E$312,3,)</f>
        <v>barang jadi</v>
      </c>
      <c r="E17" s="40" t="str">
        <f>VLOOKUP(B17,Sheet3!$B$2:$E$312,4,)</f>
        <v>PORSI</v>
      </c>
      <c r="F17" s="41">
        <v>10.0</v>
      </c>
      <c r="G17" s="41" t="s">
        <v>1216</v>
      </c>
      <c r="H17" s="41" t="s">
        <v>1225</v>
      </c>
      <c r="I17" s="61" t="s">
        <v>1538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8"/>
      <c r="B18" s="39" t="s">
        <v>657</v>
      </c>
      <c r="C18" s="40" t="str">
        <f>VLOOKUP(B18,Sheet3!$B$2:$E$312,2,FALSE)</f>
        <v>P004-023</v>
      </c>
      <c r="D18" s="40" t="str">
        <f>VLOOKUP(B18,Sheet3!$B$2:$E$312,3,)</f>
        <v>barang jadi &amp; bahan baku</v>
      </c>
      <c r="E18" s="40" t="str">
        <f>VLOOKUP(B18,Sheet3!$B$2:$E$312,4,)</f>
        <v>CC</v>
      </c>
      <c r="F18" s="41">
        <v>1372.0</v>
      </c>
      <c r="G18" s="41" t="s">
        <v>1216</v>
      </c>
      <c r="H18" s="41" t="s">
        <v>1528</v>
      </c>
      <c r="I18" s="42" t="s">
        <v>1165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8"/>
      <c r="B19" s="39" t="s">
        <v>52</v>
      </c>
      <c r="C19" s="40" t="str">
        <f>VLOOKUP(B19,Sheet3!$B$2:$E$312,2,FALSE)</f>
        <v>B001-018</v>
      </c>
      <c r="D19" s="40" t="str">
        <f>VLOOKUP(B19,Sheet3!$B$2:$E$312,3,)</f>
        <v>bahan baku</v>
      </c>
      <c r="E19" s="40" t="str">
        <f>VLOOKUP(B19,Sheet3!$B$2:$E$312,4,)</f>
        <v>GR</v>
      </c>
      <c r="F19" s="41">
        <v>63.0</v>
      </c>
      <c r="G19" s="41" t="s">
        <v>1216</v>
      </c>
      <c r="H19" s="41" t="s">
        <v>1539</v>
      </c>
      <c r="I19" s="42" t="s">
        <v>1165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8"/>
      <c r="B20" s="39" t="s">
        <v>137</v>
      </c>
      <c r="C20" s="40" t="str">
        <f>VLOOKUP(B20,Sheet3!$B$2:$E$312,2,FALSE)</f>
        <v>B001-060</v>
      </c>
      <c r="D20" s="40" t="str">
        <f>VLOOKUP(B20,Sheet3!$B$2:$E$312,3,)</f>
        <v>bahan baku</v>
      </c>
      <c r="E20" s="40" t="str">
        <f>VLOOKUP(B20,Sheet3!$B$2:$E$312,4,)</f>
        <v>GR</v>
      </c>
      <c r="F20" s="41">
        <v>31.0</v>
      </c>
      <c r="G20" s="41" t="s">
        <v>1216</v>
      </c>
      <c r="H20" s="41" t="s">
        <v>1539</v>
      </c>
      <c r="I20" s="42" t="s">
        <v>1165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38"/>
      <c r="B21" s="39" t="s">
        <v>65</v>
      </c>
      <c r="C21" s="40" t="str">
        <f>VLOOKUP(B21,Sheet3!$B$2:$E$312,2,FALSE)</f>
        <v>B001-023</v>
      </c>
      <c r="D21" s="40" t="str">
        <f>VLOOKUP(B21,Sheet3!$B$2:$E$312,3,)</f>
        <v>bahan baku</v>
      </c>
      <c r="E21" s="40" t="str">
        <f>VLOOKUP(B21,Sheet3!$B$2:$E$312,4,)</f>
        <v>GR</v>
      </c>
      <c r="F21" s="41">
        <v>236.0</v>
      </c>
      <c r="G21" s="41" t="s">
        <v>1164</v>
      </c>
      <c r="H21" s="41" t="s">
        <v>1539</v>
      </c>
      <c r="I21" s="42" t="s">
        <v>1165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38">
        <v>46086.0</v>
      </c>
      <c r="B22" s="39" t="s">
        <v>28</v>
      </c>
      <c r="C22" s="40" t="str">
        <f>VLOOKUP(B22,Sheet3!$B$2:$E$312,2,FALSE)</f>
        <v>B001-006</v>
      </c>
      <c r="D22" s="40" t="str">
        <f>VLOOKUP(B22,Sheet3!$B$2:$E$312,3,)</f>
        <v>bahan baku</v>
      </c>
      <c r="E22" s="40" t="str">
        <f>VLOOKUP(B22,Sheet3!$B$2:$E$312,4,)</f>
        <v>GR</v>
      </c>
      <c r="F22" s="41">
        <v>9.0</v>
      </c>
      <c r="G22" s="41" t="s">
        <v>1543</v>
      </c>
      <c r="H22" s="41" t="s">
        <v>1305</v>
      </c>
      <c r="I22" s="42" t="s">
        <v>1165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38"/>
      <c r="B23" s="39" t="s">
        <v>50</v>
      </c>
      <c r="C23" s="40" t="str">
        <f>VLOOKUP(B23,Sheet3!$B$2:$E$312,2,FALSE)</f>
        <v>B001-017</v>
      </c>
      <c r="D23" s="40" t="str">
        <f>VLOOKUP(B23,Sheet3!$B$2:$E$312,3,)</f>
        <v>bahan baku</v>
      </c>
      <c r="E23" s="40" t="str">
        <f>VLOOKUP(B23,Sheet3!$B$2:$E$312,4,)</f>
        <v>GR</v>
      </c>
      <c r="F23" s="41">
        <v>57.0</v>
      </c>
      <c r="G23" s="41" t="s">
        <v>1543</v>
      </c>
      <c r="H23" s="41" t="s">
        <v>1305</v>
      </c>
      <c r="I23" s="42" t="s">
        <v>1165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8"/>
      <c r="B24" s="39" t="s">
        <v>33</v>
      </c>
      <c r="C24" s="40" t="str">
        <f>VLOOKUP(B24,Sheet3!$B$2:$E$312,2,FALSE)</f>
        <v>B001-008</v>
      </c>
      <c r="D24" s="40" t="str">
        <f>VLOOKUP(B24,Sheet3!$B$2:$E$312,3,)</f>
        <v>bahan baku</v>
      </c>
      <c r="E24" s="40" t="str">
        <f>VLOOKUP(B24,Sheet3!$B$2:$E$312,4,)</f>
        <v>GR</v>
      </c>
      <c r="F24" s="41">
        <f>2187</f>
        <v>2187</v>
      </c>
      <c r="G24" s="41" t="s">
        <v>1533</v>
      </c>
      <c r="H24" s="41" t="s">
        <v>1225</v>
      </c>
      <c r="I24" s="61" t="s">
        <v>1544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8"/>
      <c r="B25" s="39" t="s">
        <v>129</v>
      </c>
      <c r="C25" s="40" t="str">
        <f>VLOOKUP(B25,Sheet3!$B$2:$E$312,2,FALSE)</f>
        <v>B001-056</v>
      </c>
      <c r="D25" s="40" t="str">
        <f>VLOOKUP(B25,Sheet3!$B$2:$E$312,3,)</f>
        <v>bahan baku</v>
      </c>
      <c r="E25" s="40" t="str">
        <f>VLOOKUP(B25,Sheet3!$B$2:$E$312,4,)</f>
        <v>ML</v>
      </c>
      <c r="F25" s="41">
        <v>22.0</v>
      </c>
      <c r="G25" s="41" t="s">
        <v>1533</v>
      </c>
      <c r="H25" s="41" t="s">
        <v>1225</v>
      </c>
      <c r="I25" s="42" t="s">
        <v>1165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8"/>
      <c r="B26" s="39" t="s">
        <v>502</v>
      </c>
      <c r="C26" s="40" t="str">
        <f>VLOOKUP(B26,Sheet3!$B$2:$E$312,2,FALSE)</f>
        <v>S001-002</v>
      </c>
      <c r="D26" s="40" t="str">
        <f>VLOOKUP(B26,Sheet3!$B$2:$E$312,3,)</f>
        <v>barang jadi</v>
      </c>
      <c r="E26" s="40" t="str">
        <f>VLOOKUP(B26,Sheet3!$B$2:$E$312,4,)</f>
        <v>PORSI</v>
      </c>
      <c r="F26" s="41">
        <v>3.0</v>
      </c>
      <c r="G26" s="41" t="s">
        <v>1216</v>
      </c>
      <c r="H26" s="41" t="s">
        <v>1225</v>
      </c>
      <c r="I26" s="42" t="s">
        <v>1165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8"/>
      <c r="B27" s="39" t="s">
        <v>28</v>
      </c>
      <c r="C27" s="40" t="str">
        <f>VLOOKUP(B27,Sheet3!$B$2:$E$312,2,FALSE)</f>
        <v>B001-006</v>
      </c>
      <c r="D27" s="40" t="str">
        <f>VLOOKUP(B27,Sheet3!$B$2:$E$312,3,)</f>
        <v>bahan baku</v>
      </c>
      <c r="E27" s="40" t="str">
        <f>VLOOKUP(B27,Sheet3!$B$2:$E$312,4,)</f>
        <v>GR</v>
      </c>
      <c r="F27" s="41">
        <v>9.0</v>
      </c>
      <c r="G27" s="41" t="s">
        <v>1543</v>
      </c>
      <c r="H27" s="41" t="s">
        <v>1539</v>
      </c>
      <c r="I27" s="42" t="s">
        <v>1165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8"/>
      <c r="B28" s="39" t="s">
        <v>148</v>
      </c>
      <c r="C28" s="40" t="str">
        <f>VLOOKUP(B28,Sheet3!$B$2:$E$312,2,FALSE)</f>
        <v>B001-064</v>
      </c>
      <c r="D28" s="40" t="str">
        <f>VLOOKUP(B28,Sheet3!$B$2:$E$312,3,)</f>
        <v>bahan baku</v>
      </c>
      <c r="E28" s="40" t="str">
        <f>VLOOKUP(B28,Sheet3!$B$2:$E$312,4,)</f>
        <v>GR</v>
      </c>
      <c r="F28" s="41">
        <v>93.0</v>
      </c>
      <c r="G28" s="41" t="s">
        <v>1543</v>
      </c>
      <c r="H28" s="41" t="s">
        <v>1539</v>
      </c>
      <c r="I28" s="42" t="s">
        <v>1165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8"/>
      <c r="B29" s="39" t="s">
        <v>298</v>
      </c>
      <c r="C29" s="40" t="str">
        <f>VLOOKUP(B29,Sheet3!$B$2:$E$312,2,FALSE)</f>
        <v>B001-125</v>
      </c>
      <c r="D29" s="40" t="str">
        <f>VLOOKUP(B29,Sheet3!$B$2:$E$312,3,)</f>
        <v>bahan baku</v>
      </c>
      <c r="E29" s="40" t="str">
        <f>VLOOKUP(B29,Sheet3!$B$2:$E$312,4,)</f>
        <v>GR</v>
      </c>
      <c r="F29" s="41">
        <v>60.0</v>
      </c>
      <c r="G29" s="41" t="s">
        <v>1224</v>
      </c>
      <c r="H29" s="41" t="s">
        <v>1539</v>
      </c>
      <c r="I29" s="42" t="s">
        <v>1165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8"/>
      <c r="B30" s="39" t="s">
        <v>657</v>
      </c>
      <c r="C30" s="40" t="str">
        <f>VLOOKUP(B30,Sheet3!$B$2:$E$312,2,FALSE)</f>
        <v>P004-023</v>
      </c>
      <c r="D30" s="40" t="str">
        <f>VLOOKUP(B30,Sheet3!$B$2:$E$312,3,)</f>
        <v>barang jadi &amp; bahan baku</v>
      </c>
      <c r="E30" s="40" t="str">
        <f>VLOOKUP(B30,Sheet3!$B$2:$E$312,4,)</f>
        <v>CC</v>
      </c>
      <c r="F30" s="41">
        <v>505.0</v>
      </c>
      <c r="G30" s="41" t="s">
        <v>1216</v>
      </c>
      <c r="H30" s="41" t="s">
        <v>1512</v>
      </c>
      <c r="I30" s="42" t="s">
        <v>1165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8"/>
      <c r="B31" s="39" t="s">
        <v>653</v>
      </c>
      <c r="C31" s="40" t="str">
        <f>VLOOKUP(B31,Sheet3!$B$2:$E$312,2,FALSE)</f>
        <v>P004-022</v>
      </c>
      <c r="D31" s="40" t="str">
        <f>VLOOKUP(B31,Sheet3!$B$2:$E$312,3,)</f>
        <v>barang jadi &amp; bahan baku</v>
      </c>
      <c r="E31" s="40" t="str">
        <f>VLOOKUP(B31,Sheet3!$B$2:$E$312,4,)</f>
        <v>CC</v>
      </c>
      <c r="F31" s="41">
        <v>537.0</v>
      </c>
      <c r="G31" s="41" t="s">
        <v>1216</v>
      </c>
      <c r="H31" s="41" t="s">
        <v>1512</v>
      </c>
      <c r="I31" s="42" t="s">
        <v>1165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8"/>
      <c r="B32" s="39" t="s">
        <v>805</v>
      </c>
      <c r="C32" s="40" t="str">
        <f>VLOOKUP(B32,Sheet3!$B$2:$E$312,2,FALSE)</f>
        <v>#N/A</v>
      </c>
      <c r="D32" s="40" t="str">
        <f>VLOOKUP(B32,Sheet3!$B$2:$E$312,3,)</f>
        <v>#N/A</v>
      </c>
      <c r="E32" s="40" t="str">
        <f>VLOOKUP(B32,Sheet3!$B$2:$E$312,4,)</f>
        <v>#N/A</v>
      </c>
      <c r="F32" s="41">
        <v>4770.0</v>
      </c>
      <c r="G32" s="41" t="s">
        <v>1216</v>
      </c>
      <c r="H32" s="41" t="s">
        <v>1512</v>
      </c>
      <c r="I32" s="42" t="s">
        <v>1165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53"/>
      <c r="B33" s="54" t="s">
        <v>720</v>
      </c>
      <c r="C33" s="55" t="str">
        <f>VLOOKUP(B33,Sheet3!$B$2:$E$312,2,FALSE)</f>
        <v>B002-005</v>
      </c>
      <c r="D33" s="55" t="str">
        <f>VLOOKUP(B33,Sheet3!$B$2:$E$312,3,)</f>
        <v>others</v>
      </c>
      <c r="E33" s="55" t="str">
        <f>VLOOKUP(B33,Sheet3!$B$2:$E$312,4,)</f>
        <v>PCS</v>
      </c>
      <c r="F33" s="56">
        <v>106.0</v>
      </c>
      <c r="G33" s="56" t="s">
        <v>1532</v>
      </c>
      <c r="H33" s="56" t="s">
        <v>1512</v>
      </c>
      <c r="I33" s="57" t="s">
        <v>1165</v>
      </c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ht="15.75" customHeight="1">
      <c r="A34" s="74">
        <v>46117.0</v>
      </c>
      <c r="B34" s="39" t="s">
        <v>648</v>
      </c>
      <c r="C34" s="40" t="str">
        <f>VLOOKUP(B34,Sheet3!$B$2:$E$312,2,FALSE)</f>
        <v>P004-020</v>
      </c>
      <c r="D34" s="40" t="str">
        <f>VLOOKUP(B34,Sheet3!$B$2:$E$312,3,)</f>
        <v>barang jadi &amp; bahan baku</v>
      </c>
      <c r="E34" s="40" t="str">
        <f>VLOOKUP(B34,Sheet3!$B$2:$E$312,4,)</f>
        <v>GR</v>
      </c>
      <c r="F34" s="41">
        <v>120.0</v>
      </c>
      <c r="G34" s="41" t="s">
        <v>1164</v>
      </c>
      <c r="H34" s="41" t="s">
        <v>1514</v>
      </c>
      <c r="I34" s="42" t="s">
        <v>1165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8"/>
      <c r="B35" s="39" t="s">
        <v>657</v>
      </c>
      <c r="C35" s="40" t="str">
        <f>VLOOKUP(B35,Sheet3!$B$2:$E$312,2,FALSE)</f>
        <v>P004-023</v>
      </c>
      <c r="D35" s="40" t="str">
        <f>VLOOKUP(B35,Sheet3!$B$2:$E$312,3,)</f>
        <v>barang jadi &amp; bahan baku</v>
      </c>
      <c r="E35" s="40" t="str">
        <f>VLOOKUP(B35,Sheet3!$B$2:$E$312,4,)</f>
        <v>CC</v>
      </c>
      <c r="F35" s="41">
        <v>1392.0</v>
      </c>
      <c r="G35" s="41" t="s">
        <v>1164</v>
      </c>
      <c r="H35" s="41" t="s">
        <v>1514</v>
      </c>
      <c r="I35" s="42" t="s">
        <v>1165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8"/>
      <c r="B36" s="39" t="s">
        <v>653</v>
      </c>
      <c r="C36" s="40" t="str">
        <f>VLOOKUP(B36,Sheet3!$B$2:$E$312,2,FALSE)</f>
        <v>P004-022</v>
      </c>
      <c r="D36" s="40" t="str">
        <f>VLOOKUP(B36,Sheet3!$B$2:$E$312,3,)</f>
        <v>barang jadi &amp; bahan baku</v>
      </c>
      <c r="E36" s="40" t="str">
        <f>VLOOKUP(B36,Sheet3!$B$2:$E$312,4,)</f>
        <v>CC</v>
      </c>
      <c r="F36" s="41">
        <v>1021.0</v>
      </c>
      <c r="G36" s="41" t="s">
        <v>1164</v>
      </c>
      <c r="H36" s="41" t="s">
        <v>1514</v>
      </c>
      <c r="I36" s="42" t="s">
        <v>1165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8"/>
      <c r="B37" s="39" t="s">
        <v>805</v>
      </c>
      <c r="C37" s="40" t="str">
        <f>VLOOKUP(B37,Sheet3!$B$2:$E$312,2,FALSE)</f>
        <v>#N/A</v>
      </c>
      <c r="D37" s="40" t="str">
        <f>VLOOKUP(B37,Sheet3!$B$2:$E$312,3,)</f>
        <v>#N/A</v>
      </c>
      <c r="E37" s="40" t="str">
        <f>VLOOKUP(B37,Sheet3!$B$2:$E$312,4,)</f>
        <v>#N/A</v>
      </c>
      <c r="F37" s="41">
        <v>4347.0</v>
      </c>
      <c r="G37" s="41" t="s">
        <v>1164</v>
      </c>
      <c r="H37" s="41" t="s">
        <v>1514</v>
      </c>
      <c r="I37" s="42" t="s">
        <v>1165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8"/>
      <c r="B38" s="39" t="s">
        <v>33</v>
      </c>
      <c r="C38" s="40" t="str">
        <f>VLOOKUP(B38,Sheet3!$B$2:$E$312,2,FALSE)</f>
        <v>B001-008</v>
      </c>
      <c r="D38" s="40" t="str">
        <f>VLOOKUP(B38,Sheet3!$B$2:$E$312,3,)</f>
        <v>bahan baku</v>
      </c>
      <c r="E38" s="40" t="str">
        <f>VLOOKUP(B38,Sheet3!$B$2:$E$312,4,)</f>
        <v>GR</v>
      </c>
      <c r="F38" s="41">
        <v>2787.0</v>
      </c>
      <c r="G38" s="41" t="s">
        <v>1533</v>
      </c>
      <c r="H38" s="41" t="s">
        <v>1225</v>
      </c>
      <c r="I38" s="61" t="s">
        <v>1562</v>
      </c>
      <c r="J38" s="37"/>
      <c r="K38" s="37"/>
      <c r="L38" s="37">
        <f>2187*1.56</f>
        <v>3411.72</v>
      </c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8"/>
      <c r="B39" s="39" t="s">
        <v>129</v>
      </c>
      <c r="C39" s="40" t="str">
        <f>VLOOKUP(B39,Sheet3!$B$2:$E$312,2,FALSE)</f>
        <v>B001-056</v>
      </c>
      <c r="D39" s="40" t="str">
        <f>VLOOKUP(B39,Sheet3!$B$2:$E$312,3,)</f>
        <v>bahan baku</v>
      </c>
      <c r="E39" s="40" t="str">
        <f>VLOOKUP(B39,Sheet3!$B$2:$E$312,4,)</f>
        <v>ML</v>
      </c>
      <c r="F39" s="41">
        <v>28.0</v>
      </c>
      <c r="G39" s="41" t="s">
        <v>1533</v>
      </c>
      <c r="H39" s="41" t="s">
        <v>1225</v>
      </c>
      <c r="I39" s="61" t="s">
        <v>1564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8"/>
      <c r="B40" s="39" t="s">
        <v>502</v>
      </c>
      <c r="C40" s="40" t="str">
        <f>VLOOKUP(B40,Sheet3!$B$2:$E$312,2,FALSE)</f>
        <v>S001-002</v>
      </c>
      <c r="D40" s="40" t="str">
        <f>VLOOKUP(B40,Sheet3!$B$2:$E$312,3,)</f>
        <v>barang jadi</v>
      </c>
      <c r="E40" s="40" t="str">
        <f>VLOOKUP(B40,Sheet3!$B$2:$E$312,4,)</f>
        <v>PORSI</v>
      </c>
      <c r="F40" s="41">
        <v>1.0</v>
      </c>
      <c r="G40" s="41" t="s">
        <v>1216</v>
      </c>
      <c r="H40" s="41" t="s">
        <v>1225</v>
      </c>
      <c r="I40" s="42" t="s">
        <v>1165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8"/>
      <c r="B41" s="39" t="s">
        <v>148</v>
      </c>
      <c r="C41" s="40" t="str">
        <f>VLOOKUP(B41,Sheet3!$B$2:$E$312,2,FALSE)</f>
        <v>B001-064</v>
      </c>
      <c r="D41" s="40" t="str">
        <f>VLOOKUP(B41,Sheet3!$B$2:$E$312,3,)</f>
        <v>bahan baku</v>
      </c>
      <c r="E41" s="40" t="str">
        <f>VLOOKUP(B41,Sheet3!$B$2:$E$312,4,)</f>
        <v>GR</v>
      </c>
      <c r="F41" s="41">
        <v>150.0</v>
      </c>
      <c r="G41" s="41" t="s">
        <v>1543</v>
      </c>
      <c r="H41" s="41" t="s">
        <v>1539</v>
      </c>
      <c r="I41" s="42" t="s">
        <v>1165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8"/>
      <c r="B42" s="39" t="s">
        <v>28</v>
      </c>
      <c r="C42" s="40" t="str">
        <f>VLOOKUP(B42,Sheet3!$B$2:$E$312,2,FALSE)</f>
        <v>B001-006</v>
      </c>
      <c r="D42" s="40" t="str">
        <f>VLOOKUP(B42,Sheet3!$B$2:$E$312,3,)</f>
        <v>bahan baku</v>
      </c>
      <c r="E42" s="40" t="str">
        <f>VLOOKUP(B42,Sheet3!$B$2:$E$312,4,)</f>
        <v>GR</v>
      </c>
      <c r="F42" s="41">
        <v>7.0</v>
      </c>
      <c r="G42" s="41" t="s">
        <v>1543</v>
      </c>
      <c r="H42" s="41" t="s">
        <v>1539</v>
      </c>
      <c r="I42" s="42" t="s">
        <v>1165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8">
        <v>46147.0</v>
      </c>
      <c r="B43" s="39" t="s">
        <v>28</v>
      </c>
      <c r="C43" s="40" t="str">
        <f>VLOOKUP(B43,Sheet3!$B$2:$E$312,2,FALSE)</f>
        <v>B001-006</v>
      </c>
      <c r="D43" s="40" t="str">
        <f>VLOOKUP(B43,Sheet3!$B$2:$E$312,3,)</f>
        <v>bahan baku</v>
      </c>
      <c r="E43" s="40" t="str">
        <f>VLOOKUP(B43,Sheet3!$B$2:$E$312,4,)</f>
        <v>GR</v>
      </c>
      <c r="F43" s="41">
        <v>5.0</v>
      </c>
      <c r="G43" s="41" t="s">
        <v>1543</v>
      </c>
      <c r="H43" s="41" t="s">
        <v>1305</v>
      </c>
      <c r="I43" s="42" t="s">
        <v>1165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8"/>
      <c r="B44" s="39" t="s">
        <v>52</v>
      </c>
      <c r="C44" s="40" t="str">
        <f>VLOOKUP(B44,Sheet3!$B$2:$E$312,2,FALSE)</f>
        <v>B001-018</v>
      </c>
      <c r="D44" s="40" t="str">
        <f>VLOOKUP(B44,Sheet3!$B$2:$E$312,3,)</f>
        <v>bahan baku</v>
      </c>
      <c r="E44" s="40" t="str">
        <f>VLOOKUP(B44,Sheet3!$B$2:$E$312,4,)</f>
        <v>GR</v>
      </c>
      <c r="F44" s="41">
        <v>119.0</v>
      </c>
      <c r="G44" s="41" t="s">
        <v>1543</v>
      </c>
      <c r="H44" s="41" t="s">
        <v>1305</v>
      </c>
      <c r="I44" s="42" t="s">
        <v>1165</v>
      </c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8"/>
      <c r="B45" s="39" t="s">
        <v>629</v>
      </c>
      <c r="C45" s="40" t="str">
        <f>VLOOKUP(B45,Sheet3!$B$2:$E$312,2,FALSE)</f>
        <v>P004-012</v>
      </c>
      <c r="D45" s="40" t="str">
        <f>VLOOKUP(B45,Sheet3!$B$2:$E$312,3,)</f>
        <v>barang jadi &amp; bahan baku</v>
      </c>
      <c r="E45" s="40" t="str">
        <f>VLOOKUP(B45,Sheet3!$B$2:$E$312,4,)</f>
        <v>GR</v>
      </c>
      <c r="F45" s="41">
        <v>208.0</v>
      </c>
      <c r="G45" s="41" t="s">
        <v>1164</v>
      </c>
      <c r="H45" s="41" t="s">
        <v>1539</v>
      </c>
      <c r="I45" s="42" t="s">
        <v>1165</v>
      </c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53"/>
      <c r="B46" s="54" t="s">
        <v>211</v>
      </c>
      <c r="C46" s="55" t="str">
        <f>VLOOKUP(B46,Sheet3!$B$2:$E$312,2,FALSE)</f>
        <v>B001-088</v>
      </c>
      <c r="D46" s="55" t="str">
        <f>VLOOKUP(B46,Sheet3!$B$2:$E$312,3,)</f>
        <v>bahan baku</v>
      </c>
      <c r="E46" s="55" t="str">
        <f>VLOOKUP(B46,Sheet3!$B$2:$E$312,4,)</f>
        <v>GR</v>
      </c>
      <c r="F46" s="56">
        <v>3197.0</v>
      </c>
      <c r="G46" s="56" t="s">
        <v>1543</v>
      </c>
      <c r="H46" s="56" t="s">
        <v>1441</v>
      </c>
      <c r="I46" s="57" t="s">
        <v>1165</v>
      </c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ht="15.75" customHeight="1">
      <c r="A47" s="38"/>
      <c r="B47" s="39" t="s">
        <v>657</v>
      </c>
      <c r="C47" s="40" t="str">
        <f>VLOOKUP(B47,Sheet3!$B$2:$E$312,2,FALSE)</f>
        <v>P004-023</v>
      </c>
      <c r="D47" s="40" t="str">
        <f>VLOOKUP(B47,Sheet3!$B$2:$E$312,3,)</f>
        <v>barang jadi &amp; bahan baku</v>
      </c>
      <c r="E47" s="40" t="str">
        <f>VLOOKUP(B47,Sheet3!$B$2:$E$312,4,)</f>
        <v>CC</v>
      </c>
      <c r="F47" s="41">
        <v>805.0</v>
      </c>
      <c r="G47" s="41" t="s">
        <v>1164</v>
      </c>
      <c r="H47" s="41" t="s">
        <v>1567</v>
      </c>
      <c r="I47" s="42" t="s">
        <v>1165</v>
      </c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>
      <c r="A48" s="38"/>
      <c r="B48" s="39" t="s">
        <v>33</v>
      </c>
      <c r="C48" s="40" t="str">
        <f>VLOOKUP(B48,Sheet3!$B$2:$E$312,2,FALSE)</f>
        <v>B001-008</v>
      </c>
      <c r="D48" s="40" t="str">
        <f>VLOOKUP(B48,Sheet3!$B$2:$E$312,3,)</f>
        <v>bahan baku</v>
      </c>
      <c r="E48" s="40" t="str">
        <f>VLOOKUP(B48,Sheet3!$B$2:$E$312,4,)</f>
        <v>GR</v>
      </c>
      <c r="F48" s="41">
        <v>800.0</v>
      </c>
      <c r="G48" s="41" t="s">
        <v>1533</v>
      </c>
      <c r="H48" s="41" t="s">
        <v>1417</v>
      </c>
      <c r="I48" s="42" t="s">
        <v>1165</v>
      </c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8"/>
      <c r="B49" s="39" t="s">
        <v>129</v>
      </c>
      <c r="C49" s="40" t="str">
        <f>VLOOKUP(B49,Sheet3!$B$2:$E$312,2,FALSE)</f>
        <v>B001-056</v>
      </c>
      <c r="D49" s="40" t="str">
        <f>VLOOKUP(B49,Sheet3!$B$2:$E$312,3,)</f>
        <v>bahan baku</v>
      </c>
      <c r="E49" s="40" t="str">
        <f>VLOOKUP(B49,Sheet3!$B$2:$E$312,4,)</f>
        <v>ML</v>
      </c>
      <c r="F49" s="41">
        <v>8.0</v>
      </c>
      <c r="G49" s="41" t="s">
        <v>1533</v>
      </c>
      <c r="H49" s="41" t="s">
        <v>1417</v>
      </c>
      <c r="I49" s="42" t="s">
        <v>1165</v>
      </c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8"/>
      <c r="B50" s="39" t="s">
        <v>664</v>
      </c>
      <c r="C50" s="40" t="str">
        <f>VLOOKUP(B50,Sheet3!$B$2:$E$312,2,FALSE)</f>
        <v>P004-025</v>
      </c>
      <c r="D50" s="40" t="str">
        <f>VLOOKUP(B50,Sheet3!$B$2:$E$312,3,)</f>
        <v>barang jadi &amp; bahan baku</v>
      </c>
      <c r="E50" s="40" t="str">
        <f>VLOOKUP(B50,Sheet3!$B$2:$E$312,4,)</f>
        <v>ML</v>
      </c>
      <c r="F50" s="41">
        <v>1211.0</v>
      </c>
      <c r="G50" s="41" t="s">
        <v>1164</v>
      </c>
      <c r="H50" s="41" t="s">
        <v>1567</v>
      </c>
      <c r="I50" s="42" t="s">
        <v>1165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8"/>
      <c r="B51" s="39" t="s">
        <v>18</v>
      </c>
      <c r="C51" s="40" t="str">
        <f>VLOOKUP(B51,Sheet3!$B$2:$E$312,2,FALSE)</f>
        <v>B001-002</v>
      </c>
      <c r="D51" s="40" t="str">
        <f>VLOOKUP(B51,Sheet3!$B$2:$E$312,3,)</f>
        <v>bahan baku</v>
      </c>
      <c r="E51" s="40" t="str">
        <f>VLOOKUP(B51,Sheet3!$B$2:$E$312,4,)</f>
        <v>GR</v>
      </c>
      <c r="F51" s="41">
        <v>100.0</v>
      </c>
      <c r="G51" s="41" t="s">
        <v>1216</v>
      </c>
      <c r="H51" s="41" t="s">
        <v>1417</v>
      </c>
      <c r="I51" s="42" t="s">
        <v>1165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38">
        <v>46178.0</v>
      </c>
      <c r="B52" s="39" t="s">
        <v>657</v>
      </c>
      <c r="C52" s="40" t="str">
        <f>VLOOKUP(B52,Sheet3!$B$2:$E$312,2,FALSE)</f>
        <v>P004-023</v>
      </c>
      <c r="D52" s="40" t="str">
        <f>VLOOKUP(B52,Sheet3!$B$2:$E$312,3,)</f>
        <v>barang jadi &amp; bahan baku</v>
      </c>
      <c r="E52" s="40" t="str">
        <f>VLOOKUP(B52,Sheet3!$B$2:$E$312,4,)</f>
        <v>CC</v>
      </c>
      <c r="F52" s="41">
        <v>1100.0</v>
      </c>
      <c r="G52" s="41" t="s">
        <v>1164</v>
      </c>
      <c r="H52" s="41" t="s">
        <v>1514</v>
      </c>
      <c r="I52" s="42" t="s">
        <v>1165</v>
      </c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>
      <c r="A53" s="38"/>
      <c r="B53" s="39" t="s">
        <v>653</v>
      </c>
      <c r="C53" s="40" t="str">
        <f>VLOOKUP(B53,Sheet3!$B$2:$E$312,2,FALSE)</f>
        <v>P004-022</v>
      </c>
      <c r="D53" s="40" t="str">
        <f>VLOOKUP(B53,Sheet3!$B$2:$E$312,3,)</f>
        <v>barang jadi &amp; bahan baku</v>
      </c>
      <c r="E53" s="40" t="str">
        <f>VLOOKUP(B53,Sheet3!$B$2:$E$312,4,)</f>
        <v>CC</v>
      </c>
      <c r="F53" s="41">
        <v>1140.0</v>
      </c>
      <c r="G53" s="41" t="s">
        <v>1164</v>
      </c>
      <c r="H53" s="41" t="s">
        <v>1514</v>
      </c>
      <c r="I53" s="42" t="s">
        <v>1165</v>
      </c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>
      <c r="A54" s="38"/>
      <c r="B54" s="39" t="s">
        <v>664</v>
      </c>
      <c r="C54" s="40" t="str">
        <f>VLOOKUP(B54,Sheet3!$B$2:$E$312,2,FALSE)</f>
        <v>P004-025</v>
      </c>
      <c r="D54" s="40" t="str">
        <f>VLOOKUP(B54,Sheet3!$B$2:$E$312,3,)</f>
        <v>barang jadi &amp; bahan baku</v>
      </c>
      <c r="E54" s="40" t="str">
        <f>VLOOKUP(B54,Sheet3!$B$2:$E$312,4,)</f>
        <v>ML</v>
      </c>
      <c r="F54" s="41">
        <v>776.0</v>
      </c>
      <c r="G54" s="41" t="s">
        <v>1216</v>
      </c>
      <c r="H54" s="41" t="s">
        <v>1514</v>
      </c>
      <c r="I54" s="42" t="s">
        <v>1165</v>
      </c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>
      <c r="A55" s="53"/>
      <c r="B55" s="54" t="s">
        <v>211</v>
      </c>
      <c r="C55" s="55" t="str">
        <f>VLOOKUP(B55,Sheet3!$B$2:$E$312,2,FALSE)</f>
        <v>B001-088</v>
      </c>
      <c r="D55" s="55" t="str">
        <f>VLOOKUP(B55,Sheet3!$B$2:$E$312,3,)</f>
        <v>bahan baku</v>
      </c>
      <c r="E55" s="55" t="str">
        <f>VLOOKUP(B55,Sheet3!$B$2:$E$312,4,)</f>
        <v>GR</v>
      </c>
      <c r="F55" s="56">
        <v>5852.0</v>
      </c>
      <c r="G55" s="56" t="s">
        <v>1543</v>
      </c>
      <c r="H55" s="56" t="s">
        <v>1441</v>
      </c>
      <c r="I55" s="57" t="s">
        <v>1165</v>
      </c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ht="15.75" customHeight="1">
      <c r="A56" s="38"/>
      <c r="B56" s="39" t="s">
        <v>502</v>
      </c>
      <c r="C56" s="40" t="str">
        <f>VLOOKUP(B56,Sheet3!$B$2:$E$312,2,FALSE)</f>
        <v>S001-002</v>
      </c>
      <c r="D56" s="40" t="str">
        <f>VLOOKUP(B56,Sheet3!$B$2:$E$312,3,)</f>
        <v>barang jadi</v>
      </c>
      <c r="E56" s="40" t="str">
        <f>VLOOKUP(B56,Sheet3!$B$2:$E$312,4,)</f>
        <v>PORSI</v>
      </c>
      <c r="F56" s="41">
        <v>1.0</v>
      </c>
      <c r="G56" s="41" t="s">
        <v>1216</v>
      </c>
      <c r="H56" s="41" t="s">
        <v>1417</v>
      </c>
      <c r="I56" s="61" t="s">
        <v>1575</v>
      </c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>
      <c r="A57" s="38"/>
      <c r="B57" s="39" t="s">
        <v>33</v>
      </c>
      <c r="C57" s="40" t="str">
        <f>VLOOKUP(B57,Sheet3!$B$2:$E$312,2,FALSE)</f>
        <v>B001-008</v>
      </c>
      <c r="D57" s="40" t="str">
        <f>VLOOKUP(B57,Sheet3!$B$2:$E$312,3,)</f>
        <v>bahan baku</v>
      </c>
      <c r="E57" s="40" t="str">
        <f>VLOOKUP(B57,Sheet3!$B$2:$E$312,4,)</f>
        <v>GR</v>
      </c>
      <c r="F57" s="41">
        <v>815.0</v>
      </c>
      <c r="G57" s="41" t="s">
        <v>1533</v>
      </c>
      <c r="H57" s="41" t="s">
        <v>1417</v>
      </c>
      <c r="I57" s="42" t="s">
        <v>1165</v>
      </c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>
      <c r="A58" s="38"/>
      <c r="B58" s="39" t="s">
        <v>129</v>
      </c>
      <c r="C58" s="40" t="str">
        <f>VLOOKUP(B58,Sheet3!$B$2:$E$312,2,FALSE)</f>
        <v>B001-056</v>
      </c>
      <c r="D58" s="40" t="str">
        <f>VLOOKUP(B58,Sheet3!$B$2:$E$312,3,)</f>
        <v>bahan baku</v>
      </c>
      <c r="E58" s="40" t="str">
        <f>VLOOKUP(B58,Sheet3!$B$2:$E$312,4,)</f>
        <v>ML</v>
      </c>
      <c r="F58" s="41">
        <v>8.0</v>
      </c>
      <c r="G58" s="41" t="s">
        <v>1533</v>
      </c>
      <c r="H58" s="41" t="s">
        <v>1417</v>
      </c>
      <c r="I58" s="42" t="s">
        <v>1165</v>
      </c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38"/>
      <c r="B59" s="39" t="s">
        <v>132</v>
      </c>
      <c r="C59" s="40" t="str">
        <f>VLOOKUP(B59,Sheet3!$B$2:$E$312,2,FALSE)</f>
        <v>B001-057</v>
      </c>
      <c r="D59" s="40" t="str">
        <f>VLOOKUP(B59,Sheet3!$B$2:$E$312,3,)</f>
        <v>bahan baku</v>
      </c>
      <c r="E59" s="40" t="str">
        <f>VLOOKUP(B59,Sheet3!$B$2:$E$312,4,)</f>
        <v>GR</v>
      </c>
      <c r="F59" s="41">
        <v>48.0</v>
      </c>
      <c r="G59" s="41" t="s">
        <v>1164</v>
      </c>
      <c r="H59" s="41" t="s">
        <v>1305</v>
      </c>
      <c r="I59" s="42" t="s">
        <v>1165</v>
      </c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>
      <c r="A60" s="38"/>
      <c r="B60" s="39" t="s">
        <v>625</v>
      </c>
      <c r="C60" s="40" t="str">
        <f>VLOOKUP(B60,Sheet3!$B$2:$E$312,2,FALSE)</f>
        <v>P004-011</v>
      </c>
      <c r="D60" s="40" t="str">
        <f>VLOOKUP(B60,Sheet3!$B$2:$E$312,3,)</f>
        <v>barang jadi &amp; bahan baku</v>
      </c>
      <c r="E60" s="40" t="str">
        <f>VLOOKUP(B60,Sheet3!$B$2:$E$312,4,)</f>
        <v>GR</v>
      </c>
      <c r="F60" s="41">
        <v>64.0</v>
      </c>
      <c r="G60" s="41" t="s">
        <v>1164</v>
      </c>
      <c r="H60" s="41" t="s">
        <v>1305</v>
      </c>
      <c r="I60" s="42" t="s">
        <v>1165</v>
      </c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>
      <c r="A61" s="38"/>
      <c r="B61" s="39" t="s">
        <v>28</v>
      </c>
      <c r="C61" s="40" t="str">
        <f>VLOOKUP(B61,Sheet3!$B$2:$E$312,2,FALSE)</f>
        <v>B001-006</v>
      </c>
      <c r="D61" s="40" t="str">
        <f>VLOOKUP(B61,Sheet3!$B$2:$E$312,3,)</f>
        <v>bahan baku</v>
      </c>
      <c r="E61" s="40" t="str">
        <f>VLOOKUP(B61,Sheet3!$B$2:$E$312,4,)</f>
        <v>GR</v>
      </c>
      <c r="F61" s="41">
        <v>20.0</v>
      </c>
      <c r="G61" s="41" t="s">
        <v>1543</v>
      </c>
      <c r="H61" s="41" t="s">
        <v>1305</v>
      </c>
      <c r="I61" s="42" t="s">
        <v>1165</v>
      </c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>
      <c r="A62" s="38"/>
      <c r="B62" s="39" t="s">
        <v>298</v>
      </c>
      <c r="C62" s="40" t="str">
        <f>VLOOKUP(B62,Sheet3!$B$2:$E$312,2,FALSE)</f>
        <v>B001-125</v>
      </c>
      <c r="D62" s="40" t="str">
        <f>VLOOKUP(B62,Sheet3!$B$2:$E$312,3,)</f>
        <v>bahan baku</v>
      </c>
      <c r="E62" s="40" t="str">
        <f>VLOOKUP(B62,Sheet3!$B$2:$E$312,4,)</f>
        <v>GR</v>
      </c>
      <c r="F62" s="41">
        <v>111.0</v>
      </c>
      <c r="G62" s="41" t="s">
        <v>1543</v>
      </c>
      <c r="H62" s="41" t="s">
        <v>1305</v>
      </c>
      <c r="I62" s="42" t="s">
        <v>1165</v>
      </c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>
      <c r="A63" s="38">
        <v>46208.0</v>
      </c>
      <c r="B63" s="39" t="s">
        <v>101</v>
      </c>
      <c r="C63" s="40" t="str">
        <f>VLOOKUP(B63,Sheet3!$B$2:$E$312,2,FALSE)</f>
        <v>B001-043</v>
      </c>
      <c r="D63" s="40" t="str">
        <f>VLOOKUP(B63,Sheet3!$B$2:$E$312,3,)</f>
        <v>bahan baku</v>
      </c>
      <c r="E63" s="40" t="str">
        <f>VLOOKUP(B63,Sheet3!$B$2:$E$312,4,)</f>
        <v>GR</v>
      </c>
      <c r="F63" s="41">
        <v>28.0</v>
      </c>
      <c r="G63" s="41" t="s">
        <v>1245</v>
      </c>
      <c r="H63" s="41" t="s">
        <v>1225</v>
      </c>
      <c r="I63" s="42" t="s">
        <v>1444</v>
      </c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>
      <c r="A64" s="38"/>
      <c r="B64" s="39" t="s">
        <v>1582</v>
      </c>
      <c r="C64" s="40" t="str">
        <f>VLOOKUP(B64,Sheet3!$B$2:$E$312,2,FALSE)</f>
        <v>#N/A</v>
      </c>
      <c r="D64" s="40" t="str">
        <f>VLOOKUP(B64,Sheet3!$B$2:$E$312,3,)</f>
        <v>#N/A</v>
      </c>
      <c r="E64" s="40" t="str">
        <f>VLOOKUP(B64,Sheet3!$B$2:$E$312,4,)</f>
        <v>#N/A</v>
      </c>
      <c r="F64" s="41">
        <v>41.0</v>
      </c>
      <c r="G64" s="41" t="s">
        <v>1164</v>
      </c>
      <c r="H64" s="41" t="s">
        <v>1523</v>
      </c>
      <c r="I64" s="36" t="s">
        <v>1444</v>
      </c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>
      <c r="A65" s="38"/>
      <c r="B65" s="39" t="s">
        <v>294</v>
      </c>
      <c r="C65" s="40" t="str">
        <f>VLOOKUP(B65,Sheet3!$B$2:$E$312,2,FALSE)</f>
        <v>B001-123</v>
      </c>
      <c r="D65" s="40" t="str">
        <f>VLOOKUP(B65,Sheet3!$B$2:$E$312,3,)</f>
        <v>bahan baku</v>
      </c>
      <c r="E65" s="40" t="str">
        <f>VLOOKUP(B65,Sheet3!$B$2:$E$312,4,)</f>
        <v>PCS</v>
      </c>
      <c r="F65" s="41">
        <v>1.0</v>
      </c>
      <c r="G65" s="41" t="s">
        <v>1368</v>
      </c>
      <c r="H65" s="41" t="s">
        <v>1523</v>
      </c>
      <c r="I65" s="36" t="s">
        <v>1444</v>
      </c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>
      <c r="A66" s="38"/>
      <c r="B66" s="39" t="s">
        <v>300</v>
      </c>
      <c r="C66" s="40" t="str">
        <f>VLOOKUP(B66,Sheet3!$B$2:$E$312,2,FALSE)</f>
        <v>B001-126</v>
      </c>
      <c r="D66" s="40" t="str">
        <f>VLOOKUP(B66,Sheet3!$B$2:$E$312,3,)</f>
        <v>bahan baku</v>
      </c>
      <c r="E66" s="40" t="str">
        <f>VLOOKUP(B66,Sheet3!$B$2:$E$312,4,)</f>
        <v>GR</v>
      </c>
      <c r="F66" s="41">
        <v>114.0</v>
      </c>
      <c r="G66" s="41" t="s">
        <v>1164</v>
      </c>
      <c r="H66" s="41" t="s">
        <v>1523</v>
      </c>
      <c r="I66" s="36" t="s">
        <v>1444</v>
      </c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>
      <c r="A67" s="38"/>
      <c r="B67" s="39" t="s">
        <v>691</v>
      </c>
      <c r="C67" s="40" t="str">
        <f>VLOOKUP(B67,Sheet3!$B$2:$E$312,2,FALSE)</f>
        <v>P004-036</v>
      </c>
      <c r="D67" s="40" t="str">
        <f>VLOOKUP(B67,Sheet3!$B$2:$E$312,3,)</f>
        <v>barang jadi &amp; bahan baku</v>
      </c>
      <c r="E67" s="40" t="str">
        <f>VLOOKUP(B67,Sheet3!$B$2:$E$312,4,)</f>
        <v>GR</v>
      </c>
      <c r="F67" s="41">
        <v>2729.0</v>
      </c>
      <c r="G67" s="41" t="s">
        <v>1245</v>
      </c>
      <c r="H67" s="41" t="s">
        <v>1512</v>
      </c>
      <c r="I67" s="36" t="s">
        <v>1444</v>
      </c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>
      <c r="A68" s="38"/>
      <c r="B68" s="39" t="s">
        <v>732</v>
      </c>
      <c r="C68" s="40" t="str">
        <f>VLOOKUP(B68,Sheet3!$B$2:$E$312,2,FALSE)</f>
        <v>B002-018</v>
      </c>
      <c r="D68" s="40" t="str">
        <f>VLOOKUP(B68,Sheet3!$B$2:$E$312,3,)</f>
        <v>others</v>
      </c>
      <c r="E68" s="40" t="str">
        <f>VLOOKUP(B68,Sheet3!$B$2:$E$312,4,)</f>
        <v>PCS</v>
      </c>
      <c r="F68" s="41">
        <v>5.0</v>
      </c>
      <c r="G68" s="41" t="s">
        <v>1586</v>
      </c>
      <c r="H68" s="41" t="s">
        <v>1512</v>
      </c>
      <c r="I68" s="36" t="s">
        <v>1444</v>
      </c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>
      <c r="A69" s="38"/>
      <c r="B69" s="39" t="s">
        <v>28</v>
      </c>
      <c r="C69" s="40" t="str">
        <f>VLOOKUP(B69,Sheet3!$B$2:$E$312,2,FALSE)</f>
        <v>B001-006</v>
      </c>
      <c r="D69" s="40" t="str">
        <f>VLOOKUP(B69,Sheet3!$B$2:$E$312,3,)</f>
        <v>bahan baku</v>
      </c>
      <c r="E69" s="40" t="str">
        <f>VLOOKUP(B69,Sheet3!$B$2:$E$312,4,)</f>
        <v>GR</v>
      </c>
      <c r="F69" s="41">
        <v>9.0</v>
      </c>
      <c r="G69" s="41" t="s">
        <v>1543</v>
      </c>
      <c r="H69" s="41" t="s">
        <v>1305</v>
      </c>
      <c r="I69" s="36" t="s">
        <v>1444</v>
      </c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>
      <c r="A70" s="38"/>
      <c r="B70" s="39" t="s">
        <v>664</v>
      </c>
      <c r="C70" s="40" t="str">
        <f>VLOOKUP(B70,Sheet3!$B$2:$E$312,2,FALSE)</f>
        <v>P004-025</v>
      </c>
      <c r="D70" s="40" t="str">
        <f>VLOOKUP(B70,Sheet3!$B$2:$E$312,3,)</f>
        <v>barang jadi &amp; bahan baku</v>
      </c>
      <c r="E70" s="40" t="str">
        <f>VLOOKUP(B70,Sheet3!$B$2:$E$312,4,)</f>
        <v>ML</v>
      </c>
      <c r="F70" s="41">
        <v>270.0</v>
      </c>
      <c r="G70" s="41" t="s">
        <v>1216</v>
      </c>
      <c r="H70" s="41" t="s">
        <v>1514</v>
      </c>
      <c r="I70" s="36" t="s">
        <v>1444</v>
      </c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>
      <c r="A71" s="38"/>
      <c r="B71" s="39" t="s">
        <v>805</v>
      </c>
      <c r="C71" s="40" t="str">
        <f>VLOOKUP(B71,Sheet3!$B$2:$E$312,2,FALSE)</f>
        <v>#N/A</v>
      </c>
      <c r="D71" s="40" t="str">
        <f>VLOOKUP(B71,Sheet3!$B$2:$E$312,3,)</f>
        <v>#N/A</v>
      </c>
      <c r="E71" s="40" t="str">
        <f>VLOOKUP(B71,Sheet3!$B$2:$E$312,4,)</f>
        <v>#N/A</v>
      </c>
      <c r="F71" s="41">
        <v>2490.0</v>
      </c>
      <c r="G71" s="41" t="s">
        <v>1216</v>
      </c>
      <c r="H71" s="41" t="s">
        <v>1514</v>
      </c>
      <c r="I71" s="36" t="s">
        <v>1444</v>
      </c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>
      <c r="A72" s="38"/>
      <c r="B72" s="39" t="s">
        <v>657</v>
      </c>
      <c r="C72" s="40" t="str">
        <f>VLOOKUP(B72,Sheet3!$B$2:$E$312,2,FALSE)</f>
        <v>P004-023</v>
      </c>
      <c r="D72" s="40" t="str">
        <f>VLOOKUP(B72,Sheet3!$B$2:$E$312,3,)</f>
        <v>barang jadi &amp; bahan baku</v>
      </c>
      <c r="E72" s="40" t="str">
        <f>VLOOKUP(B72,Sheet3!$B$2:$E$312,4,)</f>
        <v>CC</v>
      </c>
      <c r="F72" s="41">
        <v>909.0</v>
      </c>
      <c r="G72" s="41" t="s">
        <v>1216</v>
      </c>
      <c r="H72" s="41" t="s">
        <v>1514</v>
      </c>
      <c r="I72" s="36" t="s">
        <v>1444</v>
      </c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38"/>
      <c r="B73" s="39" t="s">
        <v>653</v>
      </c>
      <c r="C73" s="40" t="str">
        <f>VLOOKUP(B73,Sheet3!$B$2:$E$312,2,FALSE)</f>
        <v>P004-022</v>
      </c>
      <c r="D73" s="40" t="str">
        <f>VLOOKUP(B73,Sheet3!$B$2:$E$312,3,)</f>
        <v>barang jadi &amp; bahan baku</v>
      </c>
      <c r="E73" s="40" t="str">
        <f>VLOOKUP(B73,Sheet3!$B$2:$E$312,4,)</f>
        <v>CC</v>
      </c>
      <c r="F73" s="41">
        <v>125.0</v>
      </c>
      <c r="G73" s="41" t="s">
        <v>1216</v>
      </c>
      <c r="H73" s="41" t="s">
        <v>1514</v>
      </c>
      <c r="I73" s="36" t="s">
        <v>1444</v>
      </c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>
      <c r="A74" s="53"/>
      <c r="B74" s="54" t="s">
        <v>211</v>
      </c>
      <c r="C74" s="55" t="str">
        <f>VLOOKUP(B74,Sheet3!$B$2:$E$312,2,FALSE)</f>
        <v>B001-088</v>
      </c>
      <c r="D74" s="55" t="str">
        <f>VLOOKUP(B74,Sheet3!$B$2:$E$312,3,)</f>
        <v>bahan baku</v>
      </c>
      <c r="E74" s="55" t="str">
        <f>VLOOKUP(B74,Sheet3!$B$2:$E$312,4,)</f>
        <v>GR</v>
      </c>
      <c r="F74" s="56">
        <v>1847.0</v>
      </c>
      <c r="G74" s="56" t="s">
        <v>1543</v>
      </c>
      <c r="H74" s="56" t="s">
        <v>1441</v>
      </c>
      <c r="I74" s="85" t="s">
        <v>1444</v>
      </c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ht="15.75" customHeight="1">
      <c r="A75" s="38"/>
      <c r="B75" s="39" t="s">
        <v>33</v>
      </c>
      <c r="C75" s="40" t="str">
        <f>VLOOKUP(B75,Sheet3!$B$2:$E$312,2,FALSE)</f>
        <v>B001-008</v>
      </c>
      <c r="D75" s="40" t="str">
        <f>VLOOKUP(B75,Sheet3!$B$2:$E$312,3,)</f>
        <v>bahan baku</v>
      </c>
      <c r="E75" s="40" t="str">
        <f>VLOOKUP(B75,Sheet3!$B$2:$E$312,4,)</f>
        <v>GR</v>
      </c>
      <c r="F75" s="41">
        <v>1305.0</v>
      </c>
      <c r="G75" s="41" t="s">
        <v>1533</v>
      </c>
      <c r="H75" s="41" t="s">
        <v>1417</v>
      </c>
      <c r="I75" s="36" t="s">
        <v>1444</v>
      </c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>
      <c r="A76" s="38"/>
      <c r="B76" s="39" t="s">
        <v>129</v>
      </c>
      <c r="C76" s="40" t="str">
        <f>VLOOKUP(B76,Sheet3!$B$2:$E$312,2,FALSE)</f>
        <v>B001-056</v>
      </c>
      <c r="D76" s="40" t="str">
        <f>VLOOKUP(B76,Sheet3!$B$2:$E$312,3,)</f>
        <v>bahan baku</v>
      </c>
      <c r="E76" s="40" t="str">
        <f>VLOOKUP(B76,Sheet3!$B$2:$E$312,4,)</f>
        <v>ML</v>
      </c>
      <c r="F76" s="41">
        <v>13.0</v>
      </c>
      <c r="G76" s="41" t="s">
        <v>1533</v>
      </c>
      <c r="H76" s="41" t="s">
        <v>1417</v>
      </c>
      <c r="I76" s="36" t="s">
        <v>1444</v>
      </c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>
      <c r="A77" s="38">
        <v>46239.0</v>
      </c>
      <c r="B77" s="39" t="s">
        <v>300</v>
      </c>
      <c r="C77" s="40" t="str">
        <f>VLOOKUP(B77,Sheet3!$B$2:$E$312,2,FALSE)</f>
        <v>B001-126</v>
      </c>
      <c r="D77" s="40" t="str">
        <f>VLOOKUP(B77,Sheet3!$B$2:$E$312,3,)</f>
        <v>bahan baku</v>
      </c>
      <c r="E77" s="40" t="str">
        <f>VLOOKUP(B77,Sheet3!$B$2:$E$312,4,)</f>
        <v>GR</v>
      </c>
      <c r="F77" s="41">
        <v>480.0</v>
      </c>
      <c r="G77" s="41" t="s">
        <v>1164</v>
      </c>
      <c r="H77" s="41" t="s">
        <v>1225</v>
      </c>
      <c r="I77" s="36" t="s">
        <v>1444</v>
      </c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>
      <c r="A78" s="38"/>
      <c r="B78" s="39" t="s">
        <v>648</v>
      </c>
      <c r="C78" s="40" t="str">
        <f>VLOOKUP(B78,Sheet3!$B$2:$E$312,2,FALSE)</f>
        <v>P004-020</v>
      </c>
      <c r="D78" s="40" t="str">
        <f>VLOOKUP(B78,Sheet3!$B$2:$E$312,3,)</f>
        <v>barang jadi &amp; bahan baku</v>
      </c>
      <c r="E78" s="40" t="str">
        <f>VLOOKUP(B78,Sheet3!$B$2:$E$312,4,)</f>
        <v>GR</v>
      </c>
      <c r="F78" s="41">
        <v>50.0</v>
      </c>
      <c r="G78" s="41" t="s">
        <v>1508</v>
      </c>
      <c r="H78" s="41" t="s">
        <v>1590</v>
      </c>
      <c r="I78" s="36" t="s">
        <v>1444</v>
      </c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>
      <c r="A79" s="38"/>
      <c r="B79" s="39" t="s">
        <v>298</v>
      </c>
      <c r="C79" s="40" t="str">
        <f>VLOOKUP(B79,Sheet3!$B$2:$E$312,2,FALSE)</f>
        <v>B001-125</v>
      </c>
      <c r="D79" s="40" t="str">
        <f>VLOOKUP(B79,Sheet3!$B$2:$E$312,3,)</f>
        <v>bahan baku</v>
      </c>
      <c r="E79" s="40" t="str">
        <f>VLOOKUP(B79,Sheet3!$B$2:$E$312,4,)</f>
        <v>GR</v>
      </c>
      <c r="F79" s="41">
        <v>95.0</v>
      </c>
      <c r="G79" s="41" t="s">
        <v>1224</v>
      </c>
      <c r="H79" s="41" t="s">
        <v>1305</v>
      </c>
      <c r="I79" s="36" t="s">
        <v>1444</v>
      </c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>
      <c r="A80" s="38"/>
      <c r="B80" s="39" t="s">
        <v>28</v>
      </c>
      <c r="C80" s="40" t="str">
        <f>VLOOKUP(B80,Sheet3!$B$2:$E$312,2,FALSE)</f>
        <v>B001-006</v>
      </c>
      <c r="D80" s="40" t="str">
        <f>VLOOKUP(B80,Sheet3!$B$2:$E$312,3,)</f>
        <v>bahan baku</v>
      </c>
      <c r="E80" s="40" t="str">
        <f>VLOOKUP(B80,Sheet3!$B$2:$E$312,4,)</f>
        <v>GR</v>
      </c>
      <c r="F80" s="41">
        <v>21.0</v>
      </c>
      <c r="G80" s="41" t="s">
        <v>1224</v>
      </c>
      <c r="H80" s="41" t="s">
        <v>1305</v>
      </c>
      <c r="I80" s="36" t="s">
        <v>1444</v>
      </c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>
      <c r="A81" s="38"/>
      <c r="B81" s="39" t="s">
        <v>33</v>
      </c>
      <c r="C81" s="40" t="str">
        <f>VLOOKUP(B81,Sheet3!$B$2:$E$312,2,FALSE)</f>
        <v>B001-008</v>
      </c>
      <c r="D81" s="40" t="str">
        <f>VLOOKUP(B81,Sheet3!$B$2:$E$312,3,)</f>
        <v>bahan baku</v>
      </c>
      <c r="E81" s="40" t="str">
        <f>VLOOKUP(B81,Sheet3!$B$2:$E$312,4,)</f>
        <v>GR</v>
      </c>
      <c r="F81" s="41">
        <v>1234.0</v>
      </c>
      <c r="G81" s="41" t="s">
        <v>1533</v>
      </c>
      <c r="H81" s="41" t="s">
        <v>1417</v>
      </c>
      <c r="I81" s="36" t="s">
        <v>1594</v>
      </c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>
      <c r="A82" s="38"/>
      <c r="B82" s="39" t="s">
        <v>129</v>
      </c>
      <c r="C82" s="40" t="str">
        <f>VLOOKUP(B82,Sheet3!$B$2:$E$312,2,FALSE)</f>
        <v>B001-056</v>
      </c>
      <c r="D82" s="40" t="str">
        <f>VLOOKUP(B82,Sheet3!$B$2:$E$312,3,)</f>
        <v>bahan baku</v>
      </c>
      <c r="E82" s="40" t="str">
        <f>VLOOKUP(B82,Sheet3!$B$2:$E$312,4,)</f>
        <v>ML</v>
      </c>
      <c r="F82" s="41">
        <v>12.0</v>
      </c>
      <c r="G82" s="41" t="s">
        <v>1533</v>
      </c>
      <c r="H82" s="41" t="s">
        <v>1417</v>
      </c>
      <c r="I82" s="36" t="s">
        <v>1444</v>
      </c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>
      <c r="A83" s="38"/>
      <c r="B83" s="39" t="s">
        <v>653</v>
      </c>
      <c r="C83" s="40" t="str">
        <f>VLOOKUP(B83,Sheet3!$B$2:$E$312,2,FALSE)</f>
        <v>P004-022</v>
      </c>
      <c r="D83" s="40" t="str">
        <f>VLOOKUP(B83,Sheet3!$B$2:$E$312,3,)</f>
        <v>barang jadi &amp; bahan baku</v>
      </c>
      <c r="E83" s="40" t="str">
        <f>VLOOKUP(B83,Sheet3!$B$2:$E$312,4,)</f>
        <v>CC</v>
      </c>
      <c r="F83" s="41">
        <v>421.0</v>
      </c>
      <c r="G83" s="41" t="s">
        <v>1216</v>
      </c>
      <c r="H83" s="41" t="s">
        <v>1512</v>
      </c>
      <c r="I83" s="36" t="s">
        <v>1444</v>
      </c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>
      <c r="A84" s="87"/>
      <c r="B84" s="39" t="s">
        <v>805</v>
      </c>
      <c r="C84" s="40" t="str">
        <f>VLOOKUP(B84,Sheet3!$B$2:$E$312,2,FALSE)</f>
        <v>#N/A</v>
      </c>
      <c r="D84" s="40" t="str">
        <f>VLOOKUP(B84,Sheet3!$B$2:$E$312,3,)</f>
        <v>#N/A</v>
      </c>
      <c r="E84" s="40" t="str">
        <f>VLOOKUP(B84,Sheet3!$B$2:$E$312,4,)</f>
        <v>#N/A</v>
      </c>
      <c r="F84" s="41">
        <v>2185.0</v>
      </c>
      <c r="G84" s="41" t="s">
        <v>1216</v>
      </c>
      <c r="H84" s="41" t="s">
        <v>1512</v>
      </c>
      <c r="I84" s="36" t="s">
        <v>1444</v>
      </c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>
      <c r="A85" s="87"/>
      <c r="B85" s="39" t="s">
        <v>657</v>
      </c>
      <c r="C85" s="40" t="str">
        <f>VLOOKUP(B85,Sheet3!$B$2:$E$312,2,FALSE)</f>
        <v>P004-023</v>
      </c>
      <c r="D85" s="40" t="str">
        <f>VLOOKUP(B85,Sheet3!$B$2:$E$312,3,)</f>
        <v>barang jadi &amp; bahan baku</v>
      </c>
      <c r="E85" s="40" t="str">
        <f>VLOOKUP(B85,Sheet3!$B$2:$E$312,4,)</f>
        <v>CC</v>
      </c>
      <c r="F85" s="41">
        <v>1900.0</v>
      </c>
      <c r="G85" s="41" t="s">
        <v>1216</v>
      </c>
      <c r="H85" s="41" t="s">
        <v>1512</v>
      </c>
      <c r="I85" s="36" t="s">
        <v>1444</v>
      </c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>
      <c r="A86" s="87"/>
      <c r="B86" s="39" t="s">
        <v>664</v>
      </c>
      <c r="C86" s="40" t="str">
        <f>VLOOKUP(B86,Sheet3!$B$2:$E$312,2,FALSE)</f>
        <v>P004-025</v>
      </c>
      <c r="D86" s="40" t="str">
        <f>VLOOKUP(B86,Sheet3!$B$2:$E$312,3,)</f>
        <v>barang jadi &amp; bahan baku</v>
      </c>
      <c r="E86" s="40" t="str">
        <f>VLOOKUP(B86,Sheet3!$B$2:$E$312,4,)</f>
        <v>ML</v>
      </c>
      <c r="F86" s="41">
        <v>2174.0</v>
      </c>
      <c r="G86" s="41" t="s">
        <v>1216</v>
      </c>
      <c r="H86" s="41" t="s">
        <v>1512</v>
      </c>
      <c r="I86" s="36" t="s">
        <v>1444</v>
      </c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>
      <c r="A87" s="53">
        <v>46270.0</v>
      </c>
      <c r="B87" s="54" t="s">
        <v>211</v>
      </c>
      <c r="C87" s="55" t="str">
        <f>VLOOKUP(B87,Sheet3!$B$2:$E$312,2,FALSE)</f>
        <v>B001-088</v>
      </c>
      <c r="D87" s="55" t="str">
        <f>VLOOKUP(B87,Sheet3!$B$2:$E$312,3,)</f>
        <v>bahan baku</v>
      </c>
      <c r="E87" s="55" t="str">
        <f>VLOOKUP(B87,Sheet3!$B$2:$E$312,4,)</f>
        <v>GR</v>
      </c>
      <c r="F87" s="56">
        <v>6896.0</v>
      </c>
      <c r="G87" s="56" t="s">
        <v>1543</v>
      </c>
      <c r="H87" s="56" t="s">
        <v>1441</v>
      </c>
      <c r="I87" s="85" t="s">
        <v>1444</v>
      </c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15.75" customHeight="1">
      <c r="A88" s="87"/>
      <c r="B88" s="39" t="s">
        <v>657</v>
      </c>
      <c r="C88" s="40" t="str">
        <f>VLOOKUP(B88,Sheet3!$B$2:$E$312,2,FALSE)</f>
        <v>P004-023</v>
      </c>
      <c r="D88" s="40" t="str">
        <f>VLOOKUP(B88,Sheet3!$B$2:$E$312,3,)</f>
        <v>barang jadi &amp; bahan baku</v>
      </c>
      <c r="E88" s="40" t="str">
        <f>VLOOKUP(B88,Sheet3!$B$2:$E$312,4,)</f>
        <v>CC</v>
      </c>
      <c r="F88" s="41">
        <v>413.0</v>
      </c>
      <c r="G88" s="41" t="s">
        <v>1216</v>
      </c>
      <c r="H88" s="41" t="s">
        <v>1514</v>
      </c>
      <c r="I88" s="36" t="s">
        <v>1599</v>
      </c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87"/>
      <c r="B89" s="39" t="s">
        <v>653</v>
      </c>
      <c r="C89" s="40" t="str">
        <f>VLOOKUP(B89,Sheet3!$B$2:$E$312,2,FALSE)</f>
        <v>P004-022</v>
      </c>
      <c r="D89" s="40" t="str">
        <f>VLOOKUP(B89,Sheet3!$B$2:$E$312,3,)</f>
        <v>barang jadi &amp; bahan baku</v>
      </c>
      <c r="E89" s="40" t="str">
        <f>VLOOKUP(B89,Sheet3!$B$2:$E$312,4,)</f>
        <v>CC</v>
      </c>
      <c r="F89" s="41">
        <v>548.0</v>
      </c>
      <c r="G89" s="41" t="s">
        <v>1216</v>
      </c>
      <c r="H89" s="41" t="s">
        <v>1514</v>
      </c>
      <c r="I89" s="36" t="s">
        <v>1444</v>
      </c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89"/>
      <c r="B90" s="54" t="s">
        <v>720</v>
      </c>
      <c r="C90" s="55" t="str">
        <f>VLOOKUP(B90,Sheet3!$B$2:$E$312,2,FALSE)</f>
        <v>B002-005</v>
      </c>
      <c r="D90" s="55" t="str">
        <f>VLOOKUP(B90,Sheet3!$B$2:$E$312,3,)</f>
        <v>others</v>
      </c>
      <c r="E90" s="55" t="str">
        <f>VLOOKUP(B90,Sheet3!$B$2:$E$312,4,)</f>
        <v>PCS</v>
      </c>
      <c r="F90" s="56">
        <v>130.0</v>
      </c>
      <c r="G90" s="56" t="s">
        <v>1369</v>
      </c>
      <c r="H90" s="56" t="s">
        <v>1514</v>
      </c>
      <c r="I90" s="85" t="s">
        <v>1444</v>
      </c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ht="15.75" customHeight="1">
      <c r="A91" s="87"/>
      <c r="B91" s="39" t="s">
        <v>33</v>
      </c>
      <c r="C91" s="40" t="str">
        <f>VLOOKUP(B91,Sheet3!$B$2:$E$312,2,FALSE)</f>
        <v>B001-008</v>
      </c>
      <c r="D91" s="40" t="str">
        <f>VLOOKUP(B91,Sheet3!$B$2:$E$312,3,)</f>
        <v>bahan baku</v>
      </c>
      <c r="E91" s="40" t="str">
        <f>VLOOKUP(B91,Sheet3!$B$2:$E$312,4,)</f>
        <v>GR</v>
      </c>
      <c r="F91" s="41">
        <v>1951.0</v>
      </c>
      <c r="G91" s="41" t="s">
        <v>1533</v>
      </c>
      <c r="H91" s="41" t="s">
        <v>1523</v>
      </c>
      <c r="I91" s="36" t="s">
        <v>1602</v>
      </c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87"/>
      <c r="B92" s="39" t="s">
        <v>129</v>
      </c>
      <c r="C92" s="40" t="str">
        <f>VLOOKUP(B92,Sheet3!$B$2:$E$312,2,FALSE)</f>
        <v>B001-056</v>
      </c>
      <c r="D92" s="40" t="str">
        <f>VLOOKUP(B92,Sheet3!$B$2:$E$312,3,)</f>
        <v>bahan baku</v>
      </c>
      <c r="E92" s="40" t="str">
        <f>VLOOKUP(B92,Sheet3!$B$2:$E$312,4,)</f>
        <v>ML</v>
      </c>
      <c r="F92" s="41">
        <v>20.0</v>
      </c>
      <c r="G92" s="41" t="s">
        <v>1603</v>
      </c>
      <c r="H92" s="41" t="s">
        <v>1523</v>
      </c>
      <c r="I92" s="36" t="s">
        <v>1444</v>
      </c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87"/>
      <c r="B93" s="39" t="s">
        <v>502</v>
      </c>
      <c r="C93" s="40" t="str">
        <f>VLOOKUP(B93,Sheet3!$B$2:$E$312,2,FALSE)</f>
        <v>S001-002</v>
      </c>
      <c r="D93" s="40" t="str">
        <f>VLOOKUP(B93,Sheet3!$B$2:$E$312,3,)</f>
        <v>barang jadi</v>
      </c>
      <c r="E93" s="40" t="str">
        <f>VLOOKUP(B93,Sheet3!$B$2:$E$312,4,)</f>
        <v>PORSI</v>
      </c>
      <c r="F93" s="41">
        <v>1.0</v>
      </c>
      <c r="G93" s="41" t="s">
        <v>1216</v>
      </c>
      <c r="H93" s="41" t="s">
        <v>1523</v>
      </c>
      <c r="I93" s="36" t="s">
        <v>1605</v>
      </c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87"/>
      <c r="B94" s="39" t="s">
        <v>18</v>
      </c>
      <c r="C94" s="40" t="str">
        <f>VLOOKUP(B94,Sheet3!$B$2:$E$312,2,FALSE)</f>
        <v>B001-002</v>
      </c>
      <c r="D94" s="40" t="str">
        <f>VLOOKUP(B94,Sheet3!$B$2:$E$312,3,)</f>
        <v>bahan baku</v>
      </c>
      <c r="E94" s="40" t="str">
        <f>VLOOKUP(B94,Sheet3!$B$2:$E$312,4,)</f>
        <v>GR</v>
      </c>
      <c r="F94" s="41">
        <v>112.0</v>
      </c>
      <c r="G94" s="41" t="s">
        <v>1216</v>
      </c>
      <c r="H94" s="41" t="s">
        <v>1523</v>
      </c>
      <c r="I94" s="36" t="s">
        <v>1444</v>
      </c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87"/>
      <c r="B95" s="39" t="s">
        <v>148</v>
      </c>
      <c r="C95" s="40" t="str">
        <f>VLOOKUP(B95,Sheet3!$B$2:$E$312,2,FALSE)</f>
        <v>B001-064</v>
      </c>
      <c r="D95" s="40" t="str">
        <f>VLOOKUP(B95,Sheet3!$B$2:$E$312,3,)</f>
        <v>bahan baku</v>
      </c>
      <c r="E95" s="40" t="str">
        <f>VLOOKUP(B95,Sheet3!$B$2:$E$312,4,)</f>
        <v>GR</v>
      </c>
      <c r="F95" s="41">
        <v>110.0</v>
      </c>
      <c r="G95" s="41" t="s">
        <v>1543</v>
      </c>
      <c r="H95" s="41" t="s">
        <v>1305</v>
      </c>
      <c r="I95" s="36" t="s">
        <v>1444</v>
      </c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87"/>
      <c r="B96" s="39" t="s">
        <v>221</v>
      </c>
      <c r="C96" s="40" t="str">
        <f>VLOOKUP(B96,Sheet3!$B$2:$E$312,2,FALSE)</f>
        <v>B001-098</v>
      </c>
      <c r="D96" s="40" t="str">
        <f>VLOOKUP(B96,Sheet3!$B$2:$E$312,3,)</f>
        <v>bahan baku</v>
      </c>
      <c r="E96" s="40" t="str">
        <f>VLOOKUP(B96,Sheet3!$B$2:$E$312,4,)</f>
        <v>GR</v>
      </c>
      <c r="F96" s="41">
        <v>22.0</v>
      </c>
      <c r="G96" s="41" t="s">
        <v>1455</v>
      </c>
      <c r="H96" s="41" t="s">
        <v>1305</v>
      </c>
      <c r="I96" s="36" t="s">
        <v>1444</v>
      </c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87"/>
      <c r="B97" s="39" t="s">
        <v>28</v>
      </c>
      <c r="C97" s="40" t="str">
        <f>VLOOKUP(B97,Sheet3!$B$2:$E$312,2,FALSE)</f>
        <v>B001-006</v>
      </c>
      <c r="D97" s="40" t="str">
        <f>VLOOKUP(B97,Sheet3!$B$2:$E$312,3,)</f>
        <v>bahan baku</v>
      </c>
      <c r="E97" s="40" t="str">
        <f>VLOOKUP(B97,Sheet3!$B$2:$E$312,4,)</f>
        <v>GR</v>
      </c>
      <c r="F97" s="41">
        <v>18.0</v>
      </c>
      <c r="G97" s="41" t="s">
        <v>1543</v>
      </c>
      <c r="H97" s="41" t="s">
        <v>1305</v>
      </c>
      <c r="I97" s="36" t="s">
        <v>1444</v>
      </c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87"/>
      <c r="B98" s="39" t="s">
        <v>298</v>
      </c>
      <c r="C98" s="40" t="str">
        <f>VLOOKUP(B98,Sheet3!$B$2:$E$312,2,FALSE)</f>
        <v>B001-125</v>
      </c>
      <c r="D98" s="40" t="str">
        <f>VLOOKUP(B98,Sheet3!$B$2:$E$312,3,)</f>
        <v>bahan baku</v>
      </c>
      <c r="E98" s="40" t="str">
        <f>VLOOKUP(B98,Sheet3!$B$2:$E$312,4,)</f>
        <v>GR</v>
      </c>
      <c r="F98" s="41">
        <v>161.0</v>
      </c>
      <c r="G98" s="41" t="s">
        <v>1224</v>
      </c>
      <c r="H98" s="41" t="s">
        <v>1305</v>
      </c>
      <c r="I98" s="36" t="s">
        <v>1444</v>
      </c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53">
        <v>46300.0</v>
      </c>
      <c r="B99" s="54" t="s">
        <v>211</v>
      </c>
      <c r="C99" s="55" t="str">
        <f>VLOOKUP(B99,Sheet3!$B$2:$E$312,2,FALSE)</f>
        <v>B001-088</v>
      </c>
      <c r="D99" s="55" t="str">
        <f>VLOOKUP(B99,Sheet3!$B$2:$E$312,3,)</f>
        <v>bahan baku</v>
      </c>
      <c r="E99" s="55" t="str">
        <f>VLOOKUP(B99,Sheet3!$B$2:$E$312,4,)</f>
        <v>GR</v>
      </c>
      <c r="F99" s="56">
        <v>4919.0</v>
      </c>
      <c r="G99" s="56" t="s">
        <v>1543</v>
      </c>
      <c r="H99" s="56" t="s">
        <v>1441</v>
      </c>
      <c r="I99" s="85" t="s">
        <v>1444</v>
      </c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ht="15.75" customHeight="1">
      <c r="A100" s="87"/>
      <c r="B100" s="39" t="s">
        <v>148</v>
      </c>
      <c r="C100" s="40" t="str">
        <f>VLOOKUP(B100,Sheet3!$B$2:$E$312,2,FALSE)</f>
        <v>B001-064</v>
      </c>
      <c r="D100" s="40" t="str">
        <f>VLOOKUP(B100,Sheet3!$B$2:$E$312,3,)</f>
        <v>bahan baku</v>
      </c>
      <c r="E100" s="40" t="str">
        <f>VLOOKUP(B100,Sheet3!$B$2:$E$312,4,)</f>
        <v>GR</v>
      </c>
      <c r="F100" s="41">
        <v>116.0</v>
      </c>
      <c r="G100" s="41" t="s">
        <v>1543</v>
      </c>
      <c r="H100" s="41" t="s">
        <v>1305</v>
      </c>
      <c r="I100" s="36" t="s">
        <v>1444</v>
      </c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87"/>
      <c r="B101" s="39" t="s">
        <v>298</v>
      </c>
      <c r="C101" s="40" t="str">
        <f>VLOOKUP(B101,Sheet3!$B$2:$E$312,2,FALSE)</f>
        <v>B001-125</v>
      </c>
      <c r="D101" s="40" t="str">
        <f>VLOOKUP(B101,Sheet3!$B$2:$E$312,3,)</f>
        <v>bahan baku</v>
      </c>
      <c r="E101" s="40" t="str">
        <f>VLOOKUP(B101,Sheet3!$B$2:$E$312,4,)</f>
        <v>GR</v>
      </c>
      <c r="F101" s="41">
        <v>141.0</v>
      </c>
      <c r="G101" s="41" t="s">
        <v>1224</v>
      </c>
      <c r="H101" s="41" t="s">
        <v>1305</v>
      </c>
      <c r="I101" s="36" t="s">
        <v>1444</v>
      </c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87"/>
      <c r="B102" s="39" t="s">
        <v>28</v>
      </c>
      <c r="C102" s="40" t="str">
        <f>VLOOKUP(B102,Sheet3!$B$2:$E$312,2,FALSE)</f>
        <v>B001-006</v>
      </c>
      <c r="D102" s="40" t="str">
        <f>VLOOKUP(B102,Sheet3!$B$2:$E$312,3,)</f>
        <v>bahan baku</v>
      </c>
      <c r="E102" s="40" t="str">
        <f>VLOOKUP(B102,Sheet3!$B$2:$E$312,4,)</f>
        <v>GR</v>
      </c>
      <c r="F102" s="41">
        <v>28.0</v>
      </c>
      <c r="G102" s="41" t="s">
        <v>1543</v>
      </c>
      <c r="H102" s="41" t="s">
        <v>1305</v>
      </c>
      <c r="I102" s="36" t="s">
        <v>1444</v>
      </c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87"/>
      <c r="B103" s="39" t="s">
        <v>146</v>
      </c>
      <c r="C103" s="40" t="str">
        <f>VLOOKUP(B103,Sheet3!$B$2:$E$312,2,FALSE)</f>
        <v>B001-063</v>
      </c>
      <c r="D103" s="40" t="str">
        <f>VLOOKUP(B103,Sheet3!$B$2:$E$312,3,)</f>
        <v>bahan baku</v>
      </c>
      <c r="E103" s="40" t="str">
        <f>VLOOKUP(B103,Sheet3!$B$2:$E$312,4,)</f>
        <v>GR</v>
      </c>
      <c r="F103" s="41">
        <v>28.0</v>
      </c>
      <c r="G103" s="41" t="s">
        <v>1164</v>
      </c>
      <c r="H103" s="41" t="s">
        <v>1305</v>
      </c>
      <c r="I103" s="36" t="s">
        <v>1444</v>
      </c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87"/>
      <c r="B104" s="39" t="s">
        <v>502</v>
      </c>
      <c r="C104" s="40" t="str">
        <f>VLOOKUP(B104,Sheet3!$B$2:$E$312,2,FALSE)</f>
        <v>S001-002</v>
      </c>
      <c r="D104" s="40" t="str">
        <f>VLOOKUP(B104,Sheet3!$B$2:$E$312,3,)</f>
        <v>barang jadi</v>
      </c>
      <c r="E104" s="40" t="str">
        <f>VLOOKUP(B104,Sheet3!$B$2:$E$312,4,)</f>
        <v>PORSI</v>
      </c>
      <c r="F104" s="41">
        <v>6.0</v>
      </c>
      <c r="G104" s="41" t="s">
        <v>1216</v>
      </c>
      <c r="H104" s="41" t="s">
        <v>1523</v>
      </c>
      <c r="I104" s="36" t="s">
        <v>1611</v>
      </c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87"/>
      <c r="B105" s="39" t="s">
        <v>33</v>
      </c>
      <c r="C105" s="40" t="str">
        <f>VLOOKUP(B105,Sheet3!$B$2:$E$312,2,FALSE)</f>
        <v>B001-008</v>
      </c>
      <c r="D105" s="40" t="str">
        <f>VLOOKUP(B105,Sheet3!$B$2:$E$312,3,)</f>
        <v>bahan baku</v>
      </c>
      <c r="E105" s="40" t="str">
        <f>VLOOKUP(B105,Sheet3!$B$2:$E$312,4,)</f>
        <v>GR</v>
      </c>
      <c r="F105" s="41">
        <v>1905.0</v>
      </c>
      <c r="G105" s="41" t="s">
        <v>1533</v>
      </c>
      <c r="H105" s="41" t="s">
        <v>1523</v>
      </c>
      <c r="I105" s="36" t="s">
        <v>1612</v>
      </c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87"/>
      <c r="B106" s="39" t="s">
        <v>129</v>
      </c>
      <c r="C106" s="40" t="str">
        <f>VLOOKUP(B106,Sheet3!$B$2:$E$312,2,FALSE)</f>
        <v>B001-056</v>
      </c>
      <c r="D106" s="40" t="str">
        <f>VLOOKUP(B106,Sheet3!$B$2:$E$312,3,)</f>
        <v>bahan baku</v>
      </c>
      <c r="E106" s="40" t="str">
        <f>VLOOKUP(B106,Sheet3!$B$2:$E$312,4,)</f>
        <v>ML</v>
      </c>
      <c r="F106" s="41">
        <v>19.0</v>
      </c>
      <c r="G106" s="41" t="s">
        <v>1533</v>
      </c>
      <c r="H106" s="41" t="s">
        <v>1523</v>
      </c>
      <c r="I106" s="36" t="s">
        <v>1444</v>
      </c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87"/>
      <c r="B107" s="39" t="s">
        <v>653</v>
      </c>
      <c r="C107" s="40" t="str">
        <f>VLOOKUP(B107,Sheet3!$B$2:$E$312,2,FALSE)</f>
        <v>P004-022</v>
      </c>
      <c r="D107" s="40" t="str">
        <f>VLOOKUP(B107,Sheet3!$B$2:$E$312,3,)</f>
        <v>barang jadi &amp; bahan baku</v>
      </c>
      <c r="E107" s="40" t="str">
        <f>VLOOKUP(B107,Sheet3!$B$2:$E$312,4,)</f>
        <v>CC</v>
      </c>
      <c r="F107" s="41">
        <v>184.0</v>
      </c>
      <c r="G107" s="41" t="s">
        <v>1216</v>
      </c>
      <c r="H107" s="41" t="s">
        <v>1512</v>
      </c>
      <c r="I107" s="36" t="s">
        <v>1444</v>
      </c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87"/>
      <c r="B108" s="39" t="s">
        <v>657</v>
      </c>
      <c r="C108" s="40" t="str">
        <f>VLOOKUP(B108,Sheet3!$B$2:$E$312,2,FALSE)</f>
        <v>P004-023</v>
      </c>
      <c r="D108" s="40" t="str">
        <f>VLOOKUP(B108,Sheet3!$B$2:$E$312,3,)</f>
        <v>barang jadi &amp; bahan baku</v>
      </c>
      <c r="E108" s="40" t="str">
        <f>VLOOKUP(B108,Sheet3!$B$2:$E$312,4,)</f>
        <v>CC</v>
      </c>
      <c r="F108" s="41">
        <v>883.0</v>
      </c>
      <c r="G108" s="41" t="s">
        <v>1216</v>
      </c>
      <c r="H108" s="41" t="s">
        <v>1512</v>
      </c>
      <c r="I108" s="36" t="s">
        <v>1444</v>
      </c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53">
        <v>46331.0</v>
      </c>
      <c r="B109" s="54" t="s">
        <v>211</v>
      </c>
      <c r="C109" s="55" t="str">
        <f>VLOOKUP(B109,Sheet3!$B$2:$E$312,2,FALSE)</f>
        <v>B001-088</v>
      </c>
      <c r="D109" s="55" t="str">
        <f>VLOOKUP(B109,Sheet3!$B$2:$E$312,3,)</f>
        <v>bahan baku</v>
      </c>
      <c r="E109" s="55" t="str">
        <f>VLOOKUP(B109,Sheet3!$B$2:$E$312,4,)</f>
        <v>GR</v>
      </c>
      <c r="F109" s="56">
        <v>3691.0</v>
      </c>
      <c r="G109" s="56" t="s">
        <v>1543</v>
      </c>
      <c r="H109" s="56" t="s">
        <v>1441</v>
      </c>
      <c r="I109" s="85" t="s">
        <v>1444</v>
      </c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ht="15.75" customHeight="1">
      <c r="A110" s="87"/>
      <c r="B110" s="39" t="s">
        <v>657</v>
      </c>
      <c r="C110" s="40" t="str">
        <f>VLOOKUP(B110,Sheet3!$B$2:$E$312,2,FALSE)</f>
        <v>P004-023</v>
      </c>
      <c r="D110" s="40" t="str">
        <f>VLOOKUP(B110,Sheet3!$B$2:$E$312,3,)</f>
        <v>barang jadi &amp; bahan baku</v>
      </c>
      <c r="E110" s="40" t="str">
        <f>VLOOKUP(B110,Sheet3!$B$2:$E$312,4,)</f>
        <v>CC</v>
      </c>
      <c r="F110" s="41">
        <v>688.0</v>
      </c>
      <c r="G110" s="41" t="s">
        <v>1216</v>
      </c>
      <c r="H110" s="41" t="s">
        <v>1512</v>
      </c>
      <c r="I110" s="36" t="s">
        <v>1444</v>
      </c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87"/>
      <c r="B111" s="39" t="s">
        <v>653</v>
      </c>
      <c r="C111" s="40" t="str">
        <f>VLOOKUP(B111,Sheet3!$B$2:$E$312,2,FALSE)</f>
        <v>P004-022</v>
      </c>
      <c r="D111" s="40" t="str">
        <f>VLOOKUP(B111,Sheet3!$B$2:$E$312,3,)</f>
        <v>barang jadi &amp; bahan baku</v>
      </c>
      <c r="E111" s="40" t="str">
        <f>VLOOKUP(B111,Sheet3!$B$2:$E$312,4,)</f>
        <v>CC</v>
      </c>
      <c r="F111" s="41">
        <v>1156.0</v>
      </c>
      <c r="G111" s="41" t="s">
        <v>1216</v>
      </c>
      <c r="H111" s="41" t="s">
        <v>1512</v>
      </c>
      <c r="I111" s="36" t="s">
        <v>1444</v>
      </c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87"/>
      <c r="B112" s="39" t="s">
        <v>33</v>
      </c>
      <c r="C112" s="40" t="str">
        <f>VLOOKUP(B112,Sheet3!$B$2:$E$312,2,FALSE)</f>
        <v>B001-008</v>
      </c>
      <c r="D112" s="40" t="str">
        <f>VLOOKUP(B112,Sheet3!$B$2:$E$312,3,)</f>
        <v>bahan baku</v>
      </c>
      <c r="E112" s="40" t="str">
        <f>VLOOKUP(B112,Sheet3!$B$2:$E$312,4,)</f>
        <v>GR</v>
      </c>
      <c r="F112" s="41">
        <v>638.0</v>
      </c>
      <c r="G112" s="41" t="s">
        <v>1533</v>
      </c>
      <c r="H112" s="41" t="s">
        <v>1417</v>
      </c>
      <c r="I112" s="36" t="s">
        <v>1613</v>
      </c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87"/>
      <c r="B113" s="39" t="s">
        <v>129</v>
      </c>
      <c r="C113" s="40" t="str">
        <f>VLOOKUP(B113,Sheet3!$B$2:$E$312,2,FALSE)</f>
        <v>B001-056</v>
      </c>
      <c r="D113" s="40" t="str">
        <f>VLOOKUP(B113,Sheet3!$B$2:$E$312,3,)</f>
        <v>bahan baku</v>
      </c>
      <c r="E113" s="40" t="str">
        <f>VLOOKUP(B113,Sheet3!$B$2:$E$312,4,)</f>
        <v>ML</v>
      </c>
      <c r="F113" s="41">
        <v>6.0</v>
      </c>
      <c r="G113" s="41" t="s">
        <v>1533</v>
      </c>
      <c r="H113" s="41" t="s">
        <v>1417</v>
      </c>
      <c r="I113" s="36" t="s">
        <v>1444</v>
      </c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87"/>
      <c r="B114" s="39" t="s">
        <v>135</v>
      </c>
      <c r="C114" s="40" t="str">
        <f>VLOOKUP(B114,Sheet3!$B$2:$E$312,2,FALSE)</f>
        <v>B001-058</v>
      </c>
      <c r="D114" s="40" t="str">
        <f>VLOOKUP(B114,Sheet3!$B$2:$E$312,3,)</f>
        <v>bahan baku</v>
      </c>
      <c r="E114" s="40" t="str">
        <f>VLOOKUP(B114,Sheet3!$B$2:$E$312,4,)</f>
        <v>GR</v>
      </c>
      <c r="F114" s="41">
        <v>109.0</v>
      </c>
      <c r="G114" s="41" t="s">
        <v>1245</v>
      </c>
      <c r="H114" s="41" t="s">
        <v>1305</v>
      </c>
      <c r="I114" s="36" t="s">
        <v>1444</v>
      </c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87"/>
      <c r="B115" s="39" t="s">
        <v>148</v>
      </c>
      <c r="C115" s="40" t="str">
        <f>VLOOKUP(B115,Sheet3!$B$2:$E$312,2,FALSE)</f>
        <v>B001-064</v>
      </c>
      <c r="D115" s="40" t="str">
        <f>VLOOKUP(B115,Sheet3!$B$2:$E$312,3,)</f>
        <v>bahan baku</v>
      </c>
      <c r="E115" s="40" t="str">
        <f>VLOOKUP(B115,Sheet3!$B$2:$E$312,4,)</f>
        <v>GR</v>
      </c>
      <c r="F115" s="41">
        <v>33.0</v>
      </c>
      <c r="G115" s="41" t="s">
        <v>1543</v>
      </c>
      <c r="H115" s="41" t="s">
        <v>1305</v>
      </c>
      <c r="I115" s="36" t="s">
        <v>1444</v>
      </c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87"/>
      <c r="B116" s="39" t="s">
        <v>28</v>
      </c>
      <c r="C116" s="40" t="str">
        <f>VLOOKUP(B116,Sheet3!$B$2:$E$312,2,FALSE)</f>
        <v>B001-006</v>
      </c>
      <c r="D116" s="40" t="str">
        <f>VLOOKUP(B116,Sheet3!$B$2:$E$312,3,)</f>
        <v>bahan baku</v>
      </c>
      <c r="E116" s="40" t="str">
        <f>VLOOKUP(B116,Sheet3!$B$2:$E$312,4,)</f>
        <v>GR</v>
      </c>
      <c r="F116" s="41">
        <v>24.0</v>
      </c>
      <c r="G116" s="41" t="s">
        <v>1543</v>
      </c>
      <c r="H116" s="41" t="s">
        <v>1305</v>
      </c>
      <c r="I116" s="36" t="s">
        <v>1444</v>
      </c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87"/>
      <c r="B117" s="39" t="s">
        <v>79</v>
      </c>
      <c r="C117" s="40" t="str">
        <f>VLOOKUP(B117,Sheet3!$B$2:$E$312,2,FALSE)</f>
        <v>B001-033</v>
      </c>
      <c r="D117" s="40" t="str">
        <f>VLOOKUP(B117,Sheet3!$B$2:$E$312,3,)</f>
        <v>bahan baku</v>
      </c>
      <c r="E117" s="40" t="str">
        <f>VLOOKUP(B117,Sheet3!$B$2:$E$312,4,)</f>
        <v>PCS</v>
      </c>
      <c r="F117" s="41">
        <v>10.0</v>
      </c>
      <c r="G117" s="41" t="s">
        <v>1411</v>
      </c>
      <c r="H117" s="41" t="s">
        <v>1384</v>
      </c>
      <c r="I117" s="36" t="s">
        <v>1444</v>
      </c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87"/>
      <c r="B118" s="39" t="s">
        <v>33</v>
      </c>
      <c r="C118" s="40" t="str">
        <f>VLOOKUP(B118,Sheet3!$B$2:$E$312,2,FALSE)</f>
        <v>B001-008</v>
      </c>
      <c r="D118" s="40" t="str">
        <f>VLOOKUP(B118,Sheet3!$B$2:$E$312,3,)</f>
        <v>bahan baku</v>
      </c>
      <c r="E118" s="40" t="str">
        <f>VLOOKUP(B118,Sheet3!$B$2:$E$312,4,)</f>
        <v>GR</v>
      </c>
      <c r="F118" s="41">
        <v>1308.0</v>
      </c>
      <c r="G118" s="41" t="s">
        <v>1533</v>
      </c>
      <c r="H118" s="41" t="s">
        <v>1248</v>
      </c>
      <c r="I118" s="36" t="s">
        <v>1444</v>
      </c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87"/>
      <c r="B119" s="39" t="s">
        <v>129</v>
      </c>
      <c r="C119" s="40" t="str">
        <f>VLOOKUP(B119,Sheet3!$B$2:$E$312,2,FALSE)</f>
        <v>B001-056</v>
      </c>
      <c r="D119" s="40" t="str">
        <f>VLOOKUP(B119,Sheet3!$B$2:$E$312,3,)</f>
        <v>bahan baku</v>
      </c>
      <c r="E119" s="40" t="str">
        <f>VLOOKUP(B119,Sheet3!$B$2:$E$312,4,)</f>
        <v>ML</v>
      </c>
      <c r="F119" s="41">
        <v>13.0</v>
      </c>
      <c r="G119" s="41" t="s">
        <v>1533</v>
      </c>
      <c r="H119" s="41" t="s">
        <v>1417</v>
      </c>
      <c r="I119" s="36" t="s">
        <v>1444</v>
      </c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87"/>
      <c r="B120" s="39" t="s">
        <v>18</v>
      </c>
      <c r="C120" s="40" t="str">
        <f>VLOOKUP(B120,Sheet3!$B$2:$E$312,2,FALSE)</f>
        <v>B001-002</v>
      </c>
      <c r="D120" s="40" t="str">
        <f>VLOOKUP(B120,Sheet3!$B$2:$E$312,3,)</f>
        <v>bahan baku</v>
      </c>
      <c r="E120" s="40" t="str">
        <f>VLOOKUP(B120,Sheet3!$B$2:$E$312,4,)</f>
        <v>GR</v>
      </c>
      <c r="F120" s="41">
        <v>108.0</v>
      </c>
      <c r="G120" s="41" t="s">
        <v>1216</v>
      </c>
      <c r="H120" s="41" t="s">
        <v>1417</v>
      </c>
      <c r="I120" s="36" t="s">
        <v>1444</v>
      </c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87"/>
      <c r="B121" s="39" t="s">
        <v>502</v>
      </c>
      <c r="C121" s="40" t="str">
        <f>VLOOKUP(B121,Sheet3!$B$2:$E$312,2,FALSE)</f>
        <v>S001-002</v>
      </c>
      <c r="D121" s="40" t="str">
        <f>VLOOKUP(B121,Sheet3!$B$2:$E$312,3,)</f>
        <v>barang jadi</v>
      </c>
      <c r="E121" s="40" t="str">
        <f>VLOOKUP(B121,Sheet3!$B$2:$E$312,4,)</f>
        <v>PORSI</v>
      </c>
      <c r="F121" s="41">
        <v>4.0</v>
      </c>
      <c r="G121" s="41" t="s">
        <v>1216</v>
      </c>
      <c r="H121" s="41" t="s">
        <v>1417</v>
      </c>
      <c r="I121" s="36" t="s">
        <v>1444</v>
      </c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53">
        <v>46361.0</v>
      </c>
      <c r="B122" s="54" t="s">
        <v>211</v>
      </c>
      <c r="C122" s="55" t="str">
        <f>VLOOKUP(B122,Sheet3!$B$2:$E$312,2,FALSE)</f>
        <v>B001-088</v>
      </c>
      <c r="D122" s="55" t="str">
        <f>VLOOKUP(B122,Sheet3!$B$2:$E$312,3,)</f>
        <v>bahan baku</v>
      </c>
      <c r="E122" s="55" t="str">
        <f>VLOOKUP(B122,Sheet3!$B$2:$E$312,4,)</f>
        <v>GR</v>
      </c>
      <c r="F122" s="56">
        <v>3525.0</v>
      </c>
      <c r="G122" s="56" t="s">
        <v>1543</v>
      </c>
      <c r="H122" s="56" t="s">
        <v>1441</v>
      </c>
      <c r="I122" s="85" t="s">
        <v>1444</v>
      </c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ht="15.75" customHeight="1">
      <c r="A123" s="87"/>
      <c r="B123" s="39" t="s">
        <v>148</v>
      </c>
      <c r="C123" s="40" t="str">
        <f>VLOOKUP(B123,Sheet3!$B$2:$E$312,2,FALSE)</f>
        <v>B001-064</v>
      </c>
      <c r="D123" s="40" t="str">
        <f>VLOOKUP(B123,Sheet3!$B$2:$E$312,3,)</f>
        <v>bahan baku</v>
      </c>
      <c r="E123" s="40" t="str">
        <f>VLOOKUP(B123,Sheet3!$B$2:$E$312,4,)</f>
        <v>GR</v>
      </c>
      <c r="F123" s="41">
        <v>27.0</v>
      </c>
      <c r="G123" s="41" t="s">
        <v>1543</v>
      </c>
      <c r="H123" s="41" t="s">
        <v>1305</v>
      </c>
      <c r="I123" s="36" t="s">
        <v>1444</v>
      </c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87"/>
      <c r="B124" s="39" t="s">
        <v>28</v>
      </c>
      <c r="C124" s="40" t="str">
        <f>VLOOKUP(B124,Sheet3!$B$2:$E$312,2,FALSE)</f>
        <v>B001-006</v>
      </c>
      <c r="D124" s="40" t="str">
        <f>VLOOKUP(B124,Sheet3!$B$2:$E$312,3,)</f>
        <v>bahan baku</v>
      </c>
      <c r="E124" s="40" t="str">
        <f>VLOOKUP(B124,Sheet3!$B$2:$E$312,4,)</f>
        <v>GR</v>
      </c>
      <c r="F124" s="41">
        <v>10.0</v>
      </c>
      <c r="G124" s="41" t="s">
        <v>1543</v>
      </c>
      <c r="H124" s="41" t="s">
        <v>1305</v>
      </c>
      <c r="I124" s="36" t="s">
        <v>1444</v>
      </c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41" t="s">
        <v>1623</v>
      </c>
      <c r="B125" s="39" t="s">
        <v>648</v>
      </c>
      <c r="C125" s="40" t="str">
        <f>VLOOKUP(B125,Sheet3!$B$2:$E$312,2,FALSE)</f>
        <v>P004-020</v>
      </c>
      <c r="D125" s="40" t="str">
        <f>VLOOKUP(B125,Sheet3!$B$2:$E$312,3,)</f>
        <v>barang jadi &amp; bahan baku</v>
      </c>
      <c r="E125" s="40" t="str">
        <f>VLOOKUP(B125,Sheet3!$B$2:$E$312,4,)</f>
        <v>GR</v>
      </c>
      <c r="F125" s="41">
        <v>858.0</v>
      </c>
      <c r="G125" s="41" t="s">
        <v>1164</v>
      </c>
      <c r="H125" s="41" t="s">
        <v>1512</v>
      </c>
      <c r="I125" s="36" t="s">
        <v>1165</v>
      </c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87"/>
      <c r="B126" s="39" t="s">
        <v>288</v>
      </c>
      <c r="C126" s="40" t="str">
        <f>VLOOKUP(B126,Sheet3!$B$2:$E$312,2,FALSE)</f>
        <v>B002-024</v>
      </c>
      <c r="D126" s="40" t="str">
        <f>VLOOKUP(B126,Sheet3!$B$2:$E$312,3,)</f>
        <v>bahan baku</v>
      </c>
      <c r="E126" s="40" t="str">
        <f>VLOOKUP(B126,Sheet3!$B$2:$E$312,4,)</f>
        <v>PCS</v>
      </c>
      <c r="F126" s="41">
        <v>5.0</v>
      </c>
      <c r="G126" s="41" t="s">
        <v>1624</v>
      </c>
      <c r="H126" s="41" t="s">
        <v>1512</v>
      </c>
      <c r="I126" s="36" t="s">
        <v>1165</v>
      </c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89"/>
      <c r="B127" s="54" t="s">
        <v>211</v>
      </c>
      <c r="C127" s="55" t="str">
        <f>VLOOKUP(B127,Sheet3!$B$2:$E$312,2,FALSE)</f>
        <v>B001-088</v>
      </c>
      <c r="D127" s="55" t="str">
        <f>VLOOKUP(B127,Sheet3!$B$2:$E$312,3,)</f>
        <v>bahan baku</v>
      </c>
      <c r="E127" s="55" t="str">
        <f>VLOOKUP(B127,Sheet3!$B$2:$E$312,4,)</f>
        <v>GR</v>
      </c>
      <c r="F127" s="56">
        <v>3550.0</v>
      </c>
      <c r="G127" s="56" t="s">
        <v>1543</v>
      </c>
      <c r="H127" s="56" t="s">
        <v>1290</v>
      </c>
      <c r="I127" s="85" t="s">
        <v>1165</v>
      </c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15.75" customHeight="1">
      <c r="A128" s="87"/>
      <c r="B128" s="39" t="s">
        <v>33</v>
      </c>
      <c r="C128" s="40" t="str">
        <f>VLOOKUP(B128,Sheet3!$B$2:$E$312,2,FALSE)</f>
        <v>B001-008</v>
      </c>
      <c r="D128" s="40" t="str">
        <f>VLOOKUP(B128,Sheet3!$B$2:$E$312,3,)</f>
        <v>bahan baku</v>
      </c>
      <c r="E128" s="40" t="str">
        <f>VLOOKUP(B128,Sheet3!$B$2:$E$312,4,)</f>
        <v>GR</v>
      </c>
      <c r="F128" s="41">
        <v>692.0</v>
      </c>
      <c r="G128" s="41" t="s">
        <v>1333</v>
      </c>
      <c r="H128" s="41" t="s">
        <v>1417</v>
      </c>
      <c r="I128" s="36" t="s">
        <v>1165</v>
      </c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87"/>
      <c r="B129" s="39" t="s">
        <v>129</v>
      </c>
      <c r="C129" s="40" t="str">
        <f>VLOOKUP(B129,Sheet3!$B$2:$E$312,2,FALSE)</f>
        <v>B001-056</v>
      </c>
      <c r="D129" s="40" t="str">
        <f>VLOOKUP(B129,Sheet3!$B$2:$E$312,3,)</f>
        <v>bahan baku</v>
      </c>
      <c r="E129" s="40" t="str">
        <f>VLOOKUP(B129,Sheet3!$B$2:$E$312,4,)</f>
        <v>ML</v>
      </c>
      <c r="F129" s="41">
        <v>7.0</v>
      </c>
      <c r="G129" s="41" t="s">
        <v>1333</v>
      </c>
      <c r="H129" s="41" t="s">
        <v>1417</v>
      </c>
      <c r="I129" s="36" t="s">
        <v>1165</v>
      </c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87"/>
      <c r="B130" s="39" t="s">
        <v>298</v>
      </c>
      <c r="C130" s="40" t="str">
        <f>VLOOKUP(B130,Sheet3!$B$2:$E$312,2,FALSE)</f>
        <v>B001-125</v>
      </c>
      <c r="D130" s="40" t="str">
        <f>VLOOKUP(B130,Sheet3!$B$2:$E$312,3,)</f>
        <v>bahan baku</v>
      </c>
      <c r="E130" s="40" t="str">
        <f>VLOOKUP(B130,Sheet3!$B$2:$E$312,4,)</f>
        <v>GR</v>
      </c>
      <c r="F130" s="41">
        <v>150.0</v>
      </c>
      <c r="G130" s="41" t="s">
        <v>1224</v>
      </c>
      <c r="H130" s="41" t="s">
        <v>1539</v>
      </c>
      <c r="I130" s="36" t="s">
        <v>1165</v>
      </c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87"/>
      <c r="B131" s="39" t="s">
        <v>28</v>
      </c>
      <c r="C131" s="40" t="str">
        <f>VLOOKUP(B131,Sheet3!$B$2:$E$312,2,FALSE)</f>
        <v>B001-006</v>
      </c>
      <c r="D131" s="40" t="str">
        <f>VLOOKUP(B131,Sheet3!$B$2:$E$312,3,)</f>
        <v>bahan baku</v>
      </c>
      <c r="E131" s="40" t="str">
        <f>VLOOKUP(B131,Sheet3!$B$2:$E$312,4,)</f>
        <v>GR</v>
      </c>
      <c r="F131" s="41">
        <v>22.0</v>
      </c>
      <c r="G131" s="41" t="s">
        <v>1216</v>
      </c>
      <c r="H131" s="41" t="s">
        <v>1539</v>
      </c>
      <c r="I131" s="36" t="s">
        <v>1165</v>
      </c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87"/>
      <c r="B132" s="39" t="s">
        <v>657</v>
      </c>
      <c r="C132" s="40" t="str">
        <f>VLOOKUP(B132,Sheet3!$B$2:$E$312,2,FALSE)</f>
        <v>P004-023</v>
      </c>
      <c r="D132" s="40" t="str">
        <f>VLOOKUP(B132,Sheet3!$B$2:$E$312,3,)</f>
        <v>barang jadi &amp; bahan baku</v>
      </c>
      <c r="E132" s="40" t="str">
        <f>VLOOKUP(B132,Sheet3!$B$2:$E$312,4,)</f>
        <v>CC</v>
      </c>
      <c r="F132" s="41">
        <v>30.0</v>
      </c>
      <c r="G132" s="41" t="s">
        <v>1216</v>
      </c>
      <c r="H132" s="41" t="s">
        <v>1512</v>
      </c>
      <c r="I132" s="36" t="s">
        <v>1165</v>
      </c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41" t="s">
        <v>1626</v>
      </c>
      <c r="B133" s="39" t="s">
        <v>691</v>
      </c>
      <c r="C133" s="40" t="str">
        <f>VLOOKUP(B133,Sheet3!$B$2:$E$312,2,FALSE)</f>
        <v>P004-036</v>
      </c>
      <c r="D133" s="40" t="str">
        <f>VLOOKUP(B133,Sheet3!$B$2:$E$312,3,)</f>
        <v>barang jadi &amp; bahan baku</v>
      </c>
      <c r="E133" s="40" t="str">
        <f>VLOOKUP(B133,Sheet3!$B$2:$E$312,4,)</f>
        <v>GR</v>
      </c>
      <c r="F133" s="41">
        <v>800.0</v>
      </c>
      <c r="G133" s="41" t="s">
        <v>1164</v>
      </c>
      <c r="H133" s="41" t="s">
        <v>1567</v>
      </c>
      <c r="I133" s="36" t="s">
        <v>1165</v>
      </c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89"/>
      <c r="B134" s="54" t="s">
        <v>1627</v>
      </c>
      <c r="C134" s="55" t="str">
        <f>VLOOKUP(B134,Sheet3!$B$2:$E$312,2,FALSE)</f>
        <v>D002-004</v>
      </c>
      <c r="D134" s="55" t="str">
        <f>VLOOKUP(B134,Sheet3!$B$2:$E$312,3,)</f>
        <v>barang jadi</v>
      </c>
      <c r="E134" s="55" t="str">
        <f>VLOOKUP(B134,Sheet3!$B$2:$E$312,4,)</f>
        <v>PORSI</v>
      </c>
      <c r="F134" s="56">
        <v>1.0</v>
      </c>
      <c r="G134" s="56" t="s">
        <v>1617</v>
      </c>
      <c r="H134" s="56" t="s">
        <v>1567</v>
      </c>
      <c r="I134" s="85" t="s">
        <v>1165</v>
      </c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ht="15.75" customHeight="1">
      <c r="A135" s="87"/>
      <c r="B135" s="39" t="s">
        <v>79</v>
      </c>
      <c r="C135" s="40" t="str">
        <f>VLOOKUP(B135,Sheet3!$B$2:$E$312,2,FALSE)</f>
        <v>B001-033</v>
      </c>
      <c r="D135" s="40" t="str">
        <f>VLOOKUP(B135,Sheet3!$B$2:$E$312,3,)</f>
        <v>bahan baku</v>
      </c>
      <c r="E135" s="40" t="str">
        <f>VLOOKUP(B135,Sheet3!$B$2:$E$312,4,)</f>
        <v>PCS</v>
      </c>
      <c r="F135" s="41">
        <v>1.0</v>
      </c>
      <c r="G135" s="41" t="s">
        <v>1543</v>
      </c>
      <c r="H135" s="41" t="s">
        <v>1514</v>
      </c>
      <c r="I135" s="36" t="s">
        <v>1165</v>
      </c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87"/>
      <c r="B136" s="39" t="s">
        <v>657</v>
      </c>
      <c r="C136" s="40" t="str">
        <f>VLOOKUP(B136,Sheet3!$B$2:$E$312,2,FALSE)</f>
        <v>P004-023</v>
      </c>
      <c r="D136" s="40" t="str">
        <f>VLOOKUP(B136,Sheet3!$B$2:$E$312,3,)</f>
        <v>barang jadi &amp; bahan baku</v>
      </c>
      <c r="E136" s="40" t="str">
        <f>VLOOKUP(B136,Sheet3!$B$2:$E$312,4,)</f>
        <v>CC</v>
      </c>
      <c r="F136" s="41">
        <v>695.0</v>
      </c>
      <c r="G136" s="41" t="s">
        <v>1632</v>
      </c>
      <c r="H136" s="41" t="s">
        <v>1514</v>
      </c>
      <c r="I136" s="36" t="s">
        <v>1165</v>
      </c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87"/>
      <c r="B137" s="39" t="s">
        <v>33</v>
      </c>
      <c r="C137" s="40" t="str">
        <f>VLOOKUP(B137,Sheet3!$B$2:$E$312,2,FALSE)</f>
        <v>B001-008</v>
      </c>
      <c r="D137" s="40" t="str">
        <f>VLOOKUP(B137,Sheet3!$B$2:$E$312,3,)</f>
        <v>bahan baku</v>
      </c>
      <c r="E137" s="40" t="str">
        <f>VLOOKUP(B137,Sheet3!$B$2:$E$312,4,)</f>
        <v>GR</v>
      </c>
      <c r="F137" s="41">
        <v>2506.0</v>
      </c>
      <c r="G137" s="41" t="s">
        <v>1533</v>
      </c>
      <c r="H137" s="41" t="s">
        <v>1417</v>
      </c>
      <c r="I137" s="36" t="s">
        <v>1165</v>
      </c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87"/>
      <c r="B138" s="39" t="s">
        <v>129</v>
      </c>
      <c r="C138" s="40" t="str">
        <f>VLOOKUP(B138,Sheet3!$B$2:$E$312,2,FALSE)</f>
        <v>B001-056</v>
      </c>
      <c r="D138" s="40" t="str">
        <f>VLOOKUP(B138,Sheet3!$B$2:$E$312,3,)</f>
        <v>bahan baku</v>
      </c>
      <c r="E138" s="40" t="str">
        <f>VLOOKUP(B138,Sheet3!$B$2:$E$312,4,)</f>
        <v>ML</v>
      </c>
      <c r="F138" s="41">
        <v>25.0</v>
      </c>
      <c r="G138" s="41" t="s">
        <v>1533</v>
      </c>
      <c r="H138" s="41" t="s">
        <v>1417</v>
      </c>
      <c r="I138" s="36" t="s">
        <v>1165</v>
      </c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87"/>
      <c r="B139" s="39" t="s">
        <v>132</v>
      </c>
      <c r="C139" s="40" t="str">
        <f>VLOOKUP(B139,Sheet3!$B$2:$E$312,2,FALSE)</f>
        <v>B001-057</v>
      </c>
      <c r="D139" s="40" t="str">
        <f>VLOOKUP(B139,Sheet3!$B$2:$E$312,3,)</f>
        <v>bahan baku</v>
      </c>
      <c r="E139" s="40" t="str">
        <f>VLOOKUP(B139,Sheet3!$B$2:$E$312,4,)</f>
        <v>GR</v>
      </c>
      <c r="F139" s="41">
        <v>156.0</v>
      </c>
      <c r="G139" s="41" t="s">
        <v>1164</v>
      </c>
      <c r="H139" s="41" t="s">
        <v>1523</v>
      </c>
      <c r="I139" s="36" t="s">
        <v>1165</v>
      </c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87"/>
      <c r="B140" s="39" t="s">
        <v>28</v>
      </c>
      <c r="C140" s="40" t="str">
        <f>VLOOKUP(B140,Sheet3!$B$2:$E$312,2,FALSE)</f>
        <v>B001-006</v>
      </c>
      <c r="D140" s="40" t="str">
        <f>VLOOKUP(B140,Sheet3!$B$2:$E$312,3,)</f>
        <v>bahan baku</v>
      </c>
      <c r="E140" s="40" t="str">
        <f>VLOOKUP(B140,Sheet3!$B$2:$E$312,4,)</f>
        <v>GR</v>
      </c>
      <c r="F140" s="41">
        <v>36.0</v>
      </c>
      <c r="G140" s="41" t="s">
        <v>1543</v>
      </c>
      <c r="H140" s="41" t="s">
        <v>1523</v>
      </c>
      <c r="I140" s="36" t="s">
        <v>1165</v>
      </c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89"/>
      <c r="B141" s="54" t="s">
        <v>211</v>
      </c>
      <c r="C141" s="55" t="str">
        <f>VLOOKUP(B141,Sheet3!$B$2:$E$312,2,FALSE)</f>
        <v>B001-088</v>
      </c>
      <c r="D141" s="55" t="str">
        <f>VLOOKUP(B141,Sheet3!$B$2:$E$312,3,)</f>
        <v>bahan baku</v>
      </c>
      <c r="E141" s="55" t="str">
        <f>VLOOKUP(B141,Sheet3!$B$2:$E$312,4,)</f>
        <v>GR</v>
      </c>
      <c r="F141" s="56">
        <v>9030.0</v>
      </c>
      <c r="G141" s="56" t="s">
        <v>1543</v>
      </c>
      <c r="H141" s="56" t="s">
        <v>1290</v>
      </c>
      <c r="I141" s="85" t="s">
        <v>1165</v>
      </c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ht="15.75" customHeight="1">
      <c r="A142" s="87"/>
      <c r="B142" s="39" t="s">
        <v>79</v>
      </c>
      <c r="C142" s="40" t="str">
        <f>VLOOKUP(B142,Sheet3!$B$2:$E$312,2,FALSE)</f>
        <v>B001-033</v>
      </c>
      <c r="D142" s="40" t="str">
        <f>VLOOKUP(B142,Sheet3!$B$2:$E$312,3,)</f>
        <v>bahan baku</v>
      </c>
      <c r="E142" s="40" t="str">
        <f>VLOOKUP(B142,Sheet3!$B$2:$E$312,4,)</f>
        <v>PCS</v>
      </c>
      <c r="F142" s="41">
        <v>1.0</v>
      </c>
      <c r="G142" s="41" t="s">
        <v>1543</v>
      </c>
      <c r="H142" s="41" t="s">
        <v>1512</v>
      </c>
      <c r="I142" s="36" t="s">
        <v>1165</v>
      </c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89"/>
      <c r="B143" s="54" t="s">
        <v>720</v>
      </c>
      <c r="C143" s="55" t="str">
        <f>VLOOKUP(B143,Sheet3!$B$2:$E$312,2,FALSE)</f>
        <v>B002-005</v>
      </c>
      <c r="D143" s="55" t="str">
        <f>VLOOKUP(B143,Sheet3!$B$2:$E$312,3,)</f>
        <v>others</v>
      </c>
      <c r="E143" s="55" t="str">
        <f>VLOOKUP(B143,Sheet3!$B$2:$E$312,4,)</f>
        <v>PCS</v>
      </c>
      <c r="F143" s="56">
        <v>143.0</v>
      </c>
      <c r="G143" s="56" t="s">
        <v>1532</v>
      </c>
      <c r="H143" s="56" t="s">
        <v>1512</v>
      </c>
      <c r="I143" s="85" t="s">
        <v>1165</v>
      </c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ht="15.75" customHeight="1">
      <c r="A144" s="41" t="s">
        <v>1640</v>
      </c>
      <c r="B144" s="39" t="s">
        <v>86</v>
      </c>
      <c r="C144" s="40" t="str">
        <f>VLOOKUP(B144,Sheet3!$B$2:$E$312,2,FALSE)</f>
        <v>B001-036</v>
      </c>
      <c r="D144" s="40" t="str">
        <f>VLOOKUP(B144,Sheet3!$B$2:$E$312,3,)</f>
        <v>bahan baku</v>
      </c>
      <c r="E144" s="40" t="str">
        <f>VLOOKUP(B144,Sheet3!$B$2:$E$312,4,)</f>
        <v>GR</v>
      </c>
      <c r="F144" s="41">
        <v>47.0</v>
      </c>
      <c r="G144" s="41" t="s">
        <v>1543</v>
      </c>
      <c r="H144" s="41" t="s">
        <v>1567</v>
      </c>
      <c r="I144" s="36" t="s">
        <v>1165</v>
      </c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87"/>
      <c r="B145" s="39" t="s">
        <v>657</v>
      </c>
      <c r="C145" s="40" t="str">
        <f>VLOOKUP(B145,Sheet3!$B$2:$E$312,2,FALSE)</f>
        <v>P004-023</v>
      </c>
      <c r="D145" s="40" t="str">
        <f>VLOOKUP(B145,Sheet3!$B$2:$E$312,3,)</f>
        <v>barang jadi &amp; bahan baku</v>
      </c>
      <c r="E145" s="40" t="str">
        <f>VLOOKUP(B145,Sheet3!$B$2:$E$312,4,)</f>
        <v>CC</v>
      </c>
      <c r="F145" s="41">
        <v>1324.0</v>
      </c>
      <c r="G145" s="41" t="s">
        <v>1164</v>
      </c>
      <c r="H145" s="41" t="s">
        <v>1567</v>
      </c>
      <c r="I145" s="36" t="s">
        <v>1165</v>
      </c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87"/>
      <c r="B146" s="39" t="s">
        <v>653</v>
      </c>
      <c r="C146" s="40" t="str">
        <f>VLOOKUP(B146,Sheet3!$B$2:$E$312,2,FALSE)</f>
        <v>P004-022</v>
      </c>
      <c r="D146" s="40" t="str">
        <f>VLOOKUP(B146,Sheet3!$B$2:$E$312,3,)</f>
        <v>barang jadi &amp; bahan baku</v>
      </c>
      <c r="E146" s="40" t="str">
        <f>VLOOKUP(B146,Sheet3!$B$2:$E$312,4,)</f>
        <v>CC</v>
      </c>
      <c r="F146" s="41">
        <v>1872.0</v>
      </c>
      <c r="G146" s="41" t="s">
        <v>1462</v>
      </c>
      <c r="H146" s="41" t="s">
        <v>1567</v>
      </c>
      <c r="I146" s="36" t="s">
        <v>1165</v>
      </c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87"/>
      <c r="B147" s="39" t="s">
        <v>805</v>
      </c>
      <c r="C147" s="40" t="str">
        <f>VLOOKUP(B147,Sheet3!$B$2:$E$312,2,FALSE)</f>
        <v>#N/A</v>
      </c>
      <c r="D147" s="40" t="str">
        <f>VLOOKUP(B147,Sheet3!$B$2:$E$312,3,)</f>
        <v>#N/A</v>
      </c>
      <c r="E147" s="40" t="str">
        <f>VLOOKUP(B147,Sheet3!$B$2:$E$312,4,)</f>
        <v>#N/A</v>
      </c>
      <c r="F147" s="41">
        <v>943.0</v>
      </c>
      <c r="G147" s="41" t="s">
        <v>1462</v>
      </c>
      <c r="H147" s="41" t="s">
        <v>1567</v>
      </c>
      <c r="I147" s="36" t="s">
        <v>1165</v>
      </c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87"/>
      <c r="B148" s="39" t="s">
        <v>502</v>
      </c>
      <c r="C148" s="40" t="str">
        <f>VLOOKUP(B148,Sheet3!$B$2:$E$312,2,FALSE)</f>
        <v>S001-002</v>
      </c>
      <c r="D148" s="40" t="str">
        <f>VLOOKUP(B148,Sheet3!$B$2:$E$312,3,)</f>
        <v>barang jadi</v>
      </c>
      <c r="E148" s="40" t="str">
        <f>VLOOKUP(B148,Sheet3!$B$2:$E$312,4,)</f>
        <v>PORSI</v>
      </c>
      <c r="F148" s="41">
        <v>8.0</v>
      </c>
      <c r="G148" s="41" t="s">
        <v>1216</v>
      </c>
      <c r="H148" s="41" t="s">
        <v>1384</v>
      </c>
      <c r="I148" s="95" t="s">
        <v>1643</v>
      </c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87"/>
      <c r="B149" s="39" t="s">
        <v>33</v>
      </c>
      <c r="C149" s="40" t="str">
        <f>VLOOKUP(B149,Sheet3!$B$2:$E$312,2,FALSE)</f>
        <v>B001-008</v>
      </c>
      <c r="D149" s="40" t="str">
        <f>VLOOKUP(B149,Sheet3!$B$2:$E$312,3,)</f>
        <v>bahan baku</v>
      </c>
      <c r="E149" s="40" t="str">
        <f>VLOOKUP(B149,Sheet3!$B$2:$E$312,4,)</f>
        <v>GR</v>
      </c>
      <c r="F149" s="41">
        <v>984.0</v>
      </c>
      <c r="G149" s="41" t="s">
        <v>1533</v>
      </c>
      <c r="H149" s="41" t="s">
        <v>1384</v>
      </c>
      <c r="I149" s="95" t="s">
        <v>1645</v>
      </c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87"/>
      <c r="B150" s="39" t="s">
        <v>129</v>
      </c>
      <c r="C150" s="40" t="str">
        <f>VLOOKUP(B150,Sheet3!$B$2:$E$312,2,FALSE)</f>
        <v>B001-056</v>
      </c>
      <c r="D150" s="40" t="str">
        <f>VLOOKUP(B150,Sheet3!$B$2:$E$312,3,)</f>
        <v>bahan baku</v>
      </c>
      <c r="E150" s="40" t="str">
        <f>VLOOKUP(B150,Sheet3!$B$2:$E$312,4,)</f>
        <v>ML</v>
      </c>
      <c r="F150" s="41">
        <v>10.0</v>
      </c>
      <c r="G150" s="41" t="s">
        <v>1533</v>
      </c>
      <c r="H150" s="41" t="s">
        <v>1384</v>
      </c>
      <c r="I150" s="36" t="s">
        <v>1165</v>
      </c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87"/>
      <c r="B151" s="39" t="s">
        <v>132</v>
      </c>
      <c r="C151" s="40" t="str">
        <f>VLOOKUP(B151,Sheet3!$B$2:$E$312,2,FALSE)</f>
        <v>B001-057</v>
      </c>
      <c r="D151" s="40" t="str">
        <f>VLOOKUP(B151,Sheet3!$B$2:$E$312,3,)</f>
        <v>bahan baku</v>
      </c>
      <c r="E151" s="40" t="str">
        <f>VLOOKUP(B151,Sheet3!$B$2:$E$312,4,)</f>
        <v>GR</v>
      </c>
      <c r="F151" s="41">
        <v>224.0</v>
      </c>
      <c r="G151" s="41" t="s">
        <v>1216</v>
      </c>
      <c r="H151" s="41" t="s">
        <v>1523</v>
      </c>
      <c r="I151" s="36" t="s">
        <v>1165</v>
      </c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87"/>
      <c r="B152" s="39" t="s">
        <v>30</v>
      </c>
      <c r="C152" s="40" t="str">
        <f>VLOOKUP(B152,Sheet3!$B$2:$E$312,2,FALSE)</f>
        <v>B001-007</v>
      </c>
      <c r="D152" s="40" t="str">
        <f>VLOOKUP(B152,Sheet3!$B$2:$E$312,3,)</f>
        <v>bahan baku</v>
      </c>
      <c r="E152" s="40" t="str">
        <f>VLOOKUP(B152,Sheet3!$B$2:$E$312,4,)</f>
        <v>GR</v>
      </c>
      <c r="F152" s="41">
        <v>75.0</v>
      </c>
      <c r="G152" s="41" t="s">
        <v>1543</v>
      </c>
      <c r="H152" s="41" t="s">
        <v>1523</v>
      </c>
      <c r="I152" s="36" t="s">
        <v>1165</v>
      </c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87"/>
      <c r="B153" s="39" t="s">
        <v>28</v>
      </c>
      <c r="C153" s="40" t="str">
        <f>VLOOKUP(B153,Sheet3!$B$2:$E$312,2,FALSE)</f>
        <v>B001-006</v>
      </c>
      <c r="D153" s="40" t="str">
        <f>VLOOKUP(B153,Sheet3!$B$2:$E$312,3,)</f>
        <v>bahan baku</v>
      </c>
      <c r="E153" s="40" t="str">
        <f>VLOOKUP(B153,Sheet3!$B$2:$E$312,4,)</f>
        <v>GR</v>
      </c>
      <c r="F153" s="41">
        <v>36.0</v>
      </c>
      <c r="G153" s="41" t="s">
        <v>1543</v>
      </c>
      <c r="H153" s="41" t="s">
        <v>1523</v>
      </c>
      <c r="I153" s="36" t="s">
        <v>1165</v>
      </c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87"/>
      <c r="B154" s="39" t="s">
        <v>298</v>
      </c>
      <c r="C154" s="40" t="str">
        <f>VLOOKUP(B154,Sheet3!$B$2:$E$312,2,FALSE)</f>
        <v>B001-125</v>
      </c>
      <c r="D154" s="40" t="str">
        <f>VLOOKUP(B154,Sheet3!$B$2:$E$312,3,)</f>
        <v>bahan baku</v>
      </c>
      <c r="E154" s="40" t="str">
        <f>VLOOKUP(B154,Sheet3!$B$2:$E$312,4,)</f>
        <v>GR</v>
      </c>
      <c r="F154" s="41">
        <v>90.0</v>
      </c>
      <c r="G154" s="41" t="s">
        <v>1164</v>
      </c>
      <c r="H154" s="41" t="s">
        <v>1523</v>
      </c>
      <c r="I154" s="36" t="s">
        <v>1165</v>
      </c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89"/>
      <c r="B155" s="54" t="s">
        <v>211</v>
      </c>
      <c r="C155" s="55" t="str">
        <f>VLOOKUP(B155,Sheet3!$B$2:$E$312,2,FALSE)</f>
        <v>B001-088</v>
      </c>
      <c r="D155" s="55" t="str">
        <f>VLOOKUP(B155,Sheet3!$B$2:$E$312,3,)</f>
        <v>bahan baku</v>
      </c>
      <c r="E155" s="55" t="str">
        <f>VLOOKUP(B155,Sheet3!$B$2:$E$312,4,)</f>
        <v>GR</v>
      </c>
      <c r="F155" s="56">
        <v>4020.0</v>
      </c>
      <c r="G155" s="56" t="s">
        <v>1543</v>
      </c>
      <c r="H155" s="56" t="s">
        <v>1290</v>
      </c>
      <c r="I155" s="85" t="s">
        <v>1165</v>
      </c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15.75" customHeight="1">
      <c r="A156" s="41" t="s">
        <v>1647</v>
      </c>
      <c r="B156" s="39" t="s">
        <v>412</v>
      </c>
      <c r="C156" s="40" t="str">
        <f>VLOOKUP(B156,Sheet3!$B$2:$E$312,2,FALSE)</f>
        <v>J001-002</v>
      </c>
      <c r="D156" s="40" t="str">
        <f>VLOOKUP(B156,Sheet3!$B$2:$E$312,3,)</f>
        <v>barang jadi</v>
      </c>
      <c r="E156" s="40" t="str">
        <f>VLOOKUP(B156,Sheet3!$B$2:$E$312,4,)</f>
        <v>PORSI</v>
      </c>
      <c r="F156" s="41">
        <v>1.0</v>
      </c>
      <c r="G156" s="41" t="s">
        <v>1418</v>
      </c>
      <c r="H156" s="41" t="s">
        <v>1225</v>
      </c>
      <c r="I156" s="36" t="s">
        <v>1165</v>
      </c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87"/>
      <c r="B157" s="39" t="s">
        <v>135</v>
      </c>
      <c r="C157" s="40" t="str">
        <f>VLOOKUP(B157,Sheet3!$B$2:$E$312,2,FALSE)</f>
        <v>B001-058</v>
      </c>
      <c r="D157" s="40" t="str">
        <f>VLOOKUP(B157,Sheet3!$B$2:$E$312,3,)</f>
        <v>bahan baku</v>
      </c>
      <c r="E157" s="40" t="str">
        <f>VLOOKUP(B157,Sheet3!$B$2:$E$312,4,)</f>
        <v>GR</v>
      </c>
      <c r="F157" s="41">
        <v>293.0</v>
      </c>
      <c r="G157" s="41" t="s">
        <v>1164</v>
      </c>
      <c r="H157" s="41" t="s">
        <v>1305</v>
      </c>
      <c r="I157" s="36" t="s">
        <v>1165</v>
      </c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87"/>
      <c r="B158" s="39" t="s">
        <v>120</v>
      </c>
      <c r="C158" s="40" t="str">
        <f>VLOOKUP(B158,Sheet3!$B$2:$E$312,2,FALSE)</f>
        <v>B001-050</v>
      </c>
      <c r="D158" s="40" t="str">
        <f>VLOOKUP(B158,Sheet3!$B$2:$E$312,3,)</f>
        <v>bahan baku</v>
      </c>
      <c r="E158" s="40" t="str">
        <f>VLOOKUP(B158,Sheet3!$B$2:$E$312,4,)</f>
        <v>GR</v>
      </c>
      <c r="F158" s="41">
        <v>63.0</v>
      </c>
      <c r="G158" s="41" t="s">
        <v>1164</v>
      </c>
      <c r="H158" s="41" t="s">
        <v>1509</v>
      </c>
      <c r="I158" s="36" t="s">
        <v>1165</v>
      </c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87"/>
      <c r="B159" s="39" t="s">
        <v>28</v>
      </c>
      <c r="C159" s="40" t="str">
        <f>VLOOKUP(B159,Sheet3!$B$2:$E$312,2,FALSE)</f>
        <v>B001-006</v>
      </c>
      <c r="D159" s="40" t="str">
        <f>VLOOKUP(B159,Sheet3!$B$2:$E$312,3,)</f>
        <v>bahan baku</v>
      </c>
      <c r="E159" s="40" t="str">
        <f>VLOOKUP(B159,Sheet3!$B$2:$E$312,4,)</f>
        <v>GR</v>
      </c>
      <c r="F159" s="41">
        <v>27.0</v>
      </c>
      <c r="G159" s="41" t="s">
        <v>1543</v>
      </c>
      <c r="H159" s="41" t="s">
        <v>1523</v>
      </c>
      <c r="I159" s="36" t="s">
        <v>1165</v>
      </c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87"/>
      <c r="B160" s="39" t="s">
        <v>137</v>
      </c>
      <c r="C160" s="40" t="str">
        <f>VLOOKUP(B160,Sheet3!$B$2:$E$312,2,FALSE)</f>
        <v>B001-060</v>
      </c>
      <c r="D160" s="40" t="str">
        <f>VLOOKUP(B160,Sheet3!$B$2:$E$312,3,)</f>
        <v>bahan baku</v>
      </c>
      <c r="E160" s="40" t="str">
        <f>VLOOKUP(B160,Sheet3!$B$2:$E$312,4,)</f>
        <v>GR</v>
      </c>
      <c r="F160" s="41">
        <v>27.0</v>
      </c>
      <c r="G160" s="41" t="s">
        <v>1543</v>
      </c>
      <c r="H160" s="41" t="s">
        <v>1523</v>
      </c>
      <c r="I160" s="36" t="s">
        <v>1165</v>
      </c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89"/>
      <c r="B161" s="54" t="s">
        <v>211</v>
      </c>
      <c r="C161" s="55" t="str">
        <f>VLOOKUP(B161,Sheet3!$B$2:$E$312,2,FALSE)</f>
        <v>B001-088</v>
      </c>
      <c r="D161" s="55" t="str">
        <f>VLOOKUP(B161,Sheet3!$B$2:$E$312,3,)</f>
        <v>bahan baku</v>
      </c>
      <c r="E161" s="55" t="str">
        <f>VLOOKUP(B161,Sheet3!$B$2:$E$312,4,)</f>
        <v>GR</v>
      </c>
      <c r="F161" s="56">
        <v>2165.0</v>
      </c>
      <c r="G161" s="56" t="s">
        <v>1543</v>
      </c>
      <c r="H161" s="56" t="s">
        <v>1567</v>
      </c>
      <c r="I161" s="85" t="s">
        <v>1165</v>
      </c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ht="15.75" customHeight="1">
      <c r="A162" s="87"/>
      <c r="B162" s="39" t="s">
        <v>657</v>
      </c>
      <c r="C162" s="40" t="str">
        <f>VLOOKUP(B162,Sheet3!$B$2:$E$312,2,FALSE)</f>
        <v>P004-023</v>
      </c>
      <c r="D162" s="40" t="str">
        <f>VLOOKUP(B162,Sheet3!$B$2:$E$312,3,)</f>
        <v>barang jadi &amp; bahan baku</v>
      </c>
      <c r="E162" s="40" t="str">
        <f>VLOOKUP(B162,Sheet3!$B$2:$E$312,4,)</f>
        <v>CC</v>
      </c>
      <c r="F162" s="41">
        <v>619.0</v>
      </c>
      <c r="G162" s="41" t="s">
        <v>1216</v>
      </c>
      <c r="H162" s="41" t="s">
        <v>1512</v>
      </c>
      <c r="I162" s="36" t="s">
        <v>1165</v>
      </c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87"/>
      <c r="B163" s="39" t="s">
        <v>653</v>
      </c>
      <c r="C163" s="40" t="str">
        <f>VLOOKUP(B163,Sheet3!$B$2:$E$312,2,FALSE)</f>
        <v>P004-022</v>
      </c>
      <c r="D163" s="40" t="str">
        <f>VLOOKUP(B163,Sheet3!$B$2:$E$312,3,)</f>
        <v>barang jadi &amp; bahan baku</v>
      </c>
      <c r="E163" s="40" t="str">
        <f>VLOOKUP(B163,Sheet3!$B$2:$E$312,4,)</f>
        <v>CC</v>
      </c>
      <c r="F163" s="41">
        <v>133.0</v>
      </c>
      <c r="G163" s="41" t="s">
        <v>1216</v>
      </c>
      <c r="H163" s="41" t="s">
        <v>1512</v>
      </c>
      <c r="I163" s="36" t="s">
        <v>1165</v>
      </c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89"/>
      <c r="B164" s="54" t="s">
        <v>720</v>
      </c>
      <c r="C164" s="55" t="str">
        <f>VLOOKUP(B164,Sheet3!$B$2:$E$312,2,FALSE)</f>
        <v>B002-005</v>
      </c>
      <c r="D164" s="55" t="str">
        <f>VLOOKUP(B164,Sheet3!$B$2:$E$312,3,)</f>
        <v>others</v>
      </c>
      <c r="E164" s="55" t="str">
        <f>VLOOKUP(B164,Sheet3!$B$2:$E$312,4,)</f>
        <v>PCS</v>
      </c>
      <c r="F164" s="56">
        <v>64.0</v>
      </c>
      <c r="G164" s="56" t="s">
        <v>1532</v>
      </c>
      <c r="H164" s="56" t="s">
        <v>1512</v>
      </c>
      <c r="I164" s="85" t="s">
        <v>1165</v>
      </c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ht="15.75" customHeight="1">
      <c r="A165" s="87"/>
      <c r="B165" s="39" t="s">
        <v>33</v>
      </c>
      <c r="C165" s="40" t="str">
        <f>VLOOKUP(B165,Sheet3!$B$2:$E$312,2,FALSE)</f>
        <v>B001-008</v>
      </c>
      <c r="D165" s="40" t="str">
        <f>VLOOKUP(B165,Sheet3!$B$2:$E$312,3,)</f>
        <v>bahan baku</v>
      </c>
      <c r="E165" s="40" t="str">
        <f>VLOOKUP(B165,Sheet3!$B$2:$E$312,4,)</f>
        <v>GR</v>
      </c>
      <c r="F165" s="41">
        <v>1391.0</v>
      </c>
      <c r="G165" s="41" t="s">
        <v>1656</v>
      </c>
      <c r="H165" s="41" t="s">
        <v>1539</v>
      </c>
      <c r="I165" s="36" t="s">
        <v>1165</v>
      </c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87"/>
      <c r="B166" s="39" t="s">
        <v>129</v>
      </c>
      <c r="C166" s="40" t="str">
        <f>VLOOKUP(B166,Sheet3!$B$2:$E$312,2,FALSE)</f>
        <v>B001-056</v>
      </c>
      <c r="D166" s="40" t="str">
        <f>VLOOKUP(B166,Sheet3!$B$2:$E$312,3,)</f>
        <v>bahan baku</v>
      </c>
      <c r="E166" s="40" t="str">
        <f>VLOOKUP(B166,Sheet3!$B$2:$E$312,4,)</f>
        <v>ML</v>
      </c>
      <c r="F166" s="41">
        <v>13.0</v>
      </c>
      <c r="G166" s="41" t="s">
        <v>1656</v>
      </c>
      <c r="H166" s="41" t="s">
        <v>1539</v>
      </c>
      <c r="I166" s="36" t="s">
        <v>1165</v>
      </c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41" t="s">
        <v>1657</v>
      </c>
      <c r="B167" s="39" t="s">
        <v>300</v>
      </c>
      <c r="C167" s="40" t="str">
        <f>VLOOKUP(B167,Sheet3!$B$2:$E$312,2,FALSE)</f>
        <v>B001-126</v>
      </c>
      <c r="D167" s="40" t="str">
        <f>VLOOKUP(B167,Sheet3!$B$2:$E$312,3,)</f>
        <v>bahan baku</v>
      </c>
      <c r="E167" s="40" t="str">
        <f>VLOOKUP(B167,Sheet3!$B$2:$E$312,4,)</f>
        <v>GR</v>
      </c>
      <c r="F167" s="41">
        <v>100.0</v>
      </c>
      <c r="G167" s="41" t="s">
        <v>1164</v>
      </c>
      <c r="H167" s="41" t="s">
        <v>1523</v>
      </c>
      <c r="I167" s="36" t="s">
        <v>1165</v>
      </c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87"/>
      <c r="B168" s="39" t="s">
        <v>28</v>
      </c>
      <c r="C168" s="40" t="str">
        <f>VLOOKUP(B168,Sheet3!$B$2:$E$312,2,FALSE)</f>
        <v>B001-006</v>
      </c>
      <c r="D168" s="40" t="str">
        <f>VLOOKUP(B168,Sheet3!$B$2:$E$312,3,)</f>
        <v>bahan baku</v>
      </c>
      <c r="E168" s="40" t="str">
        <f>VLOOKUP(B168,Sheet3!$B$2:$E$312,4,)</f>
        <v>GR</v>
      </c>
      <c r="F168" s="41">
        <v>35.0</v>
      </c>
      <c r="G168" s="41" t="s">
        <v>1543</v>
      </c>
      <c r="H168" s="41" t="s">
        <v>1523</v>
      </c>
      <c r="I168" s="36" t="s">
        <v>1165</v>
      </c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87"/>
      <c r="B169" s="39" t="s">
        <v>148</v>
      </c>
      <c r="C169" s="40" t="str">
        <f>VLOOKUP(B169,Sheet3!$B$2:$E$312,2,FALSE)</f>
        <v>B001-064</v>
      </c>
      <c r="D169" s="40" t="str">
        <f>VLOOKUP(B169,Sheet3!$B$2:$E$312,3,)</f>
        <v>bahan baku</v>
      </c>
      <c r="E169" s="40" t="str">
        <f>VLOOKUP(B169,Sheet3!$B$2:$E$312,4,)</f>
        <v>GR</v>
      </c>
      <c r="F169" s="41">
        <v>44.0</v>
      </c>
      <c r="G169" s="41" t="s">
        <v>1543</v>
      </c>
      <c r="H169" s="41" t="s">
        <v>1523</v>
      </c>
      <c r="I169" s="36" t="s">
        <v>1165</v>
      </c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87"/>
      <c r="B170" s="39" t="s">
        <v>653</v>
      </c>
      <c r="C170" s="40" t="str">
        <f>VLOOKUP(B170,Sheet3!$B$2:$E$312,2,FALSE)</f>
        <v>P004-022</v>
      </c>
      <c r="D170" s="40" t="str">
        <f>VLOOKUP(B170,Sheet3!$B$2:$E$312,3,)</f>
        <v>barang jadi &amp; bahan baku</v>
      </c>
      <c r="E170" s="40" t="str">
        <f>VLOOKUP(B170,Sheet3!$B$2:$E$312,4,)</f>
        <v>CC</v>
      </c>
      <c r="F170" s="41">
        <v>725.0</v>
      </c>
      <c r="G170" s="41" t="s">
        <v>1216</v>
      </c>
      <c r="H170" s="41" t="s">
        <v>1512</v>
      </c>
      <c r="I170" s="36" t="s">
        <v>1165</v>
      </c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87"/>
      <c r="B171" s="39" t="s">
        <v>657</v>
      </c>
      <c r="C171" s="40" t="str">
        <f>VLOOKUP(B171,Sheet3!$B$2:$E$312,2,FALSE)</f>
        <v>P004-023</v>
      </c>
      <c r="D171" s="40" t="str">
        <f>VLOOKUP(B171,Sheet3!$B$2:$E$312,3,)</f>
        <v>barang jadi &amp; bahan baku</v>
      </c>
      <c r="E171" s="40" t="str">
        <f>VLOOKUP(B171,Sheet3!$B$2:$E$312,4,)</f>
        <v>CC</v>
      </c>
      <c r="F171" s="41">
        <v>337.0</v>
      </c>
      <c r="G171" s="41" t="s">
        <v>1216</v>
      </c>
      <c r="H171" s="41" t="s">
        <v>1512</v>
      </c>
      <c r="I171" s="36" t="s">
        <v>1165</v>
      </c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87"/>
      <c r="B172" s="39" t="s">
        <v>33</v>
      </c>
      <c r="C172" s="40" t="str">
        <f>VLOOKUP(B172,Sheet3!$B$2:$E$312,2,FALSE)</f>
        <v>B001-008</v>
      </c>
      <c r="D172" s="40" t="str">
        <f>VLOOKUP(B172,Sheet3!$B$2:$E$312,3,)</f>
        <v>bahan baku</v>
      </c>
      <c r="E172" s="40" t="str">
        <f>VLOOKUP(B172,Sheet3!$B$2:$E$312,4,)</f>
        <v>GR</v>
      </c>
      <c r="F172" s="41">
        <v>2894.0</v>
      </c>
      <c r="G172" s="41" t="s">
        <v>1656</v>
      </c>
      <c r="H172" s="41" t="s">
        <v>1539</v>
      </c>
      <c r="I172" s="36" t="s">
        <v>1165</v>
      </c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87"/>
      <c r="B173" s="39" t="s">
        <v>129</v>
      </c>
      <c r="C173" s="40" t="str">
        <f>VLOOKUP(B173,Sheet3!$B$2:$E$312,2,FALSE)</f>
        <v>B001-056</v>
      </c>
      <c r="D173" s="40" t="str">
        <f>VLOOKUP(B173,Sheet3!$B$2:$E$312,3,)</f>
        <v>bahan baku</v>
      </c>
      <c r="E173" s="40" t="str">
        <f>VLOOKUP(B173,Sheet3!$B$2:$E$312,4,)</f>
        <v>ML</v>
      </c>
      <c r="F173" s="41">
        <v>29.0</v>
      </c>
      <c r="G173" s="41" t="s">
        <v>1656</v>
      </c>
      <c r="H173" s="41" t="s">
        <v>1539</v>
      </c>
      <c r="I173" s="95" t="s">
        <v>1660</v>
      </c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87"/>
      <c r="B174" s="39" t="s">
        <v>502</v>
      </c>
      <c r="C174" s="40" t="str">
        <f>VLOOKUP(B174,Sheet3!$B$2:$E$312,2,FALSE)</f>
        <v>S001-002</v>
      </c>
      <c r="D174" s="40" t="str">
        <f>VLOOKUP(B174,Sheet3!$B$2:$E$312,3,)</f>
        <v>barang jadi</v>
      </c>
      <c r="E174" s="40" t="str">
        <f>VLOOKUP(B174,Sheet3!$B$2:$E$312,4,)</f>
        <v>PORSI</v>
      </c>
      <c r="F174" s="41">
        <v>15.0</v>
      </c>
      <c r="G174" s="41" t="s">
        <v>1164</v>
      </c>
      <c r="H174" s="41" t="s">
        <v>1539</v>
      </c>
      <c r="I174" s="95" t="s">
        <v>1661</v>
      </c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89"/>
      <c r="B175" s="54" t="s">
        <v>211</v>
      </c>
      <c r="C175" s="55" t="str">
        <f>VLOOKUP(B175,Sheet3!$B$2:$E$312,2,FALSE)</f>
        <v>B001-088</v>
      </c>
      <c r="D175" s="55" t="str">
        <f>VLOOKUP(B175,Sheet3!$B$2:$E$312,3,)</f>
        <v>bahan baku</v>
      </c>
      <c r="E175" s="55" t="str">
        <f>VLOOKUP(B175,Sheet3!$B$2:$E$312,4,)</f>
        <v>GR</v>
      </c>
      <c r="F175" s="56">
        <v>9650.0</v>
      </c>
      <c r="G175" s="56" t="s">
        <v>1543</v>
      </c>
      <c r="H175" s="56" t="s">
        <v>1290</v>
      </c>
      <c r="I175" s="85" t="s">
        <v>1165</v>
      </c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ht="15.75" customHeight="1">
      <c r="A176" s="89"/>
      <c r="B176" s="54" t="s">
        <v>720</v>
      </c>
      <c r="C176" s="55" t="str">
        <f>VLOOKUP(B176,Sheet3!$B$2:$E$312,2,FALSE)</f>
        <v>B002-005</v>
      </c>
      <c r="D176" s="55" t="str">
        <f>VLOOKUP(B176,Sheet3!$B$2:$E$312,3,)</f>
        <v>others</v>
      </c>
      <c r="E176" s="55" t="str">
        <f>VLOOKUP(B176,Sheet3!$B$2:$E$312,4,)</f>
        <v>PCS</v>
      </c>
      <c r="F176" s="56">
        <v>64.0</v>
      </c>
      <c r="G176" s="56" t="s">
        <v>1532</v>
      </c>
      <c r="H176" s="56" t="s">
        <v>1512</v>
      </c>
      <c r="I176" s="85" t="s">
        <v>1165</v>
      </c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ht="15.75" customHeight="1">
      <c r="A177" s="56" t="s">
        <v>1664</v>
      </c>
      <c r="B177" s="54" t="s">
        <v>211</v>
      </c>
      <c r="C177" s="55" t="str">
        <f>VLOOKUP(B177,Sheet3!$B$2:$E$312,2,FALSE)</f>
        <v>B001-088</v>
      </c>
      <c r="D177" s="55" t="str">
        <f>VLOOKUP(B177,Sheet3!$B$2:$E$312,3,)</f>
        <v>bahan baku</v>
      </c>
      <c r="E177" s="55" t="str">
        <f>VLOOKUP(B177,Sheet3!$B$2:$E$312,4,)</f>
        <v>GR</v>
      </c>
      <c r="F177" s="56">
        <v>3660.0</v>
      </c>
      <c r="G177" s="56" t="s">
        <v>1543</v>
      </c>
      <c r="H177" s="56" t="s">
        <v>1567</v>
      </c>
      <c r="I177" s="85" t="s">
        <v>1165</v>
      </c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ht="15.75" customHeight="1">
      <c r="A178" s="87"/>
      <c r="B178" s="39" t="s">
        <v>132</v>
      </c>
      <c r="C178" s="40" t="str">
        <f>VLOOKUP(B178,Sheet3!$B$2:$E$312,2,FALSE)</f>
        <v>B001-057</v>
      </c>
      <c r="D178" s="40" t="str">
        <f>VLOOKUP(B178,Sheet3!$B$2:$E$312,3,)</f>
        <v>bahan baku</v>
      </c>
      <c r="E178" s="40" t="str">
        <f>VLOOKUP(B178,Sheet3!$B$2:$E$312,4,)</f>
        <v>GR</v>
      </c>
      <c r="F178" s="41">
        <v>120.0</v>
      </c>
      <c r="G178" s="41" t="s">
        <v>1164</v>
      </c>
      <c r="H178" s="41" t="s">
        <v>1523</v>
      </c>
      <c r="I178" s="36" t="s">
        <v>1165</v>
      </c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87"/>
      <c r="B179" s="39" t="s">
        <v>148</v>
      </c>
      <c r="C179" s="40" t="str">
        <f>VLOOKUP(B179,Sheet3!$B$2:$E$312,2,FALSE)</f>
        <v>B001-064</v>
      </c>
      <c r="D179" s="40" t="str">
        <f>VLOOKUP(B179,Sheet3!$B$2:$E$312,3,)</f>
        <v>bahan baku</v>
      </c>
      <c r="E179" s="40" t="str">
        <f>VLOOKUP(B179,Sheet3!$B$2:$E$312,4,)</f>
        <v>GR</v>
      </c>
      <c r="F179" s="41">
        <v>31.0</v>
      </c>
      <c r="G179" s="41" t="s">
        <v>1543</v>
      </c>
      <c r="H179" s="41" t="s">
        <v>1523</v>
      </c>
      <c r="I179" s="36" t="s">
        <v>1165</v>
      </c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87"/>
      <c r="B180" s="39" t="s">
        <v>28</v>
      </c>
      <c r="C180" s="40" t="str">
        <f>VLOOKUP(B180,Sheet3!$B$2:$E$312,2,FALSE)</f>
        <v>B001-006</v>
      </c>
      <c r="D180" s="40" t="str">
        <f>VLOOKUP(B180,Sheet3!$B$2:$E$312,3,)</f>
        <v>bahan baku</v>
      </c>
      <c r="E180" s="40" t="str">
        <f>VLOOKUP(B180,Sheet3!$B$2:$E$312,4,)</f>
        <v>GR</v>
      </c>
      <c r="F180" s="41">
        <v>20.0</v>
      </c>
      <c r="G180" s="41" t="s">
        <v>1543</v>
      </c>
      <c r="H180" s="41" t="s">
        <v>1523</v>
      </c>
      <c r="I180" s="36" t="s">
        <v>1165</v>
      </c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87"/>
      <c r="B181" s="39" t="s">
        <v>76</v>
      </c>
      <c r="C181" s="40" t="str">
        <f>VLOOKUP(B181,Sheet3!$B$2:$E$312,2,FALSE)</f>
        <v>B001-032</v>
      </c>
      <c r="D181" s="40" t="str">
        <f>VLOOKUP(B181,Sheet3!$B$2:$E$312,3,)</f>
        <v>bahan baku</v>
      </c>
      <c r="E181" s="40" t="str">
        <f>VLOOKUP(B181,Sheet3!$B$2:$E$312,4,)</f>
        <v>ML</v>
      </c>
      <c r="F181" s="41">
        <v>264.0</v>
      </c>
      <c r="G181" s="41" t="s">
        <v>1164</v>
      </c>
      <c r="H181" s="41" t="s">
        <v>1514</v>
      </c>
      <c r="I181" s="36" t="s">
        <v>1165</v>
      </c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87"/>
      <c r="B182" s="39" t="s">
        <v>653</v>
      </c>
      <c r="C182" s="40" t="str">
        <f>VLOOKUP(B182,Sheet3!$B$2:$E$312,2,FALSE)</f>
        <v>P004-022</v>
      </c>
      <c r="D182" s="40" t="str">
        <f>VLOOKUP(B182,Sheet3!$B$2:$E$312,3,)</f>
        <v>barang jadi &amp; bahan baku</v>
      </c>
      <c r="E182" s="40" t="str">
        <f>VLOOKUP(B182,Sheet3!$B$2:$E$312,4,)</f>
        <v>CC</v>
      </c>
      <c r="F182" s="41">
        <v>1744.0</v>
      </c>
      <c r="G182" s="41" t="s">
        <v>1216</v>
      </c>
      <c r="H182" s="41" t="s">
        <v>1512</v>
      </c>
      <c r="I182" s="36" t="s">
        <v>1165</v>
      </c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87"/>
      <c r="B183" s="39" t="s">
        <v>664</v>
      </c>
      <c r="C183" s="40" t="str">
        <f>VLOOKUP(B183,Sheet3!$B$2:$E$312,2,FALSE)</f>
        <v>P004-025</v>
      </c>
      <c r="D183" s="40" t="str">
        <f>VLOOKUP(B183,Sheet3!$B$2:$E$312,3,)</f>
        <v>barang jadi &amp; bahan baku</v>
      </c>
      <c r="E183" s="40" t="str">
        <f>VLOOKUP(B183,Sheet3!$B$2:$E$312,4,)</f>
        <v>ML</v>
      </c>
      <c r="F183" s="41">
        <v>2666.0</v>
      </c>
      <c r="G183" s="41" t="s">
        <v>1216</v>
      </c>
      <c r="H183" s="41" t="s">
        <v>1512</v>
      </c>
      <c r="I183" s="36" t="s">
        <v>1165</v>
      </c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87"/>
      <c r="B184" s="39" t="s">
        <v>805</v>
      </c>
      <c r="C184" s="40" t="str">
        <f>VLOOKUP(B184,Sheet3!$B$2:$E$312,2,FALSE)</f>
        <v>#N/A</v>
      </c>
      <c r="D184" s="40" t="str">
        <f>VLOOKUP(B184,Sheet3!$B$2:$E$312,3,)</f>
        <v>#N/A</v>
      </c>
      <c r="E184" s="40" t="str">
        <f>VLOOKUP(B184,Sheet3!$B$2:$E$312,4,)</f>
        <v>#N/A</v>
      </c>
      <c r="F184" s="41">
        <v>1978.0</v>
      </c>
      <c r="G184" s="41" t="s">
        <v>1216</v>
      </c>
      <c r="H184" s="41" t="s">
        <v>1512</v>
      </c>
      <c r="I184" s="36" t="s">
        <v>1165</v>
      </c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87"/>
      <c r="B185" s="39" t="s">
        <v>657</v>
      </c>
      <c r="C185" s="40" t="str">
        <f>VLOOKUP(B185,Sheet3!$B$2:$E$312,2,FALSE)</f>
        <v>P004-023</v>
      </c>
      <c r="D185" s="40" t="str">
        <f>VLOOKUP(B185,Sheet3!$B$2:$E$312,3,)</f>
        <v>barang jadi &amp; bahan baku</v>
      </c>
      <c r="E185" s="40" t="str">
        <f>VLOOKUP(B185,Sheet3!$B$2:$E$312,4,)</f>
        <v>CC</v>
      </c>
      <c r="F185" s="41">
        <v>1318.0</v>
      </c>
      <c r="G185" s="41" t="s">
        <v>1216</v>
      </c>
      <c r="H185" s="41" t="s">
        <v>1512</v>
      </c>
      <c r="I185" s="36" t="s">
        <v>1165</v>
      </c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41" t="s">
        <v>1666</v>
      </c>
      <c r="B186" s="39" t="s">
        <v>120</v>
      </c>
      <c r="C186" s="40" t="str">
        <f>VLOOKUP(B186,Sheet3!$B$2:$E$312,2,FALSE)</f>
        <v>B001-050</v>
      </c>
      <c r="D186" s="40" t="str">
        <f>VLOOKUP(B186,Sheet3!$B$2:$E$312,3,)</f>
        <v>bahan baku</v>
      </c>
      <c r="E186" s="40" t="str">
        <f>VLOOKUP(B186,Sheet3!$B$2:$E$312,4,)</f>
        <v>GR</v>
      </c>
      <c r="F186" s="41">
        <v>42.0</v>
      </c>
      <c r="G186" s="41" t="s">
        <v>1462</v>
      </c>
      <c r="H186" s="41" t="s">
        <v>1514</v>
      </c>
      <c r="I186" s="36" t="s">
        <v>1165</v>
      </c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89"/>
      <c r="B187" s="54" t="s">
        <v>211</v>
      </c>
      <c r="C187" s="55" t="str">
        <f>VLOOKUP(B187,Sheet3!$B$2:$E$312,2,FALSE)</f>
        <v>B001-088</v>
      </c>
      <c r="D187" s="55" t="str">
        <f>VLOOKUP(B187,Sheet3!$B$2:$E$312,3,)</f>
        <v>bahan baku</v>
      </c>
      <c r="E187" s="55" t="str">
        <f>VLOOKUP(B187,Sheet3!$B$2:$E$312,4,)</f>
        <v>GR</v>
      </c>
      <c r="F187" s="56">
        <v>1450.0</v>
      </c>
      <c r="G187" s="56" t="s">
        <v>1543</v>
      </c>
      <c r="H187" s="56" t="s">
        <v>1567</v>
      </c>
      <c r="I187" s="85" t="s">
        <v>1165</v>
      </c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ht="15.75" customHeight="1">
      <c r="A188" s="87"/>
      <c r="B188" s="39" t="s">
        <v>132</v>
      </c>
      <c r="C188" s="40" t="str">
        <f>VLOOKUP(B188,Sheet3!$B$2:$E$312,2,FALSE)</f>
        <v>B001-057</v>
      </c>
      <c r="D188" s="40" t="str">
        <f>VLOOKUP(B188,Sheet3!$B$2:$E$312,3,)</f>
        <v>bahan baku</v>
      </c>
      <c r="E188" s="40" t="str">
        <f>VLOOKUP(B188,Sheet3!$B$2:$E$312,4,)</f>
        <v>GR</v>
      </c>
      <c r="F188" s="41">
        <v>143.0</v>
      </c>
      <c r="G188" s="41" t="s">
        <v>1668</v>
      </c>
      <c r="H188" s="41" t="s">
        <v>1523</v>
      </c>
      <c r="I188" s="36" t="s">
        <v>1165</v>
      </c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87"/>
      <c r="B189" s="39" t="s">
        <v>28</v>
      </c>
      <c r="C189" s="40" t="str">
        <f>VLOOKUP(B189,Sheet3!$B$2:$E$312,2,FALSE)</f>
        <v>B001-006</v>
      </c>
      <c r="D189" s="40" t="str">
        <f>VLOOKUP(B189,Sheet3!$B$2:$E$312,3,)</f>
        <v>bahan baku</v>
      </c>
      <c r="E189" s="40" t="str">
        <f>VLOOKUP(B189,Sheet3!$B$2:$E$312,4,)</f>
        <v>GR</v>
      </c>
      <c r="F189" s="41">
        <v>20.0</v>
      </c>
      <c r="G189" s="41" t="s">
        <v>1543</v>
      </c>
      <c r="H189" s="41" t="s">
        <v>1523</v>
      </c>
      <c r="I189" s="36" t="s">
        <v>1165</v>
      </c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87"/>
      <c r="B190" s="39" t="s">
        <v>33</v>
      </c>
      <c r="C190" s="40" t="str">
        <f>VLOOKUP(B190,Sheet3!$B$2:$E$312,2,FALSE)</f>
        <v>B001-008</v>
      </c>
      <c r="D190" s="40" t="str">
        <f>VLOOKUP(B190,Sheet3!$B$2:$E$312,3,)</f>
        <v>bahan baku</v>
      </c>
      <c r="E190" s="40" t="str">
        <f>VLOOKUP(B190,Sheet3!$B$2:$E$312,4,)</f>
        <v>GR</v>
      </c>
      <c r="F190" s="41">
        <v>603.0</v>
      </c>
      <c r="G190" s="41" t="s">
        <v>1533</v>
      </c>
      <c r="H190" s="41" t="s">
        <v>1225</v>
      </c>
      <c r="I190" s="95" t="s">
        <v>1670</v>
      </c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87"/>
      <c r="B191" s="39" t="s">
        <v>129</v>
      </c>
      <c r="C191" s="40" t="str">
        <f>VLOOKUP(B191,Sheet3!$B$2:$E$312,2,FALSE)</f>
        <v>B001-056</v>
      </c>
      <c r="D191" s="40" t="str">
        <f>VLOOKUP(B191,Sheet3!$B$2:$E$312,3,)</f>
        <v>bahan baku</v>
      </c>
      <c r="E191" s="40" t="str">
        <f>VLOOKUP(B191,Sheet3!$B$2:$E$312,4,)</f>
        <v>ML</v>
      </c>
      <c r="F191" s="41">
        <v>6.0</v>
      </c>
      <c r="G191" s="41" t="s">
        <v>1533</v>
      </c>
      <c r="H191" s="41" t="s">
        <v>1225</v>
      </c>
      <c r="I191" s="36" t="s">
        <v>1165</v>
      </c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87"/>
      <c r="B192" s="39" t="s">
        <v>664</v>
      </c>
      <c r="C192" s="40" t="str">
        <f>VLOOKUP(B192,Sheet3!$B$2:$E$312,2,FALSE)</f>
        <v>P004-025</v>
      </c>
      <c r="D192" s="40" t="str">
        <f>VLOOKUP(B192,Sheet3!$B$2:$E$312,3,)</f>
        <v>barang jadi &amp; bahan baku</v>
      </c>
      <c r="E192" s="40" t="str">
        <f>VLOOKUP(B192,Sheet3!$B$2:$E$312,4,)</f>
        <v>ML</v>
      </c>
      <c r="F192" s="41">
        <v>651.0</v>
      </c>
      <c r="G192" s="41" t="s">
        <v>1216</v>
      </c>
      <c r="H192" s="41" t="s">
        <v>1539</v>
      </c>
      <c r="I192" s="36" t="s">
        <v>1165</v>
      </c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87"/>
      <c r="B193" s="39" t="s">
        <v>657</v>
      </c>
      <c r="C193" s="40" t="str">
        <f>VLOOKUP(B193,Sheet3!$B$2:$E$312,2,FALSE)</f>
        <v>P004-023</v>
      </c>
      <c r="D193" s="40" t="str">
        <f>VLOOKUP(B193,Sheet3!$B$2:$E$312,3,)</f>
        <v>barang jadi &amp; bahan baku</v>
      </c>
      <c r="E193" s="40" t="str">
        <f>VLOOKUP(B193,Sheet3!$B$2:$E$312,4,)</f>
        <v>CC</v>
      </c>
      <c r="F193" s="41">
        <v>1839.0</v>
      </c>
      <c r="G193" s="41" t="s">
        <v>1216</v>
      </c>
      <c r="H193" s="41" t="s">
        <v>1539</v>
      </c>
      <c r="I193" s="36" t="s">
        <v>1165</v>
      </c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87"/>
      <c r="B194" s="39" t="s">
        <v>653</v>
      </c>
      <c r="C194" s="40" t="str">
        <f>VLOOKUP(B194,Sheet3!$B$2:$E$312,2,FALSE)</f>
        <v>P004-022</v>
      </c>
      <c r="D194" s="40" t="str">
        <f>VLOOKUP(B194,Sheet3!$B$2:$E$312,3,)</f>
        <v>barang jadi &amp; bahan baku</v>
      </c>
      <c r="E194" s="40" t="str">
        <f>VLOOKUP(B194,Sheet3!$B$2:$E$312,4,)</f>
        <v>CC</v>
      </c>
      <c r="F194" s="41">
        <v>1088.0</v>
      </c>
      <c r="G194" s="41" t="s">
        <v>1216</v>
      </c>
      <c r="H194" s="41" t="s">
        <v>1539</v>
      </c>
      <c r="I194" s="36" t="s">
        <v>1165</v>
      </c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87"/>
      <c r="B195" s="39" t="s">
        <v>805</v>
      </c>
      <c r="C195" s="40" t="str">
        <f>VLOOKUP(B195,Sheet3!$B$2:$E$312,2,FALSE)</f>
        <v>#N/A</v>
      </c>
      <c r="D195" s="40" t="str">
        <f>VLOOKUP(B195,Sheet3!$B$2:$E$312,3,)</f>
        <v>#N/A</v>
      </c>
      <c r="E195" s="40" t="str">
        <f>VLOOKUP(B195,Sheet3!$B$2:$E$312,4,)</f>
        <v>#N/A</v>
      </c>
      <c r="F195" s="41">
        <v>376.0</v>
      </c>
      <c r="G195" s="41" t="s">
        <v>1216</v>
      </c>
      <c r="H195" s="41" t="s">
        <v>1539</v>
      </c>
      <c r="I195" s="36" t="s">
        <v>1165</v>
      </c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41" t="s">
        <v>1675</v>
      </c>
      <c r="B196" s="39" t="s">
        <v>101</v>
      </c>
      <c r="C196" s="40" t="str">
        <f>VLOOKUP(B196,Sheet3!$B$2:$E$312,2,FALSE)</f>
        <v>B001-043</v>
      </c>
      <c r="D196" s="40" t="str">
        <f>VLOOKUP(B196,Sheet3!$B$2:$E$312,3,)</f>
        <v>bahan baku</v>
      </c>
      <c r="E196" s="40" t="str">
        <f>VLOOKUP(B196,Sheet3!$B$2:$E$312,4,)</f>
        <v>GR</v>
      </c>
      <c r="F196" s="41">
        <v>257.0</v>
      </c>
      <c r="G196" s="41" t="s">
        <v>1164</v>
      </c>
      <c r="H196" s="41" t="s">
        <v>1417</v>
      </c>
      <c r="I196" s="36" t="s">
        <v>1165</v>
      </c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87"/>
      <c r="B197" s="39" t="s">
        <v>643</v>
      </c>
      <c r="C197" s="40" t="str">
        <f>VLOOKUP(B197,Sheet3!$B$2:$E$312,2,FALSE)</f>
        <v>P004-018</v>
      </c>
      <c r="D197" s="40" t="str">
        <f>VLOOKUP(B197,Sheet3!$B$2:$E$312,3,)</f>
        <v>barang jadi &amp; bahan baku</v>
      </c>
      <c r="E197" s="40" t="str">
        <f>VLOOKUP(B197,Sheet3!$B$2:$E$312,4,)</f>
        <v>GR</v>
      </c>
      <c r="F197" s="41">
        <v>52.0</v>
      </c>
      <c r="G197" s="41" t="s">
        <v>1164</v>
      </c>
      <c r="H197" s="41" t="s">
        <v>1539</v>
      </c>
      <c r="I197" s="36" t="s">
        <v>1165</v>
      </c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87"/>
      <c r="B198" s="39" t="s">
        <v>21</v>
      </c>
      <c r="C198" s="40" t="str">
        <f>VLOOKUP(B198,Sheet3!$B$2:$E$312,2,FALSE)</f>
        <v>B001-003</v>
      </c>
      <c r="D198" s="40" t="str">
        <f>VLOOKUP(B198,Sheet3!$B$2:$E$312,3,)</f>
        <v>bahan baku</v>
      </c>
      <c r="E198" s="40" t="str">
        <f>VLOOKUP(B198,Sheet3!$B$2:$E$312,4,)</f>
        <v>GR</v>
      </c>
      <c r="F198" s="41">
        <v>18.0</v>
      </c>
      <c r="G198" s="41" t="s">
        <v>1676</v>
      </c>
      <c r="H198" s="41" t="s">
        <v>1514</v>
      </c>
      <c r="I198" s="36" t="s">
        <v>1165</v>
      </c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89"/>
      <c r="B199" s="54" t="s">
        <v>720</v>
      </c>
      <c r="C199" s="55" t="str">
        <f>VLOOKUP(B199,Sheet3!$B$2:$E$312,2,FALSE)</f>
        <v>B002-005</v>
      </c>
      <c r="D199" s="55" t="str">
        <f>VLOOKUP(B199,Sheet3!$B$2:$E$312,3,)</f>
        <v>others</v>
      </c>
      <c r="E199" s="55" t="str">
        <f>VLOOKUP(B199,Sheet3!$B$2:$E$312,4,)</f>
        <v>PCS</v>
      </c>
      <c r="F199" s="56">
        <v>84.0</v>
      </c>
      <c r="G199" s="56" t="s">
        <v>1369</v>
      </c>
      <c r="H199" s="56" t="s">
        <v>1512</v>
      </c>
      <c r="I199" s="85" t="s">
        <v>1165</v>
      </c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ht="15.75" customHeight="1">
      <c r="A200" s="89"/>
      <c r="B200" s="54" t="s">
        <v>416</v>
      </c>
      <c r="C200" s="55" t="str">
        <f>VLOOKUP(B200,Sheet3!$B$2:$E$312,2,FALSE)</f>
        <v>J001-004</v>
      </c>
      <c r="D200" s="55" t="str">
        <f>VLOOKUP(B200,Sheet3!$B$2:$E$312,3,)</f>
        <v>barang jadi</v>
      </c>
      <c r="E200" s="55" t="str">
        <f>VLOOKUP(B200,Sheet3!$B$2:$E$312,4,)</f>
        <v>PORSI</v>
      </c>
      <c r="F200" s="56">
        <v>3.0</v>
      </c>
      <c r="G200" s="56" t="s">
        <v>1617</v>
      </c>
      <c r="H200" s="56" t="s">
        <v>1581</v>
      </c>
      <c r="I200" s="85" t="s">
        <v>1165</v>
      </c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ht="15.75" customHeight="1">
      <c r="A201" s="87"/>
      <c r="B201" s="39" t="s">
        <v>620</v>
      </c>
      <c r="C201" s="40" t="str">
        <f>VLOOKUP(B201,Sheet3!$B$2:$E$312,2,FALSE)</f>
        <v>P004-009</v>
      </c>
      <c r="D201" s="40" t="str">
        <f>VLOOKUP(B201,Sheet3!$B$2:$E$312,3,)</f>
        <v>barang jadi &amp; bahan baku</v>
      </c>
      <c r="E201" s="40" t="str">
        <f>VLOOKUP(B201,Sheet3!$B$2:$E$312,4,)</f>
        <v>GR</v>
      </c>
      <c r="F201" s="41">
        <v>166.0</v>
      </c>
      <c r="G201" s="41" t="s">
        <v>1677</v>
      </c>
      <c r="H201" s="41" t="s">
        <v>1539</v>
      </c>
      <c r="I201" s="36" t="s">
        <v>1165</v>
      </c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87"/>
      <c r="B202" s="39" t="s">
        <v>148</v>
      </c>
      <c r="C202" s="40" t="str">
        <f>VLOOKUP(B202,Sheet3!$B$2:$E$312,2,FALSE)</f>
        <v>B001-064</v>
      </c>
      <c r="D202" s="40" t="str">
        <f>VLOOKUP(B202,Sheet3!$B$2:$E$312,3,)</f>
        <v>bahan baku</v>
      </c>
      <c r="E202" s="40" t="str">
        <f>VLOOKUP(B202,Sheet3!$B$2:$E$312,4,)</f>
        <v>GR</v>
      </c>
      <c r="F202" s="41">
        <v>25.0</v>
      </c>
      <c r="G202" s="41" t="s">
        <v>1543</v>
      </c>
      <c r="H202" s="41" t="s">
        <v>1539</v>
      </c>
      <c r="I202" s="36" t="s">
        <v>1165</v>
      </c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87"/>
      <c r="B203" s="39" t="s">
        <v>298</v>
      </c>
      <c r="C203" s="40" t="str">
        <f>VLOOKUP(B203,Sheet3!$B$2:$E$312,2,FALSE)</f>
        <v>B001-125</v>
      </c>
      <c r="D203" s="40" t="str">
        <f>VLOOKUP(B203,Sheet3!$B$2:$E$312,3,)</f>
        <v>bahan baku</v>
      </c>
      <c r="E203" s="40" t="str">
        <f>VLOOKUP(B203,Sheet3!$B$2:$E$312,4,)</f>
        <v>GR</v>
      </c>
      <c r="F203" s="41">
        <v>110.0</v>
      </c>
      <c r="G203" s="41" t="s">
        <v>1224</v>
      </c>
      <c r="H203" s="41" t="s">
        <v>1539</v>
      </c>
      <c r="I203" s="36" t="s">
        <v>1165</v>
      </c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87"/>
      <c r="B204" s="39" t="s">
        <v>28</v>
      </c>
      <c r="C204" s="40" t="str">
        <f>VLOOKUP(B204,Sheet3!$B$2:$E$312,2,FALSE)</f>
        <v>B001-006</v>
      </c>
      <c r="D204" s="40" t="str">
        <f>VLOOKUP(B204,Sheet3!$B$2:$E$312,3,)</f>
        <v>bahan baku</v>
      </c>
      <c r="E204" s="40" t="str">
        <f>VLOOKUP(B204,Sheet3!$B$2:$E$312,4,)</f>
        <v>GR</v>
      </c>
      <c r="F204" s="41">
        <v>35.0</v>
      </c>
      <c r="G204" s="41" t="s">
        <v>1543</v>
      </c>
      <c r="H204" s="41" t="s">
        <v>1539</v>
      </c>
      <c r="I204" s="36" t="s">
        <v>1165</v>
      </c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87"/>
      <c r="B205" s="39" t="s">
        <v>132</v>
      </c>
      <c r="C205" s="40" t="str">
        <f>VLOOKUP(B205,Sheet3!$B$2:$E$312,2,FALSE)</f>
        <v>B001-057</v>
      </c>
      <c r="D205" s="40" t="str">
        <f>VLOOKUP(B205,Sheet3!$B$2:$E$312,3,)</f>
        <v>bahan baku</v>
      </c>
      <c r="E205" s="40" t="str">
        <f>VLOOKUP(B205,Sheet3!$B$2:$E$312,4,)</f>
        <v>GR</v>
      </c>
      <c r="F205" s="41">
        <v>86.0</v>
      </c>
      <c r="G205" s="41" t="s">
        <v>1164</v>
      </c>
      <c r="H205" s="41" t="s">
        <v>1523</v>
      </c>
      <c r="I205" s="36" t="s">
        <v>1165</v>
      </c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89"/>
      <c r="B206" s="54" t="s">
        <v>211</v>
      </c>
      <c r="C206" s="55" t="str">
        <f>VLOOKUP(B206,Sheet3!$B$2:$E$312,2,FALSE)</f>
        <v>B001-088</v>
      </c>
      <c r="D206" s="55" t="str">
        <f>VLOOKUP(B206,Sheet3!$B$2:$E$312,3,)</f>
        <v>bahan baku</v>
      </c>
      <c r="E206" s="55" t="str">
        <f>VLOOKUP(B206,Sheet3!$B$2:$E$312,4,)</f>
        <v>GR</v>
      </c>
      <c r="F206" s="56">
        <v>2390.0</v>
      </c>
      <c r="G206" s="56" t="s">
        <v>1543</v>
      </c>
      <c r="H206" s="56" t="s">
        <v>1523</v>
      </c>
      <c r="I206" s="85" t="s">
        <v>1165</v>
      </c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ht="15.75" customHeight="1">
      <c r="A207" s="87"/>
      <c r="B207" s="39" t="s">
        <v>33</v>
      </c>
      <c r="C207" s="40" t="str">
        <f>VLOOKUP(B207,Sheet3!$B$2:$E$312,2,FALSE)</f>
        <v>B001-008</v>
      </c>
      <c r="D207" s="40" t="str">
        <f>VLOOKUP(B207,Sheet3!$B$2:$E$312,3,)</f>
        <v>bahan baku</v>
      </c>
      <c r="E207" s="40" t="str">
        <f>VLOOKUP(B207,Sheet3!$B$2:$E$312,4,)</f>
        <v>GR</v>
      </c>
      <c r="F207" s="41">
        <v>2266.0</v>
      </c>
      <c r="G207" s="41" t="s">
        <v>1681</v>
      </c>
      <c r="H207" s="41" t="s">
        <v>1225</v>
      </c>
      <c r="I207" s="36" t="s">
        <v>1165</v>
      </c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87"/>
      <c r="B208" s="39" t="s">
        <v>129</v>
      </c>
      <c r="C208" s="40" t="str">
        <f>VLOOKUP(B208,Sheet3!$B$2:$E$312,2,FALSE)</f>
        <v>B001-056</v>
      </c>
      <c r="D208" s="40" t="str">
        <f>VLOOKUP(B208,Sheet3!$B$2:$E$312,3,)</f>
        <v>bahan baku</v>
      </c>
      <c r="E208" s="40" t="str">
        <f>VLOOKUP(B208,Sheet3!$B$2:$E$312,4,)</f>
        <v>ML</v>
      </c>
      <c r="F208" s="41">
        <v>22.0</v>
      </c>
      <c r="G208" s="41" t="s">
        <v>1681</v>
      </c>
      <c r="H208" s="41" t="s">
        <v>1225</v>
      </c>
      <c r="I208" s="95" t="s">
        <v>1683</v>
      </c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87"/>
      <c r="B209" s="39" t="s">
        <v>653</v>
      </c>
      <c r="C209" s="40" t="str">
        <f>VLOOKUP(B209,Sheet3!$B$2:$E$312,2,FALSE)</f>
        <v>P004-022</v>
      </c>
      <c r="D209" s="40" t="str">
        <f>VLOOKUP(B209,Sheet3!$B$2:$E$312,3,)</f>
        <v>barang jadi &amp; bahan baku</v>
      </c>
      <c r="E209" s="40" t="str">
        <f>VLOOKUP(B209,Sheet3!$B$2:$E$312,4,)</f>
        <v>CC</v>
      </c>
      <c r="F209" s="41">
        <v>321.0</v>
      </c>
      <c r="G209" s="41" t="s">
        <v>1216</v>
      </c>
      <c r="H209" s="41" t="s">
        <v>1512</v>
      </c>
      <c r="I209" s="36" t="s">
        <v>1165</v>
      </c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87"/>
      <c r="B210" s="39" t="s">
        <v>657</v>
      </c>
      <c r="C210" s="40" t="str">
        <f>VLOOKUP(B210,Sheet3!$B$2:$E$312,2,FALSE)</f>
        <v>P004-023</v>
      </c>
      <c r="D210" s="40" t="str">
        <f>VLOOKUP(B210,Sheet3!$B$2:$E$312,3,)</f>
        <v>barang jadi &amp; bahan baku</v>
      </c>
      <c r="E210" s="40" t="str">
        <f>VLOOKUP(B210,Sheet3!$B$2:$E$312,4,)</f>
        <v>CC</v>
      </c>
      <c r="F210" s="41">
        <v>259.0</v>
      </c>
      <c r="G210" s="41" t="s">
        <v>1216</v>
      </c>
      <c r="H210" s="41" t="s">
        <v>1512</v>
      </c>
      <c r="I210" s="36" t="s">
        <v>1165</v>
      </c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41" t="s">
        <v>1684</v>
      </c>
      <c r="B211" s="39" t="s">
        <v>33</v>
      </c>
      <c r="C211" s="40" t="str">
        <f>VLOOKUP(B211,Sheet3!$B$2:$E$312,2,FALSE)</f>
        <v>B001-008</v>
      </c>
      <c r="D211" s="40" t="str">
        <f>VLOOKUP(B211,Sheet3!$B$2:$E$312,3,)</f>
        <v>bahan baku</v>
      </c>
      <c r="E211" s="40" t="str">
        <f>VLOOKUP(B211,Sheet3!$B$2:$E$312,4,)</f>
        <v>GR</v>
      </c>
      <c r="F211" s="41">
        <v>2820.0</v>
      </c>
      <c r="G211" s="41" t="s">
        <v>1681</v>
      </c>
      <c r="H211" s="41" t="s">
        <v>1225</v>
      </c>
      <c r="I211" s="95" t="s">
        <v>1685</v>
      </c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87"/>
      <c r="B212" s="39" t="s">
        <v>129</v>
      </c>
      <c r="C212" s="40" t="str">
        <f>VLOOKUP(B212,Sheet3!$B$2:$E$312,2,FALSE)</f>
        <v>B001-056</v>
      </c>
      <c r="D212" s="40" t="str">
        <f>VLOOKUP(B212,Sheet3!$B$2:$E$312,3,)</f>
        <v>bahan baku</v>
      </c>
      <c r="E212" s="40" t="str">
        <f>VLOOKUP(B212,Sheet3!$B$2:$E$312,4,)</f>
        <v>ML</v>
      </c>
      <c r="F212" s="41">
        <v>28.0</v>
      </c>
      <c r="G212" s="41" t="s">
        <v>1681</v>
      </c>
      <c r="H212" s="41" t="s">
        <v>1225</v>
      </c>
      <c r="I212" s="36" t="s">
        <v>1165</v>
      </c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87"/>
      <c r="B213" s="39" t="s">
        <v>648</v>
      </c>
      <c r="C213" s="40" t="str">
        <f>VLOOKUP(B213,Sheet3!$B$2:$E$312,2,FALSE)</f>
        <v>P004-020</v>
      </c>
      <c r="D213" s="40" t="str">
        <f>VLOOKUP(B213,Sheet3!$B$2:$E$312,3,)</f>
        <v>barang jadi &amp; bahan baku</v>
      </c>
      <c r="E213" s="40" t="str">
        <f>VLOOKUP(B213,Sheet3!$B$2:$E$312,4,)</f>
        <v>GR</v>
      </c>
      <c r="F213" s="41">
        <v>364.0</v>
      </c>
      <c r="G213" s="41" t="s">
        <v>1686</v>
      </c>
      <c r="H213" s="41" t="s">
        <v>1567</v>
      </c>
      <c r="I213" s="36" t="s">
        <v>1165</v>
      </c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87"/>
      <c r="B214" s="39" t="s">
        <v>137</v>
      </c>
      <c r="C214" s="40" t="str">
        <f>VLOOKUP(B214,Sheet3!$B$2:$E$312,2,FALSE)</f>
        <v>B001-060</v>
      </c>
      <c r="D214" s="40" t="str">
        <f>VLOOKUP(B214,Sheet3!$B$2:$E$312,3,)</f>
        <v>bahan baku</v>
      </c>
      <c r="E214" s="40" t="str">
        <f>VLOOKUP(B214,Sheet3!$B$2:$E$312,4,)</f>
        <v>GR</v>
      </c>
      <c r="F214" s="41">
        <v>15.0</v>
      </c>
      <c r="G214" s="41" t="s">
        <v>1543</v>
      </c>
      <c r="H214" s="41" t="s">
        <v>1305</v>
      </c>
      <c r="I214" s="36" t="s">
        <v>1165</v>
      </c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89"/>
      <c r="B215" s="54" t="s">
        <v>211</v>
      </c>
      <c r="C215" s="55" t="str">
        <f>VLOOKUP(B215,Sheet3!$B$2:$E$312,2,FALSE)</f>
        <v>B001-088</v>
      </c>
      <c r="D215" s="55" t="str">
        <f>VLOOKUP(B215,Sheet3!$B$2:$E$312,3,)</f>
        <v>bahan baku</v>
      </c>
      <c r="E215" s="55" t="s">
        <v>1374</v>
      </c>
      <c r="F215" s="56">
        <v>1135.0</v>
      </c>
      <c r="G215" s="56" t="s">
        <v>1543</v>
      </c>
      <c r="H215" s="56" t="s">
        <v>1441</v>
      </c>
      <c r="I215" s="85" t="s">
        <v>1165</v>
      </c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ht="15.75" customHeight="1">
      <c r="A216" s="87"/>
      <c r="B216" s="39" t="s">
        <v>298</v>
      </c>
      <c r="C216" s="40" t="str">
        <f>VLOOKUP(B216,Sheet3!$B$2:$E$312,2,FALSE)</f>
        <v>B001-125</v>
      </c>
      <c r="D216" s="40" t="str">
        <f>VLOOKUP(B216,Sheet3!$B$2:$E$312,3,)</f>
        <v>bahan baku</v>
      </c>
      <c r="E216" s="40" t="str">
        <f>VLOOKUP(B216,Sheet3!$B$2:$E$312,4,)</f>
        <v>GR</v>
      </c>
      <c r="F216" s="41">
        <v>51.0</v>
      </c>
      <c r="G216" s="41" t="s">
        <v>1543</v>
      </c>
      <c r="H216" s="41" t="s">
        <v>1305</v>
      </c>
      <c r="I216" s="36" t="s">
        <v>1165</v>
      </c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87"/>
      <c r="B217" s="39" t="s">
        <v>148</v>
      </c>
      <c r="C217" s="40" t="str">
        <f>VLOOKUP(B217,Sheet3!$B$2:$E$312,2,FALSE)</f>
        <v>B001-064</v>
      </c>
      <c r="D217" s="40" t="str">
        <f>VLOOKUP(B217,Sheet3!$B$2:$E$312,3,)</f>
        <v>bahan baku</v>
      </c>
      <c r="E217" s="40" t="str">
        <f>VLOOKUP(B217,Sheet3!$B$2:$E$312,4,)</f>
        <v>GR</v>
      </c>
      <c r="F217" s="41">
        <v>129.0</v>
      </c>
      <c r="G217" s="41" t="s">
        <v>1224</v>
      </c>
      <c r="H217" s="41" t="s">
        <v>1305</v>
      </c>
      <c r="I217" s="36" t="s">
        <v>1165</v>
      </c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87"/>
      <c r="B218" s="39" t="s">
        <v>28</v>
      </c>
      <c r="C218" s="40" t="str">
        <f>VLOOKUP(B218,Sheet3!$B$2:$E$312,2,FALSE)</f>
        <v>B001-006</v>
      </c>
      <c r="D218" s="40" t="str">
        <f>VLOOKUP(B218,Sheet3!$B$2:$E$312,3,)</f>
        <v>bahan baku</v>
      </c>
      <c r="E218" s="40" t="str">
        <f>VLOOKUP(B218,Sheet3!$B$2:$E$312,4,)</f>
        <v>GR</v>
      </c>
      <c r="F218" s="41">
        <v>22.0</v>
      </c>
      <c r="G218" s="41" t="s">
        <v>1543</v>
      </c>
      <c r="H218" s="41" t="s">
        <v>1305</v>
      </c>
      <c r="I218" s="36" t="s">
        <v>1165</v>
      </c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87"/>
      <c r="B219" s="39" t="s">
        <v>805</v>
      </c>
      <c r="C219" s="40" t="str">
        <f>VLOOKUP(B219,Sheet3!$B$2:$E$312,2,FALSE)</f>
        <v>#N/A</v>
      </c>
      <c r="D219" s="40" t="str">
        <f>VLOOKUP(B219,Sheet3!$B$2:$E$312,3,)</f>
        <v>#N/A</v>
      </c>
      <c r="E219" s="40" t="str">
        <f>VLOOKUP(B219,Sheet3!$B$2:$E$312,4,)</f>
        <v>#N/A</v>
      </c>
      <c r="F219" s="41">
        <v>3940.0</v>
      </c>
      <c r="G219" s="41" t="s">
        <v>1216</v>
      </c>
      <c r="H219" s="41" t="s">
        <v>1384</v>
      </c>
      <c r="I219" s="36" t="s">
        <v>1165</v>
      </c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87"/>
      <c r="B220" s="39" t="s">
        <v>657</v>
      </c>
      <c r="C220" s="40" t="str">
        <f>VLOOKUP(B220,Sheet3!$B$2:$E$312,2,FALSE)</f>
        <v>P004-023</v>
      </c>
      <c r="D220" s="40" t="str">
        <f>VLOOKUP(B220,Sheet3!$B$2:$E$312,3,)</f>
        <v>barang jadi &amp; bahan baku</v>
      </c>
      <c r="E220" s="40" t="str">
        <f>VLOOKUP(B220,Sheet3!$B$2:$E$312,4,)</f>
        <v>CC</v>
      </c>
      <c r="F220" s="41">
        <v>2308.0</v>
      </c>
      <c r="G220" s="41" t="s">
        <v>1216</v>
      </c>
      <c r="H220" s="41" t="s">
        <v>1384</v>
      </c>
      <c r="I220" s="36" t="s">
        <v>1165</v>
      </c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>
      <c r="A221" s="87"/>
      <c r="B221" s="39" t="s">
        <v>653</v>
      </c>
      <c r="C221" s="40" t="str">
        <f>VLOOKUP(B221,Sheet3!$B$2:$E$312,2,FALSE)</f>
        <v>P004-022</v>
      </c>
      <c r="D221" s="40" t="str">
        <f>VLOOKUP(B221,Sheet3!$B$2:$E$312,3,)</f>
        <v>barang jadi &amp; bahan baku</v>
      </c>
      <c r="E221" s="40" t="str">
        <f>VLOOKUP(B221,Sheet3!$B$2:$E$312,4,)</f>
        <v>CC</v>
      </c>
      <c r="F221" s="41">
        <v>1361.0</v>
      </c>
      <c r="G221" s="41" t="s">
        <v>1216</v>
      </c>
      <c r="H221" s="41" t="s">
        <v>1384</v>
      </c>
      <c r="I221" s="36" t="s">
        <v>1165</v>
      </c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5.75" customHeight="1">
      <c r="A222" s="87"/>
      <c r="B222" s="39" t="s">
        <v>664</v>
      </c>
      <c r="C222" s="40" t="str">
        <f>VLOOKUP(B222,Sheet3!$B$2:$E$312,2,FALSE)</f>
        <v>P004-025</v>
      </c>
      <c r="D222" s="40" t="str">
        <f>VLOOKUP(B222,Sheet3!$B$2:$E$312,3,)</f>
        <v>barang jadi &amp; bahan baku</v>
      </c>
      <c r="E222" s="40" t="str">
        <f>VLOOKUP(B222,Sheet3!$B$2:$E$312,4,)</f>
        <v>ML</v>
      </c>
      <c r="F222" s="41">
        <v>3171.0</v>
      </c>
      <c r="G222" s="41" t="s">
        <v>1216</v>
      </c>
      <c r="H222" s="41" t="s">
        <v>1384</v>
      </c>
      <c r="I222" s="36" t="s">
        <v>1165</v>
      </c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5.75" customHeight="1">
      <c r="A223" s="87"/>
      <c r="B223" s="39" t="s">
        <v>111</v>
      </c>
      <c r="C223" s="40" t="str">
        <f>VLOOKUP(B223,Sheet3!$B$2:$E$312,2,FALSE)</f>
        <v>B001-047</v>
      </c>
      <c r="D223" s="40" t="str">
        <f>VLOOKUP(B223,Sheet3!$B$2:$E$312,3,)</f>
        <v>bahan baku</v>
      </c>
      <c r="E223" s="40" t="str">
        <f>VLOOKUP(B223,Sheet3!$B$2:$E$312,4,)</f>
        <v>GR</v>
      </c>
      <c r="F223" s="41">
        <v>33.0</v>
      </c>
      <c r="G223" s="41" t="s">
        <v>1216</v>
      </c>
      <c r="H223" s="41" t="s">
        <v>1384</v>
      </c>
      <c r="I223" s="36" t="s">
        <v>1165</v>
      </c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5.75" customHeight="1">
      <c r="A224" s="87"/>
      <c r="B224" s="39" t="s">
        <v>120</v>
      </c>
      <c r="C224" s="40" t="str">
        <f>VLOOKUP(B224,Sheet3!$B$2:$E$312,2,FALSE)</f>
        <v>B001-050</v>
      </c>
      <c r="D224" s="40" t="str">
        <f>VLOOKUP(B224,Sheet3!$B$2:$E$312,3,)</f>
        <v>bahan baku</v>
      </c>
      <c r="E224" s="40" t="str">
        <f>VLOOKUP(B224,Sheet3!$B$2:$E$312,4,)</f>
        <v>GR</v>
      </c>
      <c r="F224" s="41">
        <v>21.0</v>
      </c>
      <c r="G224" s="41" t="s">
        <v>1692</v>
      </c>
      <c r="H224" s="41" t="s">
        <v>1384</v>
      </c>
      <c r="I224" s="36" t="s">
        <v>1165</v>
      </c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5.75" customHeight="1">
      <c r="A225" s="87"/>
      <c r="B225" s="39" t="s">
        <v>645</v>
      </c>
      <c r="C225" s="40" t="str">
        <f>VLOOKUP(B225,Sheet3!$B$2:$E$312,2,FALSE)</f>
        <v>P004-019</v>
      </c>
      <c r="D225" s="40" t="str">
        <f>VLOOKUP(B225,Sheet3!$B$2:$E$312,3,)</f>
        <v>barang jadi &amp; bahan baku</v>
      </c>
      <c r="E225" s="40" t="str">
        <f>VLOOKUP(B225,Sheet3!$B$2:$E$312,4,)</f>
        <v>GR</v>
      </c>
      <c r="F225" s="41">
        <v>200.0</v>
      </c>
      <c r="G225" s="41" t="s">
        <v>1164</v>
      </c>
      <c r="H225" s="41" t="s">
        <v>1384</v>
      </c>
      <c r="I225" s="36" t="s">
        <v>1165</v>
      </c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5.75" customHeight="1">
      <c r="A226" s="89"/>
      <c r="B226" s="54" t="s">
        <v>720</v>
      </c>
      <c r="C226" s="55" t="str">
        <f>VLOOKUP(B226,Sheet3!$B$2:$E$312,2,FALSE)</f>
        <v>B002-005</v>
      </c>
      <c r="D226" s="55" t="str">
        <f>VLOOKUP(B226,Sheet3!$B$2:$E$312,3,)</f>
        <v>others</v>
      </c>
      <c r="E226" s="55" t="str">
        <f>VLOOKUP(B226,Sheet3!$B$2:$E$312,4,)</f>
        <v>PCS</v>
      </c>
      <c r="F226" s="56">
        <v>20.0</v>
      </c>
      <c r="G226" s="56" t="s">
        <v>1369</v>
      </c>
      <c r="H226" s="56" t="s">
        <v>1384</v>
      </c>
      <c r="I226" s="85" t="s">
        <v>1165</v>
      </c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ht="15.75" customHeight="1">
      <c r="A227" s="41" t="s">
        <v>1694</v>
      </c>
      <c r="B227" s="39" t="s">
        <v>1695</v>
      </c>
      <c r="C227" s="40" t="str">
        <f>VLOOKUP(B227,Sheet3!$B$2:$E$312,2,FALSE)</f>
        <v>#N/A</v>
      </c>
      <c r="D227" s="40" t="str">
        <f>VLOOKUP(B227,Sheet3!$B$2:$E$312,3,)</f>
        <v>#N/A</v>
      </c>
      <c r="E227" s="40" t="str">
        <f>VLOOKUP(B227,Sheet3!$B$2:$E$312,4,)</f>
        <v>#N/A</v>
      </c>
      <c r="F227" s="41">
        <v>100.0</v>
      </c>
      <c r="G227" s="41" t="s">
        <v>1164</v>
      </c>
      <c r="H227" s="41" t="s">
        <v>1305</v>
      </c>
      <c r="I227" s="36" t="s">
        <v>1165</v>
      </c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5.75" customHeight="1">
      <c r="A228" s="87"/>
      <c r="B228" s="39" t="s">
        <v>669</v>
      </c>
      <c r="C228" s="40" t="str">
        <f>VLOOKUP(B228,Sheet3!$B$2:$E$312,2,FALSE)</f>
        <v>P004-027</v>
      </c>
      <c r="D228" s="40" t="str">
        <f>VLOOKUP(B228,Sheet3!$B$2:$E$312,3,)</f>
        <v>barang jadi &amp; bahan baku</v>
      </c>
      <c r="E228" s="40" t="str">
        <f>VLOOKUP(B228,Sheet3!$B$2:$E$312,4,)</f>
        <v>PCS</v>
      </c>
      <c r="F228" s="41">
        <v>506.0</v>
      </c>
      <c r="G228" s="41" t="s">
        <v>1462</v>
      </c>
      <c r="H228" s="41" t="s">
        <v>1305</v>
      </c>
      <c r="I228" s="36" t="s">
        <v>1165</v>
      </c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5.75" customHeight="1">
      <c r="A229" s="87"/>
      <c r="B229" s="39" t="s">
        <v>86</v>
      </c>
      <c r="C229" s="40" t="str">
        <f>VLOOKUP(B229,Sheet3!$B$2:$E$312,2,FALSE)</f>
        <v>B001-036</v>
      </c>
      <c r="D229" s="40" t="str">
        <f>VLOOKUP(B229,Sheet3!$B$2:$E$312,3,)</f>
        <v>bahan baku</v>
      </c>
      <c r="E229" s="40" t="str">
        <f>VLOOKUP(B229,Sheet3!$B$2:$E$312,4,)</f>
        <v>GR</v>
      </c>
      <c r="F229" s="41">
        <v>142.0</v>
      </c>
      <c r="G229" s="41" t="s">
        <v>1696</v>
      </c>
      <c r="H229" s="41" t="s">
        <v>1539</v>
      </c>
      <c r="I229" s="36" t="s">
        <v>1165</v>
      </c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5.75" customHeight="1">
      <c r="A230" s="89"/>
      <c r="B230" s="54" t="s">
        <v>36</v>
      </c>
      <c r="C230" s="55" t="str">
        <f>VLOOKUP(B230,Sheet3!$B$2:$E$312,2,FALSE)</f>
        <v>B001-009</v>
      </c>
      <c r="D230" s="55" t="str">
        <f>VLOOKUP(B230,Sheet3!$B$2:$E$312,3,)</f>
        <v>bahan baku</v>
      </c>
      <c r="E230" s="55" t="str">
        <f>VLOOKUP(B230,Sheet3!$B$2:$E$312,4,)</f>
        <v>GR</v>
      </c>
      <c r="F230" s="56">
        <v>44.0</v>
      </c>
      <c r="G230" s="56" t="s">
        <v>1609</v>
      </c>
      <c r="H230" s="56" t="s">
        <v>1539</v>
      </c>
      <c r="I230" s="85" t="s">
        <v>1165</v>
      </c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ht="15.75" customHeight="1">
      <c r="A231" s="87"/>
      <c r="B231" s="39" t="s">
        <v>698</v>
      </c>
      <c r="C231" s="40" t="str">
        <f>VLOOKUP(B231,Sheet3!$B$2:$E$312,2,FALSE)</f>
        <v>P004-038</v>
      </c>
      <c r="D231" s="40" t="str">
        <f>VLOOKUP(B231,Sheet3!$B$2:$E$312,3,)</f>
        <v>barang jadi &amp; bahan baku</v>
      </c>
      <c r="E231" s="40" t="str">
        <f>VLOOKUP(B231,Sheet3!$B$2:$E$312,4,)</f>
        <v>PCS</v>
      </c>
      <c r="F231" s="41">
        <v>1.0</v>
      </c>
      <c r="G231" s="41" t="s">
        <v>1698</v>
      </c>
      <c r="H231" s="41" t="s">
        <v>1305</v>
      </c>
      <c r="I231" s="36" t="s">
        <v>1165</v>
      </c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5.75" customHeight="1">
      <c r="A232" s="87"/>
      <c r="B232" s="39" t="s">
        <v>76</v>
      </c>
      <c r="C232" s="40" t="str">
        <f>VLOOKUP(B232,Sheet3!$B$2:$E$312,2,FALSE)</f>
        <v>B001-032</v>
      </c>
      <c r="D232" s="40" t="str">
        <f>VLOOKUP(B232,Sheet3!$B$2:$E$312,3,)</f>
        <v>bahan baku</v>
      </c>
      <c r="E232" s="40" t="str">
        <f>VLOOKUP(B232,Sheet3!$B$2:$E$312,4,)</f>
        <v>ML</v>
      </c>
      <c r="F232" s="41">
        <v>225.0</v>
      </c>
      <c r="G232" s="41" t="s">
        <v>1164</v>
      </c>
      <c r="H232" s="41" t="s">
        <v>1514</v>
      </c>
      <c r="I232" s="36" t="s">
        <v>1165</v>
      </c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5.75" customHeight="1">
      <c r="A233" s="89"/>
      <c r="B233" s="54" t="s">
        <v>720</v>
      </c>
      <c r="C233" s="55" t="str">
        <f>VLOOKUP(B233,Sheet3!$B$2:$E$312,2,FALSE)</f>
        <v>B002-005</v>
      </c>
      <c r="D233" s="55" t="str">
        <f>VLOOKUP(B233,Sheet3!$B$2:$E$312,3,)</f>
        <v>others</v>
      </c>
      <c r="E233" s="55" t="str">
        <f>VLOOKUP(B233,Sheet3!$B$2:$E$312,4,)</f>
        <v>PCS</v>
      </c>
      <c r="F233" s="56">
        <v>7.0</v>
      </c>
      <c r="G233" s="56" t="s">
        <v>1532</v>
      </c>
      <c r="H233" s="56" t="s">
        <v>1514</v>
      </c>
      <c r="I233" s="85" t="s">
        <v>1165</v>
      </c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ht="15.75" customHeight="1">
      <c r="A234" s="89"/>
      <c r="B234" s="54" t="s">
        <v>1701</v>
      </c>
      <c r="C234" s="55" t="str">
        <f>VLOOKUP(B234,Sheet3!$B$2:$E$312,2,FALSE)</f>
        <v>B001-088</v>
      </c>
      <c r="D234" s="55" t="str">
        <f>VLOOKUP(B234,Sheet3!$B$2:$E$312,3,)</f>
        <v>bahan baku</v>
      </c>
      <c r="E234" s="55" t="str">
        <f>VLOOKUP(B234,Sheet3!$B$2:$E$312,4,)</f>
        <v>GR</v>
      </c>
      <c r="F234" s="56">
        <v>3865.0</v>
      </c>
      <c r="G234" s="56" t="s">
        <v>1543</v>
      </c>
      <c r="H234" s="56" t="s">
        <v>1441</v>
      </c>
      <c r="I234" s="85" t="s">
        <v>1165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ht="15.75" customHeight="1">
      <c r="A235" s="87"/>
      <c r="B235" s="39" t="s">
        <v>653</v>
      </c>
      <c r="C235" s="40" t="str">
        <f>VLOOKUP(B235,Sheet3!$B$2:$E$312,2,FALSE)</f>
        <v>P004-022</v>
      </c>
      <c r="D235" s="40" t="str">
        <f>VLOOKUP(B235,Sheet3!$B$2:$E$312,3,)</f>
        <v>barang jadi &amp; bahan baku</v>
      </c>
      <c r="E235" s="40" t="str">
        <f>VLOOKUP(B235,Sheet3!$B$2:$E$312,4,)</f>
        <v>CC</v>
      </c>
      <c r="F235" s="41">
        <v>1493.0</v>
      </c>
      <c r="G235" s="41" t="s">
        <v>1164</v>
      </c>
      <c r="H235" s="41" t="s">
        <v>1514</v>
      </c>
      <c r="I235" s="36" t="s">
        <v>1165</v>
      </c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5.75" customHeight="1">
      <c r="A236" s="87"/>
      <c r="B236" s="39" t="s">
        <v>657</v>
      </c>
      <c r="C236" s="40" t="str">
        <f>VLOOKUP(B236,Sheet3!$B$2:$E$312,2,FALSE)</f>
        <v>P004-023</v>
      </c>
      <c r="D236" s="40" t="str">
        <f>VLOOKUP(B236,Sheet3!$B$2:$E$312,3,)</f>
        <v>barang jadi &amp; bahan baku</v>
      </c>
      <c r="E236" s="40" t="str">
        <f>VLOOKUP(B236,Sheet3!$B$2:$E$312,4,)</f>
        <v>CC</v>
      </c>
      <c r="F236" s="41">
        <v>2460.0</v>
      </c>
      <c r="G236" s="41" t="s">
        <v>1164</v>
      </c>
      <c r="H236" s="41" t="s">
        <v>1514</v>
      </c>
      <c r="I236" s="36" t="s">
        <v>1165</v>
      </c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5.75" customHeight="1">
      <c r="A237" s="87"/>
      <c r="B237" s="39" t="s">
        <v>502</v>
      </c>
      <c r="C237" s="40" t="str">
        <f>VLOOKUP(B237,Sheet3!$B$2:$E$312,2,FALSE)</f>
        <v>S001-002</v>
      </c>
      <c r="D237" s="40" t="str">
        <f>VLOOKUP(B237,Sheet3!$B$2:$E$312,3,)</f>
        <v>barang jadi</v>
      </c>
      <c r="E237" s="40" t="str">
        <f>VLOOKUP(B237,Sheet3!$B$2:$E$312,4,)</f>
        <v>PORSI</v>
      </c>
      <c r="F237" s="41">
        <v>245.0</v>
      </c>
      <c r="G237" s="41" t="s">
        <v>1164</v>
      </c>
      <c r="H237" s="41" t="s">
        <v>1225</v>
      </c>
      <c r="I237" s="36" t="s">
        <v>1165</v>
      </c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5.75" customHeight="1">
      <c r="A238" s="87"/>
      <c r="B238" s="39" t="s">
        <v>33</v>
      </c>
      <c r="C238" s="40" t="str">
        <f>VLOOKUP(B238,Sheet3!$B$2:$E$312,2,FALSE)</f>
        <v>B001-008</v>
      </c>
      <c r="D238" s="40" t="str">
        <f>VLOOKUP(B238,Sheet3!$B$2:$E$312,3,)</f>
        <v>bahan baku</v>
      </c>
      <c r="E238" s="40" t="str">
        <f>VLOOKUP(B238,Sheet3!$B$2:$E$312,4,)</f>
        <v>GR</v>
      </c>
      <c r="F238" s="41">
        <v>1429.0</v>
      </c>
      <c r="G238" s="41" t="s">
        <v>1681</v>
      </c>
      <c r="H238" s="41" t="s">
        <v>1225</v>
      </c>
      <c r="I238" s="36" t="s">
        <v>1165</v>
      </c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5.75" customHeight="1">
      <c r="A239" s="40"/>
      <c r="B239" s="39" t="s">
        <v>129</v>
      </c>
      <c r="C239" s="40" t="str">
        <f>VLOOKUP(B239,Sheet3!$B$2:$E$312,2,FALSE)</f>
        <v>B001-056</v>
      </c>
      <c r="D239" s="40" t="str">
        <f>VLOOKUP(B239,Sheet3!$B$2:$E$312,3,)</f>
        <v>bahan baku</v>
      </c>
      <c r="E239" s="40" t="str">
        <f>VLOOKUP(B239,Sheet3!$B$2:$E$312,4,)</f>
        <v>ML</v>
      </c>
      <c r="F239" s="41">
        <v>14.0</v>
      </c>
      <c r="G239" s="41" t="s">
        <v>1681</v>
      </c>
      <c r="H239" s="41" t="s">
        <v>1225</v>
      </c>
      <c r="I239" s="36" t="s">
        <v>1165</v>
      </c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5.75" customHeight="1">
      <c r="A240" s="40"/>
      <c r="B240" s="39" t="s">
        <v>664</v>
      </c>
      <c r="C240" s="40" t="str">
        <f>VLOOKUP(B240,Sheet3!$B$2:$E$312,2,FALSE)</f>
        <v>P004-025</v>
      </c>
      <c r="D240" s="40" t="str">
        <f>VLOOKUP(B240,Sheet3!$B$2:$E$312,3,)</f>
        <v>barang jadi &amp; bahan baku</v>
      </c>
      <c r="E240" s="40" t="str">
        <f>VLOOKUP(B240,Sheet3!$B$2:$E$312,4,)</f>
        <v>ML</v>
      </c>
      <c r="F240" s="41">
        <v>2481.0</v>
      </c>
      <c r="G240" s="41" t="s">
        <v>1216</v>
      </c>
      <c r="H240" s="41" t="s">
        <v>1514</v>
      </c>
      <c r="I240" s="36" t="s">
        <v>1165</v>
      </c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5.75" customHeight="1">
      <c r="A241" s="40"/>
      <c r="B241" s="39" t="s">
        <v>805</v>
      </c>
      <c r="C241" s="40" t="str">
        <f>VLOOKUP(B241,Sheet3!$B$2:$E$312,2,FALSE)</f>
        <v>#N/A</v>
      </c>
      <c r="D241" s="40" t="str">
        <f>VLOOKUP(B241,Sheet3!$B$2:$E$312,3,)</f>
        <v>#N/A</v>
      </c>
      <c r="E241" s="40" t="str">
        <f>VLOOKUP(B241,Sheet3!$B$2:$E$312,4,)</f>
        <v>#N/A</v>
      </c>
      <c r="F241" s="41">
        <v>1920.0</v>
      </c>
      <c r="G241" s="41" t="s">
        <v>1216</v>
      </c>
      <c r="H241" s="41" t="s">
        <v>1514</v>
      </c>
      <c r="I241" s="36" t="s">
        <v>1706</v>
      </c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5.75" customHeight="1">
      <c r="A242" s="40"/>
      <c r="B242" s="39" t="s">
        <v>28</v>
      </c>
      <c r="C242" s="40" t="str">
        <f>VLOOKUP(B242,Sheet3!$B$2:$E$312,2,FALSE)</f>
        <v>B001-006</v>
      </c>
      <c r="D242" s="40" t="str">
        <f>VLOOKUP(B242,Sheet3!$B$2:$E$312,3,)</f>
        <v>bahan baku</v>
      </c>
      <c r="E242" s="40" t="str">
        <f>VLOOKUP(B242,Sheet3!$B$2:$E$312,4,)</f>
        <v>GR</v>
      </c>
      <c r="F242" s="41">
        <v>27.0</v>
      </c>
      <c r="G242" s="41" t="s">
        <v>1543</v>
      </c>
      <c r="H242" s="41" t="s">
        <v>1305</v>
      </c>
      <c r="I242" s="36" t="s">
        <v>1165</v>
      </c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5.75" customHeight="1">
      <c r="A243" s="40"/>
      <c r="B243" s="39" t="s">
        <v>148</v>
      </c>
      <c r="C243" s="40" t="str">
        <f>VLOOKUP(B243,Sheet3!$B$2:$E$312,2,FALSE)</f>
        <v>B001-064</v>
      </c>
      <c r="D243" s="40" t="str">
        <f>VLOOKUP(B243,Sheet3!$B$2:$E$312,3,)</f>
        <v>bahan baku</v>
      </c>
      <c r="E243" s="40" t="str">
        <f>VLOOKUP(B243,Sheet3!$B$2:$E$312,4,)</f>
        <v>GR</v>
      </c>
      <c r="F243" s="41">
        <v>207.0</v>
      </c>
      <c r="G243" s="41" t="s">
        <v>1224</v>
      </c>
      <c r="H243" s="41" t="s">
        <v>1305</v>
      </c>
      <c r="I243" s="36" t="s">
        <v>1165</v>
      </c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5.75" customHeight="1">
      <c r="A244" s="41" t="s">
        <v>1708</v>
      </c>
      <c r="B244" s="39" t="s">
        <v>132</v>
      </c>
      <c r="C244" s="40" t="str">
        <f>VLOOKUP(B244,Sheet3!$B$2:$E$312,2,FALSE)</f>
        <v>B001-057</v>
      </c>
      <c r="D244" s="40" t="str">
        <f>VLOOKUP(B244,Sheet3!$B$2:$E$312,3,)</f>
        <v>bahan baku</v>
      </c>
      <c r="E244" s="40" t="str">
        <f>VLOOKUP(B244,Sheet3!$B$2:$E$312,4,)</f>
        <v>GR</v>
      </c>
      <c r="F244" s="41">
        <v>939.0</v>
      </c>
      <c r="G244" s="41" t="s">
        <v>1164</v>
      </c>
      <c r="H244" s="41" t="s">
        <v>1305</v>
      </c>
      <c r="I244" s="36" t="s">
        <v>1165</v>
      </c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5.75" customHeight="1">
      <c r="A245" s="40"/>
      <c r="B245" s="39" t="s">
        <v>148</v>
      </c>
      <c r="C245" s="40" t="str">
        <f>VLOOKUP(B245,Sheet3!$B$2:$E$312,2,FALSE)</f>
        <v>B001-064</v>
      </c>
      <c r="D245" s="40" t="str">
        <f>VLOOKUP(B245,Sheet3!$B$2:$E$312,3,)</f>
        <v>bahan baku</v>
      </c>
      <c r="E245" s="40" t="str">
        <f>VLOOKUP(B245,Sheet3!$B$2:$E$312,4,)</f>
        <v>GR</v>
      </c>
      <c r="F245" s="41">
        <v>17.0</v>
      </c>
      <c r="G245" s="41" t="s">
        <v>1543</v>
      </c>
      <c r="H245" s="41" t="s">
        <v>1305</v>
      </c>
      <c r="I245" s="36" t="s">
        <v>1165</v>
      </c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5.75" customHeight="1">
      <c r="A246" s="40"/>
      <c r="B246" s="39" t="s">
        <v>298</v>
      </c>
      <c r="C246" s="40" t="str">
        <f>VLOOKUP(B246,Sheet3!$B$2:$E$312,2,FALSE)</f>
        <v>B001-125</v>
      </c>
      <c r="D246" s="40" t="str">
        <f>VLOOKUP(B246,Sheet3!$B$2:$E$312,3,)</f>
        <v>bahan baku</v>
      </c>
      <c r="E246" s="40" t="str">
        <f>VLOOKUP(B246,Sheet3!$B$2:$E$312,4,)</f>
        <v>GR</v>
      </c>
      <c r="F246" s="41">
        <v>35.0</v>
      </c>
      <c r="G246" s="41" t="s">
        <v>1164</v>
      </c>
      <c r="H246" s="41" t="s">
        <v>1305</v>
      </c>
      <c r="I246" s="36" t="s">
        <v>1165</v>
      </c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5.75" customHeight="1">
      <c r="A247" s="40"/>
      <c r="B247" s="39" t="s">
        <v>139</v>
      </c>
      <c r="C247" s="40" t="str">
        <f>VLOOKUP(B247,Sheet3!$B$2:$E$312,2,FALSE)</f>
        <v>B001-061</v>
      </c>
      <c r="D247" s="40" t="str">
        <f>VLOOKUP(B247,Sheet3!$B$2:$E$312,3,)</f>
        <v>bahan baku</v>
      </c>
      <c r="E247" s="40" t="str">
        <f>VLOOKUP(B247,Sheet3!$B$2:$E$312,4,)</f>
        <v>GR</v>
      </c>
      <c r="F247" s="41">
        <v>16.0</v>
      </c>
      <c r="G247" s="41" t="s">
        <v>1164</v>
      </c>
      <c r="H247" s="41" t="s">
        <v>1305</v>
      </c>
      <c r="I247" s="36" t="s">
        <v>1165</v>
      </c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5.75" customHeight="1">
      <c r="A248" s="40"/>
      <c r="B248" s="39" t="s">
        <v>640</v>
      </c>
      <c r="C248" s="40" t="str">
        <f>VLOOKUP(B248,Sheet3!$B$2:$E$312,2,FALSE)</f>
        <v>P004-016</v>
      </c>
      <c r="D248" s="40" t="str">
        <f>VLOOKUP(B248,Sheet3!$B$2:$E$312,3,)</f>
        <v>barang jadi &amp; bahan baku</v>
      </c>
      <c r="E248" s="40" t="str">
        <f>VLOOKUP(B248,Sheet3!$B$2:$E$312,4,)</f>
        <v>GR</v>
      </c>
      <c r="F248" s="41">
        <v>157.0</v>
      </c>
      <c r="G248" s="41" t="s">
        <v>1164</v>
      </c>
      <c r="H248" s="41" t="s">
        <v>1305</v>
      </c>
      <c r="I248" s="36" t="s">
        <v>1165</v>
      </c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5.75" customHeight="1">
      <c r="A249" s="40"/>
      <c r="B249" s="39" t="s">
        <v>28</v>
      </c>
      <c r="C249" s="40" t="str">
        <f>VLOOKUP(B249,Sheet3!$B$2:$E$312,2,FALSE)</f>
        <v>B001-006</v>
      </c>
      <c r="D249" s="40" t="str">
        <f>VLOOKUP(B249,Sheet3!$B$2:$E$312,3,)</f>
        <v>bahan baku</v>
      </c>
      <c r="E249" s="40" t="str">
        <f>VLOOKUP(B249,Sheet3!$B$2:$E$312,4,)</f>
        <v>GR</v>
      </c>
      <c r="F249" s="41">
        <v>40.0</v>
      </c>
      <c r="G249" s="41" t="s">
        <v>1543</v>
      </c>
      <c r="H249" s="41" t="s">
        <v>1305</v>
      </c>
      <c r="I249" s="36" t="s">
        <v>1165</v>
      </c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5.75" customHeight="1">
      <c r="A250" s="55"/>
      <c r="B250" s="54" t="s">
        <v>211</v>
      </c>
      <c r="C250" s="55" t="str">
        <f>VLOOKUP(B250,Sheet3!$B$2:$E$312,2,FALSE)</f>
        <v>B001-088</v>
      </c>
      <c r="D250" s="55" t="str">
        <f>VLOOKUP(B250,Sheet3!$B$2:$E$312,3,)</f>
        <v>bahan baku</v>
      </c>
      <c r="E250" s="55" t="str">
        <f>VLOOKUP(B250,Sheet3!$B$2:$E$312,4,)</f>
        <v>GR</v>
      </c>
      <c r="F250" s="56">
        <v>2825.0</v>
      </c>
      <c r="G250" s="56" t="s">
        <v>1543</v>
      </c>
      <c r="H250" s="56" t="s">
        <v>1441</v>
      </c>
      <c r="I250" s="85" t="s">
        <v>1165</v>
      </c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ht="15.75" customHeight="1">
      <c r="A251" s="40"/>
      <c r="B251" s="39" t="s">
        <v>33</v>
      </c>
      <c r="C251" s="40" t="str">
        <f>VLOOKUP(B251,Sheet3!$B$2:$E$312,2,FALSE)</f>
        <v>B001-008</v>
      </c>
      <c r="D251" s="40" t="str">
        <f>VLOOKUP(B251,Sheet3!$B$2:$E$312,3,)</f>
        <v>bahan baku</v>
      </c>
      <c r="E251" s="40" t="str">
        <f>VLOOKUP(B251,Sheet3!$B$2:$E$312,4,)</f>
        <v>GR</v>
      </c>
      <c r="F251" s="41">
        <v>609.0</v>
      </c>
      <c r="G251" s="41" t="s">
        <v>1681</v>
      </c>
      <c r="H251" s="41" t="s">
        <v>1225</v>
      </c>
      <c r="I251" s="36" t="s">
        <v>1165</v>
      </c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5.75" customHeight="1">
      <c r="A252" s="40"/>
      <c r="B252" s="39" t="s">
        <v>129</v>
      </c>
      <c r="C252" s="40" t="str">
        <f>VLOOKUP(B252,Sheet3!$B$2:$E$312,2,FALSE)</f>
        <v>B001-056</v>
      </c>
      <c r="D252" s="40" t="str">
        <f>VLOOKUP(B252,Sheet3!$B$2:$E$312,3,)</f>
        <v>bahan baku</v>
      </c>
      <c r="E252" s="40" t="str">
        <f>VLOOKUP(B252,Sheet3!$B$2:$E$312,4,)</f>
        <v>ML</v>
      </c>
      <c r="F252" s="41">
        <v>6.0</v>
      </c>
      <c r="G252" s="41" t="s">
        <v>1681</v>
      </c>
      <c r="H252" s="41" t="s">
        <v>1225</v>
      </c>
      <c r="I252" s="36" t="s">
        <v>1165</v>
      </c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5.75" customHeight="1">
      <c r="A253" s="40"/>
      <c r="B253" s="39" t="s">
        <v>805</v>
      </c>
      <c r="C253" s="40" t="str">
        <f>VLOOKUP(B253,Sheet3!$B$2:$E$312,2,FALSE)</f>
        <v>#N/A</v>
      </c>
      <c r="D253" s="40" t="str">
        <f>VLOOKUP(B253,Sheet3!$B$2:$E$312,3,)</f>
        <v>#N/A</v>
      </c>
      <c r="E253" s="40" t="str">
        <f>VLOOKUP(B253,Sheet3!$B$2:$E$312,4,)</f>
        <v>#N/A</v>
      </c>
      <c r="F253" s="41">
        <v>1118.0</v>
      </c>
      <c r="G253" s="41" t="s">
        <v>1164</v>
      </c>
      <c r="H253" s="41" t="s">
        <v>1567</v>
      </c>
      <c r="I253" s="36" t="s">
        <v>1165</v>
      </c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5.75" customHeight="1">
      <c r="A254" s="40"/>
      <c r="B254" s="39" t="s">
        <v>664</v>
      </c>
      <c r="C254" s="40" t="str">
        <f>VLOOKUP(B254,Sheet3!$B$2:$E$312,2,FALSE)</f>
        <v>P004-025</v>
      </c>
      <c r="D254" s="40" t="str">
        <f>VLOOKUP(B254,Sheet3!$B$2:$E$312,3,)</f>
        <v>barang jadi &amp; bahan baku</v>
      </c>
      <c r="E254" s="40" t="str">
        <f>VLOOKUP(B254,Sheet3!$B$2:$E$312,4,)</f>
        <v>ML</v>
      </c>
      <c r="F254" s="41">
        <v>889.0</v>
      </c>
      <c r="G254" s="41" t="s">
        <v>1164</v>
      </c>
      <c r="H254" s="41" t="s">
        <v>1567</v>
      </c>
      <c r="I254" s="36" t="s">
        <v>1165</v>
      </c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5.75" customHeight="1">
      <c r="A255" s="40"/>
      <c r="B255" s="39" t="s">
        <v>653</v>
      </c>
      <c r="C255" s="40" t="str">
        <f>VLOOKUP(B255,Sheet3!$B$2:$E$312,2,FALSE)</f>
        <v>P004-022</v>
      </c>
      <c r="D255" s="40" t="str">
        <f>VLOOKUP(B255,Sheet3!$B$2:$E$312,3,)</f>
        <v>barang jadi &amp; bahan baku</v>
      </c>
      <c r="E255" s="40" t="str">
        <f>VLOOKUP(B255,Sheet3!$B$2:$E$312,4,)</f>
        <v>CC</v>
      </c>
      <c r="F255" s="41">
        <v>841.0</v>
      </c>
      <c r="G255" s="41" t="s">
        <v>1164</v>
      </c>
      <c r="H255" s="41" t="s">
        <v>1567</v>
      </c>
      <c r="I255" s="36" t="s">
        <v>1165</v>
      </c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5.75" customHeight="1">
      <c r="A256" s="40"/>
      <c r="B256" s="39" t="s">
        <v>657</v>
      </c>
      <c r="C256" s="40" t="str">
        <f>VLOOKUP(B256,Sheet3!$B$2:$E$312,2,FALSE)</f>
        <v>P004-023</v>
      </c>
      <c r="D256" s="40" t="str">
        <f>VLOOKUP(B256,Sheet3!$B$2:$E$312,3,)</f>
        <v>barang jadi &amp; bahan baku</v>
      </c>
      <c r="E256" s="40" t="str">
        <f>VLOOKUP(B256,Sheet3!$B$2:$E$312,4,)</f>
        <v>CC</v>
      </c>
      <c r="F256" s="41">
        <v>793.0</v>
      </c>
      <c r="G256" s="41" t="s">
        <v>1164</v>
      </c>
      <c r="H256" s="41" t="s">
        <v>1567</v>
      </c>
      <c r="I256" s="36" t="s">
        <v>1165</v>
      </c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5.75" customHeight="1">
      <c r="A257" s="56" t="s">
        <v>1720</v>
      </c>
      <c r="B257" s="54" t="s">
        <v>36</v>
      </c>
      <c r="C257" s="55" t="str">
        <f>VLOOKUP(B257,Sheet3!$B$2:$E$312,2,FALSE)</f>
        <v>B001-009</v>
      </c>
      <c r="D257" s="55" t="str">
        <f>VLOOKUP(B257,Sheet3!$B$2:$E$312,3,)</f>
        <v>bahan baku</v>
      </c>
      <c r="E257" s="55" t="str">
        <f>VLOOKUP(B257,Sheet3!$B$2:$E$312,4,)</f>
        <v>GR</v>
      </c>
      <c r="F257" s="56">
        <v>54.0</v>
      </c>
      <c r="G257" s="56" t="s">
        <v>1721</v>
      </c>
      <c r="H257" s="56" t="s">
        <v>1512</v>
      </c>
      <c r="I257" s="85" t="s">
        <v>1165</v>
      </c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ht="15.75" customHeight="1">
      <c r="A258" s="40"/>
      <c r="B258" s="39" t="s">
        <v>86</v>
      </c>
      <c r="C258" s="40" t="str">
        <f>VLOOKUP(B258,Sheet3!$B$2:$E$312,2,FALSE)</f>
        <v>B001-036</v>
      </c>
      <c r="D258" s="40" t="str">
        <f>VLOOKUP(B258,Sheet3!$B$2:$E$312,3,)</f>
        <v>bahan baku</v>
      </c>
      <c r="E258" s="40" t="str">
        <f>VLOOKUP(B258,Sheet3!$B$2:$E$312,4,)</f>
        <v>GR</v>
      </c>
      <c r="F258" s="41">
        <v>8.0</v>
      </c>
      <c r="G258" s="41" t="s">
        <v>1723</v>
      </c>
      <c r="H258" s="41" t="s">
        <v>1512</v>
      </c>
      <c r="I258" s="36" t="s">
        <v>1165</v>
      </c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5.75" customHeight="1">
      <c r="A259" s="55"/>
      <c r="B259" s="54" t="s">
        <v>211</v>
      </c>
      <c r="C259" s="55" t="str">
        <f>VLOOKUP(B259,Sheet3!$B$2:$E$312,2,FALSE)</f>
        <v>B001-088</v>
      </c>
      <c r="D259" s="55" t="str">
        <f>VLOOKUP(B259,Sheet3!$B$2:$E$312,3,)</f>
        <v>bahan baku</v>
      </c>
      <c r="E259" s="55" t="str">
        <f>VLOOKUP(B259,Sheet3!$B$2:$E$312,4,)</f>
        <v>GR</v>
      </c>
      <c r="F259" s="56">
        <v>3150.0</v>
      </c>
      <c r="G259" s="56" t="s">
        <v>1543</v>
      </c>
      <c r="H259" s="56" t="s">
        <v>1441</v>
      </c>
      <c r="I259" s="85" t="s">
        <v>1165</v>
      </c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ht="15.75" customHeight="1">
      <c r="A260" s="40"/>
      <c r="B260" s="39" t="s">
        <v>28</v>
      </c>
      <c r="C260" s="40" t="str">
        <f>VLOOKUP(B260,Sheet3!$B$2:$E$312,2,FALSE)</f>
        <v>B001-006</v>
      </c>
      <c r="D260" s="40" t="str">
        <f>VLOOKUP(B260,Sheet3!$B$2:$E$312,3,)</f>
        <v>bahan baku</v>
      </c>
      <c r="E260" s="40" t="str">
        <f>VLOOKUP(B260,Sheet3!$B$2:$E$312,4,)</f>
        <v>GR</v>
      </c>
      <c r="F260" s="41">
        <v>43.0</v>
      </c>
      <c r="G260" s="41" t="s">
        <v>1543</v>
      </c>
      <c r="H260" s="41" t="s">
        <v>1305</v>
      </c>
      <c r="I260" s="36" t="s">
        <v>1165</v>
      </c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5.75" customHeight="1">
      <c r="A261" s="40"/>
      <c r="B261" s="39" t="s">
        <v>298</v>
      </c>
      <c r="C261" s="40" t="str">
        <f>VLOOKUP(B261,Sheet3!$B$2:$E$312,2,FALSE)</f>
        <v>B001-125</v>
      </c>
      <c r="D261" s="40" t="str">
        <f>VLOOKUP(B261,Sheet3!$B$2:$E$312,3,)</f>
        <v>bahan baku</v>
      </c>
      <c r="E261" s="40" t="str">
        <f>VLOOKUP(B261,Sheet3!$B$2:$E$312,4,)</f>
        <v>GR</v>
      </c>
      <c r="F261" s="41">
        <v>190.0</v>
      </c>
      <c r="G261" s="41" t="s">
        <v>1224</v>
      </c>
      <c r="H261" s="41" t="s">
        <v>1305</v>
      </c>
      <c r="I261" s="36" t="s">
        <v>1165</v>
      </c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75" customHeight="1">
      <c r="A262" s="40"/>
      <c r="B262" s="39" t="s">
        <v>148</v>
      </c>
      <c r="C262" s="40" t="str">
        <f>VLOOKUP(B262,Sheet3!$B$2:$E$312,2,FALSE)</f>
        <v>B001-064</v>
      </c>
      <c r="D262" s="40" t="str">
        <f>VLOOKUP(B262,Sheet3!$B$2:$E$312,3,)</f>
        <v>bahan baku</v>
      </c>
      <c r="E262" s="40" t="str">
        <f>VLOOKUP(B262,Sheet3!$B$2:$E$312,4,)</f>
        <v>GR</v>
      </c>
      <c r="F262" s="41">
        <v>183.0</v>
      </c>
      <c r="G262" s="41" t="s">
        <v>1224</v>
      </c>
      <c r="H262" s="41" t="s">
        <v>1305</v>
      </c>
      <c r="I262" s="36" t="s">
        <v>1165</v>
      </c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5.75" customHeight="1">
      <c r="A263" s="40"/>
      <c r="B263" s="39" t="s">
        <v>33</v>
      </c>
      <c r="C263" s="40" t="str">
        <f>VLOOKUP(B263,Sheet3!$B$2:$E$312,2,FALSE)</f>
        <v>B001-008</v>
      </c>
      <c r="D263" s="40" t="str">
        <f>VLOOKUP(B263,Sheet3!$B$2:$E$312,3,)</f>
        <v>bahan baku</v>
      </c>
      <c r="E263" s="40" t="str">
        <f>VLOOKUP(B263,Sheet3!$B$2:$E$312,4,)</f>
        <v>GR</v>
      </c>
      <c r="F263" s="41">
        <v>2157.0</v>
      </c>
      <c r="G263" s="41" t="s">
        <v>1681</v>
      </c>
      <c r="H263" s="41" t="s">
        <v>1225</v>
      </c>
      <c r="I263" s="36" t="s">
        <v>1165</v>
      </c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5.75" customHeight="1">
      <c r="A264" s="40"/>
      <c r="B264" s="39" t="s">
        <v>129</v>
      </c>
      <c r="C264" s="40" t="str">
        <f>VLOOKUP(B264,Sheet3!$B$2:$E$312,2,FALSE)</f>
        <v>B001-056</v>
      </c>
      <c r="D264" s="40" t="str">
        <f>VLOOKUP(B264,Sheet3!$B$2:$E$312,3,)</f>
        <v>bahan baku</v>
      </c>
      <c r="E264" s="40" t="str">
        <f>VLOOKUP(B264,Sheet3!$B$2:$E$312,4,)</f>
        <v>ML</v>
      </c>
      <c r="F264" s="41">
        <v>21.0</v>
      </c>
      <c r="G264" s="41" t="s">
        <v>1681</v>
      </c>
      <c r="H264" s="41" t="s">
        <v>1225</v>
      </c>
      <c r="I264" s="36" t="s">
        <v>1165</v>
      </c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5.75" customHeight="1">
      <c r="A265" s="40"/>
      <c r="B265" s="39" t="s">
        <v>101</v>
      </c>
      <c r="C265" s="40" t="str">
        <f>VLOOKUP(B265,Sheet3!$B$2:$E$312,2,FALSE)</f>
        <v>B001-043</v>
      </c>
      <c r="D265" s="40" t="str">
        <f>VLOOKUP(B265,Sheet3!$B$2:$E$312,3,)</f>
        <v>bahan baku</v>
      </c>
      <c r="E265" s="40" t="str">
        <f>VLOOKUP(B265,Sheet3!$B$2:$E$312,4,)</f>
        <v>GR</v>
      </c>
      <c r="F265" s="41">
        <v>20.0</v>
      </c>
      <c r="G265" s="41" t="s">
        <v>1245</v>
      </c>
      <c r="H265" s="41" t="s">
        <v>1225</v>
      </c>
      <c r="I265" s="36" t="s">
        <v>1165</v>
      </c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5.75" customHeight="1">
      <c r="A266" s="40"/>
      <c r="B266" s="39" t="s">
        <v>657</v>
      </c>
      <c r="C266" s="40" t="str">
        <f>VLOOKUP(B266,Sheet3!$B$2:$E$312,2,FALSE)</f>
        <v>P004-023</v>
      </c>
      <c r="D266" s="40" t="str">
        <f>VLOOKUP(B266,Sheet3!$B$2:$E$312,3,)</f>
        <v>barang jadi &amp; bahan baku</v>
      </c>
      <c r="E266" s="40" t="str">
        <f>VLOOKUP(B266,Sheet3!$B$2:$E$312,4,)</f>
        <v>CC</v>
      </c>
      <c r="F266" s="41">
        <v>1885.0</v>
      </c>
      <c r="G266" s="41" t="s">
        <v>1164</v>
      </c>
      <c r="H266" s="41" t="s">
        <v>1567</v>
      </c>
      <c r="I266" s="36" t="s">
        <v>1165</v>
      </c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5.75" customHeight="1">
      <c r="A267" s="40"/>
      <c r="B267" s="39" t="s">
        <v>653</v>
      </c>
      <c r="C267" s="40" t="str">
        <f>VLOOKUP(B267,Sheet3!$B$2:$E$312,2,FALSE)</f>
        <v>P004-022</v>
      </c>
      <c r="D267" s="40" t="str">
        <f>VLOOKUP(B267,Sheet3!$B$2:$E$312,3,)</f>
        <v>barang jadi &amp; bahan baku</v>
      </c>
      <c r="E267" s="40" t="str">
        <f>VLOOKUP(B267,Sheet3!$B$2:$E$312,4,)</f>
        <v>CC</v>
      </c>
      <c r="F267" s="41">
        <v>647.0</v>
      </c>
      <c r="G267" s="41" t="s">
        <v>1164</v>
      </c>
      <c r="H267" s="41" t="s">
        <v>1567</v>
      </c>
      <c r="I267" s="36" t="s">
        <v>1165</v>
      </c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5.75" customHeight="1">
      <c r="A268" s="40"/>
      <c r="B268" s="39" t="s">
        <v>664</v>
      </c>
      <c r="C268" s="40" t="str">
        <f>VLOOKUP(B268,Sheet3!$B$2:$E$312,2,FALSE)</f>
        <v>P004-025</v>
      </c>
      <c r="D268" s="40" t="str">
        <f>VLOOKUP(B268,Sheet3!$B$2:$E$312,3,)</f>
        <v>barang jadi &amp; bahan baku</v>
      </c>
      <c r="E268" s="40" t="str">
        <f>VLOOKUP(B268,Sheet3!$B$2:$E$312,4,)</f>
        <v>ML</v>
      </c>
      <c r="F268" s="41">
        <v>1308.0</v>
      </c>
      <c r="G268" s="41" t="s">
        <v>1164</v>
      </c>
      <c r="H268" s="41" t="s">
        <v>1567</v>
      </c>
      <c r="I268" s="36" t="s">
        <v>1165</v>
      </c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5.75" customHeight="1">
      <c r="A269" s="40"/>
      <c r="B269" s="39" t="s">
        <v>805</v>
      </c>
      <c r="C269" s="40" t="str">
        <f>VLOOKUP(B269,Sheet3!$B$2:$E$312,2,FALSE)</f>
        <v>#N/A</v>
      </c>
      <c r="D269" s="40" t="str">
        <f>VLOOKUP(B269,Sheet3!$B$2:$E$312,3,)</f>
        <v>#N/A</v>
      </c>
      <c r="E269" s="40" t="str">
        <f>VLOOKUP(B269,Sheet3!$B$2:$E$312,4,)</f>
        <v>#N/A</v>
      </c>
      <c r="F269" s="41">
        <v>1307.0</v>
      </c>
      <c r="G269" s="41" t="s">
        <v>1164</v>
      </c>
      <c r="H269" s="41" t="s">
        <v>1567</v>
      </c>
      <c r="I269" s="36" t="s">
        <v>1165</v>
      </c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5.75" customHeight="1">
      <c r="A270" s="55"/>
      <c r="B270" s="54" t="s">
        <v>720</v>
      </c>
      <c r="C270" s="55" t="str">
        <f>VLOOKUP(B270,Sheet3!$B$2:$E$312,2,FALSE)</f>
        <v>B002-005</v>
      </c>
      <c r="D270" s="55" t="str">
        <f>VLOOKUP(B270,Sheet3!$B$2:$E$312,3,)</f>
        <v>others</v>
      </c>
      <c r="E270" s="55" t="str">
        <f>VLOOKUP(B270,Sheet3!$B$2:$E$312,4,)</f>
        <v>PCS</v>
      </c>
      <c r="F270" s="56">
        <v>10.0</v>
      </c>
      <c r="G270" s="56" t="s">
        <v>1369</v>
      </c>
      <c r="H270" s="56" t="s">
        <v>1567</v>
      </c>
      <c r="I270" s="85" t="s">
        <v>1165</v>
      </c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ht="15.75" customHeight="1">
      <c r="A271" s="41" t="s">
        <v>1733</v>
      </c>
      <c r="B271" s="39" t="s">
        <v>79</v>
      </c>
      <c r="C271" s="40" t="str">
        <f>VLOOKUP(B271,Sheet3!$B$2:$E$312,2,FALSE)</f>
        <v>B001-033</v>
      </c>
      <c r="D271" s="40" t="str">
        <f>VLOOKUP(B271,Sheet3!$B$2:$E$312,3,)</f>
        <v>bahan baku</v>
      </c>
      <c r="E271" s="40" t="str">
        <f>VLOOKUP(B271,Sheet3!$B$2:$E$312,4,)</f>
        <v>PCS</v>
      </c>
      <c r="F271" s="41">
        <v>1.0</v>
      </c>
      <c r="G271" s="41" t="s">
        <v>1411</v>
      </c>
      <c r="H271" s="41" t="s">
        <v>1512</v>
      </c>
      <c r="I271" s="36" t="s">
        <v>1165</v>
      </c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5.75" customHeight="1">
      <c r="A272" s="55"/>
      <c r="B272" s="54" t="s">
        <v>36</v>
      </c>
      <c r="C272" s="55" t="str">
        <f>VLOOKUP(B272,Sheet3!$B$2:$E$312,2,FALSE)</f>
        <v>B001-009</v>
      </c>
      <c r="D272" s="55" t="str">
        <f>VLOOKUP(B272,Sheet3!$B$2:$E$312,3,)</f>
        <v>bahan baku</v>
      </c>
      <c r="E272" s="55" t="str">
        <f>VLOOKUP(B272,Sheet3!$B$2:$E$312,4,)</f>
        <v>GR</v>
      </c>
      <c r="F272" s="56">
        <v>39.0</v>
      </c>
      <c r="G272" s="56" t="s">
        <v>1721</v>
      </c>
      <c r="H272" s="56" t="s">
        <v>1512</v>
      </c>
      <c r="I272" s="85" t="s">
        <v>1165</v>
      </c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ht="15.75" customHeight="1">
      <c r="A273" s="55"/>
      <c r="B273" s="54" t="s">
        <v>211</v>
      </c>
      <c r="C273" s="55" t="str">
        <f>VLOOKUP(B273,Sheet3!$B$2:$E$312,2,FALSE)</f>
        <v>B001-088</v>
      </c>
      <c r="D273" s="55" t="str">
        <f>VLOOKUP(B273,Sheet3!$B$2:$E$312,3,)</f>
        <v>bahan baku</v>
      </c>
      <c r="E273" s="55" t="str">
        <f>VLOOKUP(B273,Sheet3!$B$2:$E$312,4,)</f>
        <v>GR</v>
      </c>
      <c r="F273" s="56">
        <v>2705.0</v>
      </c>
      <c r="G273" s="56" t="s">
        <v>1543</v>
      </c>
      <c r="H273" s="56" t="s">
        <v>1567</v>
      </c>
      <c r="I273" s="85" t="s">
        <v>1165</v>
      </c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ht="15.75" customHeight="1">
      <c r="A274" s="40"/>
      <c r="B274" s="39" t="s">
        <v>148</v>
      </c>
      <c r="C274" s="40" t="str">
        <f>VLOOKUP(B274,Sheet3!$B$2:$E$312,2,FALSE)</f>
        <v>B001-064</v>
      </c>
      <c r="D274" s="40" t="str">
        <f>VLOOKUP(B274,Sheet3!$B$2:$E$312,3,)</f>
        <v>bahan baku</v>
      </c>
      <c r="E274" s="40" t="str">
        <f>VLOOKUP(B274,Sheet3!$B$2:$E$312,4,)</f>
        <v>GR</v>
      </c>
      <c r="F274" s="41">
        <v>35.0</v>
      </c>
      <c r="G274" s="41" t="s">
        <v>1543</v>
      </c>
      <c r="H274" s="41" t="s">
        <v>1539</v>
      </c>
      <c r="I274" s="36" t="s">
        <v>1165</v>
      </c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5.75" customHeight="1">
      <c r="A275" s="40"/>
      <c r="B275" s="39" t="s">
        <v>28</v>
      </c>
      <c r="C275" s="40" t="str">
        <f>VLOOKUP(B275,Sheet3!$B$2:$E$312,2,FALSE)</f>
        <v>B001-006</v>
      </c>
      <c r="D275" s="40" t="str">
        <f>VLOOKUP(B275,Sheet3!$B$2:$E$312,3,)</f>
        <v>bahan baku</v>
      </c>
      <c r="E275" s="40" t="str">
        <f>VLOOKUP(B275,Sheet3!$B$2:$E$312,4,)</f>
        <v>GR</v>
      </c>
      <c r="F275" s="41">
        <v>35.0</v>
      </c>
      <c r="G275" s="41" t="s">
        <v>1543</v>
      </c>
      <c r="H275" s="41" t="s">
        <v>1539</v>
      </c>
      <c r="I275" s="36" t="s">
        <v>1165</v>
      </c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5.75" customHeight="1">
      <c r="A276" s="40"/>
      <c r="B276" s="39" t="s">
        <v>298</v>
      </c>
      <c r="C276" s="40" t="str">
        <f>VLOOKUP(B276,Sheet3!$B$2:$E$312,2,FALSE)</f>
        <v>B001-125</v>
      </c>
      <c r="D276" s="40" t="str">
        <f>VLOOKUP(B276,Sheet3!$B$2:$E$312,3,)</f>
        <v>bahan baku</v>
      </c>
      <c r="E276" s="40" t="str">
        <f>VLOOKUP(B276,Sheet3!$B$2:$E$312,4,)</f>
        <v>GR</v>
      </c>
      <c r="F276" s="41">
        <v>29.0</v>
      </c>
      <c r="G276" s="41" t="s">
        <v>1224</v>
      </c>
      <c r="H276" s="41" t="s">
        <v>1539</v>
      </c>
      <c r="I276" s="36" t="s">
        <v>1165</v>
      </c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5.75" customHeight="1">
      <c r="A277" s="40"/>
      <c r="B277" s="39" t="s">
        <v>653</v>
      </c>
      <c r="C277" s="40" t="str">
        <f>VLOOKUP(B277,Sheet3!$B$2:$E$312,2,FALSE)</f>
        <v>P004-022</v>
      </c>
      <c r="D277" s="40" t="str">
        <f>VLOOKUP(B277,Sheet3!$B$2:$E$312,3,)</f>
        <v>barang jadi &amp; bahan baku</v>
      </c>
      <c r="E277" s="40" t="str">
        <f>VLOOKUP(B277,Sheet3!$B$2:$E$312,4,)</f>
        <v>CC</v>
      </c>
      <c r="F277" s="41">
        <v>358.0</v>
      </c>
      <c r="G277" s="41" t="s">
        <v>1216</v>
      </c>
      <c r="H277" s="41" t="s">
        <v>1514</v>
      </c>
      <c r="I277" s="36" t="s">
        <v>1165</v>
      </c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5.75" customHeight="1">
      <c r="A278" s="40"/>
      <c r="B278" s="39" t="s">
        <v>657</v>
      </c>
      <c r="C278" s="40" t="str">
        <f>VLOOKUP(B278,Sheet3!$B$2:$E$312,2,FALSE)</f>
        <v>P004-023</v>
      </c>
      <c r="D278" s="40" t="str">
        <f>VLOOKUP(B278,Sheet3!$B$2:$E$312,3,)</f>
        <v>barang jadi &amp; bahan baku</v>
      </c>
      <c r="E278" s="40" t="str">
        <f>VLOOKUP(B278,Sheet3!$B$2:$E$312,4,)</f>
        <v>CC</v>
      </c>
      <c r="F278" s="41">
        <v>569.0</v>
      </c>
      <c r="G278" s="41" t="s">
        <v>1216</v>
      </c>
      <c r="H278" s="41" t="s">
        <v>1514</v>
      </c>
      <c r="I278" s="36" t="s">
        <v>1165</v>
      </c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5.75" customHeight="1">
      <c r="A279" s="40"/>
      <c r="B279" s="39" t="s">
        <v>664</v>
      </c>
      <c r="C279" s="40" t="str">
        <f>VLOOKUP(B279,Sheet3!$B$2:$E$312,2,FALSE)</f>
        <v>P004-025</v>
      </c>
      <c r="D279" s="40" t="str">
        <f>VLOOKUP(B279,Sheet3!$B$2:$E$312,3,)</f>
        <v>barang jadi &amp; bahan baku</v>
      </c>
      <c r="E279" s="40" t="str">
        <f>VLOOKUP(B279,Sheet3!$B$2:$E$312,4,)</f>
        <v>ML</v>
      </c>
      <c r="F279" s="41">
        <v>523.0</v>
      </c>
      <c r="G279" s="41" t="s">
        <v>1216</v>
      </c>
      <c r="H279" s="41" t="s">
        <v>1514</v>
      </c>
      <c r="I279" s="36" t="s">
        <v>1165</v>
      </c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5.75" customHeight="1">
      <c r="A280" s="40"/>
      <c r="B280" s="39" t="s">
        <v>805</v>
      </c>
      <c r="C280" s="40" t="str">
        <f>VLOOKUP(B280,Sheet3!$B$2:$E$312,2,FALSE)</f>
        <v>#N/A</v>
      </c>
      <c r="D280" s="40" t="str">
        <f>VLOOKUP(B280,Sheet3!$B$2:$E$312,3,)</f>
        <v>#N/A</v>
      </c>
      <c r="E280" s="40" t="str">
        <f>VLOOKUP(B280,Sheet3!$B$2:$E$312,4,)</f>
        <v>#N/A</v>
      </c>
      <c r="F280" s="41">
        <v>2416.0</v>
      </c>
      <c r="G280" s="41" t="s">
        <v>1216</v>
      </c>
      <c r="H280" s="41" t="s">
        <v>1514</v>
      </c>
      <c r="I280" s="36" t="s">
        <v>1165</v>
      </c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5.75" customHeight="1">
      <c r="A281" s="40"/>
      <c r="B281" s="39" t="s">
        <v>18</v>
      </c>
      <c r="C281" s="40" t="str">
        <f>VLOOKUP(B281,Sheet3!$B$2:$E$312,2,FALSE)</f>
        <v>B001-002</v>
      </c>
      <c r="D281" s="40" t="str">
        <f>VLOOKUP(B281,Sheet3!$B$2:$E$312,3,)</f>
        <v>bahan baku</v>
      </c>
      <c r="E281" s="40" t="str">
        <f>VLOOKUP(B281,Sheet3!$B$2:$E$312,4,)</f>
        <v>GR</v>
      </c>
      <c r="F281" s="41">
        <v>52.0</v>
      </c>
      <c r="G281" s="41" t="s">
        <v>1216</v>
      </c>
      <c r="H281" s="41" t="s">
        <v>1417</v>
      </c>
      <c r="I281" s="36" t="s">
        <v>1165</v>
      </c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5.75" customHeight="1">
      <c r="A282" s="40"/>
      <c r="B282" s="39" t="s">
        <v>502</v>
      </c>
      <c r="C282" s="40" t="str">
        <f>VLOOKUP(B282,Sheet3!$B$2:$E$312,2,FALSE)</f>
        <v>S001-002</v>
      </c>
      <c r="D282" s="40" t="str">
        <f>VLOOKUP(B282,Sheet3!$B$2:$E$312,3,)</f>
        <v>barang jadi</v>
      </c>
      <c r="E282" s="40" t="str">
        <f>VLOOKUP(B282,Sheet3!$B$2:$E$312,4,)</f>
        <v>PORSI</v>
      </c>
      <c r="F282" s="41">
        <v>3.0</v>
      </c>
      <c r="G282" s="41" t="s">
        <v>1216</v>
      </c>
      <c r="H282" s="41" t="s">
        <v>1417</v>
      </c>
      <c r="I282" s="36" t="s">
        <v>1165</v>
      </c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5.75" customHeight="1">
      <c r="A283" s="40"/>
      <c r="B283" s="39" t="s">
        <v>33</v>
      </c>
      <c r="C283" s="40" t="str">
        <f>VLOOKUP(B283,Sheet3!$B$2:$E$312,2,FALSE)</f>
        <v>B001-008</v>
      </c>
      <c r="D283" s="40" t="str">
        <f>VLOOKUP(B283,Sheet3!$B$2:$E$312,3,)</f>
        <v>bahan baku</v>
      </c>
      <c r="E283" s="40" t="str">
        <f>VLOOKUP(B283,Sheet3!$B$2:$E$312,4,)</f>
        <v>GR</v>
      </c>
      <c r="F283" s="41">
        <v>380.0</v>
      </c>
      <c r="G283" s="41" t="s">
        <v>1681</v>
      </c>
      <c r="H283" s="41" t="s">
        <v>1417</v>
      </c>
      <c r="I283" s="36" t="s">
        <v>1165</v>
      </c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5.75" customHeight="1">
      <c r="A284" s="40"/>
      <c r="B284" s="39" t="s">
        <v>129</v>
      </c>
      <c r="C284" s="40" t="str">
        <f>VLOOKUP(B284,Sheet3!$B$2:$E$312,2,FALSE)</f>
        <v>B001-056</v>
      </c>
      <c r="D284" s="40" t="str">
        <f>VLOOKUP(B284,Sheet3!$B$2:$E$312,3,)</f>
        <v>bahan baku</v>
      </c>
      <c r="E284" s="40" t="str">
        <f>VLOOKUP(B284,Sheet3!$B$2:$E$312,4,)</f>
        <v>ML</v>
      </c>
      <c r="F284" s="41">
        <v>3.0</v>
      </c>
      <c r="G284" s="41" t="s">
        <v>1681</v>
      </c>
      <c r="H284" s="41" t="s">
        <v>1417</v>
      </c>
      <c r="I284" s="95" t="s">
        <v>1738</v>
      </c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5.75" customHeight="1">
      <c r="A285" s="41" t="s">
        <v>1739</v>
      </c>
      <c r="B285" s="39" t="s">
        <v>36</v>
      </c>
      <c r="C285" s="40" t="str">
        <f>VLOOKUP(B285,Sheet3!$B$2:$E$312,2,FALSE)</f>
        <v>B001-009</v>
      </c>
      <c r="D285" s="40" t="str">
        <f>VLOOKUP(B285,Sheet3!$B$2:$E$312,3,)</f>
        <v>bahan baku</v>
      </c>
      <c r="E285" s="40" t="str">
        <f>VLOOKUP(B285,Sheet3!$B$2:$E$312,4,)</f>
        <v>GR</v>
      </c>
      <c r="F285" s="41">
        <v>25.0</v>
      </c>
      <c r="G285" s="41" t="s">
        <v>1721</v>
      </c>
      <c r="H285" s="41" t="s">
        <v>1512</v>
      </c>
      <c r="I285" s="100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5.75" customHeight="1">
      <c r="A286" s="40"/>
      <c r="B286" s="39" t="s">
        <v>33</v>
      </c>
      <c r="C286" s="40" t="str">
        <f>VLOOKUP(B286,Sheet3!$B$2:$E$312,2,FALSE)</f>
        <v>B001-008</v>
      </c>
      <c r="D286" s="40" t="str">
        <f>VLOOKUP(B286,Sheet3!$B$2:$E$312,3,)</f>
        <v>bahan baku</v>
      </c>
      <c r="E286" s="40" t="str">
        <f>VLOOKUP(B286,Sheet3!$B$2:$E$312,4,)</f>
        <v>GR</v>
      </c>
      <c r="F286" s="41">
        <v>403.0</v>
      </c>
      <c r="G286" s="41" t="s">
        <v>1681</v>
      </c>
      <c r="H286" s="41" t="s">
        <v>1417</v>
      </c>
      <c r="I286" s="100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5.75" customHeight="1">
      <c r="A287" s="40"/>
      <c r="B287" s="39" t="s">
        <v>18</v>
      </c>
      <c r="C287" s="40" t="str">
        <f>VLOOKUP(B287,Sheet3!$B$2:$E$312,2,FALSE)</f>
        <v>B001-002</v>
      </c>
      <c r="D287" s="40" t="str">
        <f>VLOOKUP(B287,Sheet3!$B$2:$E$312,3,)</f>
        <v>bahan baku</v>
      </c>
      <c r="E287" s="40" t="str">
        <f>VLOOKUP(B287,Sheet3!$B$2:$E$312,4,)</f>
        <v>GR</v>
      </c>
      <c r="F287" s="41">
        <v>40.0</v>
      </c>
      <c r="G287" s="41" t="s">
        <v>1216</v>
      </c>
      <c r="H287" s="41" t="s">
        <v>1417</v>
      </c>
      <c r="I287" s="100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5.75" customHeight="1">
      <c r="A288" s="40"/>
      <c r="B288" s="39" t="s">
        <v>653</v>
      </c>
      <c r="C288" s="40" t="str">
        <f>VLOOKUP(B288,Sheet3!$B$2:$E$312,2,FALSE)</f>
        <v>P004-022</v>
      </c>
      <c r="D288" s="40" t="str">
        <f>VLOOKUP(B288,Sheet3!$B$2:$E$312,3,)</f>
        <v>barang jadi &amp; bahan baku</v>
      </c>
      <c r="E288" s="40" t="str">
        <f>VLOOKUP(B288,Sheet3!$B$2:$E$312,4,)</f>
        <v>CC</v>
      </c>
      <c r="F288" s="41">
        <v>769.0</v>
      </c>
      <c r="G288" s="41" t="s">
        <v>1216</v>
      </c>
      <c r="H288" s="41" t="s">
        <v>1743</v>
      </c>
      <c r="I288" s="100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5.75" customHeight="1">
      <c r="A289" s="40"/>
      <c r="B289" s="39" t="s">
        <v>502</v>
      </c>
      <c r="C289" s="40" t="str">
        <f>VLOOKUP(B289,Sheet3!$B$2:$E$312,2,FALSE)</f>
        <v>S001-002</v>
      </c>
      <c r="D289" s="40" t="str">
        <f>VLOOKUP(B289,Sheet3!$B$2:$E$312,3,)</f>
        <v>barang jadi</v>
      </c>
      <c r="E289" s="40" t="str">
        <f>VLOOKUP(B289,Sheet3!$B$2:$E$312,4,)</f>
        <v>PORSI</v>
      </c>
      <c r="F289" s="41">
        <v>3.0</v>
      </c>
      <c r="G289" s="41" t="s">
        <v>1216</v>
      </c>
      <c r="H289" s="41" t="s">
        <v>1417</v>
      </c>
      <c r="I289" s="100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5.75" customHeight="1">
      <c r="A290" s="40"/>
      <c r="B290" s="39" t="s">
        <v>657</v>
      </c>
      <c r="C290" s="40" t="str">
        <f>VLOOKUP(B290,Sheet3!$B$2:$E$312,2,FALSE)</f>
        <v>P004-023</v>
      </c>
      <c r="D290" s="40" t="str">
        <f>VLOOKUP(B290,Sheet3!$B$2:$E$312,3,)</f>
        <v>barang jadi &amp; bahan baku</v>
      </c>
      <c r="E290" s="40" t="str">
        <f>VLOOKUP(B290,Sheet3!$B$2:$E$312,4,)</f>
        <v>CC</v>
      </c>
      <c r="F290" s="41">
        <v>1088.0</v>
      </c>
      <c r="G290" s="41" t="s">
        <v>1216</v>
      </c>
      <c r="H290" s="41" t="s">
        <v>1743</v>
      </c>
      <c r="I290" s="100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5.75" customHeight="1">
      <c r="A291" s="40"/>
      <c r="B291" s="39" t="s">
        <v>664</v>
      </c>
      <c r="C291" s="40" t="str">
        <f>VLOOKUP(B291,Sheet3!$B$2:$E$312,2,FALSE)</f>
        <v>P004-025</v>
      </c>
      <c r="D291" s="40" t="str">
        <f>VLOOKUP(B291,Sheet3!$B$2:$E$312,3,)</f>
        <v>barang jadi &amp; bahan baku</v>
      </c>
      <c r="E291" s="40" t="str">
        <f>VLOOKUP(B291,Sheet3!$B$2:$E$312,4,)</f>
        <v>ML</v>
      </c>
      <c r="F291" s="41">
        <v>1585.0</v>
      </c>
      <c r="G291" s="41" t="s">
        <v>1216</v>
      </c>
      <c r="H291" s="41" t="s">
        <v>1743</v>
      </c>
      <c r="I291" s="100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5.75" customHeight="1">
      <c r="A292" s="40"/>
      <c r="B292" s="39" t="s">
        <v>28</v>
      </c>
      <c r="C292" s="40" t="str">
        <f>VLOOKUP(B292,Sheet3!$B$2:$E$312,2,FALSE)</f>
        <v>B001-006</v>
      </c>
      <c r="D292" s="40" t="str">
        <f>VLOOKUP(B292,Sheet3!$B$2:$E$312,3,)</f>
        <v>bahan baku</v>
      </c>
      <c r="E292" s="40" t="str">
        <f>VLOOKUP(B292,Sheet3!$B$2:$E$312,4,)</f>
        <v>GR</v>
      </c>
      <c r="F292" s="41">
        <v>95.0</v>
      </c>
      <c r="G292" s="41" t="s">
        <v>1224</v>
      </c>
      <c r="H292" s="41" t="s">
        <v>1539</v>
      </c>
      <c r="I292" s="100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5.75" customHeight="1">
      <c r="A293" s="40"/>
      <c r="B293" s="39" t="s">
        <v>298</v>
      </c>
      <c r="C293" s="40" t="str">
        <f>VLOOKUP(B293,Sheet3!$B$2:$E$312,2,FALSE)</f>
        <v>B001-125</v>
      </c>
      <c r="D293" s="40" t="str">
        <f>VLOOKUP(B293,Sheet3!$B$2:$E$312,3,)</f>
        <v>bahan baku</v>
      </c>
      <c r="E293" s="40" t="str">
        <f>VLOOKUP(B293,Sheet3!$B$2:$E$312,4,)</f>
        <v>GR</v>
      </c>
      <c r="F293" s="41">
        <v>46.0</v>
      </c>
      <c r="G293" s="41" t="s">
        <v>1216</v>
      </c>
      <c r="H293" s="41" t="s">
        <v>1539</v>
      </c>
      <c r="I293" s="100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5.75" customHeight="1">
      <c r="A294" s="40"/>
      <c r="B294" s="39" t="s">
        <v>28</v>
      </c>
      <c r="C294" s="40" t="str">
        <f>VLOOKUP(B294,Sheet3!$B$2:$E$312,2,FALSE)</f>
        <v>B001-006</v>
      </c>
      <c r="D294" s="40" t="str">
        <f>VLOOKUP(B294,Sheet3!$B$2:$E$312,3,)</f>
        <v>bahan baku</v>
      </c>
      <c r="E294" s="40" t="str">
        <f>VLOOKUP(B294,Sheet3!$B$2:$E$312,4,)</f>
        <v>GR</v>
      </c>
      <c r="F294" s="41">
        <v>10.0</v>
      </c>
      <c r="G294" s="41" t="s">
        <v>1543</v>
      </c>
      <c r="H294" s="41" t="s">
        <v>1539</v>
      </c>
      <c r="I294" s="100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5.75" customHeight="1">
      <c r="A295" s="55"/>
      <c r="B295" s="54" t="s">
        <v>211</v>
      </c>
      <c r="C295" s="55" t="str">
        <f>VLOOKUP(B295,Sheet3!$B$2:$E$312,2,FALSE)</f>
        <v>B001-088</v>
      </c>
      <c r="D295" s="55" t="str">
        <f>VLOOKUP(B295,Sheet3!$B$2:$E$312,3,)</f>
        <v>bahan baku</v>
      </c>
      <c r="E295" s="55" t="str">
        <f>VLOOKUP(B295,Sheet3!$B$2:$E$312,4,)</f>
        <v>GR</v>
      </c>
      <c r="F295" s="56">
        <v>2885.0</v>
      </c>
      <c r="G295" s="56" t="s">
        <v>1543</v>
      </c>
      <c r="H295" s="56" t="s">
        <v>1290</v>
      </c>
      <c r="I295" s="101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ht="15.75" customHeight="1">
      <c r="A296" s="40"/>
      <c r="B296" s="39" t="s">
        <v>805</v>
      </c>
      <c r="C296" s="40" t="str">
        <f>VLOOKUP(B296,Sheet3!$B$2:$E$312,2,FALSE)</f>
        <v>#N/A</v>
      </c>
      <c r="D296" s="40" t="str">
        <f>VLOOKUP(B296,Sheet3!$B$2:$E$312,3,)</f>
        <v>#N/A</v>
      </c>
      <c r="E296" s="40" t="str">
        <f>VLOOKUP(B296,Sheet3!$B$2:$E$312,4,)</f>
        <v>#N/A</v>
      </c>
      <c r="F296" s="41">
        <v>1223.0</v>
      </c>
      <c r="G296" s="41" t="s">
        <v>1216</v>
      </c>
      <c r="H296" s="41" t="s">
        <v>1743</v>
      </c>
      <c r="I296" s="100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5.75" customHeight="1">
      <c r="A297" s="40"/>
      <c r="B297" s="39" t="s">
        <v>28</v>
      </c>
      <c r="C297" s="40" t="str">
        <f>VLOOKUP(B297,Sheet3!$B$2:$E$312,2,FALSE)</f>
        <v>B001-006</v>
      </c>
      <c r="D297" s="40" t="str">
        <f>VLOOKUP(B297,Sheet3!$B$2:$E$312,3,)</f>
        <v>bahan baku</v>
      </c>
      <c r="E297" s="40" t="str">
        <f>VLOOKUP(B297,Sheet3!$B$2:$E$312,4,)</f>
        <v>GR</v>
      </c>
      <c r="F297" s="41">
        <v>95.0</v>
      </c>
      <c r="G297" s="41" t="s">
        <v>1543</v>
      </c>
      <c r="H297" s="41" t="s">
        <v>1539</v>
      </c>
      <c r="I297" s="100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5.75" customHeight="1">
      <c r="A298" s="41" t="s">
        <v>1748</v>
      </c>
      <c r="B298" s="39" t="s">
        <v>30</v>
      </c>
      <c r="C298" s="40" t="str">
        <f>VLOOKUP(B298,Sheet3!$B$2:$E$312,2,FALSE)</f>
        <v>B001-007</v>
      </c>
      <c r="D298" s="40" t="str">
        <f>VLOOKUP(B298,Sheet3!$B$2:$E$312,3,)</f>
        <v>bahan baku</v>
      </c>
      <c r="E298" s="40" t="str">
        <f>VLOOKUP(B298,Sheet3!$B$2:$E$312,4,)</f>
        <v>GR</v>
      </c>
      <c r="F298" s="41">
        <v>31.0</v>
      </c>
      <c r="G298" s="41" t="s">
        <v>1543</v>
      </c>
      <c r="H298" s="41" t="s">
        <v>1305</v>
      </c>
      <c r="I298" s="100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5.75" customHeight="1">
      <c r="A299" s="40"/>
      <c r="B299" s="39" t="s">
        <v>148</v>
      </c>
      <c r="C299" s="40" t="str">
        <f>VLOOKUP(B299,Sheet3!$B$2:$E$312,2,FALSE)</f>
        <v>B001-064</v>
      </c>
      <c r="D299" s="40" t="str">
        <f>VLOOKUP(B299,Sheet3!$B$2:$E$312,3,)</f>
        <v>bahan baku</v>
      </c>
      <c r="E299" s="40" t="str">
        <f>VLOOKUP(B299,Sheet3!$B$2:$E$312,4,)</f>
        <v>GR</v>
      </c>
      <c r="F299" s="41">
        <v>81.0</v>
      </c>
      <c r="G299" s="41" t="s">
        <v>1543</v>
      </c>
      <c r="H299" s="41" t="s">
        <v>1305</v>
      </c>
      <c r="I299" s="100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5.75" customHeight="1">
      <c r="A300" s="40"/>
      <c r="B300" s="39" t="s">
        <v>28</v>
      </c>
      <c r="C300" s="40" t="str">
        <f>VLOOKUP(B300,Sheet3!$B$2:$E$312,2,FALSE)</f>
        <v>B001-006</v>
      </c>
      <c r="D300" s="40" t="str">
        <f>VLOOKUP(B300,Sheet3!$B$2:$E$312,3,)</f>
        <v>bahan baku</v>
      </c>
      <c r="E300" s="40" t="str">
        <f>VLOOKUP(B300,Sheet3!$B$2:$E$312,4,)</f>
        <v>GR</v>
      </c>
      <c r="F300" s="41">
        <v>24.0</v>
      </c>
      <c r="G300" s="41" t="s">
        <v>1543</v>
      </c>
      <c r="H300" s="41" t="s">
        <v>1305</v>
      </c>
      <c r="I300" s="100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5.75" customHeight="1">
      <c r="A301" s="55"/>
      <c r="B301" s="54" t="s">
        <v>211</v>
      </c>
      <c r="C301" s="55" t="str">
        <f>VLOOKUP(B301,Sheet3!$B$2:$E$312,2,FALSE)</f>
        <v>B001-088</v>
      </c>
      <c r="D301" s="55" t="str">
        <f>VLOOKUP(B301,Sheet3!$B$2:$E$312,3,)</f>
        <v>bahan baku</v>
      </c>
      <c r="E301" s="55" t="str">
        <f>VLOOKUP(B301,Sheet3!$B$2:$E$312,4,)</f>
        <v>GR</v>
      </c>
      <c r="F301" s="56">
        <v>4800.0</v>
      </c>
      <c r="G301" s="56" t="s">
        <v>1543</v>
      </c>
      <c r="H301" s="56" t="s">
        <v>1441</v>
      </c>
      <c r="I301" s="101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ht="15.75" customHeight="1">
      <c r="A302" s="40"/>
      <c r="B302" s="39" t="s">
        <v>657</v>
      </c>
      <c r="C302" s="40" t="str">
        <f>VLOOKUP(B302,Sheet3!$B$2:$E$312,2,FALSE)</f>
        <v>P004-023</v>
      </c>
      <c r="D302" s="40" t="str">
        <f>VLOOKUP(B302,Sheet3!$B$2:$E$312,3,)</f>
        <v>barang jadi &amp; bahan baku</v>
      </c>
      <c r="E302" s="40" t="str">
        <f>VLOOKUP(B302,Sheet3!$B$2:$E$312,4,)</f>
        <v>CC</v>
      </c>
      <c r="F302" s="41">
        <v>515.0</v>
      </c>
      <c r="G302" s="41" t="s">
        <v>1216</v>
      </c>
      <c r="H302" s="41" t="s">
        <v>1384</v>
      </c>
      <c r="I302" s="100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5.75" customHeight="1">
      <c r="A303" s="40"/>
      <c r="B303" s="39" t="s">
        <v>653</v>
      </c>
      <c r="C303" s="40" t="str">
        <f>VLOOKUP(B303,Sheet3!$B$2:$E$312,2,FALSE)</f>
        <v>P004-022</v>
      </c>
      <c r="D303" s="40" t="str">
        <f>VLOOKUP(B303,Sheet3!$B$2:$E$312,3,)</f>
        <v>barang jadi &amp; bahan baku</v>
      </c>
      <c r="E303" s="40" t="str">
        <f>VLOOKUP(B303,Sheet3!$B$2:$E$312,4,)</f>
        <v>CC</v>
      </c>
      <c r="F303" s="41">
        <v>616.0</v>
      </c>
      <c r="G303" s="41" t="s">
        <v>1216</v>
      </c>
      <c r="H303" s="41" t="s">
        <v>1384</v>
      </c>
      <c r="I303" s="100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5.75" customHeight="1">
      <c r="A304" s="40"/>
      <c r="B304" s="39" t="s">
        <v>664</v>
      </c>
      <c r="C304" s="40" t="str">
        <f>VLOOKUP(B304,Sheet3!$B$2:$E$312,2,FALSE)</f>
        <v>P004-025</v>
      </c>
      <c r="D304" s="40" t="str">
        <f>VLOOKUP(B304,Sheet3!$B$2:$E$312,3,)</f>
        <v>barang jadi &amp; bahan baku</v>
      </c>
      <c r="E304" s="40" t="str">
        <f>VLOOKUP(B304,Sheet3!$B$2:$E$312,4,)</f>
        <v>ML</v>
      </c>
      <c r="F304" s="41">
        <v>868.0</v>
      </c>
      <c r="G304" s="41" t="s">
        <v>1216</v>
      </c>
      <c r="H304" s="41" t="s">
        <v>1384</v>
      </c>
      <c r="I304" s="100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5.75" customHeight="1">
      <c r="A305" s="40"/>
      <c r="B305" s="39" t="s">
        <v>805</v>
      </c>
      <c r="C305" s="40" t="str">
        <f>VLOOKUP(B305,Sheet3!$B$2:$E$312,2,FALSE)</f>
        <v>#N/A</v>
      </c>
      <c r="D305" s="40" t="str">
        <f>VLOOKUP(B305,Sheet3!$B$2:$E$312,3,)</f>
        <v>#N/A</v>
      </c>
      <c r="E305" s="40" t="str">
        <f>VLOOKUP(B305,Sheet3!$B$2:$E$312,4,)</f>
        <v>#N/A</v>
      </c>
      <c r="F305" s="41">
        <v>400.0</v>
      </c>
      <c r="G305" s="41" t="s">
        <v>1216</v>
      </c>
      <c r="H305" s="41" t="s">
        <v>1384</v>
      </c>
      <c r="I305" s="100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5.75" customHeight="1">
      <c r="A306" s="40"/>
      <c r="B306" s="39" t="s">
        <v>86</v>
      </c>
      <c r="C306" s="40" t="str">
        <f>VLOOKUP(B306,Sheet3!$B$2:$E$312,2,FALSE)</f>
        <v>B001-036</v>
      </c>
      <c r="D306" s="40" t="str">
        <f>VLOOKUP(B306,Sheet3!$B$2:$E$312,3,)</f>
        <v>bahan baku</v>
      </c>
      <c r="E306" s="40" t="str">
        <f>VLOOKUP(B306,Sheet3!$B$2:$E$312,4,)</f>
        <v>GR</v>
      </c>
      <c r="F306" s="41">
        <v>7.0</v>
      </c>
      <c r="G306" s="41" t="s">
        <v>1543</v>
      </c>
      <c r="H306" s="41" t="s">
        <v>1384</v>
      </c>
      <c r="I306" s="100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55"/>
      <c r="B307" s="54" t="s">
        <v>36</v>
      </c>
      <c r="C307" s="55" t="str">
        <f>VLOOKUP(B307,Sheet3!$B$2:$E$312,2,FALSE)</f>
        <v>B001-009</v>
      </c>
      <c r="D307" s="55" t="str">
        <f>VLOOKUP(B307,Sheet3!$B$2:$E$312,3,)</f>
        <v>bahan baku</v>
      </c>
      <c r="E307" s="55" t="str">
        <f>VLOOKUP(B307,Sheet3!$B$2:$E$312,4,)</f>
        <v>GR</v>
      </c>
      <c r="F307" s="56">
        <v>14.0</v>
      </c>
      <c r="G307" s="56" t="s">
        <v>1721</v>
      </c>
      <c r="H307" s="56" t="s">
        <v>1384</v>
      </c>
      <c r="I307" s="101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>
      <c r="A308" s="40"/>
      <c r="B308" s="39" t="s">
        <v>502</v>
      </c>
      <c r="C308" s="40" t="str">
        <f>VLOOKUP(B308,Sheet3!$B$2:$E$312,2,FALSE)</f>
        <v>S001-002</v>
      </c>
      <c r="D308" s="40" t="str">
        <f>VLOOKUP(B308,Sheet3!$B$2:$E$312,3,)</f>
        <v>barang jadi</v>
      </c>
      <c r="E308" s="40" t="str">
        <f>VLOOKUP(B308,Sheet3!$B$2:$E$312,4,)</f>
        <v>PORSI</v>
      </c>
      <c r="F308" s="41">
        <v>2.0</v>
      </c>
      <c r="G308" s="41" t="s">
        <v>1216</v>
      </c>
      <c r="H308" s="41" t="s">
        <v>1225</v>
      </c>
      <c r="I308" s="100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40"/>
      <c r="B309" s="39" t="s">
        <v>18</v>
      </c>
      <c r="C309" s="40" t="str">
        <f>VLOOKUP(B309,Sheet3!$B$2:$E$312,2,FALSE)</f>
        <v>B001-002</v>
      </c>
      <c r="D309" s="40" t="str">
        <f>VLOOKUP(B309,Sheet3!$B$2:$E$312,3,)</f>
        <v>bahan baku</v>
      </c>
      <c r="E309" s="40" t="str">
        <f>VLOOKUP(B309,Sheet3!$B$2:$E$312,4,)</f>
        <v>GR</v>
      </c>
      <c r="F309" s="41">
        <v>75.0</v>
      </c>
      <c r="G309" s="41" t="s">
        <v>1216</v>
      </c>
      <c r="H309" s="41" t="s">
        <v>1225</v>
      </c>
      <c r="I309" s="100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56" t="s">
        <v>1754</v>
      </c>
      <c r="B310" s="54" t="s">
        <v>36</v>
      </c>
      <c r="C310" s="55" t="str">
        <f>VLOOKUP(B310,Sheet3!$B$2:$E$312,2,FALSE)</f>
        <v>B001-009</v>
      </c>
      <c r="D310" s="55" t="str">
        <f>VLOOKUP(B310,Sheet3!$B$2:$E$312,3,)</f>
        <v>bahan baku</v>
      </c>
      <c r="E310" s="55" t="str">
        <f>VLOOKUP(B310,Sheet3!$B$2:$E$312,4,)</f>
        <v>GR</v>
      </c>
      <c r="F310" s="56">
        <v>22.0</v>
      </c>
      <c r="G310" s="56" t="s">
        <v>1721</v>
      </c>
      <c r="H310" s="56" t="s">
        <v>1757</v>
      </c>
      <c r="I310" s="101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ht="15.75" customHeight="1">
      <c r="A311" s="40"/>
      <c r="B311" s="39" t="s">
        <v>76</v>
      </c>
      <c r="C311" s="40" t="str">
        <f>VLOOKUP(B311,Sheet3!$B$2:$E$312,2,FALSE)</f>
        <v>B001-032</v>
      </c>
      <c r="D311" s="40" t="str">
        <f>VLOOKUP(B311,Sheet3!$B$2:$E$312,3,)</f>
        <v>bahan baku</v>
      </c>
      <c r="E311" s="40" t="str">
        <f>VLOOKUP(B311,Sheet3!$B$2:$E$312,4,)</f>
        <v>ML</v>
      </c>
      <c r="F311" s="41">
        <v>211.0</v>
      </c>
      <c r="G311" s="41" t="s">
        <v>1216</v>
      </c>
      <c r="H311" s="41" t="s">
        <v>1757</v>
      </c>
      <c r="I311" s="100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5.75" customHeight="1">
      <c r="A312" s="40"/>
      <c r="B312" s="39" t="s">
        <v>148</v>
      </c>
      <c r="C312" s="40" t="str">
        <f>VLOOKUP(B312,Sheet3!$B$2:$E$312,2,FALSE)</f>
        <v>B001-064</v>
      </c>
      <c r="D312" s="40" t="str">
        <f>VLOOKUP(B312,Sheet3!$B$2:$E$312,3,)</f>
        <v>bahan baku</v>
      </c>
      <c r="E312" s="40" t="str">
        <f>VLOOKUP(B312,Sheet3!$B$2:$E$312,4,)</f>
        <v>GR</v>
      </c>
      <c r="F312" s="41">
        <v>72.0</v>
      </c>
      <c r="G312" s="41" t="s">
        <v>1224</v>
      </c>
      <c r="H312" s="41" t="s">
        <v>1759</v>
      </c>
      <c r="I312" s="100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5.75" customHeight="1">
      <c r="A313" s="40"/>
      <c r="B313" s="39" t="s">
        <v>148</v>
      </c>
      <c r="C313" s="40" t="str">
        <f>VLOOKUP(B313,Sheet3!$B$2:$E$312,2,FALSE)</f>
        <v>B001-064</v>
      </c>
      <c r="D313" s="40" t="str">
        <f>VLOOKUP(B313,Sheet3!$B$2:$E$312,3,)</f>
        <v>bahan baku</v>
      </c>
      <c r="E313" s="40" t="str">
        <f>VLOOKUP(B313,Sheet3!$B$2:$E$312,4,)</f>
        <v>GR</v>
      </c>
      <c r="F313" s="41">
        <v>62.0</v>
      </c>
      <c r="G313" s="41" t="s">
        <v>1543</v>
      </c>
      <c r="H313" s="41" t="s">
        <v>1759</v>
      </c>
      <c r="I313" s="100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5.75" customHeight="1">
      <c r="A314" s="40"/>
      <c r="B314" s="39" t="s">
        <v>137</v>
      </c>
      <c r="C314" s="40" t="str">
        <f>VLOOKUP(B314,Sheet3!$B$2:$E$312,2,FALSE)</f>
        <v>B001-060</v>
      </c>
      <c r="D314" s="40" t="str">
        <f>VLOOKUP(B314,Sheet3!$B$2:$E$312,3,)</f>
        <v>bahan baku</v>
      </c>
      <c r="E314" s="40" t="str">
        <f>VLOOKUP(B314,Sheet3!$B$2:$E$312,4,)</f>
        <v>GR</v>
      </c>
      <c r="F314" s="41">
        <v>27.0</v>
      </c>
      <c r="G314" s="41" t="s">
        <v>1216</v>
      </c>
      <c r="H314" s="41" t="s">
        <v>1759</v>
      </c>
      <c r="I314" s="100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5.75" customHeight="1">
      <c r="A315" s="40"/>
      <c r="B315" s="39" t="s">
        <v>148</v>
      </c>
      <c r="C315" s="40" t="str">
        <f>VLOOKUP(B315,Sheet3!$B$2:$E$312,2,FALSE)</f>
        <v>B001-064</v>
      </c>
      <c r="D315" s="40" t="str">
        <f>VLOOKUP(B315,Sheet3!$B$2:$E$312,3,)</f>
        <v>bahan baku</v>
      </c>
      <c r="E315" s="40" t="str">
        <f>VLOOKUP(B315,Sheet3!$B$2:$E$312,4,)</f>
        <v>GR</v>
      </c>
      <c r="F315" s="41">
        <v>32.0</v>
      </c>
      <c r="G315" s="41" t="s">
        <v>1216</v>
      </c>
      <c r="H315" s="41" t="s">
        <v>1759</v>
      </c>
      <c r="I315" s="100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5.75" customHeight="1">
      <c r="A316" s="40"/>
      <c r="B316" s="39" t="s">
        <v>132</v>
      </c>
      <c r="C316" s="40" t="str">
        <f>VLOOKUP(B316,Sheet3!$B$2:$E$312,2,FALSE)</f>
        <v>B001-057</v>
      </c>
      <c r="D316" s="40" t="str">
        <f>VLOOKUP(B316,Sheet3!$B$2:$E$312,3,)</f>
        <v>bahan baku</v>
      </c>
      <c r="E316" s="40" t="str">
        <f>VLOOKUP(B316,Sheet3!$B$2:$E$312,4,)</f>
        <v>GR</v>
      </c>
      <c r="F316" s="41">
        <v>65.0</v>
      </c>
      <c r="G316" s="41" t="s">
        <v>1164</v>
      </c>
      <c r="H316" s="41" t="s">
        <v>1759</v>
      </c>
      <c r="I316" s="100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5.75" customHeight="1">
      <c r="A317" s="40"/>
      <c r="B317" s="39" t="s">
        <v>664</v>
      </c>
      <c r="C317" s="40" t="str">
        <f>VLOOKUP(B317,Sheet3!$B$2:$E$312,2,FALSE)</f>
        <v>P004-025</v>
      </c>
      <c r="D317" s="40" t="str">
        <f>VLOOKUP(B317,Sheet3!$B$2:$E$312,3,)</f>
        <v>barang jadi &amp; bahan baku</v>
      </c>
      <c r="E317" s="40" t="str">
        <f>VLOOKUP(B317,Sheet3!$B$2:$E$312,4,)</f>
        <v>ML</v>
      </c>
      <c r="F317" s="41">
        <v>400.0</v>
      </c>
      <c r="G317" s="41" t="s">
        <v>1216</v>
      </c>
      <c r="H317" s="41" t="s">
        <v>1757</v>
      </c>
      <c r="I317" s="100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5.75" customHeight="1">
      <c r="A318" s="40"/>
      <c r="B318" s="39" t="s">
        <v>657</v>
      </c>
      <c r="C318" s="40" t="str">
        <f>VLOOKUP(B318,Sheet3!$B$2:$E$312,2,FALSE)</f>
        <v>P004-023</v>
      </c>
      <c r="D318" s="40" t="str">
        <f>VLOOKUP(B318,Sheet3!$B$2:$E$312,3,)</f>
        <v>barang jadi &amp; bahan baku</v>
      </c>
      <c r="E318" s="40" t="str">
        <f>VLOOKUP(B318,Sheet3!$B$2:$E$312,4,)</f>
        <v>CC</v>
      </c>
      <c r="F318" s="41">
        <v>833.0</v>
      </c>
      <c r="G318" s="41" t="s">
        <v>1216</v>
      </c>
      <c r="H318" s="41" t="s">
        <v>1757</v>
      </c>
      <c r="I318" s="100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5.75" customHeight="1">
      <c r="A319" s="40"/>
      <c r="B319" s="39" t="s">
        <v>653</v>
      </c>
      <c r="C319" s="40" t="str">
        <f>VLOOKUP(B319,Sheet3!$B$2:$E$312,2,FALSE)</f>
        <v>P004-022</v>
      </c>
      <c r="D319" s="40" t="str">
        <f>VLOOKUP(B319,Sheet3!$B$2:$E$312,3,)</f>
        <v>barang jadi &amp; bahan baku</v>
      </c>
      <c r="E319" s="40" t="str">
        <f>VLOOKUP(B319,Sheet3!$B$2:$E$312,4,)</f>
        <v>CC</v>
      </c>
      <c r="F319" s="41">
        <v>117.0</v>
      </c>
      <c r="G319" s="41" t="s">
        <v>1216</v>
      </c>
      <c r="H319" s="41" t="s">
        <v>1757</v>
      </c>
      <c r="I319" s="100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5.75" customHeight="1">
      <c r="A320" s="40"/>
      <c r="B320" s="39" t="s">
        <v>805</v>
      </c>
      <c r="C320" s="40" t="str">
        <f>VLOOKUP(B320,Sheet3!$B$2:$E$312,2,FALSE)</f>
        <v>#N/A</v>
      </c>
      <c r="D320" s="40" t="str">
        <f>VLOOKUP(B320,Sheet3!$B$2:$E$312,3,)</f>
        <v>#N/A</v>
      </c>
      <c r="E320" s="40" t="str">
        <f>VLOOKUP(B320,Sheet3!$B$2:$E$312,4,)</f>
        <v>#N/A</v>
      </c>
      <c r="F320" s="41">
        <v>1043.0</v>
      </c>
      <c r="G320" s="41" t="s">
        <v>1216</v>
      </c>
      <c r="H320" s="41" t="s">
        <v>1757</v>
      </c>
      <c r="I320" s="100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5.75" customHeight="1">
      <c r="A321" s="55"/>
      <c r="B321" s="54" t="s">
        <v>211</v>
      </c>
      <c r="C321" s="55" t="str">
        <f>VLOOKUP(B321,Sheet3!$B$2:$E$312,2,FALSE)</f>
        <v>B001-088</v>
      </c>
      <c r="D321" s="55" t="str">
        <f>VLOOKUP(B321,Sheet3!$B$2:$E$312,3,)</f>
        <v>bahan baku</v>
      </c>
      <c r="E321" s="55" t="str">
        <f>VLOOKUP(B321,Sheet3!$B$2:$E$312,4,)</f>
        <v>GR</v>
      </c>
      <c r="F321" s="56">
        <v>2795.0</v>
      </c>
      <c r="G321" s="56" t="s">
        <v>1543</v>
      </c>
      <c r="H321" s="56" t="s">
        <v>1305</v>
      </c>
      <c r="I321" s="101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ht="15.75" customHeight="1">
      <c r="A322" s="40"/>
      <c r="B322" s="39" t="s">
        <v>33</v>
      </c>
      <c r="C322" s="40" t="str">
        <f>VLOOKUP(B322,Sheet3!$B$2:$E$312,2,FALSE)</f>
        <v>B001-008</v>
      </c>
      <c r="D322" s="40" t="str">
        <f>VLOOKUP(B322,Sheet3!$B$2:$E$312,3,)</f>
        <v>bahan baku</v>
      </c>
      <c r="E322" s="40" t="str">
        <f>VLOOKUP(B322,Sheet3!$B$2:$E$312,4,)</f>
        <v>GR</v>
      </c>
      <c r="F322" s="41">
        <v>1804.0</v>
      </c>
      <c r="G322" s="41" t="s">
        <v>1681</v>
      </c>
      <c r="H322" s="41" t="s">
        <v>1581</v>
      </c>
      <c r="I322" s="100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40"/>
      <c r="B323" s="39" t="s">
        <v>18</v>
      </c>
      <c r="C323" s="40" t="str">
        <f>VLOOKUP(B323,Sheet3!$B$2:$E$312,2,FALSE)</f>
        <v>B001-002</v>
      </c>
      <c r="D323" s="40" t="str">
        <f>VLOOKUP(B323,Sheet3!$B$2:$E$312,3,)</f>
        <v>bahan baku</v>
      </c>
      <c r="E323" s="40" t="str">
        <f>VLOOKUP(B323,Sheet3!$B$2:$E$312,4,)</f>
        <v>GR</v>
      </c>
      <c r="F323" s="41">
        <v>280.0</v>
      </c>
      <c r="G323" s="41" t="s">
        <v>1216</v>
      </c>
      <c r="H323" s="41" t="s">
        <v>1764</v>
      </c>
      <c r="I323" s="100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55"/>
      <c r="B324" s="54" t="s">
        <v>33</v>
      </c>
      <c r="C324" s="55" t="str">
        <f>VLOOKUP(B324,Sheet3!$B$2:$E$312,2,FALSE)</f>
        <v>B001-008</v>
      </c>
      <c r="D324" s="55" t="str">
        <f>VLOOKUP(B324,Sheet3!$B$2:$E$312,3,)</f>
        <v>bahan baku</v>
      </c>
      <c r="E324" s="55" t="str">
        <f>VLOOKUP(B324,Sheet3!$B$2:$E$312,4,)</f>
        <v>GR</v>
      </c>
      <c r="F324" s="56">
        <v>350.0</v>
      </c>
      <c r="G324" s="56" t="s">
        <v>1766</v>
      </c>
      <c r="H324" s="56" t="s">
        <v>1581</v>
      </c>
      <c r="I324" s="101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ht="15.75" customHeight="1">
      <c r="A325" s="55"/>
      <c r="B325" s="54" t="s">
        <v>636</v>
      </c>
      <c r="C325" s="55" t="str">
        <f>VLOOKUP(B325,Sheet3!$B$2:$E$312,2,FALSE)</f>
        <v>P004-015</v>
      </c>
      <c r="D325" s="55" t="str">
        <f>VLOOKUP(B325,Sheet3!$B$2:$E$312,3,)</f>
        <v>barang jadi &amp; bahan baku</v>
      </c>
      <c r="E325" s="55" t="str">
        <f>VLOOKUP(B325,Sheet3!$B$2:$E$312,4,)</f>
        <v>GR</v>
      </c>
      <c r="F325" s="56">
        <v>40.0</v>
      </c>
      <c r="G325" s="56" t="s">
        <v>1766</v>
      </c>
      <c r="H325" s="56" t="s">
        <v>1581</v>
      </c>
      <c r="I325" s="101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ht="15.75" customHeight="1">
      <c r="A326" s="55"/>
      <c r="B326" s="54" t="s">
        <v>561</v>
      </c>
      <c r="C326" s="55" t="str">
        <f>VLOOKUP(B326,Sheet3!$B$2:$E$312,2,FALSE)</f>
        <v>S002-004</v>
      </c>
      <c r="D326" s="55" t="str">
        <f>VLOOKUP(B326,Sheet3!$B$2:$E$312,3,)</f>
        <v>barang jadi</v>
      </c>
      <c r="E326" s="55" t="str">
        <f>VLOOKUP(B326,Sheet3!$B$2:$E$312,4,)</f>
        <v>PORSI</v>
      </c>
      <c r="F326" s="56">
        <v>2.0</v>
      </c>
      <c r="G326" s="56" t="s">
        <v>1766</v>
      </c>
      <c r="H326" s="56" t="s">
        <v>1581</v>
      </c>
      <c r="I326" s="101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ht="15.75" customHeight="1">
      <c r="A327" s="55"/>
      <c r="B327" s="54" t="s">
        <v>502</v>
      </c>
      <c r="C327" s="55" t="str">
        <f>VLOOKUP(B327,Sheet3!$B$2:$E$312,2,FALSE)</f>
        <v>S001-002</v>
      </c>
      <c r="D327" s="55" t="str">
        <f>VLOOKUP(B327,Sheet3!$B$2:$E$312,3,)</f>
        <v>barang jadi</v>
      </c>
      <c r="E327" s="55" t="str">
        <f>VLOOKUP(B327,Sheet3!$B$2:$E$312,4,)</f>
        <v>PORSI</v>
      </c>
      <c r="F327" s="56">
        <v>4.0</v>
      </c>
      <c r="G327" s="56" t="s">
        <v>1766</v>
      </c>
      <c r="H327" s="56" t="s">
        <v>1581</v>
      </c>
      <c r="I327" s="101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ht="15.75" customHeight="1">
      <c r="A328" s="55"/>
      <c r="B328" s="54" t="s">
        <v>132</v>
      </c>
      <c r="C328" s="55" t="str">
        <f>VLOOKUP(B328,Sheet3!$B$2:$E$312,2,FALSE)</f>
        <v>B001-057</v>
      </c>
      <c r="D328" s="55" t="str">
        <f>VLOOKUP(B328,Sheet3!$B$2:$E$312,3,)</f>
        <v>bahan baku</v>
      </c>
      <c r="E328" s="55" t="str">
        <f>VLOOKUP(B328,Sheet3!$B$2:$E$312,4,)</f>
        <v>GR</v>
      </c>
      <c r="F328" s="56">
        <v>100.0</v>
      </c>
      <c r="G328" s="56" t="s">
        <v>1766</v>
      </c>
      <c r="H328" s="56" t="s">
        <v>1581</v>
      </c>
      <c r="I328" s="101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ht="15.75" customHeight="1">
      <c r="A329" s="55"/>
      <c r="B329" s="54" t="s">
        <v>1772</v>
      </c>
      <c r="C329" s="55" t="str">
        <f>VLOOKUP(B329,Sheet3!$B$2:$E$312,2,FALSE)</f>
        <v>#N/A</v>
      </c>
      <c r="D329" s="55" t="str">
        <f>VLOOKUP(B329,Sheet3!$B$2:$E$312,3,)</f>
        <v>#N/A</v>
      </c>
      <c r="E329" s="56" t="s">
        <v>20</v>
      </c>
      <c r="F329" s="56">
        <v>5.0</v>
      </c>
      <c r="G329" s="56" t="s">
        <v>1766</v>
      </c>
      <c r="H329" s="56" t="s">
        <v>1581</v>
      </c>
      <c r="I329" s="101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ht="15.75" customHeight="1">
      <c r="A330" s="56"/>
      <c r="B330" s="54" t="s">
        <v>1774</v>
      </c>
      <c r="C330" s="55" t="str">
        <f>VLOOKUP(B330,Sheet3!$B$2:$E$312,2,FALSE)</f>
        <v>#N/A</v>
      </c>
      <c r="D330" s="55" t="str">
        <f>VLOOKUP(B330,Sheet3!$B$2:$E$312,3,)</f>
        <v>#N/A</v>
      </c>
      <c r="E330" s="56" t="s">
        <v>20</v>
      </c>
      <c r="F330" s="56">
        <v>35.0</v>
      </c>
      <c r="G330" s="56" t="s">
        <v>1766</v>
      </c>
      <c r="H330" s="56" t="s">
        <v>1581</v>
      </c>
      <c r="I330" s="101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ht="15.75" customHeight="1">
      <c r="A331" s="56"/>
      <c r="B331" s="54" t="s">
        <v>1775</v>
      </c>
      <c r="C331" s="55" t="str">
        <f>VLOOKUP(B331,Sheet3!$B$2:$E$312,2,FALSE)</f>
        <v>#N/A</v>
      </c>
      <c r="D331" s="55" t="str">
        <f>VLOOKUP(B331,Sheet3!$B$2:$E$312,3,)</f>
        <v>#N/A</v>
      </c>
      <c r="E331" s="56" t="s">
        <v>20</v>
      </c>
      <c r="F331" s="56">
        <v>60.0</v>
      </c>
      <c r="G331" s="56" t="s">
        <v>1766</v>
      </c>
      <c r="H331" s="56" t="s">
        <v>1581</v>
      </c>
      <c r="I331" s="101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ht="15.75" customHeight="1">
      <c r="A332" s="56"/>
      <c r="B332" s="54" t="s">
        <v>1777</v>
      </c>
      <c r="C332" s="55" t="str">
        <f>VLOOKUP(B332,Sheet3!$B$2:$E$312,2,FALSE)</f>
        <v>#N/A</v>
      </c>
      <c r="D332" s="55" t="str">
        <f>VLOOKUP(B332,Sheet3!$B$2:$E$312,3,)</f>
        <v>#N/A</v>
      </c>
      <c r="E332" s="56" t="s">
        <v>20</v>
      </c>
      <c r="F332" s="56">
        <v>60.0</v>
      </c>
      <c r="G332" s="56" t="s">
        <v>1766</v>
      </c>
      <c r="H332" s="56" t="s">
        <v>1581</v>
      </c>
      <c r="I332" s="101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ht="15.75" customHeight="1">
      <c r="A333" s="56"/>
      <c r="B333" s="54" t="s">
        <v>1778</v>
      </c>
      <c r="C333" s="55" t="str">
        <f>VLOOKUP(B333,Sheet3!$B$2:$E$312,2,FALSE)</f>
        <v>#N/A</v>
      </c>
      <c r="D333" s="55" t="str">
        <f>VLOOKUP(B333,Sheet3!$B$2:$E$312,3,)</f>
        <v>#N/A</v>
      </c>
      <c r="E333" s="56" t="s">
        <v>20</v>
      </c>
      <c r="F333" s="56">
        <v>60.0</v>
      </c>
      <c r="G333" s="56" t="s">
        <v>1766</v>
      </c>
      <c r="H333" s="56" t="s">
        <v>1581</v>
      </c>
      <c r="I333" s="101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ht="15.75" customHeight="1">
      <c r="A334" s="41" t="s">
        <v>1779</v>
      </c>
      <c r="B334" s="39" t="s">
        <v>28</v>
      </c>
      <c r="C334" s="40" t="str">
        <f>VLOOKUP(B334,Sheet3!$B$2:$E$312,2,FALSE)</f>
        <v>B001-006</v>
      </c>
      <c r="D334" s="40" t="str">
        <f>VLOOKUP(B334,Sheet3!$B$2:$E$312,3,)</f>
        <v>bahan baku</v>
      </c>
      <c r="E334" s="40" t="str">
        <f>VLOOKUP(B334,Sheet3!$B$2:$E$312,4,)</f>
        <v>GR</v>
      </c>
      <c r="F334" s="41">
        <v>23.0</v>
      </c>
      <c r="G334" s="41" t="s">
        <v>1543</v>
      </c>
      <c r="H334" s="41" t="s">
        <v>1305</v>
      </c>
      <c r="I334" s="100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5.75" customHeight="1">
      <c r="A335" s="40"/>
      <c r="B335" s="39" t="s">
        <v>148</v>
      </c>
      <c r="C335" s="40" t="str">
        <f>VLOOKUP(B335,Sheet3!$B$2:$E$312,2,FALSE)</f>
        <v>B001-064</v>
      </c>
      <c r="D335" s="40" t="str">
        <f>VLOOKUP(B335,Sheet3!$B$2:$E$312,3,)</f>
        <v>bahan baku</v>
      </c>
      <c r="E335" s="40" t="str">
        <f>VLOOKUP(B335,Sheet3!$B$2:$E$312,4,)</f>
        <v>GR</v>
      </c>
      <c r="F335" s="41">
        <v>65.0</v>
      </c>
      <c r="G335" s="41" t="s">
        <v>1543</v>
      </c>
      <c r="H335" s="41" t="s">
        <v>1305</v>
      </c>
      <c r="I335" s="100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5.75" customHeight="1">
      <c r="A336" s="40"/>
      <c r="B336" s="39" t="s">
        <v>298</v>
      </c>
      <c r="C336" s="40" t="str">
        <f>VLOOKUP(B336,Sheet3!$B$2:$E$312,2,FALSE)</f>
        <v>B001-125</v>
      </c>
      <c r="D336" s="40" t="str">
        <f>VLOOKUP(B336,Sheet3!$B$2:$E$312,3,)</f>
        <v>bahan baku</v>
      </c>
      <c r="E336" s="40" t="str">
        <f>VLOOKUP(B336,Sheet3!$B$2:$E$312,4,)</f>
        <v>GR</v>
      </c>
      <c r="F336" s="41">
        <v>63.0</v>
      </c>
      <c r="G336" s="41" t="s">
        <v>1696</v>
      </c>
      <c r="H336" s="41" t="s">
        <v>1305</v>
      </c>
      <c r="I336" s="100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5.75" customHeight="1">
      <c r="A337" s="55"/>
      <c r="B337" s="54" t="s">
        <v>211</v>
      </c>
      <c r="C337" s="55" t="str">
        <f>VLOOKUP(B337,Sheet3!$B$2:$E$312,2,FALSE)</f>
        <v>B001-088</v>
      </c>
      <c r="D337" s="55" t="str">
        <f>VLOOKUP(B337,Sheet3!$B$2:$E$312,3,)</f>
        <v>bahan baku</v>
      </c>
      <c r="E337" s="55" t="str">
        <f>VLOOKUP(B337,Sheet3!$B$2:$E$312,4,)</f>
        <v>GR</v>
      </c>
      <c r="F337" s="56">
        <v>2365.0</v>
      </c>
      <c r="G337" s="56" t="s">
        <v>1543</v>
      </c>
      <c r="H337" s="56" t="s">
        <v>1441</v>
      </c>
      <c r="I337" s="101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ht="15.75" customHeight="1">
      <c r="A338" s="40"/>
      <c r="B338" s="39" t="s">
        <v>805</v>
      </c>
      <c r="C338" s="40" t="str">
        <f>VLOOKUP(B338,Sheet3!$B$2:$E$312,2,FALSE)</f>
        <v>#N/A</v>
      </c>
      <c r="D338" s="40" t="str">
        <f>VLOOKUP(B338,Sheet3!$B$2:$E$312,3,)</f>
        <v>#N/A</v>
      </c>
      <c r="E338" s="40" t="str">
        <f>VLOOKUP(B338,Sheet3!$B$2:$E$312,4,)</f>
        <v>#N/A</v>
      </c>
      <c r="F338" s="41">
        <v>934.0</v>
      </c>
      <c r="G338" s="41" t="s">
        <v>1216</v>
      </c>
      <c r="H338" s="41" t="s">
        <v>1759</v>
      </c>
      <c r="I338" s="100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5.75" customHeight="1">
      <c r="A339" s="40"/>
      <c r="B339" s="39" t="s">
        <v>120</v>
      </c>
      <c r="C339" s="40" t="str">
        <f>VLOOKUP(B339,Sheet3!$B$2:$E$312,2,FALSE)</f>
        <v>B001-050</v>
      </c>
      <c r="D339" s="40" t="str">
        <f>VLOOKUP(B339,Sheet3!$B$2:$E$312,3,)</f>
        <v>bahan baku</v>
      </c>
      <c r="E339" s="40" t="str">
        <f>VLOOKUP(B339,Sheet3!$B$2:$E$312,4,)</f>
        <v>GR</v>
      </c>
      <c r="F339" s="41">
        <v>46.0</v>
      </c>
      <c r="G339" s="41" t="s">
        <v>1164</v>
      </c>
      <c r="H339" s="41" t="s">
        <v>1759</v>
      </c>
      <c r="I339" s="100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5.75" customHeight="1">
      <c r="A340" s="40"/>
      <c r="B340" s="39" t="s">
        <v>664</v>
      </c>
      <c r="C340" s="40" t="str">
        <f>VLOOKUP(B340,Sheet3!$B$2:$E$312,2,FALSE)</f>
        <v>P004-025</v>
      </c>
      <c r="D340" s="40" t="str">
        <f>VLOOKUP(B340,Sheet3!$B$2:$E$312,3,)</f>
        <v>barang jadi &amp; bahan baku</v>
      </c>
      <c r="E340" s="40" t="str">
        <f>VLOOKUP(B340,Sheet3!$B$2:$E$312,4,)</f>
        <v>ML</v>
      </c>
      <c r="F340" s="41">
        <v>1094.0</v>
      </c>
      <c r="G340" s="41" t="s">
        <v>1216</v>
      </c>
      <c r="H340" s="41" t="s">
        <v>1759</v>
      </c>
      <c r="I340" s="100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5.75" customHeight="1">
      <c r="A341" s="40"/>
      <c r="B341" s="39" t="s">
        <v>657</v>
      </c>
      <c r="C341" s="40" t="str">
        <f>VLOOKUP(B341,Sheet3!$B$2:$E$312,2,FALSE)</f>
        <v>P004-023</v>
      </c>
      <c r="D341" s="40" t="str">
        <f>VLOOKUP(B341,Sheet3!$B$2:$E$312,3,)</f>
        <v>barang jadi &amp; bahan baku</v>
      </c>
      <c r="E341" s="40" t="str">
        <f>VLOOKUP(B341,Sheet3!$B$2:$E$312,4,)</f>
        <v>CC</v>
      </c>
      <c r="F341" s="41">
        <v>1078.0</v>
      </c>
      <c r="G341" s="41" t="s">
        <v>1216</v>
      </c>
      <c r="H341" s="41" t="s">
        <v>1759</v>
      </c>
      <c r="I341" s="100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5.75" customHeight="1">
      <c r="A342" s="40"/>
      <c r="B342" s="39" t="s">
        <v>653</v>
      </c>
      <c r="C342" s="40" t="str">
        <f>VLOOKUP(B342,Sheet3!$B$2:$E$312,2,FALSE)</f>
        <v>P004-022</v>
      </c>
      <c r="D342" s="40" t="str">
        <f>VLOOKUP(B342,Sheet3!$B$2:$E$312,3,)</f>
        <v>barang jadi &amp; bahan baku</v>
      </c>
      <c r="E342" s="40" t="str">
        <f>VLOOKUP(B342,Sheet3!$B$2:$E$312,4,)</f>
        <v>CC</v>
      </c>
      <c r="F342" s="41">
        <v>219.0</v>
      </c>
      <c r="G342" s="41" t="s">
        <v>1216</v>
      </c>
      <c r="H342" s="41" t="s">
        <v>1759</v>
      </c>
      <c r="I342" s="100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5.75" customHeight="1">
      <c r="A343" s="41" t="s">
        <v>1785</v>
      </c>
      <c r="B343" s="39" t="s">
        <v>667</v>
      </c>
      <c r="C343" s="40" t="str">
        <f>VLOOKUP(B343,Sheet3!$B$2:$E$312,2,FALSE)</f>
        <v>P004-026</v>
      </c>
      <c r="D343" s="40" t="str">
        <f>VLOOKUP(B343,Sheet3!$B$2:$E$312,3,)</f>
        <v>barang jadi &amp; bahan baku</v>
      </c>
      <c r="E343" s="40" t="str">
        <f>VLOOKUP(B343,Sheet3!$B$2:$E$312,4,)</f>
        <v>GR</v>
      </c>
      <c r="F343" s="41">
        <v>217.0</v>
      </c>
      <c r="G343" s="41" t="s">
        <v>1164</v>
      </c>
      <c r="H343" s="41" t="s">
        <v>1539</v>
      </c>
      <c r="I343" s="100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5.75" customHeight="1">
      <c r="A344" s="40"/>
      <c r="B344" s="39" t="s">
        <v>86</v>
      </c>
      <c r="C344" s="40" t="str">
        <f>VLOOKUP(B344,Sheet3!$B$2:$E$312,2,FALSE)</f>
        <v>B001-036</v>
      </c>
      <c r="D344" s="40" t="str">
        <f>VLOOKUP(B344,Sheet3!$B$2:$E$312,3,)</f>
        <v>bahan baku</v>
      </c>
      <c r="E344" s="40" t="str">
        <f>VLOOKUP(B344,Sheet3!$B$2:$E$312,4,)</f>
        <v>GR</v>
      </c>
      <c r="F344" s="41">
        <v>34.0</v>
      </c>
      <c r="G344" s="41" t="s">
        <v>1543</v>
      </c>
      <c r="H344" s="41" t="s">
        <v>1759</v>
      </c>
      <c r="I344" s="100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5.75" customHeight="1">
      <c r="A345" s="55"/>
      <c r="B345" s="54" t="s">
        <v>211</v>
      </c>
      <c r="C345" s="55" t="str">
        <f>VLOOKUP(B345,Sheet3!$B$2:$E$312,2,FALSE)</f>
        <v>B001-088</v>
      </c>
      <c r="D345" s="55" t="str">
        <f>VLOOKUP(B345,Sheet3!$B$2:$E$312,3,)</f>
        <v>bahan baku</v>
      </c>
      <c r="E345" s="55" t="str">
        <f>VLOOKUP(B345,Sheet3!$B$2:$E$312,4,)</f>
        <v>GR</v>
      </c>
      <c r="F345" s="56">
        <v>3760.0</v>
      </c>
      <c r="G345" s="56" t="s">
        <v>1543</v>
      </c>
      <c r="H345" s="56" t="s">
        <v>1441</v>
      </c>
      <c r="I345" s="101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ht="15.75" customHeight="1">
      <c r="A346" s="40"/>
      <c r="B346" s="39" t="s">
        <v>33</v>
      </c>
      <c r="C346" s="40" t="str">
        <f>VLOOKUP(B346,Sheet3!$B$2:$E$312,2,FALSE)</f>
        <v>B001-008</v>
      </c>
      <c r="D346" s="40" t="str">
        <f>VLOOKUP(B346,Sheet3!$B$2:$E$312,3,)</f>
        <v>bahan baku</v>
      </c>
      <c r="E346" s="40" t="str">
        <f>VLOOKUP(B346,Sheet3!$B$2:$E$312,4,)</f>
        <v>GR</v>
      </c>
      <c r="F346" s="41">
        <v>285.0</v>
      </c>
      <c r="G346" s="41" t="s">
        <v>1656</v>
      </c>
      <c r="H346" s="41" t="s">
        <v>1417</v>
      </c>
      <c r="I346" s="100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5.75" customHeight="1">
      <c r="A347" s="40"/>
      <c r="B347" s="39" t="s">
        <v>664</v>
      </c>
      <c r="C347" s="40" t="str">
        <f>VLOOKUP(B347,Sheet3!$B$2:$E$312,2,FALSE)</f>
        <v>P004-025</v>
      </c>
      <c r="D347" s="40" t="str">
        <f>VLOOKUP(B347,Sheet3!$B$2:$E$312,3,)</f>
        <v>barang jadi &amp; bahan baku</v>
      </c>
      <c r="E347" s="40" t="str">
        <f>VLOOKUP(B347,Sheet3!$B$2:$E$312,4,)</f>
        <v>ML</v>
      </c>
      <c r="F347" s="41">
        <v>1223.0</v>
      </c>
      <c r="G347" s="41" t="s">
        <v>1216</v>
      </c>
      <c r="H347" s="41" t="s">
        <v>1757</v>
      </c>
      <c r="I347" s="100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5.75" customHeight="1">
      <c r="A348" s="40"/>
      <c r="B348" s="39" t="s">
        <v>653</v>
      </c>
      <c r="C348" s="40" t="str">
        <f>VLOOKUP(B348,Sheet3!$B$2:$E$312,2,FALSE)</f>
        <v>P004-022</v>
      </c>
      <c r="D348" s="40" t="str">
        <f>VLOOKUP(B348,Sheet3!$B$2:$E$312,3,)</f>
        <v>barang jadi &amp; bahan baku</v>
      </c>
      <c r="E348" s="40" t="str">
        <f>VLOOKUP(B348,Sheet3!$B$2:$E$312,4,)</f>
        <v>CC</v>
      </c>
      <c r="F348" s="41">
        <v>1068.0</v>
      </c>
      <c r="G348" s="41" t="s">
        <v>1216</v>
      </c>
      <c r="H348" s="41" t="s">
        <v>1757</v>
      </c>
      <c r="I348" s="100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5.75" customHeight="1">
      <c r="A349" s="40"/>
      <c r="B349" s="39" t="s">
        <v>657</v>
      </c>
      <c r="C349" s="40" t="str">
        <f>VLOOKUP(B349,Sheet3!$B$2:$E$312,2,FALSE)</f>
        <v>P004-023</v>
      </c>
      <c r="D349" s="40" t="str">
        <f>VLOOKUP(B349,Sheet3!$B$2:$E$312,3,)</f>
        <v>barang jadi &amp; bahan baku</v>
      </c>
      <c r="E349" s="40" t="str">
        <f>VLOOKUP(B349,Sheet3!$B$2:$E$312,4,)</f>
        <v>CC</v>
      </c>
      <c r="F349" s="41">
        <v>908.0</v>
      </c>
      <c r="G349" s="41" t="s">
        <v>1216</v>
      </c>
      <c r="H349" s="41" t="s">
        <v>1757</v>
      </c>
      <c r="I349" s="100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5.75" customHeight="1">
      <c r="A350" s="40"/>
      <c r="B350" s="39" t="s">
        <v>805</v>
      </c>
      <c r="C350" s="40" t="str">
        <f>VLOOKUP(B350,Sheet3!$B$2:$E$312,2,FALSE)</f>
        <v>#N/A</v>
      </c>
      <c r="D350" s="40" t="str">
        <f>VLOOKUP(B350,Sheet3!$B$2:$E$312,3,)</f>
        <v>#N/A</v>
      </c>
      <c r="E350" s="40" t="str">
        <f>VLOOKUP(B350,Sheet3!$B$2:$E$312,4,)</f>
        <v>#N/A</v>
      </c>
      <c r="F350" s="41">
        <v>1469.0</v>
      </c>
      <c r="G350" s="41" t="s">
        <v>1216</v>
      </c>
      <c r="H350" s="41" t="s">
        <v>1757</v>
      </c>
      <c r="I350" s="100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5.75" customHeight="1">
      <c r="A351" s="40"/>
      <c r="B351" s="39" t="s">
        <v>298</v>
      </c>
      <c r="C351" s="40" t="str">
        <f>VLOOKUP(B351,Sheet3!$B$2:$E$312,2,FALSE)</f>
        <v>B001-125</v>
      </c>
      <c r="D351" s="40" t="str">
        <f>VLOOKUP(B351,Sheet3!$B$2:$E$312,3,)</f>
        <v>bahan baku</v>
      </c>
      <c r="E351" s="40" t="str">
        <f>VLOOKUP(B351,Sheet3!$B$2:$E$312,4,)</f>
        <v>GR</v>
      </c>
      <c r="F351" s="41">
        <v>55.0</v>
      </c>
      <c r="G351" s="41" t="s">
        <v>1696</v>
      </c>
      <c r="H351" s="41" t="s">
        <v>1305</v>
      </c>
      <c r="I351" s="100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5.75" customHeight="1">
      <c r="A352" s="40"/>
      <c r="B352" s="39" t="s">
        <v>28</v>
      </c>
      <c r="C352" s="40" t="str">
        <f>VLOOKUP(B352,Sheet3!$B$2:$E$312,2,FALSE)</f>
        <v>B001-006</v>
      </c>
      <c r="D352" s="40" t="str">
        <f>VLOOKUP(B352,Sheet3!$B$2:$E$312,3,)</f>
        <v>bahan baku</v>
      </c>
      <c r="E352" s="40" t="str">
        <f>VLOOKUP(B352,Sheet3!$B$2:$E$312,4,)</f>
        <v>GR</v>
      </c>
      <c r="F352" s="41">
        <v>9.0</v>
      </c>
      <c r="G352" s="41" t="s">
        <v>1543</v>
      </c>
      <c r="H352" s="41" t="s">
        <v>1305</v>
      </c>
      <c r="I352" s="100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5.75" customHeight="1">
      <c r="A353" s="40"/>
      <c r="B353" s="39" t="s">
        <v>132</v>
      </c>
      <c r="C353" s="40" t="str">
        <f>VLOOKUP(B353,Sheet3!$B$2:$E$312,2,FALSE)</f>
        <v>B001-057</v>
      </c>
      <c r="D353" s="40" t="str">
        <f>VLOOKUP(B353,Sheet3!$B$2:$E$312,3,)</f>
        <v>bahan baku</v>
      </c>
      <c r="E353" s="40" t="str">
        <f>VLOOKUP(B353,Sheet3!$B$2:$E$312,4,)</f>
        <v>GR</v>
      </c>
      <c r="F353" s="41">
        <v>62.0</v>
      </c>
      <c r="G353" s="41" t="s">
        <v>1164</v>
      </c>
      <c r="H353" s="41" t="s">
        <v>1305</v>
      </c>
      <c r="I353" s="100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5.75" customHeight="1">
      <c r="A354" s="40"/>
      <c r="B354" s="39" t="s">
        <v>221</v>
      </c>
      <c r="C354" s="40" t="str">
        <f>VLOOKUP(B354,Sheet3!$B$2:$E$312,2,FALSE)</f>
        <v>B001-098</v>
      </c>
      <c r="D354" s="40" t="str">
        <f>VLOOKUP(B354,Sheet3!$B$2:$E$312,3,)</f>
        <v>bahan baku</v>
      </c>
      <c r="E354" s="40" t="str">
        <f>VLOOKUP(B354,Sheet3!$B$2:$E$312,4,)</f>
        <v>GR</v>
      </c>
      <c r="F354" s="41">
        <v>11.0</v>
      </c>
      <c r="G354" s="41" t="s">
        <v>1224</v>
      </c>
      <c r="H354" s="41" t="s">
        <v>1539</v>
      </c>
      <c r="I354" s="100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5.75" customHeight="1">
      <c r="A355" s="40"/>
      <c r="B355" s="39" t="s">
        <v>148</v>
      </c>
      <c r="C355" s="40" t="str">
        <f>VLOOKUP(B355,Sheet3!$B$2:$E$312,2,FALSE)</f>
        <v>B001-064</v>
      </c>
      <c r="D355" s="40" t="str">
        <f>VLOOKUP(B355,Sheet3!$B$2:$E$312,3,)</f>
        <v>bahan baku</v>
      </c>
      <c r="E355" s="40" t="str">
        <f>VLOOKUP(B355,Sheet3!$B$2:$E$312,4,)</f>
        <v>GR</v>
      </c>
      <c r="F355" s="41">
        <v>28.0</v>
      </c>
      <c r="G355" s="41" t="s">
        <v>1543</v>
      </c>
      <c r="H355" s="41" t="s">
        <v>1539</v>
      </c>
      <c r="I355" s="100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5.75" customHeight="1">
      <c r="A356" s="40"/>
      <c r="B356" s="39" t="s">
        <v>28</v>
      </c>
      <c r="C356" s="40" t="str">
        <f>VLOOKUP(B356,Sheet3!$B$2:$E$312,2,FALSE)</f>
        <v>B001-006</v>
      </c>
      <c r="D356" s="40" t="str">
        <f>VLOOKUP(B356,Sheet3!$B$2:$E$312,3,)</f>
        <v>bahan baku</v>
      </c>
      <c r="E356" s="40" t="str">
        <f>VLOOKUP(B356,Sheet3!$B$2:$E$312,4,)</f>
        <v>GR</v>
      </c>
      <c r="F356" s="41">
        <v>32.0</v>
      </c>
      <c r="G356" s="41" t="s">
        <v>1543</v>
      </c>
      <c r="H356" s="41" t="s">
        <v>1539</v>
      </c>
      <c r="I356" s="100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5.75" customHeight="1">
      <c r="A357" s="40"/>
      <c r="B357" s="39" t="s">
        <v>298</v>
      </c>
      <c r="C357" s="40" t="str">
        <f>VLOOKUP(B357,Sheet3!$B$2:$E$312,2,FALSE)</f>
        <v>B001-125</v>
      </c>
      <c r="D357" s="40" t="str">
        <f>VLOOKUP(B357,Sheet3!$B$2:$E$312,3,)</f>
        <v>bahan baku</v>
      </c>
      <c r="E357" s="40" t="str">
        <f>VLOOKUP(B357,Sheet3!$B$2:$E$312,4,)</f>
        <v>GR</v>
      </c>
      <c r="F357" s="41">
        <v>56.0</v>
      </c>
      <c r="G357" s="41" t="s">
        <v>1164</v>
      </c>
      <c r="H357" s="41" t="s">
        <v>1305</v>
      </c>
      <c r="I357" s="100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5.75" customHeight="1">
      <c r="A358" s="40"/>
      <c r="B358" s="39" t="s">
        <v>148</v>
      </c>
      <c r="C358" s="40" t="str">
        <f>VLOOKUP(B358,Sheet3!$B$2:$E$312,2,FALSE)</f>
        <v>B001-064</v>
      </c>
      <c r="D358" s="40" t="str">
        <f>VLOOKUP(B358,Sheet3!$B$2:$E$312,3,)</f>
        <v>bahan baku</v>
      </c>
      <c r="E358" s="40" t="str">
        <f>VLOOKUP(B358,Sheet3!$B$2:$E$312,4,)</f>
        <v>GR</v>
      </c>
      <c r="F358" s="41">
        <v>77.0</v>
      </c>
      <c r="G358" s="41" t="s">
        <v>1164</v>
      </c>
      <c r="H358" s="41" t="s">
        <v>1305</v>
      </c>
      <c r="I358" s="100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5.75" customHeight="1">
      <c r="A359" s="55"/>
      <c r="B359" s="54" t="s">
        <v>211</v>
      </c>
      <c r="C359" s="55" t="str">
        <f>VLOOKUP(B359,Sheet3!$B$2:$E$312,2,FALSE)</f>
        <v>B001-088</v>
      </c>
      <c r="D359" s="55" t="str">
        <f>VLOOKUP(B359,Sheet3!$B$2:$E$312,3,)</f>
        <v>bahan baku</v>
      </c>
      <c r="E359" s="55" t="str">
        <f>VLOOKUP(B359,Sheet3!$B$2:$E$312,4,)</f>
        <v>GR</v>
      </c>
      <c r="F359" s="56">
        <v>3915.0</v>
      </c>
      <c r="G359" s="56" t="s">
        <v>1543</v>
      </c>
      <c r="H359" s="56" t="s">
        <v>1441</v>
      </c>
      <c r="I359" s="101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ht="15.75" customHeight="1">
      <c r="A360" s="40"/>
      <c r="B360" s="39" t="s">
        <v>664</v>
      </c>
      <c r="C360" s="40" t="str">
        <f>VLOOKUP(B360,Sheet3!$B$2:$E$312,2,FALSE)</f>
        <v>P004-025</v>
      </c>
      <c r="D360" s="40" t="str">
        <f>VLOOKUP(B360,Sheet3!$B$2:$E$312,3,)</f>
        <v>barang jadi &amp; bahan baku</v>
      </c>
      <c r="E360" s="40" t="str">
        <f>VLOOKUP(B360,Sheet3!$B$2:$E$312,4,)</f>
        <v>ML</v>
      </c>
      <c r="F360" s="41">
        <v>453.0</v>
      </c>
      <c r="G360" s="41" t="s">
        <v>1216</v>
      </c>
      <c r="H360" s="41" t="s">
        <v>1514</v>
      </c>
      <c r="I360" s="100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5.75" customHeight="1">
      <c r="A361" s="40"/>
      <c r="B361" s="39" t="s">
        <v>657</v>
      </c>
      <c r="C361" s="40" t="str">
        <f>VLOOKUP(B361,Sheet3!$B$2:$E$312,2,FALSE)</f>
        <v>P004-023</v>
      </c>
      <c r="D361" s="40" t="str">
        <f>VLOOKUP(B361,Sheet3!$B$2:$E$312,3,)</f>
        <v>barang jadi &amp; bahan baku</v>
      </c>
      <c r="E361" s="40" t="str">
        <f>VLOOKUP(B361,Sheet3!$B$2:$E$312,4,)</f>
        <v>CC</v>
      </c>
      <c r="F361" s="41">
        <v>1123.0</v>
      </c>
      <c r="G361" s="41" t="s">
        <v>1216</v>
      </c>
      <c r="H361" s="41" t="s">
        <v>1514</v>
      </c>
      <c r="I361" s="100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5.75" customHeight="1">
      <c r="A362" s="40"/>
      <c r="B362" s="39" t="s">
        <v>805</v>
      </c>
      <c r="C362" s="40" t="str">
        <f>VLOOKUP(B362,Sheet3!$B$2:$E$312,2,FALSE)</f>
        <v>#N/A</v>
      </c>
      <c r="D362" s="40" t="str">
        <f>VLOOKUP(B362,Sheet3!$B$2:$E$312,3,)</f>
        <v>#N/A</v>
      </c>
      <c r="E362" s="40" t="str">
        <f>VLOOKUP(B362,Sheet3!$B$2:$E$312,4,)</f>
        <v>#N/A</v>
      </c>
      <c r="F362" s="41">
        <v>262.0</v>
      </c>
      <c r="G362" s="41" t="s">
        <v>1216</v>
      </c>
      <c r="H362" s="41" t="s">
        <v>1514</v>
      </c>
      <c r="I362" s="100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5.75" customHeight="1">
      <c r="A363" s="40"/>
      <c r="B363" s="39" t="s">
        <v>653</v>
      </c>
      <c r="C363" s="40" t="str">
        <f>VLOOKUP(B363,Sheet3!$B$2:$E$312,2,FALSE)</f>
        <v>P004-022</v>
      </c>
      <c r="D363" s="40" t="str">
        <f>VLOOKUP(B363,Sheet3!$B$2:$E$312,3,)</f>
        <v>barang jadi &amp; bahan baku</v>
      </c>
      <c r="E363" s="40" t="str">
        <f>VLOOKUP(B363,Sheet3!$B$2:$E$312,4,)</f>
        <v>CC</v>
      </c>
      <c r="F363" s="41">
        <v>427.0</v>
      </c>
      <c r="G363" s="41" t="s">
        <v>1216</v>
      </c>
      <c r="H363" s="41" t="s">
        <v>1514</v>
      </c>
      <c r="I363" s="100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5.75" customHeight="1">
      <c r="A364" s="40"/>
      <c r="B364" s="39" t="s">
        <v>33</v>
      </c>
      <c r="C364" s="40" t="str">
        <f>VLOOKUP(B364,Sheet3!$B$2:$E$312,2,FALSE)</f>
        <v>B001-008</v>
      </c>
      <c r="D364" s="40" t="str">
        <f>VLOOKUP(B364,Sheet3!$B$2:$E$312,3,)</f>
        <v>bahan baku</v>
      </c>
      <c r="E364" s="40" t="str">
        <f>VLOOKUP(B364,Sheet3!$B$2:$E$312,4,)</f>
        <v>GR</v>
      </c>
      <c r="F364" s="41">
        <v>49.0</v>
      </c>
      <c r="G364" s="41" t="s">
        <v>1681</v>
      </c>
      <c r="H364" s="41" t="s">
        <v>1417</v>
      </c>
      <c r="I364" s="100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5.75" customHeight="1">
      <c r="A365" s="40"/>
      <c r="B365" s="39" t="s">
        <v>129</v>
      </c>
      <c r="C365" s="40" t="str">
        <f>VLOOKUP(B365,Sheet3!$B$2:$E$312,2,FALSE)</f>
        <v>B001-056</v>
      </c>
      <c r="D365" s="40" t="str">
        <f>VLOOKUP(B365,Sheet3!$B$2:$E$312,3,)</f>
        <v>bahan baku</v>
      </c>
      <c r="E365" s="40" t="str">
        <f>VLOOKUP(B365,Sheet3!$B$2:$E$312,4,)</f>
        <v>ML</v>
      </c>
      <c r="F365" s="41">
        <v>1.0</v>
      </c>
      <c r="G365" s="41" t="s">
        <v>1681</v>
      </c>
      <c r="H365" s="41" t="s">
        <v>1417</v>
      </c>
      <c r="I365" s="100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5.75" customHeight="1">
      <c r="A366" s="40"/>
      <c r="B366" s="39" t="s">
        <v>502</v>
      </c>
      <c r="C366" s="40" t="str">
        <f>VLOOKUP(B366,Sheet3!$B$2:$E$312,2,FALSE)</f>
        <v>S001-002</v>
      </c>
      <c r="D366" s="40" t="str">
        <f>VLOOKUP(B366,Sheet3!$B$2:$E$312,3,)</f>
        <v>barang jadi</v>
      </c>
      <c r="E366" s="40" t="str">
        <f>VLOOKUP(B366,Sheet3!$B$2:$E$312,4,)</f>
        <v>PORSI</v>
      </c>
      <c r="F366" s="41">
        <v>1.0</v>
      </c>
      <c r="G366" s="41" t="s">
        <v>1216</v>
      </c>
      <c r="H366" s="41" t="s">
        <v>1417</v>
      </c>
      <c r="I366" s="100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5.75" customHeight="1">
      <c r="A367" s="40"/>
      <c r="B367" s="103"/>
      <c r="C367" s="40" t="str">
        <f>VLOOKUP(B367,Sheet3!$B$2:$E$312,2,FALSE)</f>
        <v>#N/A</v>
      </c>
      <c r="D367" s="40" t="str">
        <f>VLOOKUP(B367,Sheet3!$B$2:$E$312,3,)</f>
        <v>#N/A</v>
      </c>
      <c r="E367" s="40" t="str">
        <f>VLOOKUP(B367,Sheet3!$B$2:$E$312,4,)</f>
        <v>#N/A</v>
      </c>
      <c r="F367" s="40"/>
      <c r="G367" s="40"/>
      <c r="H367" s="40"/>
      <c r="I367" s="100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5.75" customHeight="1">
      <c r="A368" s="40"/>
      <c r="B368" s="103"/>
      <c r="C368" s="40" t="str">
        <f>VLOOKUP(B368,Sheet3!$B$2:$E$312,2,FALSE)</f>
        <v>#N/A</v>
      </c>
      <c r="D368" s="40" t="str">
        <f>VLOOKUP(B368,Sheet3!$B$2:$E$312,3,)</f>
        <v>#N/A</v>
      </c>
      <c r="E368" s="40" t="str">
        <f>VLOOKUP(B368,Sheet3!$B$2:$E$312,4,)</f>
        <v>#N/A</v>
      </c>
      <c r="F368" s="40"/>
      <c r="G368" s="40"/>
      <c r="H368" s="40"/>
      <c r="I368" s="100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5.75" customHeight="1">
      <c r="A369" s="40"/>
      <c r="B369" s="103"/>
      <c r="C369" s="40" t="str">
        <f>VLOOKUP(B369,Sheet3!$B$2:$E$312,2,FALSE)</f>
        <v>#N/A</v>
      </c>
      <c r="D369" s="40" t="str">
        <f>VLOOKUP(B369,Sheet3!$B$2:$E$312,3,)</f>
        <v>#N/A</v>
      </c>
      <c r="E369" s="40" t="str">
        <f>VLOOKUP(B369,Sheet3!$B$2:$E$312,4,)</f>
        <v>#N/A</v>
      </c>
      <c r="F369" s="40"/>
      <c r="G369" s="40"/>
      <c r="H369" s="40"/>
      <c r="I369" s="100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5.75" customHeight="1">
      <c r="A370" s="40"/>
      <c r="B370" s="103"/>
      <c r="C370" s="40" t="str">
        <f>VLOOKUP(B370,Sheet3!$B$2:$E$312,2,FALSE)</f>
        <v>#N/A</v>
      </c>
      <c r="D370" s="40" t="str">
        <f>VLOOKUP(B370,Sheet3!$B$2:$E$312,3,)</f>
        <v>#N/A</v>
      </c>
      <c r="E370" s="40" t="str">
        <f>VLOOKUP(B370,Sheet3!$B$2:$E$312,4,)</f>
        <v>#N/A</v>
      </c>
      <c r="F370" s="40"/>
      <c r="G370" s="40"/>
      <c r="H370" s="40"/>
      <c r="I370" s="100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5.75" customHeight="1">
      <c r="A371" s="40"/>
      <c r="B371" s="103"/>
      <c r="C371" s="40" t="str">
        <f>VLOOKUP(B371,Sheet3!$B$2:$E$312,2,FALSE)</f>
        <v>#N/A</v>
      </c>
      <c r="D371" s="40" t="str">
        <f>VLOOKUP(B371,Sheet3!$B$2:$E$312,3,)</f>
        <v>#N/A</v>
      </c>
      <c r="E371" s="40" t="str">
        <f>VLOOKUP(B371,Sheet3!$B$2:$E$312,4,)</f>
        <v>#N/A</v>
      </c>
      <c r="F371" s="40"/>
      <c r="G371" s="40"/>
      <c r="H371" s="40"/>
      <c r="I371" s="100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5.75" customHeight="1">
      <c r="A372" s="40"/>
      <c r="B372" s="103"/>
      <c r="C372" s="40" t="str">
        <f>VLOOKUP(B372,Sheet3!$B$2:$E$312,2,FALSE)</f>
        <v>#N/A</v>
      </c>
      <c r="D372" s="40" t="str">
        <f>VLOOKUP(B372,Sheet3!$B$2:$E$312,3,)</f>
        <v>#N/A</v>
      </c>
      <c r="E372" s="40" t="str">
        <f>VLOOKUP(B372,Sheet3!$B$2:$E$312,4,)</f>
        <v>#N/A</v>
      </c>
      <c r="F372" s="40"/>
      <c r="G372" s="40"/>
      <c r="H372" s="40"/>
      <c r="I372" s="100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5.75" customHeight="1">
      <c r="A373" s="40"/>
      <c r="B373" s="103"/>
      <c r="C373" s="40" t="str">
        <f>VLOOKUP(B373,Sheet3!$B$2:$E$312,2,FALSE)</f>
        <v>#N/A</v>
      </c>
      <c r="D373" s="40" t="str">
        <f>VLOOKUP(B373,Sheet3!$B$2:$E$312,3,)</f>
        <v>#N/A</v>
      </c>
      <c r="E373" s="40" t="str">
        <f>VLOOKUP(B373,Sheet3!$B$2:$E$312,4,)</f>
        <v>#N/A</v>
      </c>
      <c r="F373" s="40"/>
      <c r="G373" s="40"/>
      <c r="H373" s="40"/>
      <c r="I373" s="100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5.75" customHeight="1">
      <c r="A374" s="40"/>
      <c r="B374" s="103"/>
      <c r="C374" s="40" t="str">
        <f>VLOOKUP(B374,Sheet3!$B$2:$E$312,2,FALSE)</f>
        <v>#N/A</v>
      </c>
      <c r="D374" s="40" t="str">
        <f>VLOOKUP(B374,Sheet3!$B$2:$E$312,3,)</f>
        <v>#N/A</v>
      </c>
      <c r="E374" s="40" t="str">
        <f>VLOOKUP(B374,Sheet3!$B$2:$E$312,4,)</f>
        <v>#N/A</v>
      </c>
      <c r="F374" s="40"/>
      <c r="G374" s="40"/>
      <c r="H374" s="40"/>
      <c r="I374" s="100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5.75" customHeight="1">
      <c r="A375" s="40"/>
      <c r="B375" s="103"/>
      <c r="C375" s="40" t="str">
        <f>VLOOKUP(B375,Sheet3!$B$2:$E$312,2,FALSE)</f>
        <v>#N/A</v>
      </c>
      <c r="D375" s="40" t="str">
        <f>VLOOKUP(B375,Sheet3!$B$2:$E$312,3,)</f>
        <v>#N/A</v>
      </c>
      <c r="E375" s="40" t="str">
        <f>VLOOKUP(B375,Sheet3!$B$2:$E$312,4,)</f>
        <v>#N/A</v>
      </c>
      <c r="F375" s="40"/>
      <c r="G375" s="40"/>
      <c r="H375" s="40"/>
      <c r="I375" s="100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5.75" customHeight="1">
      <c r="A376" s="40"/>
      <c r="B376" s="103"/>
      <c r="C376" s="40" t="str">
        <f>VLOOKUP(B376,Sheet3!$B$2:$E$312,2,FALSE)</f>
        <v>#N/A</v>
      </c>
      <c r="D376" s="40" t="str">
        <f>VLOOKUP(B376,Sheet3!$B$2:$E$312,3,)</f>
        <v>#N/A</v>
      </c>
      <c r="E376" s="40" t="str">
        <f>VLOOKUP(B376,Sheet3!$B$2:$E$312,4,)</f>
        <v>#N/A</v>
      </c>
      <c r="F376" s="40"/>
      <c r="G376" s="40"/>
      <c r="H376" s="40"/>
      <c r="I376" s="100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5.75" customHeight="1">
      <c r="A377" s="40"/>
      <c r="B377" s="103"/>
      <c r="C377" s="40" t="str">
        <f>VLOOKUP(B377,Sheet3!$B$2:$E$312,2,FALSE)</f>
        <v>#N/A</v>
      </c>
      <c r="D377" s="40" t="str">
        <f>VLOOKUP(B377,Sheet3!$B$2:$E$312,3,)</f>
        <v>#N/A</v>
      </c>
      <c r="E377" s="40" t="str">
        <f>VLOOKUP(B377,Sheet3!$B$2:$E$312,4,)</f>
        <v>#N/A</v>
      </c>
      <c r="F377" s="40"/>
      <c r="G377" s="40"/>
      <c r="H377" s="40"/>
      <c r="I377" s="100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5.75" customHeight="1">
      <c r="A378" s="40"/>
      <c r="B378" s="103"/>
      <c r="C378" s="40" t="str">
        <f>VLOOKUP(B378,Sheet3!$B$2:$E$312,2,FALSE)</f>
        <v>#N/A</v>
      </c>
      <c r="D378" s="40" t="str">
        <f>VLOOKUP(B378,Sheet3!$B$2:$E$312,3,)</f>
        <v>#N/A</v>
      </c>
      <c r="E378" s="40" t="str">
        <f>VLOOKUP(B378,Sheet3!$B$2:$E$312,4,)</f>
        <v>#N/A</v>
      </c>
      <c r="F378" s="40"/>
      <c r="G378" s="40"/>
      <c r="H378" s="40"/>
      <c r="I378" s="100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5.75" customHeight="1">
      <c r="A379" s="40"/>
      <c r="B379" s="103"/>
      <c r="C379" s="40" t="str">
        <f>VLOOKUP(B379,Sheet3!$B$2:$E$312,2,FALSE)</f>
        <v>#N/A</v>
      </c>
      <c r="D379" s="40" t="str">
        <f>VLOOKUP(B379,Sheet3!$B$2:$E$312,3,)</f>
        <v>#N/A</v>
      </c>
      <c r="E379" s="40" t="str">
        <f>VLOOKUP(B379,Sheet3!$B$2:$E$312,4,)</f>
        <v>#N/A</v>
      </c>
      <c r="F379" s="40"/>
      <c r="G379" s="40"/>
      <c r="H379" s="40"/>
      <c r="I379" s="100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5.75" customHeight="1">
      <c r="A380" s="40"/>
      <c r="B380" s="103"/>
      <c r="C380" s="40" t="str">
        <f>VLOOKUP(B380,Sheet3!$B$2:$E$312,2,FALSE)</f>
        <v>#N/A</v>
      </c>
      <c r="D380" s="40" t="str">
        <f>VLOOKUP(B380,Sheet3!$B$2:$E$312,3,)</f>
        <v>#N/A</v>
      </c>
      <c r="E380" s="40" t="str">
        <f>VLOOKUP(B380,Sheet3!$B$2:$E$312,4,)</f>
        <v>#N/A</v>
      </c>
      <c r="F380" s="40"/>
      <c r="G380" s="40"/>
      <c r="H380" s="40"/>
      <c r="I380" s="100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75" customHeight="1">
      <c r="A381" s="40"/>
      <c r="B381" s="103"/>
      <c r="C381" s="40" t="str">
        <f>VLOOKUP(B381,Sheet3!$B$2:$E$312,2,FALSE)</f>
        <v>#N/A</v>
      </c>
      <c r="D381" s="40" t="str">
        <f>VLOOKUP(B381,Sheet3!$B$2:$E$312,3,)</f>
        <v>#N/A</v>
      </c>
      <c r="E381" s="40" t="str">
        <f>VLOOKUP(B381,Sheet3!$B$2:$E$312,4,)</f>
        <v>#N/A</v>
      </c>
      <c r="F381" s="40"/>
      <c r="G381" s="40"/>
      <c r="H381" s="40"/>
      <c r="I381" s="100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5.75" customHeight="1">
      <c r="A382" s="40"/>
      <c r="B382" s="103"/>
      <c r="C382" s="40" t="str">
        <f>VLOOKUP(B382,Sheet3!$B$2:$E$312,2,FALSE)</f>
        <v>#N/A</v>
      </c>
      <c r="D382" s="40" t="str">
        <f>VLOOKUP(B382,Sheet3!$B$2:$E$312,3,)</f>
        <v>#N/A</v>
      </c>
      <c r="E382" s="40" t="str">
        <f>VLOOKUP(B382,Sheet3!$B$2:$E$312,4,)</f>
        <v>#N/A</v>
      </c>
      <c r="F382" s="40"/>
      <c r="G382" s="40"/>
      <c r="H382" s="40"/>
      <c r="I382" s="100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5.75" customHeight="1">
      <c r="A383" s="40"/>
      <c r="B383" s="103"/>
      <c r="C383" s="40" t="str">
        <f>VLOOKUP(B383,Sheet3!$B$2:$E$312,2,FALSE)</f>
        <v>#N/A</v>
      </c>
      <c r="D383" s="40" t="str">
        <f>VLOOKUP(B383,Sheet3!$B$2:$E$312,3,)</f>
        <v>#N/A</v>
      </c>
      <c r="E383" s="40" t="str">
        <f>VLOOKUP(B383,Sheet3!$B$2:$E$312,4,)</f>
        <v>#N/A</v>
      </c>
      <c r="F383" s="40"/>
      <c r="G383" s="40"/>
      <c r="H383" s="40"/>
      <c r="I383" s="100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5.75" customHeight="1">
      <c r="A384" s="40"/>
      <c r="B384" s="103"/>
      <c r="C384" s="40" t="str">
        <f>VLOOKUP(B384,Sheet3!$B$2:$E$312,2,FALSE)</f>
        <v>#N/A</v>
      </c>
      <c r="D384" s="40" t="str">
        <f>VLOOKUP(B384,Sheet3!$B$2:$E$312,3,)</f>
        <v>#N/A</v>
      </c>
      <c r="E384" s="40" t="str">
        <f>VLOOKUP(B384,Sheet3!$B$2:$E$312,4,)</f>
        <v>#N/A</v>
      </c>
      <c r="F384" s="40"/>
      <c r="G384" s="40"/>
      <c r="H384" s="40"/>
      <c r="I384" s="100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>
      <c r="A385" s="40"/>
      <c r="B385" s="103"/>
      <c r="C385" s="40" t="str">
        <f>VLOOKUP(B385,Sheet3!$B$2:$E$312,2,FALSE)</f>
        <v>#N/A</v>
      </c>
      <c r="D385" s="40" t="str">
        <f>VLOOKUP(B385,Sheet3!$B$2:$E$312,3,)</f>
        <v>#N/A</v>
      </c>
      <c r="E385" s="40" t="str">
        <f>VLOOKUP(B385,Sheet3!$B$2:$E$312,4,)</f>
        <v>#N/A</v>
      </c>
      <c r="F385" s="40"/>
      <c r="G385" s="40"/>
      <c r="H385" s="40"/>
      <c r="I385" s="100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>
      <c r="A386" s="40"/>
      <c r="B386" s="103"/>
      <c r="C386" s="40" t="str">
        <f>VLOOKUP(B386,Sheet3!$B$2:$E$312,2,FALSE)</f>
        <v>#N/A</v>
      </c>
      <c r="D386" s="40" t="str">
        <f>VLOOKUP(B386,Sheet3!$B$2:$E$312,3,)</f>
        <v>#N/A</v>
      </c>
      <c r="E386" s="40" t="str">
        <f>VLOOKUP(B386,Sheet3!$B$2:$E$312,4,)</f>
        <v>#N/A</v>
      </c>
      <c r="F386" s="40"/>
      <c r="G386" s="40"/>
      <c r="H386" s="40"/>
      <c r="I386" s="100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>
      <c r="A387" s="40"/>
      <c r="B387" s="103"/>
      <c r="C387" s="40" t="str">
        <f>VLOOKUP(B387,Sheet3!$B$2:$E$312,2,FALSE)</f>
        <v>#N/A</v>
      </c>
      <c r="D387" s="40" t="str">
        <f>VLOOKUP(B387,Sheet3!$B$2:$E$312,3,)</f>
        <v>#N/A</v>
      </c>
      <c r="E387" s="40" t="str">
        <f>VLOOKUP(B387,Sheet3!$B$2:$E$312,4,)</f>
        <v>#N/A</v>
      </c>
      <c r="F387" s="40"/>
      <c r="G387" s="40"/>
      <c r="H387" s="40"/>
      <c r="I387" s="100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>
      <c r="A388" s="40"/>
      <c r="B388" s="103"/>
      <c r="C388" s="40" t="str">
        <f>VLOOKUP(B388,Sheet3!$B$2:$E$312,2,FALSE)</f>
        <v>#N/A</v>
      </c>
      <c r="D388" s="40" t="str">
        <f>VLOOKUP(B388,Sheet3!$B$2:$E$312,3,)</f>
        <v>#N/A</v>
      </c>
      <c r="E388" s="40" t="str">
        <f>VLOOKUP(B388,Sheet3!$B$2:$E$312,4,)</f>
        <v>#N/A</v>
      </c>
      <c r="F388" s="40"/>
      <c r="G388" s="40"/>
      <c r="H388" s="40"/>
      <c r="I388" s="100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>
      <c r="A389" s="40"/>
      <c r="B389" s="103"/>
      <c r="C389" s="40" t="str">
        <f>VLOOKUP(B389,Sheet3!$B$2:$E$312,2,FALSE)</f>
        <v>#N/A</v>
      </c>
      <c r="D389" s="40" t="str">
        <f>VLOOKUP(B389,Sheet3!$B$2:$E$312,3,)</f>
        <v>#N/A</v>
      </c>
      <c r="E389" s="40" t="str">
        <f>VLOOKUP(B389,Sheet3!$B$2:$E$312,4,)</f>
        <v>#N/A</v>
      </c>
      <c r="F389" s="40"/>
      <c r="G389" s="40"/>
      <c r="H389" s="40"/>
      <c r="I389" s="100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>
      <c r="A390" s="40"/>
      <c r="B390" s="103"/>
      <c r="C390" s="40" t="str">
        <f>VLOOKUP(B390,Sheet3!$B$2:$E$312,2,FALSE)</f>
        <v>#N/A</v>
      </c>
      <c r="D390" s="40" t="str">
        <f>VLOOKUP(B390,Sheet3!$B$2:$E$312,3,)</f>
        <v>#N/A</v>
      </c>
      <c r="E390" s="40" t="str">
        <f>VLOOKUP(B390,Sheet3!$B$2:$E$312,4,)</f>
        <v>#N/A</v>
      </c>
      <c r="F390" s="40"/>
      <c r="G390" s="40"/>
      <c r="H390" s="40"/>
      <c r="I390" s="100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>
      <c r="A391" s="40"/>
      <c r="B391" s="103"/>
      <c r="C391" s="40" t="str">
        <f>VLOOKUP(B391,Sheet3!$B$2:$E$312,2,FALSE)</f>
        <v>#N/A</v>
      </c>
      <c r="D391" s="40" t="str">
        <f>VLOOKUP(B391,Sheet3!$B$2:$E$312,3,)</f>
        <v>#N/A</v>
      </c>
      <c r="E391" s="40" t="str">
        <f>VLOOKUP(B391,Sheet3!$B$2:$E$312,4,)</f>
        <v>#N/A</v>
      </c>
      <c r="F391" s="40"/>
      <c r="G391" s="40"/>
      <c r="H391" s="40"/>
      <c r="I391" s="100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>
      <c r="A392" s="40"/>
      <c r="B392" s="103"/>
      <c r="C392" s="40" t="str">
        <f>VLOOKUP(B392,Sheet3!$B$2:$E$312,2,FALSE)</f>
        <v>#N/A</v>
      </c>
      <c r="D392" s="40" t="str">
        <f>VLOOKUP(B392,Sheet3!$B$2:$E$312,3,)</f>
        <v>#N/A</v>
      </c>
      <c r="E392" s="40" t="str">
        <f>VLOOKUP(B392,Sheet3!$B$2:$E$312,4,)</f>
        <v>#N/A</v>
      </c>
      <c r="F392" s="40"/>
      <c r="G392" s="40"/>
      <c r="H392" s="40"/>
      <c r="I392" s="100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>
      <c r="A393" s="40"/>
      <c r="B393" s="103"/>
      <c r="C393" s="40" t="str">
        <f>VLOOKUP(B393,Sheet3!$B$2:$E$312,2,FALSE)</f>
        <v>#N/A</v>
      </c>
      <c r="D393" s="40" t="str">
        <f>VLOOKUP(B393,Sheet3!$B$2:$E$312,3,)</f>
        <v>#N/A</v>
      </c>
      <c r="E393" s="40" t="str">
        <f>VLOOKUP(B393,Sheet3!$B$2:$E$312,4,)</f>
        <v>#N/A</v>
      </c>
      <c r="F393" s="40"/>
      <c r="G393" s="40"/>
      <c r="H393" s="40"/>
      <c r="I393" s="100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>
      <c r="A394" s="40"/>
      <c r="B394" s="103"/>
      <c r="C394" s="40" t="str">
        <f>VLOOKUP(B394,Sheet3!$B$2:$E$312,2,FALSE)</f>
        <v>#N/A</v>
      </c>
      <c r="D394" s="40" t="str">
        <f>VLOOKUP(B394,Sheet3!$B$2:$E$312,3,)</f>
        <v>#N/A</v>
      </c>
      <c r="E394" s="40" t="str">
        <f>VLOOKUP(B394,Sheet3!$B$2:$E$312,4,)</f>
        <v>#N/A</v>
      </c>
      <c r="F394" s="40"/>
      <c r="G394" s="40"/>
      <c r="H394" s="40"/>
      <c r="I394" s="100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>
      <c r="A395" s="40"/>
      <c r="B395" s="103"/>
      <c r="C395" s="40" t="str">
        <f>VLOOKUP(B395,Sheet3!$B$2:$E$312,2,FALSE)</f>
        <v>#N/A</v>
      </c>
      <c r="D395" s="40" t="str">
        <f>VLOOKUP(B395,Sheet3!$B$2:$E$312,3,)</f>
        <v>#N/A</v>
      </c>
      <c r="E395" s="40" t="str">
        <f>VLOOKUP(B395,Sheet3!$B$2:$E$312,4,)</f>
        <v>#N/A</v>
      </c>
      <c r="F395" s="40"/>
      <c r="G395" s="40"/>
      <c r="H395" s="40"/>
      <c r="I395" s="100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>
      <c r="A396" s="40"/>
      <c r="B396" s="103"/>
      <c r="C396" s="40" t="str">
        <f>VLOOKUP(B396,Sheet3!$B$2:$E$312,2,FALSE)</f>
        <v>#N/A</v>
      </c>
      <c r="D396" s="40" t="str">
        <f>VLOOKUP(B396,Sheet3!$B$2:$E$312,3,)</f>
        <v>#N/A</v>
      </c>
      <c r="E396" s="40" t="str">
        <f>VLOOKUP(B396,Sheet3!$B$2:$E$312,4,)</f>
        <v>#N/A</v>
      </c>
      <c r="F396" s="40"/>
      <c r="G396" s="40"/>
      <c r="H396" s="40"/>
      <c r="I396" s="100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>
      <c r="A397" s="40"/>
      <c r="B397" s="103"/>
      <c r="C397" s="40" t="str">
        <f>VLOOKUP(B397,Sheet3!$B$2:$E$312,2,FALSE)</f>
        <v>#N/A</v>
      </c>
      <c r="D397" s="40" t="str">
        <f>VLOOKUP(B397,Sheet3!$B$2:$E$312,3,)</f>
        <v>#N/A</v>
      </c>
      <c r="E397" s="40" t="str">
        <f>VLOOKUP(B397,Sheet3!$B$2:$E$312,4,)</f>
        <v>#N/A</v>
      </c>
      <c r="F397" s="40"/>
      <c r="G397" s="40"/>
      <c r="H397" s="40"/>
      <c r="I397" s="100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>
      <c r="A398" s="40"/>
      <c r="B398" s="103"/>
      <c r="C398" s="40" t="str">
        <f>VLOOKUP(B398,Sheet3!$B$2:$E$312,2,FALSE)</f>
        <v>#N/A</v>
      </c>
      <c r="D398" s="40" t="str">
        <f>VLOOKUP(B398,Sheet3!$B$2:$E$312,3,)</f>
        <v>#N/A</v>
      </c>
      <c r="E398" s="40" t="str">
        <f>VLOOKUP(B398,Sheet3!$B$2:$E$312,4,)</f>
        <v>#N/A</v>
      </c>
      <c r="F398" s="40"/>
      <c r="G398" s="40"/>
      <c r="H398" s="40"/>
      <c r="I398" s="100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>
      <c r="A399" s="40"/>
      <c r="B399" s="103"/>
      <c r="C399" s="40" t="str">
        <f>VLOOKUP(B399,Sheet3!$B$2:$E$312,2,FALSE)</f>
        <v>#N/A</v>
      </c>
      <c r="D399" s="40" t="str">
        <f>VLOOKUP(B399,Sheet3!$B$2:$E$312,3,)</f>
        <v>#N/A</v>
      </c>
      <c r="E399" s="40" t="str">
        <f>VLOOKUP(B399,Sheet3!$B$2:$E$312,4,)</f>
        <v>#N/A</v>
      </c>
      <c r="F399" s="40"/>
      <c r="G399" s="40"/>
      <c r="H399" s="40"/>
      <c r="I399" s="100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>
      <c r="A400" s="40"/>
      <c r="B400" s="103"/>
      <c r="C400" s="40" t="str">
        <f>VLOOKUP(B400,Sheet3!$B$2:$E$312,2,FALSE)</f>
        <v>#N/A</v>
      </c>
      <c r="D400" s="40" t="str">
        <f>VLOOKUP(B400,Sheet3!$B$2:$E$312,3,)</f>
        <v>#N/A</v>
      </c>
      <c r="E400" s="40" t="str">
        <f>VLOOKUP(B400,Sheet3!$B$2:$E$312,4,)</f>
        <v>#N/A</v>
      </c>
      <c r="F400" s="40"/>
      <c r="G400" s="40"/>
      <c r="H400" s="40"/>
      <c r="I400" s="100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>
      <c r="A401" s="40"/>
      <c r="B401" s="103"/>
      <c r="C401" s="40" t="str">
        <f>VLOOKUP(B401,Sheet3!$B$2:$E$312,2,FALSE)</f>
        <v>#N/A</v>
      </c>
      <c r="D401" s="40" t="str">
        <f>VLOOKUP(B401,Sheet3!$B$2:$E$312,3,)</f>
        <v>#N/A</v>
      </c>
      <c r="E401" s="40" t="str">
        <f>VLOOKUP(B401,Sheet3!$B$2:$E$312,4,)</f>
        <v>#N/A</v>
      </c>
      <c r="F401" s="40"/>
      <c r="G401" s="40"/>
      <c r="H401" s="40"/>
      <c r="I401" s="100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>
      <c r="A402" s="40"/>
      <c r="B402" s="103"/>
      <c r="C402" s="40" t="str">
        <f>VLOOKUP(B402,Sheet3!$B$2:$E$312,2,FALSE)</f>
        <v>#N/A</v>
      </c>
      <c r="D402" s="40" t="str">
        <f>VLOOKUP(B402,Sheet3!$B$2:$E$312,3,)</f>
        <v>#N/A</v>
      </c>
      <c r="E402" s="40" t="str">
        <f>VLOOKUP(B402,Sheet3!$B$2:$E$312,4,)</f>
        <v>#N/A</v>
      </c>
      <c r="F402" s="40"/>
      <c r="G402" s="40"/>
      <c r="H402" s="40"/>
      <c r="I402" s="100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>
      <c r="A403" s="40"/>
      <c r="B403" s="103"/>
      <c r="C403" s="40" t="str">
        <f>VLOOKUP(B403,Sheet3!$B$2:$E$312,2,FALSE)</f>
        <v>#N/A</v>
      </c>
      <c r="D403" s="40" t="str">
        <f>VLOOKUP(B403,Sheet3!$B$2:$E$312,3,)</f>
        <v>#N/A</v>
      </c>
      <c r="E403" s="40" t="str">
        <f>VLOOKUP(B403,Sheet3!$B$2:$E$312,4,)</f>
        <v>#N/A</v>
      </c>
      <c r="F403" s="40"/>
      <c r="G403" s="40"/>
      <c r="H403" s="40"/>
      <c r="I403" s="100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>
      <c r="A404" s="40"/>
      <c r="B404" s="103"/>
      <c r="C404" s="40" t="str">
        <f>VLOOKUP(B404,Sheet3!$B$2:$E$312,2,FALSE)</f>
        <v>#N/A</v>
      </c>
      <c r="D404" s="40" t="str">
        <f>VLOOKUP(B404,Sheet3!$B$2:$E$312,3,)</f>
        <v>#N/A</v>
      </c>
      <c r="E404" s="40" t="str">
        <f>VLOOKUP(B404,Sheet3!$B$2:$E$312,4,)</f>
        <v>#N/A</v>
      </c>
      <c r="F404" s="40"/>
      <c r="G404" s="40"/>
      <c r="H404" s="40"/>
      <c r="I404" s="100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>
      <c r="A405" s="40"/>
      <c r="B405" s="103"/>
      <c r="C405" s="40" t="str">
        <f>VLOOKUP(B405,Sheet3!$B$2:$E$312,2,FALSE)</f>
        <v>#N/A</v>
      </c>
      <c r="D405" s="40" t="str">
        <f>VLOOKUP(B405,Sheet3!$B$2:$E$312,3,)</f>
        <v>#N/A</v>
      </c>
      <c r="E405" s="40" t="str">
        <f>VLOOKUP(B405,Sheet3!$B$2:$E$312,4,)</f>
        <v>#N/A</v>
      </c>
      <c r="F405" s="40"/>
      <c r="G405" s="40"/>
      <c r="H405" s="40"/>
      <c r="I405" s="100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>
      <c r="A406" s="40"/>
      <c r="B406" s="103"/>
      <c r="C406" s="40" t="str">
        <f>VLOOKUP(B406,Sheet3!$B$2:$E$312,2,FALSE)</f>
        <v>#N/A</v>
      </c>
      <c r="D406" s="40" t="str">
        <f>VLOOKUP(B406,Sheet3!$B$2:$E$312,3,)</f>
        <v>#N/A</v>
      </c>
      <c r="E406" s="40" t="str">
        <f>VLOOKUP(B406,Sheet3!$B$2:$E$312,4,)</f>
        <v>#N/A</v>
      </c>
      <c r="F406" s="40"/>
      <c r="G406" s="40"/>
      <c r="H406" s="40"/>
      <c r="I406" s="100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>
      <c r="A407" s="40"/>
      <c r="B407" s="103"/>
      <c r="C407" s="40" t="str">
        <f>VLOOKUP(B407,Sheet3!$B$2:$E$312,2,FALSE)</f>
        <v>#N/A</v>
      </c>
      <c r="D407" s="40" t="str">
        <f>VLOOKUP(B407,Sheet3!$B$2:$E$312,3,)</f>
        <v>#N/A</v>
      </c>
      <c r="E407" s="40" t="str">
        <f>VLOOKUP(B407,Sheet3!$B$2:$E$312,4,)</f>
        <v>#N/A</v>
      </c>
      <c r="F407" s="40"/>
      <c r="G407" s="40"/>
      <c r="H407" s="40"/>
      <c r="I407" s="100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>
      <c r="A408" s="40"/>
      <c r="B408" s="103"/>
      <c r="C408" s="40" t="str">
        <f>VLOOKUP(B408,Sheet3!$B$2:$E$312,2,FALSE)</f>
        <v>#N/A</v>
      </c>
      <c r="D408" s="40" t="str">
        <f>VLOOKUP(B408,Sheet3!$B$2:$E$312,3,)</f>
        <v>#N/A</v>
      </c>
      <c r="E408" s="40" t="str">
        <f>VLOOKUP(B408,Sheet3!$B$2:$E$312,4,)</f>
        <v>#N/A</v>
      </c>
      <c r="F408" s="40"/>
      <c r="G408" s="40"/>
      <c r="H408" s="40"/>
      <c r="I408" s="100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>
      <c r="A409" s="40"/>
      <c r="B409" s="103"/>
      <c r="C409" s="40" t="str">
        <f>VLOOKUP(B409,Sheet3!$B$2:$E$312,2,FALSE)</f>
        <v>#N/A</v>
      </c>
      <c r="D409" s="40" t="str">
        <f>VLOOKUP(B409,Sheet3!$B$2:$E$312,3,)</f>
        <v>#N/A</v>
      </c>
      <c r="E409" s="40" t="str">
        <f>VLOOKUP(B409,Sheet3!$B$2:$E$312,4,)</f>
        <v>#N/A</v>
      </c>
      <c r="F409" s="40"/>
      <c r="G409" s="40"/>
      <c r="H409" s="40"/>
      <c r="I409" s="100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>
      <c r="A410" s="40"/>
      <c r="B410" s="103"/>
      <c r="C410" s="40" t="str">
        <f>VLOOKUP(B410,Sheet3!$B$2:$E$312,2,FALSE)</f>
        <v>#N/A</v>
      </c>
      <c r="D410" s="40" t="str">
        <f>VLOOKUP(B410,Sheet3!$B$2:$E$312,3,)</f>
        <v>#N/A</v>
      </c>
      <c r="E410" s="40" t="str">
        <f>VLOOKUP(B410,Sheet3!$B$2:$E$312,4,)</f>
        <v>#N/A</v>
      </c>
      <c r="F410" s="40"/>
      <c r="G410" s="40"/>
      <c r="H410" s="40"/>
      <c r="I410" s="100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>
      <c r="A411" s="40"/>
      <c r="B411" s="103"/>
      <c r="C411" s="40" t="str">
        <f>VLOOKUP(B411,Sheet3!$B$2:$E$312,2,FALSE)</f>
        <v>#N/A</v>
      </c>
      <c r="D411" s="40" t="str">
        <f>VLOOKUP(B411,Sheet3!$B$2:$E$312,3,)</f>
        <v>#N/A</v>
      </c>
      <c r="E411" s="40" t="str">
        <f>VLOOKUP(B411,Sheet3!$B$2:$E$312,4,)</f>
        <v>#N/A</v>
      </c>
      <c r="F411" s="40"/>
      <c r="G411" s="40"/>
      <c r="H411" s="40"/>
      <c r="I411" s="100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>
      <c r="A412" s="40"/>
      <c r="B412" s="103"/>
      <c r="C412" s="40" t="str">
        <f>VLOOKUP(B412,Sheet3!$B$2:$E$312,2,FALSE)</f>
        <v>#N/A</v>
      </c>
      <c r="D412" s="40" t="str">
        <f>VLOOKUP(B412,Sheet3!$B$2:$E$312,3,)</f>
        <v>#N/A</v>
      </c>
      <c r="E412" s="40" t="str">
        <f>VLOOKUP(B412,Sheet3!$B$2:$E$312,4,)</f>
        <v>#N/A</v>
      </c>
      <c r="F412" s="40"/>
      <c r="G412" s="40"/>
      <c r="H412" s="40"/>
      <c r="I412" s="100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>
      <c r="A413" s="40"/>
      <c r="B413" s="103"/>
      <c r="C413" s="40" t="str">
        <f>VLOOKUP(B413,Sheet3!$B$2:$E$312,2,FALSE)</f>
        <v>#N/A</v>
      </c>
      <c r="D413" s="40" t="str">
        <f>VLOOKUP(B413,Sheet3!$B$2:$E$312,3,)</f>
        <v>#N/A</v>
      </c>
      <c r="E413" s="40" t="str">
        <f>VLOOKUP(B413,Sheet3!$B$2:$E$312,4,)</f>
        <v>#N/A</v>
      </c>
      <c r="F413" s="40"/>
      <c r="G413" s="40"/>
      <c r="H413" s="40"/>
      <c r="I413" s="100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>
      <c r="A414" s="40"/>
      <c r="B414" s="103"/>
      <c r="C414" s="40" t="str">
        <f>VLOOKUP(B414,Sheet3!$B$2:$E$312,2,FALSE)</f>
        <v>#N/A</v>
      </c>
      <c r="D414" s="40" t="str">
        <f>VLOOKUP(B414,Sheet3!$B$2:$E$312,3,)</f>
        <v>#N/A</v>
      </c>
      <c r="E414" s="40" t="str">
        <f>VLOOKUP(B414,Sheet3!$B$2:$E$312,4,)</f>
        <v>#N/A</v>
      </c>
      <c r="F414" s="40"/>
      <c r="G414" s="40"/>
      <c r="H414" s="40"/>
      <c r="I414" s="100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>
      <c r="A415" s="40"/>
      <c r="B415" s="103"/>
      <c r="C415" s="40" t="str">
        <f>VLOOKUP(B415,Sheet3!$B$2:$E$312,2,FALSE)</f>
        <v>#N/A</v>
      </c>
      <c r="D415" s="40" t="str">
        <f>VLOOKUP(B415,Sheet3!$B$2:$E$312,3,)</f>
        <v>#N/A</v>
      </c>
      <c r="E415" s="40" t="str">
        <f>VLOOKUP(B415,Sheet3!$B$2:$E$312,4,)</f>
        <v>#N/A</v>
      </c>
      <c r="F415" s="40"/>
      <c r="G415" s="40"/>
      <c r="H415" s="40"/>
      <c r="I415" s="100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>
      <c r="A416" s="40"/>
      <c r="B416" s="103"/>
      <c r="C416" s="40" t="str">
        <f>VLOOKUP(B416,Sheet3!$B$2:$E$312,2,FALSE)</f>
        <v>#N/A</v>
      </c>
      <c r="D416" s="40" t="str">
        <f>VLOOKUP(B416,Sheet3!$B$2:$E$312,3,)</f>
        <v>#N/A</v>
      </c>
      <c r="E416" s="40" t="str">
        <f>VLOOKUP(B416,Sheet3!$B$2:$E$312,4,)</f>
        <v>#N/A</v>
      </c>
      <c r="F416" s="40"/>
      <c r="G416" s="40"/>
      <c r="H416" s="40"/>
      <c r="I416" s="100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>
      <c r="A417" s="40"/>
      <c r="B417" s="103"/>
      <c r="C417" s="40" t="str">
        <f>VLOOKUP(B417,Sheet3!$B$2:$E$312,2,FALSE)</f>
        <v>#N/A</v>
      </c>
      <c r="D417" s="40" t="str">
        <f>VLOOKUP(B417,Sheet3!$B$2:$E$312,3,)</f>
        <v>#N/A</v>
      </c>
      <c r="E417" s="40" t="str">
        <f>VLOOKUP(B417,Sheet3!$B$2:$E$312,4,)</f>
        <v>#N/A</v>
      </c>
      <c r="F417" s="40"/>
      <c r="G417" s="40"/>
      <c r="H417" s="40"/>
      <c r="I417" s="100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>
      <c r="A418" s="40"/>
      <c r="B418" s="103"/>
      <c r="C418" s="40" t="str">
        <f>VLOOKUP(B418,Sheet3!$B$2:$E$312,2,FALSE)</f>
        <v>#N/A</v>
      </c>
      <c r="D418" s="40" t="str">
        <f>VLOOKUP(B418,Sheet3!$B$2:$E$312,3,)</f>
        <v>#N/A</v>
      </c>
      <c r="E418" s="40" t="str">
        <f>VLOOKUP(B418,Sheet3!$B$2:$E$312,4,)</f>
        <v>#N/A</v>
      </c>
      <c r="F418" s="40"/>
      <c r="G418" s="40"/>
      <c r="H418" s="40"/>
      <c r="I418" s="100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>
      <c r="A419" s="40"/>
      <c r="B419" s="103"/>
      <c r="C419" s="40" t="str">
        <f>VLOOKUP(B419,Sheet3!$B$2:$E$312,2,FALSE)</f>
        <v>#N/A</v>
      </c>
      <c r="D419" s="40" t="str">
        <f>VLOOKUP(B419,Sheet3!$B$2:$E$312,3,)</f>
        <v>#N/A</v>
      </c>
      <c r="E419" s="40" t="str">
        <f>VLOOKUP(B419,Sheet3!$B$2:$E$312,4,)</f>
        <v>#N/A</v>
      </c>
      <c r="F419" s="40"/>
      <c r="G419" s="40"/>
      <c r="H419" s="40"/>
      <c r="I419" s="100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>
      <c r="A420" s="40"/>
      <c r="B420" s="103"/>
      <c r="C420" s="40" t="str">
        <f>VLOOKUP(B420,Sheet3!$B$2:$E$312,2,FALSE)</f>
        <v>#N/A</v>
      </c>
      <c r="D420" s="40" t="str">
        <f>VLOOKUP(B420,Sheet3!$B$2:$E$312,3,)</f>
        <v>#N/A</v>
      </c>
      <c r="E420" s="40" t="str">
        <f>VLOOKUP(B420,Sheet3!$B$2:$E$312,4,)</f>
        <v>#N/A</v>
      </c>
      <c r="F420" s="40"/>
      <c r="G420" s="40"/>
      <c r="H420" s="40"/>
      <c r="I420" s="100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>
      <c r="A421" s="40"/>
      <c r="B421" s="103"/>
      <c r="C421" s="40" t="str">
        <f>VLOOKUP(B421,Sheet3!$B$2:$E$312,2,FALSE)</f>
        <v>#N/A</v>
      </c>
      <c r="D421" s="40" t="str">
        <f>VLOOKUP(B421,Sheet3!$B$2:$E$312,3,)</f>
        <v>#N/A</v>
      </c>
      <c r="E421" s="40" t="str">
        <f>VLOOKUP(B421,Sheet3!$B$2:$E$312,4,)</f>
        <v>#N/A</v>
      </c>
      <c r="F421" s="40"/>
      <c r="G421" s="40"/>
      <c r="H421" s="40"/>
      <c r="I421" s="100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>
      <c r="A422" s="40"/>
      <c r="B422" s="103"/>
      <c r="C422" s="40" t="str">
        <f>VLOOKUP(B422,Sheet3!$B$2:$E$312,2,FALSE)</f>
        <v>#N/A</v>
      </c>
      <c r="D422" s="40" t="str">
        <f>VLOOKUP(B422,Sheet3!$B$2:$E$312,3,)</f>
        <v>#N/A</v>
      </c>
      <c r="E422" s="40" t="str">
        <f>VLOOKUP(B422,Sheet3!$B$2:$E$312,4,)</f>
        <v>#N/A</v>
      </c>
      <c r="F422" s="40"/>
      <c r="G422" s="40"/>
      <c r="H422" s="40"/>
      <c r="I422" s="100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>
      <c r="A423" s="40"/>
      <c r="B423" s="103"/>
      <c r="C423" s="40" t="str">
        <f>VLOOKUP(B423,Sheet3!$B$2:$E$312,2,FALSE)</f>
        <v>#N/A</v>
      </c>
      <c r="D423" s="40" t="str">
        <f>VLOOKUP(B423,Sheet3!$B$2:$E$312,3,)</f>
        <v>#N/A</v>
      </c>
      <c r="E423" s="40" t="str">
        <f>VLOOKUP(B423,Sheet3!$B$2:$E$312,4,)</f>
        <v>#N/A</v>
      </c>
      <c r="F423" s="40"/>
      <c r="G423" s="40"/>
      <c r="H423" s="40"/>
      <c r="I423" s="100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>
      <c r="A424" s="40"/>
      <c r="B424" s="103"/>
      <c r="C424" s="40" t="str">
        <f>VLOOKUP(B424,Sheet3!$B$2:$E$312,2,FALSE)</f>
        <v>#N/A</v>
      </c>
      <c r="D424" s="40" t="str">
        <f>VLOOKUP(B424,Sheet3!$B$2:$E$312,3,)</f>
        <v>#N/A</v>
      </c>
      <c r="E424" s="40" t="str">
        <f>VLOOKUP(B424,Sheet3!$B$2:$E$312,4,)</f>
        <v>#N/A</v>
      </c>
      <c r="F424" s="40"/>
      <c r="G424" s="40"/>
      <c r="H424" s="40"/>
      <c r="I424" s="100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>
      <c r="A425" s="40"/>
      <c r="B425" s="103"/>
      <c r="C425" s="40" t="str">
        <f>VLOOKUP(B425,Sheet3!$B$2:$E$312,2,FALSE)</f>
        <v>#N/A</v>
      </c>
      <c r="D425" s="40" t="str">
        <f>VLOOKUP(B425,Sheet3!$B$2:$E$312,3,)</f>
        <v>#N/A</v>
      </c>
      <c r="E425" s="40" t="str">
        <f>VLOOKUP(B425,Sheet3!$B$2:$E$312,4,)</f>
        <v>#N/A</v>
      </c>
      <c r="F425" s="40"/>
      <c r="G425" s="40"/>
      <c r="H425" s="40"/>
      <c r="I425" s="100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>
      <c r="A426" s="40"/>
      <c r="B426" s="103"/>
      <c r="C426" s="40" t="str">
        <f>VLOOKUP(B426,Sheet3!$B$2:$E$312,2,FALSE)</f>
        <v>#N/A</v>
      </c>
      <c r="D426" s="40" t="str">
        <f>VLOOKUP(B426,Sheet3!$B$2:$E$312,3,)</f>
        <v>#N/A</v>
      </c>
      <c r="E426" s="40" t="str">
        <f>VLOOKUP(B426,Sheet3!$B$2:$E$312,4,)</f>
        <v>#N/A</v>
      </c>
      <c r="F426" s="40"/>
      <c r="G426" s="40"/>
      <c r="H426" s="40"/>
      <c r="I426" s="100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>
      <c r="A427" s="40"/>
      <c r="B427" s="103"/>
      <c r="C427" s="40" t="str">
        <f>VLOOKUP(B427,Sheet3!$B$2:$E$312,2,FALSE)</f>
        <v>#N/A</v>
      </c>
      <c r="D427" s="40" t="str">
        <f>VLOOKUP(B427,Sheet3!$B$2:$E$312,3,)</f>
        <v>#N/A</v>
      </c>
      <c r="E427" s="40" t="str">
        <f>VLOOKUP(B427,Sheet3!$B$2:$E$312,4,)</f>
        <v>#N/A</v>
      </c>
      <c r="F427" s="40"/>
      <c r="G427" s="40"/>
      <c r="H427" s="40"/>
      <c r="I427" s="100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>
      <c r="A428" s="40"/>
      <c r="B428" s="103"/>
      <c r="C428" s="40" t="str">
        <f>VLOOKUP(B428,Sheet3!$B$2:$E$312,2,FALSE)</f>
        <v>#N/A</v>
      </c>
      <c r="D428" s="40" t="str">
        <f>VLOOKUP(B428,Sheet3!$B$2:$E$312,3,)</f>
        <v>#N/A</v>
      </c>
      <c r="E428" s="40" t="str">
        <f>VLOOKUP(B428,Sheet3!$B$2:$E$312,4,)</f>
        <v>#N/A</v>
      </c>
      <c r="F428" s="40"/>
      <c r="G428" s="40"/>
      <c r="H428" s="40"/>
      <c r="I428" s="100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>
      <c r="A429" s="40"/>
      <c r="B429" s="103"/>
      <c r="C429" s="40" t="str">
        <f>VLOOKUP(B429,Sheet3!$B$2:$E$312,2,FALSE)</f>
        <v>#N/A</v>
      </c>
      <c r="D429" s="40" t="str">
        <f>VLOOKUP(B429,Sheet3!$B$2:$E$312,3,)</f>
        <v>#N/A</v>
      </c>
      <c r="E429" s="40" t="str">
        <f>VLOOKUP(B429,Sheet3!$B$2:$E$312,4,)</f>
        <v>#N/A</v>
      </c>
      <c r="F429" s="40"/>
      <c r="G429" s="40"/>
      <c r="H429" s="40"/>
      <c r="I429" s="100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>
      <c r="A430" s="40"/>
      <c r="B430" s="103"/>
      <c r="C430" s="40" t="str">
        <f>VLOOKUP(B430,Sheet3!$B$2:$E$312,2,FALSE)</f>
        <v>#N/A</v>
      </c>
      <c r="D430" s="40" t="str">
        <f>VLOOKUP(B430,Sheet3!$B$2:$E$312,3,)</f>
        <v>#N/A</v>
      </c>
      <c r="E430" s="40" t="str">
        <f>VLOOKUP(B430,Sheet3!$B$2:$E$312,4,)</f>
        <v>#N/A</v>
      </c>
      <c r="F430" s="40"/>
      <c r="G430" s="40"/>
      <c r="H430" s="40"/>
      <c r="I430" s="100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>
      <c r="A431" s="40"/>
      <c r="B431" s="103"/>
      <c r="C431" s="40" t="str">
        <f>VLOOKUP(B431,Sheet3!$B$2:$E$312,2,FALSE)</f>
        <v>#N/A</v>
      </c>
      <c r="D431" s="40" t="str">
        <f>VLOOKUP(B431,Sheet3!$B$2:$E$312,3,)</f>
        <v>#N/A</v>
      </c>
      <c r="E431" s="40" t="str">
        <f>VLOOKUP(B431,Sheet3!$B$2:$E$312,4,)</f>
        <v>#N/A</v>
      </c>
      <c r="F431" s="40"/>
      <c r="G431" s="40"/>
      <c r="H431" s="40"/>
      <c r="I431" s="100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>
      <c r="A432" s="40"/>
      <c r="B432" s="103"/>
      <c r="C432" s="40" t="str">
        <f>VLOOKUP(B432,Sheet3!$B$2:$E$312,2,FALSE)</f>
        <v>#N/A</v>
      </c>
      <c r="D432" s="40" t="str">
        <f>VLOOKUP(B432,Sheet3!$B$2:$E$312,3,)</f>
        <v>#N/A</v>
      </c>
      <c r="E432" s="40" t="str">
        <f>VLOOKUP(B432,Sheet3!$B$2:$E$312,4,)</f>
        <v>#N/A</v>
      </c>
      <c r="F432" s="40"/>
      <c r="G432" s="40"/>
      <c r="H432" s="40"/>
      <c r="I432" s="100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>
      <c r="A433" s="40"/>
      <c r="B433" s="103"/>
      <c r="C433" s="40" t="str">
        <f>VLOOKUP(B433,Sheet3!$B$2:$E$312,2,FALSE)</f>
        <v>#N/A</v>
      </c>
      <c r="D433" s="40" t="str">
        <f>VLOOKUP(B433,Sheet3!$B$2:$E$312,3,)</f>
        <v>#N/A</v>
      </c>
      <c r="E433" s="40" t="str">
        <f>VLOOKUP(B433,Sheet3!$B$2:$E$312,4,)</f>
        <v>#N/A</v>
      </c>
      <c r="F433" s="40"/>
      <c r="G433" s="40"/>
      <c r="H433" s="40"/>
      <c r="I433" s="100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>
      <c r="A434" s="40"/>
      <c r="B434" s="103"/>
      <c r="C434" s="40" t="str">
        <f>VLOOKUP(B434,Sheet3!$B$2:$E$312,2,FALSE)</f>
        <v>#N/A</v>
      </c>
      <c r="D434" s="40" t="str">
        <f>VLOOKUP(B434,Sheet3!$B$2:$E$312,3,)</f>
        <v>#N/A</v>
      </c>
      <c r="E434" s="40" t="str">
        <f>VLOOKUP(B434,Sheet3!$B$2:$E$312,4,)</f>
        <v>#N/A</v>
      </c>
      <c r="F434" s="40"/>
      <c r="G434" s="40"/>
      <c r="H434" s="40"/>
      <c r="I434" s="100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>
      <c r="A435" s="40"/>
      <c r="B435" s="103"/>
      <c r="C435" s="40" t="str">
        <f>VLOOKUP(B435,Sheet3!$B$2:$E$312,2,FALSE)</f>
        <v>#N/A</v>
      </c>
      <c r="D435" s="40" t="str">
        <f>VLOOKUP(B435,Sheet3!$B$2:$E$312,3,)</f>
        <v>#N/A</v>
      </c>
      <c r="E435" s="40" t="str">
        <f>VLOOKUP(B435,Sheet3!$B$2:$E$312,4,)</f>
        <v>#N/A</v>
      </c>
      <c r="F435" s="40"/>
      <c r="G435" s="40"/>
      <c r="H435" s="40"/>
      <c r="I435" s="100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>
      <c r="A436" s="40"/>
      <c r="B436" s="103"/>
      <c r="C436" s="40" t="str">
        <f>VLOOKUP(B436,Sheet3!$B$2:$E$312,2,FALSE)</f>
        <v>#N/A</v>
      </c>
      <c r="D436" s="40" t="str">
        <f>VLOOKUP(B436,Sheet3!$B$2:$E$312,3,)</f>
        <v>#N/A</v>
      </c>
      <c r="E436" s="40" t="str">
        <f>VLOOKUP(B436,Sheet3!$B$2:$E$312,4,)</f>
        <v>#N/A</v>
      </c>
      <c r="F436" s="40"/>
      <c r="G436" s="40"/>
      <c r="H436" s="40"/>
      <c r="I436" s="100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>
      <c r="A437" s="40"/>
      <c r="B437" s="103"/>
      <c r="C437" s="40" t="str">
        <f>VLOOKUP(B437,Sheet3!$B$2:$E$312,2,FALSE)</f>
        <v>#N/A</v>
      </c>
      <c r="D437" s="40" t="str">
        <f>VLOOKUP(B437,Sheet3!$B$2:$E$312,3,)</f>
        <v>#N/A</v>
      </c>
      <c r="E437" s="40" t="str">
        <f>VLOOKUP(B437,Sheet3!$B$2:$E$312,4,)</f>
        <v>#N/A</v>
      </c>
      <c r="F437" s="40"/>
      <c r="G437" s="40"/>
      <c r="H437" s="40"/>
      <c r="I437" s="100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>
      <c r="A438" s="40"/>
      <c r="B438" s="103"/>
      <c r="C438" s="40" t="str">
        <f>VLOOKUP(B438,Sheet3!$B$2:$E$312,2,FALSE)</f>
        <v>#N/A</v>
      </c>
      <c r="D438" s="40" t="str">
        <f>VLOOKUP(B438,Sheet3!$B$2:$E$312,3,)</f>
        <v>#N/A</v>
      </c>
      <c r="E438" s="40" t="str">
        <f>VLOOKUP(B438,Sheet3!$B$2:$E$312,4,)</f>
        <v>#N/A</v>
      </c>
      <c r="F438" s="40"/>
      <c r="G438" s="40"/>
      <c r="H438" s="40"/>
      <c r="I438" s="100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>
      <c r="A439" s="40"/>
      <c r="B439" s="103"/>
      <c r="C439" s="40" t="str">
        <f>VLOOKUP(B439,Sheet3!$B$2:$E$312,2,FALSE)</f>
        <v>#N/A</v>
      </c>
      <c r="D439" s="40" t="str">
        <f>VLOOKUP(B439,Sheet3!$B$2:$E$312,3,)</f>
        <v>#N/A</v>
      </c>
      <c r="E439" s="40" t="str">
        <f>VLOOKUP(B439,Sheet3!$B$2:$E$312,4,)</f>
        <v>#N/A</v>
      </c>
      <c r="F439" s="40"/>
      <c r="G439" s="40"/>
      <c r="H439" s="40"/>
      <c r="I439" s="100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>
      <c r="A440" s="40"/>
      <c r="B440" s="103"/>
      <c r="C440" s="40" t="str">
        <f>VLOOKUP(B440,Sheet3!$B$2:$E$312,2,FALSE)</f>
        <v>#N/A</v>
      </c>
      <c r="D440" s="40" t="str">
        <f>VLOOKUP(B440,Sheet3!$B$2:$E$312,3,)</f>
        <v>#N/A</v>
      </c>
      <c r="E440" s="40" t="str">
        <f>VLOOKUP(B440,Sheet3!$B$2:$E$312,4,)</f>
        <v>#N/A</v>
      </c>
      <c r="F440" s="40"/>
      <c r="G440" s="40"/>
      <c r="H440" s="40"/>
      <c r="I440" s="100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>
      <c r="A441" s="40"/>
      <c r="B441" s="103"/>
      <c r="C441" s="40" t="str">
        <f>VLOOKUP(B441,Sheet3!$B$2:$E$312,2,FALSE)</f>
        <v>#N/A</v>
      </c>
      <c r="D441" s="40" t="str">
        <f>VLOOKUP(B441,Sheet3!$B$2:$E$312,3,)</f>
        <v>#N/A</v>
      </c>
      <c r="E441" s="40" t="str">
        <f>VLOOKUP(B441,Sheet3!$B$2:$E$312,4,)</f>
        <v>#N/A</v>
      </c>
      <c r="F441" s="40"/>
      <c r="G441" s="40"/>
      <c r="H441" s="40"/>
      <c r="I441" s="100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>
      <c r="A442" s="40"/>
      <c r="B442" s="103"/>
      <c r="C442" s="40" t="str">
        <f>VLOOKUP(B442,Sheet3!$B$2:$E$312,2,FALSE)</f>
        <v>#N/A</v>
      </c>
      <c r="D442" s="40" t="str">
        <f>VLOOKUP(B442,Sheet3!$B$2:$E$312,3,)</f>
        <v>#N/A</v>
      </c>
      <c r="E442" s="40" t="str">
        <f>VLOOKUP(B442,Sheet3!$B$2:$E$312,4,)</f>
        <v>#N/A</v>
      </c>
      <c r="F442" s="40"/>
      <c r="G442" s="40"/>
      <c r="H442" s="40"/>
      <c r="I442" s="100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>
      <c r="A443" s="40"/>
      <c r="B443" s="103"/>
      <c r="C443" s="40" t="str">
        <f>VLOOKUP(B443,Sheet3!$B$2:$E$312,2,FALSE)</f>
        <v>#N/A</v>
      </c>
      <c r="D443" s="40" t="str">
        <f>VLOOKUP(B443,Sheet3!$B$2:$E$312,3,)</f>
        <v>#N/A</v>
      </c>
      <c r="E443" s="40" t="str">
        <f>VLOOKUP(B443,Sheet3!$B$2:$E$312,4,)</f>
        <v>#N/A</v>
      </c>
      <c r="F443" s="40"/>
      <c r="G443" s="40"/>
      <c r="H443" s="40"/>
      <c r="I443" s="100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>
      <c r="A444" s="40"/>
      <c r="B444" s="103"/>
      <c r="C444" s="40" t="str">
        <f>VLOOKUP(B444,Sheet3!$B$2:$E$312,2,FALSE)</f>
        <v>#N/A</v>
      </c>
      <c r="D444" s="40" t="str">
        <f>VLOOKUP(B444,Sheet3!$B$2:$E$312,3,)</f>
        <v>#N/A</v>
      </c>
      <c r="E444" s="40" t="str">
        <f>VLOOKUP(B444,Sheet3!$B$2:$E$312,4,)</f>
        <v>#N/A</v>
      </c>
      <c r="F444" s="40"/>
      <c r="G444" s="40"/>
      <c r="H444" s="40"/>
      <c r="I444" s="100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>
      <c r="A445" s="40"/>
      <c r="B445" s="103"/>
      <c r="C445" s="40" t="str">
        <f>VLOOKUP(B445,Sheet3!$B$2:$E$312,2,FALSE)</f>
        <v>#N/A</v>
      </c>
      <c r="D445" s="40" t="str">
        <f>VLOOKUP(B445,Sheet3!$B$2:$E$312,3,)</f>
        <v>#N/A</v>
      </c>
      <c r="E445" s="40" t="str">
        <f>VLOOKUP(B445,Sheet3!$B$2:$E$312,4,)</f>
        <v>#N/A</v>
      </c>
      <c r="F445" s="40"/>
      <c r="G445" s="40"/>
      <c r="H445" s="40"/>
      <c r="I445" s="100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>
      <c r="A446" s="40"/>
      <c r="B446" s="103"/>
      <c r="C446" s="40" t="str">
        <f>VLOOKUP(B446,Sheet3!$B$2:$E$312,2,FALSE)</f>
        <v>#N/A</v>
      </c>
      <c r="D446" s="40" t="str">
        <f>VLOOKUP(B446,Sheet3!$B$2:$E$312,3,)</f>
        <v>#N/A</v>
      </c>
      <c r="E446" s="40" t="str">
        <f>VLOOKUP(B446,Sheet3!$B$2:$E$312,4,)</f>
        <v>#N/A</v>
      </c>
      <c r="F446" s="40"/>
      <c r="G446" s="40"/>
      <c r="H446" s="40"/>
      <c r="I446" s="100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>
      <c r="A447" s="40"/>
      <c r="B447" s="103"/>
      <c r="C447" s="40" t="str">
        <f>VLOOKUP(B447,Sheet3!$B$2:$E$312,2,FALSE)</f>
        <v>#N/A</v>
      </c>
      <c r="D447" s="40" t="str">
        <f>VLOOKUP(B447,Sheet3!$B$2:$E$312,3,)</f>
        <v>#N/A</v>
      </c>
      <c r="E447" s="40" t="str">
        <f>VLOOKUP(B447,Sheet3!$B$2:$E$312,4,)</f>
        <v>#N/A</v>
      </c>
      <c r="F447" s="40"/>
      <c r="G447" s="40"/>
      <c r="H447" s="40"/>
      <c r="I447" s="100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>
      <c r="A448" s="40"/>
      <c r="B448" s="103"/>
      <c r="C448" s="40" t="str">
        <f>VLOOKUP(B448,Sheet3!$B$2:$E$312,2,FALSE)</f>
        <v>#N/A</v>
      </c>
      <c r="D448" s="40" t="str">
        <f>VLOOKUP(B448,Sheet3!$B$2:$E$312,3,)</f>
        <v>#N/A</v>
      </c>
      <c r="E448" s="40" t="str">
        <f>VLOOKUP(B448,Sheet3!$B$2:$E$312,4,)</f>
        <v>#N/A</v>
      </c>
      <c r="F448" s="40"/>
      <c r="G448" s="40"/>
      <c r="H448" s="40"/>
      <c r="I448" s="100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>
      <c r="A449" s="40"/>
      <c r="B449" s="103"/>
      <c r="C449" s="40" t="str">
        <f>VLOOKUP(B449,Sheet3!$B$2:$E$312,2,FALSE)</f>
        <v>#N/A</v>
      </c>
      <c r="D449" s="40" t="str">
        <f>VLOOKUP(B449,Sheet3!$B$2:$E$312,3,)</f>
        <v>#N/A</v>
      </c>
      <c r="E449" s="40" t="str">
        <f>VLOOKUP(B449,Sheet3!$B$2:$E$312,4,)</f>
        <v>#N/A</v>
      </c>
      <c r="F449" s="40"/>
      <c r="G449" s="40"/>
      <c r="H449" s="40"/>
      <c r="I449" s="100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>
      <c r="A450" s="40"/>
      <c r="B450" s="103"/>
      <c r="C450" s="40" t="str">
        <f>VLOOKUP(B450,Sheet3!$B$2:$E$312,2,FALSE)</f>
        <v>#N/A</v>
      </c>
      <c r="D450" s="40" t="str">
        <f>VLOOKUP(B450,Sheet3!$B$2:$E$312,3,)</f>
        <v>#N/A</v>
      </c>
      <c r="E450" s="40" t="str">
        <f>VLOOKUP(B450,Sheet3!$B$2:$E$312,4,)</f>
        <v>#N/A</v>
      </c>
      <c r="F450" s="40"/>
      <c r="G450" s="40"/>
      <c r="H450" s="40"/>
      <c r="I450" s="100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>
      <c r="A451" s="40"/>
      <c r="B451" s="103"/>
      <c r="C451" s="40" t="str">
        <f>VLOOKUP(B451,Sheet3!$B$2:$E$312,2,FALSE)</f>
        <v>#N/A</v>
      </c>
      <c r="D451" s="40" t="str">
        <f>VLOOKUP(B451,Sheet3!$B$2:$E$312,3,)</f>
        <v>#N/A</v>
      </c>
      <c r="E451" s="40" t="str">
        <f>VLOOKUP(B451,Sheet3!$B$2:$E$312,4,)</f>
        <v>#N/A</v>
      </c>
      <c r="F451" s="40"/>
      <c r="G451" s="40"/>
      <c r="H451" s="40"/>
      <c r="I451" s="100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>
      <c r="A452" s="40"/>
      <c r="B452" s="103"/>
      <c r="C452" s="40" t="str">
        <f>VLOOKUP(B452,Sheet3!$B$2:$E$312,2,FALSE)</f>
        <v>#N/A</v>
      </c>
      <c r="D452" s="40" t="str">
        <f>VLOOKUP(B452,Sheet3!$B$2:$E$312,3,)</f>
        <v>#N/A</v>
      </c>
      <c r="E452" s="40" t="str">
        <f>VLOOKUP(B452,Sheet3!$B$2:$E$312,4,)</f>
        <v>#N/A</v>
      </c>
      <c r="F452" s="40"/>
      <c r="G452" s="40"/>
      <c r="H452" s="40"/>
      <c r="I452" s="100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>
      <c r="A453" s="40"/>
      <c r="B453" s="103"/>
      <c r="C453" s="40" t="str">
        <f>VLOOKUP(B453,Sheet3!$B$2:$E$312,2,FALSE)</f>
        <v>#N/A</v>
      </c>
      <c r="D453" s="40" t="str">
        <f>VLOOKUP(B453,Sheet3!$B$2:$E$312,3,)</f>
        <v>#N/A</v>
      </c>
      <c r="E453" s="40" t="str">
        <f>VLOOKUP(B453,Sheet3!$B$2:$E$312,4,)</f>
        <v>#N/A</v>
      </c>
      <c r="F453" s="40"/>
      <c r="G453" s="40"/>
      <c r="H453" s="40"/>
      <c r="I453" s="100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>
      <c r="A454" s="40"/>
      <c r="B454" s="103"/>
      <c r="C454" s="40" t="str">
        <f>VLOOKUP(B454,Sheet3!$B$2:$E$312,2,FALSE)</f>
        <v>#N/A</v>
      </c>
      <c r="D454" s="40" t="str">
        <f>VLOOKUP(B454,Sheet3!$B$2:$E$312,3,)</f>
        <v>#N/A</v>
      </c>
      <c r="E454" s="40" t="str">
        <f>VLOOKUP(B454,Sheet3!$B$2:$E$312,4,)</f>
        <v>#N/A</v>
      </c>
      <c r="F454" s="40"/>
      <c r="G454" s="40"/>
      <c r="H454" s="40"/>
      <c r="I454" s="100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>
      <c r="A455" s="40"/>
      <c r="B455" s="103"/>
      <c r="C455" s="40" t="str">
        <f>VLOOKUP(B455,Sheet3!$B$2:$E$312,2,FALSE)</f>
        <v>#N/A</v>
      </c>
      <c r="D455" s="40" t="str">
        <f>VLOOKUP(B455,Sheet3!$B$2:$E$312,3,)</f>
        <v>#N/A</v>
      </c>
      <c r="E455" s="40" t="str">
        <f>VLOOKUP(B455,Sheet3!$B$2:$E$312,4,)</f>
        <v>#N/A</v>
      </c>
      <c r="F455" s="40"/>
      <c r="G455" s="40"/>
      <c r="H455" s="40"/>
      <c r="I455" s="100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>
      <c r="A456" s="40"/>
      <c r="B456" s="103"/>
      <c r="C456" s="40" t="str">
        <f>VLOOKUP(B456,Sheet3!$B$2:$E$312,2,FALSE)</f>
        <v>#N/A</v>
      </c>
      <c r="D456" s="40" t="str">
        <f>VLOOKUP(B456,Sheet3!$B$2:$E$312,3,)</f>
        <v>#N/A</v>
      </c>
      <c r="E456" s="40" t="str">
        <f>VLOOKUP(B456,Sheet3!$B$2:$E$312,4,)</f>
        <v>#N/A</v>
      </c>
      <c r="F456" s="40"/>
      <c r="G456" s="40"/>
      <c r="H456" s="40"/>
      <c r="I456" s="100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>
      <c r="A457" s="40"/>
      <c r="B457" s="103"/>
      <c r="C457" s="40" t="str">
        <f>VLOOKUP(B457,Sheet3!$B$2:$E$312,2,FALSE)</f>
        <v>#N/A</v>
      </c>
      <c r="D457" s="40" t="str">
        <f>VLOOKUP(B457,Sheet3!$B$2:$E$312,3,)</f>
        <v>#N/A</v>
      </c>
      <c r="E457" s="40" t="str">
        <f>VLOOKUP(B457,Sheet3!$B$2:$E$312,4,)</f>
        <v>#N/A</v>
      </c>
      <c r="F457" s="40"/>
      <c r="G457" s="40"/>
      <c r="H457" s="40"/>
      <c r="I457" s="100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>
      <c r="A458" s="40"/>
      <c r="B458" s="103"/>
      <c r="C458" s="40" t="str">
        <f>VLOOKUP(B458,Sheet3!$B$2:$E$312,2,FALSE)</f>
        <v>#N/A</v>
      </c>
      <c r="D458" s="40" t="str">
        <f>VLOOKUP(B458,Sheet3!$B$2:$E$312,3,)</f>
        <v>#N/A</v>
      </c>
      <c r="E458" s="40" t="str">
        <f>VLOOKUP(B458,Sheet3!$B$2:$E$312,4,)</f>
        <v>#N/A</v>
      </c>
      <c r="F458" s="40"/>
      <c r="G458" s="40"/>
      <c r="H458" s="40"/>
      <c r="I458" s="100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>
      <c r="A459" s="40"/>
      <c r="B459" s="103"/>
      <c r="C459" s="40" t="str">
        <f>VLOOKUP(B459,Sheet3!$B$2:$E$312,2,FALSE)</f>
        <v>#N/A</v>
      </c>
      <c r="D459" s="40" t="str">
        <f>VLOOKUP(B459,Sheet3!$B$2:$E$312,3,)</f>
        <v>#N/A</v>
      </c>
      <c r="E459" s="40" t="str">
        <f>VLOOKUP(B459,Sheet3!$B$2:$E$312,4,)</f>
        <v>#N/A</v>
      </c>
      <c r="F459" s="40"/>
      <c r="G459" s="40"/>
      <c r="H459" s="40"/>
      <c r="I459" s="100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>
      <c r="A460" s="40"/>
      <c r="B460" s="103"/>
      <c r="C460" s="40" t="str">
        <f>VLOOKUP(B460,Sheet3!$B$2:$E$312,2,FALSE)</f>
        <v>#N/A</v>
      </c>
      <c r="D460" s="40" t="str">
        <f>VLOOKUP(B460,Sheet3!$B$2:$E$312,3,)</f>
        <v>#N/A</v>
      </c>
      <c r="E460" s="40" t="str">
        <f>VLOOKUP(B460,Sheet3!$B$2:$E$312,4,)</f>
        <v>#N/A</v>
      </c>
      <c r="F460" s="40"/>
      <c r="G460" s="40"/>
      <c r="H460" s="40"/>
      <c r="I460" s="100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>
      <c r="A461" s="40"/>
      <c r="B461" s="103"/>
      <c r="C461" s="40" t="str">
        <f>VLOOKUP(B461,Sheet3!$B$2:$E$312,2,FALSE)</f>
        <v>#N/A</v>
      </c>
      <c r="D461" s="40" t="str">
        <f>VLOOKUP(B461,Sheet3!$B$2:$E$312,3,)</f>
        <v>#N/A</v>
      </c>
      <c r="E461" s="40" t="str">
        <f>VLOOKUP(B461,Sheet3!$B$2:$E$312,4,)</f>
        <v>#N/A</v>
      </c>
      <c r="F461" s="40"/>
      <c r="G461" s="40"/>
      <c r="H461" s="40"/>
      <c r="I461" s="100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>
      <c r="A462" s="40"/>
      <c r="B462" s="103"/>
      <c r="C462" s="40" t="str">
        <f>VLOOKUP(B462,Sheet3!$B$2:$E$312,2,FALSE)</f>
        <v>#N/A</v>
      </c>
      <c r="D462" s="40" t="str">
        <f>VLOOKUP(B462,Sheet3!$B$2:$E$312,3,)</f>
        <v>#N/A</v>
      </c>
      <c r="E462" s="40" t="str">
        <f>VLOOKUP(B462,Sheet3!$B$2:$E$312,4,)</f>
        <v>#N/A</v>
      </c>
      <c r="F462" s="40"/>
      <c r="G462" s="40"/>
      <c r="H462" s="40"/>
      <c r="I462" s="100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>
      <c r="A463" s="40"/>
      <c r="B463" s="103"/>
      <c r="C463" s="40" t="str">
        <f>VLOOKUP(B463,Sheet3!$B$2:$E$312,2,FALSE)</f>
        <v>#N/A</v>
      </c>
      <c r="D463" s="40" t="str">
        <f>VLOOKUP(B463,Sheet3!$B$2:$E$312,3,)</f>
        <v>#N/A</v>
      </c>
      <c r="E463" s="40" t="str">
        <f>VLOOKUP(B463,Sheet3!$B$2:$E$312,4,)</f>
        <v>#N/A</v>
      </c>
      <c r="F463" s="40"/>
      <c r="G463" s="40"/>
      <c r="H463" s="40"/>
      <c r="I463" s="100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>
      <c r="A464" s="40"/>
      <c r="B464" s="103"/>
      <c r="C464" s="40" t="str">
        <f>VLOOKUP(B464,Sheet3!$B$2:$E$312,2,FALSE)</f>
        <v>#N/A</v>
      </c>
      <c r="D464" s="40" t="str">
        <f>VLOOKUP(B464,Sheet3!$B$2:$E$312,3,)</f>
        <v>#N/A</v>
      </c>
      <c r="E464" s="40" t="str">
        <f>VLOOKUP(B464,Sheet3!$B$2:$E$312,4,)</f>
        <v>#N/A</v>
      </c>
      <c r="F464" s="40"/>
      <c r="G464" s="40"/>
      <c r="H464" s="40"/>
      <c r="I464" s="100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>
      <c r="A465" s="40"/>
      <c r="B465" s="103"/>
      <c r="C465" s="40" t="str">
        <f>VLOOKUP(B465,Sheet3!$B$2:$E$312,2,FALSE)</f>
        <v>#N/A</v>
      </c>
      <c r="D465" s="40" t="str">
        <f>VLOOKUP(B465,Sheet3!$B$2:$E$312,3,)</f>
        <v>#N/A</v>
      </c>
      <c r="E465" s="40" t="str">
        <f>VLOOKUP(B465,Sheet3!$B$2:$E$312,4,)</f>
        <v>#N/A</v>
      </c>
      <c r="F465" s="40"/>
      <c r="G465" s="40"/>
      <c r="H465" s="40"/>
      <c r="I465" s="100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>
      <c r="A466" s="40"/>
      <c r="B466" s="103"/>
      <c r="C466" s="40" t="str">
        <f>VLOOKUP(B466,Sheet3!$B$2:$E$312,2,FALSE)</f>
        <v>#N/A</v>
      </c>
      <c r="D466" s="40" t="str">
        <f>VLOOKUP(B466,Sheet3!$B$2:$E$312,3,)</f>
        <v>#N/A</v>
      </c>
      <c r="E466" s="40" t="str">
        <f>VLOOKUP(B466,Sheet3!$B$2:$E$312,4,)</f>
        <v>#N/A</v>
      </c>
      <c r="F466" s="40"/>
      <c r="G466" s="40"/>
      <c r="H466" s="40"/>
      <c r="I466" s="100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>
      <c r="A467" s="40"/>
      <c r="B467" s="103"/>
      <c r="C467" s="40" t="str">
        <f>VLOOKUP(B467,Sheet3!$B$2:$E$312,2,FALSE)</f>
        <v>#N/A</v>
      </c>
      <c r="D467" s="40" t="str">
        <f>VLOOKUP(B467,Sheet3!$B$2:$E$312,3,)</f>
        <v>#N/A</v>
      </c>
      <c r="E467" s="40" t="str">
        <f>VLOOKUP(B467,Sheet3!$B$2:$E$312,4,)</f>
        <v>#N/A</v>
      </c>
      <c r="F467" s="40"/>
      <c r="G467" s="40"/>
      <c r="H467" s="40"/>
      <c r="I467" s="100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>
      <c r="A468" s="40"/>
      <c r="B468" s="103"/>
      <c r="C468" s="40" t="str">
        <f>VLOOKUP(B468,Sheet3!$B$2:$E$312,2,FALSE)</f>
        <v>#N/A</v>
      </c>
      <c r="D468" s="40" t="str">
        <f>VLOOKUP(B468,Sheet3!$B$2:$E$312,3,)</f>
        <v>#N/A</v>
      </c>
      <c r="E468" s="40" t="str">
        <f>VLOOKUP(B468,Sheet3!$B$2:$E$312,4,)</f>
        <v>#N/A</v>
      </c>
      <c r="F468" s="40"/>
      <c r="G468" s="40"/>
      <c r="H468" s="40"/>
      <c r="I468" s="100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>
      <c r="A469" s="40"/>
      <c r="B469" s="103"/>
      <c r="C469" s="40" t="str">
        <f>VLOOKUP(B469,Sheet3!$B$2:$E$312,2,FALSE)</f>
        <v>#N/A</v>
      </c>
      <c r="D469" s="40" t="str">
        <f>VLOOKUP(B469,Sheet3!$B$2:$E$312,3,)</f>
        <v>#N/A</v>
      </c>
      <c r="E469" s="40" t="str">
        <f>VLOOKUP(B469,Sheet3!$B$2:$E$312,4,)</f>
        <v>#N/A</v>
      </c>
      <c r="F469" s="40"/>
      <c r="G469" s="40"/>
      <c r="H469" s="40"/>
      <c r="I469" s="100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>
      <c r="A470" s="40"/>
      <c r="B470" s="103"/>
      <c r="C470" s="40" t="str">
        <f>VLOOKUP(B470,Sheet3!$B$2:$E$312,2,FALSE)</f>
        <v>#N/A</v>
      </c>
      <c r="D470" s="40" t="str">
        <f>VLOOKUP(B470,Sheet3!$B$2:$E$312,3,)</f>
        <v>#N/A</v>
      </c>
      <c r="E470" s="40" t="str">
        <f>VLOOKUP(B470,Sheet3!$B$2:$E$312,4,)</f>
        <v>#N/A</v>
      </c>
      <c r="F470" s="40"/>
      <c r="G470" s="40"/>
      <c r="H470" s="40"/>
      <c r="I470" s="100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>
      <c r="A471" s="40"/>
      <c r="B471" s="103"/>
      <c r="C471" s="40" t="str">
        <f>VLOOKUP(B471,Sheet3!$B$2:$E$312,2,FALSE)</f>
        <v>#N/A</v>
      </c>
      <c r="D471" s="40" t="str">
        <f>VLOOKUP(B471,Sheet3!$B$2:$E$312,3,)</f>
        <v>#N/A</v>
      </c>
      <c r="E471" s="40" t="str">
        <f>VLOOKUP(B471,Sheet3!$B$2:$E$312,4,)</f>
        <v>#N/A</v>
      </c>
      <c r="F471" s="40"/>
      <c r="G471" s="40"/>
      <c r="H471" s="40"/>
      <c r="I471" s="100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>
      <c r="A472" s="40"/>
      <c r="B472" s="103"/>
      <c r="C472" s="40" t="str">
        <f>VLOOKUP(B472,Sheet3!$B$2:$E$312,2,FALSE)</f>
        <v>#N/A</v>
      </c>
      <c r="D472" s="40" t="str">
        <f>VLOOKUP(B472,Sheet3!$B$2:$E$312,3,)</f>
        <v>#N/A</v>
      </c>
      <c r="E472" s="40" t="str">
        <f>VLOOKUP(B472,Sheet3!$B$2:$E$312,4,)</f>
        <v>#N/A</v>
      </c>
      <c r="F472" s="40"/>
      <c r="G472" s="40"/>
      <c r="H472" s="40"/>
      <c r="I472" s="100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>
      <c r="A473" s="40"/>
      <c r="B473" s="103"/>
      <c r="C473" s="40" t="str">
        <f>VLOOKUP(B473,Sheet3!$B$2:$E$312,2,FALSE)</f>
        <v>#N/A</v>
      </c>
      <c r="D473" s="40" t="str">
        <f>VLOOKUP(B473,Sheet3!$B$2:$E$312,3,)</f>
        <v>#N/A</v>
      </c>
      <c r="E473" s="40" t="str">
        <f>VLOOKUP(B473,Sheet3!$B$2:$E$312,4,)</f>
        <v>#N/A</v>
      </c>
      <c r="F473" s="40"/>
      <c r="G473" s="40"/>
      <c r="H473" s="40"/>
      <c r="I473" s="100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>
      <c r="A474" s="40"/>
      <c r="B474" s="103"/>
      <c r="C474" s="40" t="str">
        <f>VLOOKUP(B474,Sheet3!$B$2:$E$312,2,FALSE)</f>
        <v>#N/A</v>
      </c>
      <c r="D474" s="40" t="str">
        <f>VLOOKUP(B474,Sheet3!$B$2:$E$312,3,)</f>
        <v>#N/A</v>
      </c>
      <c r="E474" s="40" t="str">
        <f>VLOOKUP(B474,Sheet3!$B$2:$E$312,4,)</f>
        <v>#N/A</v>
      </c>
      <c r="F474" s="40"/>
      <c r="G474" s="40"/>
      <c r="H474" s="40"/>
      <c r="I474" s="100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>
      <c r="A475" s="40"/>
      <c r="B475" s="103"/>
      <c r="C475" s="40" t="str">
        <f>VLOOKUP(B475,Sheet3!$B$2:$E$312,2,FALSE)</f>
        <v>#N/A</v>
      </c>
      <c r="D475" s="40" t="str">
        <f>VLOOKUP(B475,Sheet3!$B$2:$E$312,3,)</f>
        <v>#N/A</v>
      </c>
      <c r="E475" s="40" t="str">
        <f>VLOOKUP(B475,Sheet3!$B$2:$E$312,4,)</f>
        <v>#N/A</v>
      </c>
      <c r="F475" s="40"/>
      <c r="G475" s="40"/>
      <c r="H475" s="40"/>
      <c r="I475" s="100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>
      <c r="A476" s="40"/>
      <c r="B476" s="103"/>
      <c r="C476" s="40" t="str">
        <f>VLOOKUP(B476,Sheet3!$B$2:$E$312,2,FALSE)</f>
        <v>#N/A</v>
      </c>
      <c r="D476" s="40" t="str">
        <f>VLOOKUP(B476,Sheet3!$B$2:$E$312,3,)</f>
        <v>#N/A</v>
      </c>
      <c r="E476" s="40" t="str">
        <f>VLOOKUP(B476,Sheet3!$B$2:$E$312,4,)</f>
        <v>#N/A</v>
      </c>
      <c r="F476" s="40"/>
      <c r="G476" s="40"/>
      <c r="H476" s="40"/>
      <c r="I476" s="100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>
      <c r="A477" s="40"/>
      <c r="B477" s="103"/>
      <c r="C477" s="40" t="str">
        <f>VLOOKUP(B477,Sheet3!$B$2:$E$312,2,FALSE)</f>
        <v>#N/A</v>
      </c>
      <c r="D477" s="40" t="str">
        <f>VLOOKUP(B477,Sheet3!$B$2:$E$312,3,)</f>
        <v>#N/A</v>
      </c>
      <c r="E477" s="40" t="str">
        <f>VLOOKUP(B477,Sheet3!$B$2:$E$312,4,)</f>
        <v>#N/A</v>
      </c>
      <c r="F477" s="40"/>
      <c r="G477" s="40"/>
      <c r="H477" s="40"/>
      <c r="I477" s="100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>
      <c r="A478" s="40"/>
      <c r="B478" s="103"/>
      <c r="C478" s="40" t="str">
        <f>VLOOKUP(B478,Sheet3!$B$2:$E$312,2,FALSE)</f>
        <v>#N/A</v>
      </c>
      <c r="D478" s="40" t="str">
        <f>VLOOKUP(B478,Sheet3!$B$2:$E$312,3,)</f>
        <v>#N/A</v>
      </c>
      <c r="E478" s="40" t="str">
        <f>VLOOKUP(B478,Sheet3!$B$2:$E$312,4,)</f>
        <v>#N/A</v>
      </c>
      <c r="F478" s="40"/>
      <c r="G478" s="40"/>
      <c r="H478" s="40"/>
      <c r="I478" s="100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>
      <c r="A479" s="40"/>
      <c r="B479" s="103"/>
      <c r="C479" s="40" t="str">
        <f>VLOOKUP(B479,Sheet3!$B$2:$E$312,2,FALSE)</f>
        <v>#N/A</v>
      </c>
      <c r="D479" s="40" t="str">
        <f>VLOOKUP(B479,Sheet3!$B$2:$E$312,3,)</f>
        <v>#N/A</v>
      </c>
      <c r="E479" s="40" t="str">
        <f>VLOOKUP(B479,Sheet3!$B$2:$E$312,4,)</f>
        <v>#N/A</v>
      </c>
      <c r="F479" s="40"/>
      <c r="G479" s="40"/>
      <c r="H479" s="40"/>
      <c r="I479" s="100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>
      <c r="A480" s="40"/>
      <c r="B480" s="103"/>
      <c r="C480" s="40" t="str">
        <f>VLOOKUP(B480,Sheet3!$B$2:$E$312,2,FALSE)</f>
        <v>#N/A</v>
      </c>
      <c r="D480" s="40" t="str">
        <f>VLOOKUP(B480,Sheet3!$B$2:$E$312,3,)</f>
        <v>#N/A</v>
      </c>
      <c r="E480" s="40" t="str">
        <f>VLOOKUP(B480,Sheet3!$B$2:$E$312,4,)</f>
        <v>#N/A</v>
      </c>
      <c r="F480" s="40"/>
      <c r="G480" s="40"/>
      <c r="H480" s="40"/>
      <c r="I480" s="100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>
      <c r="A481" s="40"/>
      <c r="B481" s="103"/>
      <c r="C481" s="40" t="str">
        <f>VLOOKUP(B481,Sheet3!$B$2:$E$312,2,FALSE)</f>
        <v>#N/A</v>
      </c>
      <c r="D481" s="40" t="str">
        <f>VLOOKUP(B481,Sheet3!$B$2:$E$312,3,)</f>
        <v>#N/A</v>
      </c>
      <c r="E481" s="40" t="str">
        <f>VLOOKUP(B481,Sheet3!$B$2:$E$312,4,)</f>
        <v>#N/A</v>
      </c>
      <c r="F481" s="40"/>
      <c r="G481" s="40"/>
      <c r="H481" s="40"/>
      <c r="I481" s="100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>
      <c r="A482" s="40"/>
      <c r="B482" s="103"/>
      <c r="C482" s="40" t="str">
        <f>VLOOKUP(B482,Sheet3!$B$2:$E$312,2,FALSE)</f>
        <v>#N/A</v>
      </c>
      <c r="D482" s="40" t="str">
        <f>VLOOKUP(B482,Sheet3!$B$2:$E$312,3,)</f>
        <v>#N/A</v>
      </c>
      <c r="E482" s="40" t="str">
        <f>VLOOKUP(B482,Sheet3!$B$2:$E$312,4,)</f>
        <v>#N/A</v>
      </c>
      <c r="F482" s="40"/>
      <c r="G482" s="40"/>
      <c r="H482" s="40"/>
      <c r="I482" s="100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>
      <c r="A483" s="40"/>
      <c r="B483" s="103"/>
      <c r="C483" s="40" t="str">
        <f>VLOOKUP(B483,Sheet3!$B$2:$E$312,2,FALSE)</f>
        <v>#N/A</v>
      </c>
      <c r="D483" s="40" t="str">
        <f>VLOOKUP(B483,Sheet3!$B$2:$E$312,3,)</f>
        <v>#N/A</v>
      </c>
      <c r="E483" s="40" t="str">
        <f>VLOOKUP(B483,Sheet3!$B$2:$E$312,4,)</f>
        <v>#N/A</v>
      </c>
      <c r="F483" s="40"/>
      <c r="G483" s="40"/>
      <c r="H483" s="40"/>
      <c r="I483" s="100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>
      <c r="A484" s="40"/>
      <c r="B484" s="103"/>
      <c r="C484" s="40" t="str">
        <f>VLOOKUP(B484,Sheet3!$B$2:$E$312,2,FALSE)</f>
        <v>#N/A</v>
      </c>
      <c r="D484" s="40" t="str">
        <f>VLOOKUP(B484,Sheet3!$B$2:$E$312,3,)</f>
        <v>#N/A</v>
      </c>
      <c r="E484" s="40" t="str">
        <f>VLOOKUP(B484,Sheet3!$B$2:$E$312,4,)</f>
        <v>#N/A</v>
      </c>
      <c r="F484" s="40"/>
      <c r="G484" s="40"/>
      <c r="H484" s="40"/>
      <c r="I484" s="100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>
      <c r="A485" s="40"/>
      <c r="B485" s="103"/>
      <c r="C485" s="40" t="str">
        <f>VLOOKUP(B485,Sheet3!$B$2:$E$312,2,FALSE)</f>
        <v>#N/A</v>
      </c>
      <c r="D485" s="40" t="str">
        <f>VLOOKUP(B485,Sheet3!$B$2:$E$312,3,)</f>
        <v>#N/A</v>
      </c>
      <c r="E485" s="40" t="str">
        <f>VLOOKUP(B485,Sheet3!$B$2:$E$312,4,)</f>
        <v>#N/A</v>
      </c>
      <c r="F485" s="40"/>
      <c r="G485" s="40"/>
      <c r="H485" s="40"/>
      <c r="I485" s="100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>
      <c r="A486" s="40"/>
      <c r="B486" s="103"/>
      <c r="C486" s="40" t="str">
        <f>VLOOKUP(B486,Sheet3!$B$2:$E$312,2,FALSE)</f>
        <v>#N/A</v>
      </c>
      <c r="D486" s="40" t="str">
        <f>VLOOKUP(B486,Sheet3!$B$2:$E$312,3,)</f>
        <v>#N/A</v>
      </c>
      <c r="E486" s="40" t="str">
        <f>VLOOKUP(B486,Sheet3!$B$2:$E$312,4,)</f>
        <v>#N/A</v>
      </c>
      <c r="F486" s="40"/>
      <c r="G486" s="40"/>
      <c r="H486" s="40"/>
      <c r="I486" s="100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>
      <c r="A487" s="40"/>
      <c r="B487" s="103"/>
      <c r="C487" s="40" t="str">
        <f>VLOOKUP(B487,Sheet3!$B$2:$E$312,2,FALSE)</f>
        <v>#N/A</v>
      </c>
      <c r="D487" s="40" t="str">
        <f>VLOOKUP(B487,Sheet3!$B$2:$E$312,3,)</f>
        <v>#N/A</v>
      </c>
      <c r="E487" s="40" t="str">
        <f>VLOOKUP(B487,Sheet3!$B$2:$E$312,4,)</f>
        <v>#N/A</v>
      </c>
      <c r="F487" s="40"/>
      <c r="G487" s="40"/>
      <c r="H487" s="40"/>
      <c r="I487" s="100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>
      <c r="A488" s="40"/>
      <c r="B488" s="103"/>
      <c r="C488" s="40" t="str">
        <f>VLOOKUP(B488,Sheet3!$B$2:$E$312,2,FALSE)</f>
        <v>#N/A</v>
      </c>
      <c r="D488" s="40" t="str">
        <f>VLOOKUP(B488,Sheet3!$B$2:$E$312,3,)</f>
        <v>#N/A</v>
      </c>
      <c r="E488" s="40" t="str">
        <f>VLOOKUP(B488,Sheet3!$B$2:$E$312,4,)</f>
        <v>#N/A</v>
      </c>
      <c r="F488" s="40"/>
      <c r="G488" s="40"/>
      <c r="H488" s="40"/>
      <c r="I488" s="100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>
      <c r="A489" s="40"/>
      <c r="B489" s="103"/>
      <c r="C489" s="40" t="str">
        <f>VLOOKUP(B489,Sheet3!$B$2:$E$312,2,FALSE)</f>
        <v>#N/A</v>
      </c>
      <c r="D489" s="40" t="str">
        <f>VLOOKUP(B489,Sheet3!$B$2:$E$312,3,)</f>
        <v>#N/A</v>
      </c>
      <c r="E489" s="40" t="str">
        <f>VLOOKUP(B489,Sheet3!$B$2:$E$312,4,)</f>
        <v>#N/A</v>
      </c>
      <c r="F489" s="40"/>
      <c r="G489" s="40"/>
      <c r="H489" s="40"/>
      <c r="I489" s="100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>
      <c r="A490" s="40"/>
      <c r="B490" s="103"/>
      <c r="C490" s="40" t="str">
        <f>VLOOKUP(B490,Sheet3!$B$2:$E$312,2,FALSE)</f>
        <v>#N/A</v>
      </c>
      <c r="D490" s="40" t="str">
        <f>VLOOKUP(B490,Sheet3!$B$2:$E$312,3,)</f>
        <v>#N/A</v>
      </c>
      <c r="E490" s="40" t="str">
        <f>VLOOKUP(B490,Sheet3!$B$2:$E$312,4,)</f>
        <v>#N/A</v>
      </c>
      <c r="F490" s="40"/>
      <c r="G490" s="40"/>
      <c r="H490" s="40"/>
      <c r="I490" s="100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>
      <c r="A491" s="40"/>
      <c r="B491" s="103"/>
      <c r="C491" s="40" t="str">
        <f>VLOOKUP(B491,Sheet3!$B$2:$E$312,2,FALSE)</f>
        <v>#N/A</v>
      </c>
      <c r="D491" s="40" t="str">
        <f>VLOOKUP(B491,Sheet3!$B$2:$E$312,3,)</f>
        <v>#N/A</v>
      </c>
      <c r="E491" s="40" t="str">
        <f>VLOOKUP(B491,Sheet3!$B$2:$E$312,4,)</f>
        <v>#N/A</v>
      </c>
      <c r="F491" s="40"/>
      <c r="G491" s="40"/>
      <c r="H491" s="40"/>
      <c r="I491" s="100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>
      <c r="A492" s="40"/>
      <c r="B492" s="103"/>
      <c r="C492" s="40" t="str">
        <f>VLOOKUP(B492,Sheet3!$B$2:$E$312,2,FALSE)</f>
        <v>#N/A</v>
      </c>
      <c r="D492" s="40" t="str">
        <f>VLOOKUP(B492,Sheet3!$B$2:$E$312,3,)</f>
        <v>#N/A</v>
      </c>
      <c r="E492" s="40" t="str">
        <f>VLOOKUP(B492,Sheet3!$B$2:$E$312,4,)</f>
        <v>#N/A</v>
      </c>
      <c r="F492" s="40"/>
      <c r="G492" s="40"/>
      <c r="H492" s="40"/>
      <c r="I492" s="100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>
      <c r="A493" s="40"/>
      <c r="B493" s="103"/>
      <c r="C493" s="40" t="str">
        <f>VLOOKUP(B493,Sheet3!$B$2:$E$312,2,FALSE)</f>
        <v>#N/A</v>
      </c>
      <c r="D493" s="40" t="str">
        <f>VLOOKUP(B493,Sheet3!$B$2:$E$312,3,)</f>
        <v>#N/A</v>
      </c>
      <c r="E493" s="40" t="str">
        <f>VLOOKUP(B493,Sheet3!$B$2:$E$312,4,)</f>
        <v>#N/A</v>
      </c>
      <c r="F493" s="40"/>
      <c r="G493" s="40"/>
      <c r="H493" s="40"/>
      <c r="I493" s="100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>
      <c r="A494" s="40"/>
      <c r="B494" s="103"/>
      <c r="C494" s="40" t="str">
        <f>VLOOKUP(B494,Sheet3!$B$2:$E$312,2,FALSE)</f>
        <v>#N/A</v>
      </c>
      <c r="D494" s="40" t="str">
        <f>VLOOKUP(B494,Sheet3!$B$2:$E$312,3,)</f>
        <v>#N/A</v>
      </c>
      <c r="E494" s="40" t="str">
        <f>VLOOKUP(B494,Sheet3!$B$2:$E$312,4,)</f>
        <v>#N/A</v>
      </c>
      <c r="F494" s="40"/>
      <c r="G494" s="40"/>
      <c r="H494" s="40"/>
      <c r="I494" s="100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>
      <c r="A495" s="40"/>
      <c r="B495" s="103"/>
      <c r="C495" s="40" t="str">
        <f>VLOOKUP(B495,Sheet3!$B$2:$E$312,2,FALSE)</f>
        <v>#N/A</v>
      </c>
      <c r="D495" s="40" t="str">
        <f>VLOOKUP(B495,Sheet3!$B$2:$E$312,3,)</f>
        <v>#N/A</v>
      </c>
      <c r="E495" s="40" t="str">
        <f>VLOOKUP(B495,Sheet3!$B$2:$E$312,4,)</f>
        <v>#N/A</v>
      </c>
      <c r="F495" s="40"/>
      <c r="G495" s="40"/>
      <c r="H495" s="40"/>
      <c r="I495" s="100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>
      <c r="A496" s="40"/>
      <c r="B496" s="103"/>
      <c r="C496" s="40" t="str">
        <f>VLOOKUP(B496,Sheet3!$B$2:$E$312,2,FALSE)</f>
        <v>#N/A</v>
      </c>
      <c r="D496" s="40" t="str">
        <f>VLOOKUP(B496,Sheet3!$B$2:$E$312,3,)</f>
        <v>#N/A</v>
      </c>
      <c r="E496" s="40" t="str">
        <f>VLOOKUP(B496,Sheet3!$B$2:$E$312,4,)</f>
        <v>#N/A</v>
      </c>
      <c r="F496" s="40"/>
      <c r="G496" s="40"/>
      <c r="H496" s="40"/>
      <c r="I496" s="100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>
      <c r="A497" s="40"/>
      <c r="B497" s="103"/>
      <c r="C497" s="40" t="str">
        <f>VLOOKUP(B497,Sheet3!$B$2:$E$312,2,FALSE)</f>
        <v>#N/A</v>
      </c>
      <c r="D497" s="40" t="str">
        <f>VLOOKUP(B497,Sheet3!$B$2:$E$312,3,)</f>
        <v>#N/A</v>
      </c>
      <c r="E497" s="40" t="str">
        <f>VLOOKUP(B497,Sheet3!$B$2:$E$312,4,)</f>
        <v>#N/A</v>
      </c>
      <c r="F497" s="40"/>
      <c r="G497" s="40"/>
      <c r="H497" s="40"/>
      <c r="I497" s="100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>
      <c r="A498" s="40"/>
      <c r="B498" s="103"/>
      <c r="C498" s="40" t="str">
        <f>VLOOKUP(B498,Sheet3!$B$2:$E$312,2,FALSE)</f>
        <v>#N/A</v>
      </c>
      <c r="D498" s="40" t="str">
        <f>VLOOKUP(B498,Sheet3!$B$2:$E$312,3,)</f>
        <v>#N/A</v>
      </c>
      <c r="E498" s="40" t="str">
        <f>VLOOKUP(B498,Sheet3!$B$2:$E$312,4,)</f>
        <v>#N/A</v>
      </c>
      <c r="F498" s="40"/>
      <c r="G498" s="40"/>
      <c r="H498" s="40"/>
      <c r="I498" s="100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>
      <c r="A499" s="40"/>
      <c r="B499" s="103"/>
      <c r="C499" s="40" t="str">
        <f>VLOOKUP(B499,Sheet3!$B$2:$E$312,2,FALSE)</f>
        <v>#N/A</v>
      </c>
      <c r="D499" s="40" t="str">
        <f>VLOOKUP(B499,Sheet3!$B$2:$E$312,3,)</f>
        <v>#N/A</v>
      </c>
      <c r="E499" s="40" t="str">
        <f>VLOOKUP(B499,Sheet3!$B$2:$E$312,4,)</f>
        <v>#N/A</v>
      </c>
      <c r="F499" s="40"/>
      <c r="G499" s="40"/>
      <c r="H499" s="40"/>
      <c r="I499" s="100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>
      <c r="A500" s="40"/>
      <c r="B500" s="103"/>
      <c r="C500" s="40" t="str">
        <f>VLOOKUP(B500,Sheet3!$B$2:$E$312,2,FALSE)</f>
        <v>#N/A</v>
      </c>
      <c r="D500" s="40" t="str">
        <f>VLOOKUP(B500,Sheet3!$B$2:$E$312,3,)</f>
        <v>#N/A</v>
      </c>
      <c r="E500" s="40" t="str">
        <f>VLOOKUP(B500,Sheet3!$B$2:$E$312,4,)</f>
        <v>#N/A</v>
      </c>
      <c r="F500" s="40"/>
      <c r="G500" s="40"/>
      <c r="H500" s="40"/>
      <c r="I500" s="100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>
      <c r="A501" s="40"/>
      <c r="B501" s="103"/>
      <c r="C501" s="40" t="str">
        <f>VLOOKUP(B501,Sheet3!$B$2:$E$312,2,FALSE)</f>
        <v>#N/A</v>
      </c>
      <c r="D501" s="40" t="str">
        <f>VLOOKUP(B501,Sheet3!$B$2:$E$312,3,)</f>
        <v>#N/A</v>
      </c>
      <c r="E501" s="40" t="str">
        <f>VLOOKUP(B501,Sheet3!$B$2:$E$312,4,)</f>
        <v>#N/A</v>
      </c>
      <c r="F501" s="40"/>
      <c r="G501" s="40"/>
      <c r="H501" s="40"/>
      <c r="I501" s="100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>
      <c r="A502" s="40"/>
      <c r="B502" s="103"/>
      <c r="C502" s="40" t="str">
        <f>VLOOKUP(B502,Sheet3!$B$2:$E$312,2,FALSE)</f>
        <v>#N/A</v>
      </c>
      <c r="D502" s="40" t="str">
        <f>VLOOKUP(B502,Sheet3!$B$2:$E$312,3,)</f>
        <v>#N/A</v>
      </c>
      <c r="E502" s="40" t="str">
        <f>VLOOKUP(B502,Sheet3!$B$2:$E$312,4,)</f>
        <v>#N/A</v>
      </c>
      <c r="F502" s="40"/>
      <c r="G502" s="40"/>
      <c r="H502" s="40"/>
      <c r="I502" s="100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>
      <c r="A503" s="40"/>
      <c r="B503" s="103"/>
      <c r="C503" s="40" t="str">
        <f>VLOOKUP(B503,Sheet3!$B$2:$E$312,2,FALSE)</f>
        <v>#N/A</v>
      </c>
      <c r="D503" s="40" t="str">
        <f>VLOOKUP(B503,Sheet3!$B$2:$E$312,3,)</f>
        <v>#N/A</v>
      </c>
      <c r="E503" s="40" t="str">
        <f>VLOOKUP(B503,Sheet3!$B$2:$E$312,4,)</f>
        <v>#N/A</v>
      </c>
      <c r="F503" s="40"/>
      <c r="G503" s="40"/>
      <c r="H503" s="40"/>
      <c r="I503" s="100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>
      <c r="A504" s="40"/>
      <c r="B504" s="103"/>
      <c r="C504" s="40" t="str">
        <f>VLOOKUP(B504,Sheet3!$B$2:$E$312,2,FALSE)</f>
        <v>#N/A</v>
      </c>
      <c r="D504" s="40" t="str">
        <f>VLOOKUP(B504,Sheet3!$B$2:$E$312,3,)</f>
        <v>#N/A</v>
      </c>
      <c r="E504" s="40" t="str">
        <f>VLOOKUP(B504,Sheet3!$B$2:$E$312,4,)</f>
        <v>#N/A</v>
      </c>
      <c r="F504" s="40"/>
      <c r="G504" s="40"/>
      <c r="H504" s="40"/>
      <c r="I504" s="100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>
      <c r="A505" s="40"/>
      <c r="B505" s="103"/>
      <c r="C505" s="40" t="str">
        <f>VLOOKUP(B505,Sheet3!$B$2:$E$312,2,FALSE)</f>
        <v>#N/A</v>
      </c>
      <c r="D505" s="40" t="str">
        <f>VLOOKUP(B505,Sheet3!$B$2:$E$312,3,)</f>
        <v>#N/A</v>
      </c>
      <c r="E505" s="40" t="str">
        <f>VLOOKUP(B505,Sheet3!$B$2:$E$312,4,)</f>
        <v>#N/A</v>
      </c>
      <c r="F505" s="40"/>
      <c r="G505" s="40"/>
      <c r="H505" s="40"/>
      <c r="I505" s="100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>
      <c r="A506" s="40"/>
      <c r="B506" s="103"/>
      <c r="C506" s="40" t="str">
        <f>VLOOKUP(B506,Sheet3!$B$2:$E$312,2,FALSE)</f>
        <v>#N/A</v>
      </c>
      <c r="D506" s="40" t="str">
        <f>VLOOKUP(B506,Sheet3!$B$2:$E$312,3,)</f>
        <v>#N/A</v>
      </c>
      <c r="E506" s="40" t="str">
        <f>VLOOKUP(B506,Sheet3!$B$2:$E$312,4,)</f>
        <v>#N/A</v>
      </c>
      <c r="F506" s="40"/>
      <c r="G506" s="40"/>
      <c r="H506" s="40"/>
      <c r="I506" s="100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>
      <c r="A507" s="40"/>
      <c r="B507" s="103"/>
      <c r="C507" s="40" t="str">
        <f>VLOOKUP(B507,Sheet3!$B$2:$E$312,2,FALSE)</f>
        <v>#N/A</v>
      </c>
      <c r="D507" s="40" t="str">
        <f>VLOOKUP(B507,Sheet3!$B$2:$E$312,3,)</f>
        <v>#N/A</v>
      </c>
      <c r="E507" s="40" t="str">
        <f>VLOOKUP(B507,Sheet3!$B$2:$E$312,4,)</f>
        <v>#N/A</v>
      </c>
      <c r="F507" s="40"/>
      <c r="G507" s="40"/>
      <c r="H507" s="40"/>
      <c r="I507" s="100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>
      <c r="A508" s="40"/>
      <c r="B508" s="103"/>
      <c r="C508" s="40" t="str">
        <f>VLOOKUP(B508,Sheet3!$B$2:$E$312,2,FALSE)</f>
        <v>#N/A</v>
      </c>
      <c r="D508" s="40" t="str">
        <f>VLOOKUP(B508,Sheet3!$B$2:$E$312,3,)</f>
        <v>#N/A</v>
      </c>
      <c r="E508" s="40" t="str">
        <f>VLOOKUP(B508,Sheet3!$B$2:$E$312,4,)</f>
        <v>#N/A</v>
      </c>
      <c r="F508" s="40"/>
      <c r="G508" s="40"/>
      <c r="H508" s="40"/>
      <c r="I508" s="100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>
      <c r="A509" s="40"/>
      <c r="B509" s="103"/>
      <c r="C509" s="40" t="str">
        <f>VLOOKUP(B509,Sheet3!$B$2:$E$312,2,FALSE)</f>
        <v>#N/A</v>
      </c>
      <c r="D509" s="40" t="str">
        <f>VLOOKUP(B509,Sheet3!$B$2:$E$312,3,)</f>
        <v>#N/A</v>
      </c>
      <c r="E509" s="40" t="str">
        <f>VLOOKUP(B509,Sheet3!$B$2:$E$312,4,)</f>
        <v>#N/A</v>
      </c>
      <c r="F509" s="40"/>
      <c r="G509" s="40"/>
      <c r="H509" s="40"/>
      <c r="I509" s="100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>
      <c r="A510" s="40"/>
      <c r="B510" s="103"/>
      <c r="C510" s="40" t="str">
        <f>VLOOKUP(B510,Sheet3!$B$2:$E$312,2,FALSE)</f>
        <v>#N/A</v>
      </c>
      <c r="D510" s="40" t="str">
        <f>VLOOKUP(B510,Sheet3!$B$2:$E$312,3,)</f>
        <v>#N/A</v>
      </c>
      <c r="E510" s="40" t="str">
        <f>VLOOKUP(B510,Sheet3!$B$2:$E$312,4,)</f>
        <v>#N/A</v>
      </c>
      <c r="F510" s="40"/>
      <c r="G510" s="40"/>
      <c r="H510" s="40"/>
      <c r="I510" s="100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>
      <c r="A511" s="40"/>
      <c r="B511" s="103"/>
      <c r="C511" s="40" t="str">
        <f>VLOOKUP(B511,Sheet3!$B$2:$E$312,2,FALSE)</f>
        <v>#N/A</v>
      </c>
      <c r="D511" s="40" t="str">
        <f>VLOOKUP(B511,Sheet3!$B$2:$E$312,3,)</f>
        <v>#N/A</v>
      </c>
      <c r="E511" s="40" t="str">
        <f>VLOOKUP(B511,Sheet3!$B$2:$E$312,4,)</f>
        <v>#N/A</v>
      </c>
      <c r="F511" s="40"/>
      <c r="G511" s="40"/>
      <c r="H511" s="40"/>
      <c r="I511" s="100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>
      <c r="A512" s="40"/>
      <c r="B512" s="103"/>
      <c r="C512" s="40" t="str">
        <f>VLOOKUP(B512,Sheet3!$B$2:$E$312,2,FALSE)</f>
        <v>#N/A</v>
      </c>
      <c r="D512" s="40" t="str">
        <f>VLOOKUP(B512,Sheet3!$B$2:$E$312,3,)</f>
        <v>#N/A</v>
      </c>
      <c r="E512" s="40" t="str">
        <f>VLOOKUP(B512,Sheet3!$B$2:$E$312,4,)</f>
        <v>#N/A</v>
      </c>
      <c r="F512" s="40"/>
      <c r="G512" s="40"/>
      <c r="H512" s="40"/>
      <c r="I512" s="100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>
      <c r="A513" s="40"/>
      <c r="B513" s="103"/>
      <c r="C513" s="40" t="str">
        <f>VLOOKUP(B513,Sheet3!$B$2:$E$312,2,FALSE)</f>
        <v>#N/A</v>
      </c>
      <c r="D513" s="40" t="str">
        <f>VLOOKUP(B513,Sheet3!$B$2:$E$312,3,)</f>
        <v>#N/A</v>
      </c>
      <c r="E513" s="40" t="str">
        <f>VLOOKUP(B513,Sheet3!$B$2:$E$312,4,)</f>
        <v>#N/A</v>
      </c>
      <c r="F513" s="40"/>
      <c r="G513" s="40"/>
      <c r="H513" s="40"/>
      <c r="I513" s="100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>
      <c r="A514" s="40"/>
      <c r="B514" s="103"/>
      <c r="C514" s="40" t="str">
        <f>VLOOKUP(B514,Sheet3!$B$2:$E$312,2,FALSE)</f>
        <v>#N/A</v>
      </c>
      <c r="D514" s="40" t="str">
        <f>VLOOKUP(B514,Sheet3!$B$2:$E$312,3,)</f>
        <v>#N/A</v>
      </c>
      <c r="E514" s="40" t="str">
        <f>VLOOKUP(B514,Sheet3!$B$2:$E$312,4,)</f>
        <v>#N/A</v>
      </c>
      <c r="F514" s="40"/>
      <c r="G514" s="40"/>
      <c r="H514" s="40"/>
      <c r="I514" s="100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>
      <c r="A515" s="40"/>
      <c r="B515" s="103"/>
      <c r="C515" s="40" t="str">
        <f>VLOOKUP(B515,Sheet3!$B$2:$E$312,2,FALSE)</f>
        <v>#N/A</v>
      </c>
      <c r="D515" s="40" t="str">
        <f>VLOOKUP(B515,Sheet3!$B$2:$E$312,3,)</f>
        <v>#N/A</v>
      </c>
      <c r="E515" s="40" t="str">
        <f>VLOOKUP(B515,Sheet3!$B$2:$E$312,4,)</f>
        <v>#N/A</v>
      </c>
      <c r="F515" s="40"/>
      <c r="G515" s="40"/>
      <c r="H515" s="40"/>
      <c r="I515" s="100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>
      <c r="A516" s="40"/>
      <c r="B516" s="103"/>
      <c r="C516" s="40" t="str">
        <f>VLOOKUP(B516,Sheet3!$B$2:$E$312,2,FALSE)</f>
        <v>#N/A</v>
      </c>
      <c r="D516" s="40" t="str">
        <f>VLOOKUP(B516,Sheet3!$B$2:$E$312,3,)</f>
        <v>#N/A</v>
      </c>
      <c r="E516" s="40" t="str">
        <f>VLOOKUP(B516,Sheet3!$B$2:$E$312,4,)</f>
        <v>#N/A</v>
      </c>
      <c r="F516" s="40"/>
      <c r="G516" s="40"/>
      <c r="H516" s="40"/>
      <c r="I516" s="100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>
      <c r="A517" s="40"/>
      <c r="B517" s="103"/>
      <c r="C517" s="40" t="str">
        <f>VLOOKUP(B517,Sheet3!$B$2:$E$312,2,FALSE)</f>
        <v>#N/A</v>
      </c>
      <c r="D517" s="40" t="str">
        <f>VLOOKUP(B517,Sheet3!$B$2:$E$312,3,)</f>
        <v>#N/A</v>
      </c>
      <c r="E517" s="40" t="str">
        <f>VLOOKUP(B517,Sheet3!$B$2:$E$312,4,)</f>
        <v>#N/A</v>
      </c>
      <c r="F517" s="40"/>
      <c r="G517" s="40"/>
      <c r="H517" s="40"/>
      <c r="I517" s="100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>
      <c r="A518" s="40"/>
      <c r="B518" s="103"/>
      <c r="C518" s="40" t="str">
        <f>VLOOKUP(B518,Sheet3!$B$2:$E$312,2,FALSE)</f>
        <v>#N/A</v>
      </c>
      <c r="D518" s="40" t="str">
        <f>VLOOKUP(B518,Sheet3!$B$2:$E$312,3,)</f>
        <v>#N/A</v>
      </c>
      <c r="E518" s="40" t="str">
        <f>VLOOKUP(B518,Sheet3!$B$2:$E$312,4,)</f>
        <v>#N/A</v>
      </c>
      <c r="F518" s="40"/>
      <c r="G518" s="40"/>
      <c r="H518" s="40"/>
      <c r="I518" s="100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>
      <c r="A519" s="40"/>
      <c r="B519" s="103"/>
      <c r="C519" s="40" t="str">
        <f>VLOOKUP(B519,Sheet3!$B$2:$E$312,2,FALSE)</f>
        <v>#N/A</v>
      </c>
      <c r="D519" s="40" t="str">
        <f>VLOOKUP(B519,Sheet3!$B$2:$E$312,3,)</f>
        <v>#N/A</v>
      </c>
      <c r="E519" s="40" t="str">
        <f>VLOOKUP(B519,Sheet3!$B$2:$E$312,4,)</f>
        <v>#N/A</v>
      </c>
      <c r="F519" s="40"/>
      <c r="G519" s="40"/>
      <c r="H519" s="40"/>
      <c r="I519" s="100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>
      <c r="A520" s="40"/>
      <c r="B520" s="103"/>
      <c r="C520" s="40" t="str">
        <f>VLOOKUP(B520,Sheet3!$B$2:$E$312,2,FALSE)</f>
        <v>#N/A</v>
      </c>
      <c r="D520" s="40" t="str">
        <f>VLOOKUP(B520,Sheet3!$B$2:$E$312,3,)</f>
        <v>#N/A</v>
      </c>
      <c r="E520" s="40" t="str">
        <f>VLOOKUP(B520,Sheet3!$B$2:$E$312,4,)</f>
        <v>#N/A</v>
      </c>
      <c r="F520" s="40"/>
      <c r="G520" s="40"/>
      <c r="H520" s="40"/>
      <c r="I520" s="100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>
      <c r="A521" s="40"/>
      <c r="B521" s="103"/>
      <c r="C521" s="40" t="str">
        <f>VLOOKUP(B521,Sheet3!$B$2:$E$312,2,FALSE)</f>
        <v>#N/A</v>
      </c>
      <c r="D521" s="40" t="str">
        <f>VLOOKUP(B521,Sheet3!$B$2:$E$312,3,)</f>
        <v>#N/A</v>
      </c>
      <c r="E521" s="40" t="str">
        <f>VLOOKUP(B521,Sheet3!$B$2:$E$312,4,)</f>
        <v>#N/A</v>
      </c>
      <c r="F521" s="40"/>
      <c r="G521" s="40"/>
      <c r="H521" s="40"/>
      <c r="I521" s="100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>
      <c r="A522" s="40"/>
      <c r="B522" s="103"/>
      <c r="C522" s="40" t="str">
        <f>VLOOKUP(B522,Sheet3!$B$2:$E$312,2,FALSE)</f>
        <v>#N/A</v>
      </c>
      <c r="D522" s="40" t="str">
        <f>VLOOKUP(B522,Sheet3!$B$2:$E$312,3,)</f>
        <v>#N/A</v>
      </c>
      <c r="E522" s="40" t="str">
        <f>VLOOKUP(B522,Sheet3!$B$2:$E$312,4,)</f>
        <v>#N/A</v>
      </c>
      <c r="F522" s="40"/>
      <c r="G522" s="40"/>
      <c r="H522" s="40"/>
      <c r="I522" s="100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>
      <c r="A523" s="40"/>
      <c r="B523" s="103"/>
      <c r="C523" s="40" t="str">
        <f>VLOOKUP(B523,Sheet3!$B$2:$E$312,2,FALSE)</f>
        <v>#N/A</v>
      </c>
      <c r="D523" s="40" t="str">
        <f>VLOOKUP(B523,Sheet3!$B$2:$E$312,3,)</f>
        <v>#N/A</v>
      </c>
      <c r="E523" s="40" t="str">
        <f>VLOOKUP(B523,Sheet3!$B$2:$E$312,4,)</f>
        <v>#N/A</v>
      </c>
      <c r="F523" s="40"/>
      <c r="G523" s="40"/>
      <c r="H523" s="40"/>
      <c r="I523" s="100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>
      <c r="A524" s="40"/>
      <c r="B524" s="103"/>
      <c r="C524" s="40" t="str">
        <f>VLOOKUP(B524,Sheet3!$B$2:$E$312,2,FALSE)</f>
        <v>#N/A</v>
      </c>
      <c r="D524" s="40" t="str">
        <f>VLOOKUP(B524,Sheet3!$B$2:$E$312,3,)</f>
        <v>#N/A</v>
      </c>
      <c r="E524" s="40" t="str">
        <f>VLOOKUP(B524,Sheet3!$B$2:$E$312,4,)</f>
        <v>#N/A</v>
      </c>
      <c r="F524" s="40"/>
      <c r="G524" s="40"/>
      <c r="H524" s="40"/>
      <c r="I524" s="100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>
      <c r="A525" s="40"/>
      <c r="B525" s="103"/>
      <c r="C525" s="40" t="str">
        <f>VLOOKUP(B525,Sheet3!$B$2:$E$312,2,FALSE)</f>
        <v>#N/A</v>
      </c>
      <c r="D525" s="40" t="str">
        <f>VLOOKUP(B525,Sheet3!$B$2:$E$312,3,)</f>
        <v>#N/A</v>
      </c>
      <c r="E525" s="40" t="str">
        <f>VLOOKUP(B525,Sheet3!$B$2:$E$312,4,)</f>
        <v>#N/A</v>
      </c>
      <c r="F525" s="40"/>
      <c r="G525" s="40"/>
      <c r="H525" s="40"/>
      <c r="I525" s="100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>
      <c r="A526" s="40"/>
      <c r="B526" s="103"/>
      <c r="C526" s="40" t="str">
        <f>VLOOKUP(B526,Sheet3!$B$2:$E$312,2,FALSE)</f>
        <v>#N/A</v>
      </c>
      <c r="D526" s="40" t="str">
        <f>VLOOKUP(B526,Sheet3!$B$2:$E$312,3,)</f>
        <v>#N/A</v>
      </c>
      <c r="E526" s="40" t="str">
        <f>VLOOKUP(B526,Sheet3!$B$2:$E$312,4,)</f>
        <v>#N/A</v>
      </c>
      <c r="F526" s="40"/>
      <c r="G526" s="40"/>
      <c r="H526" s="40"/>
      <c r="I526" s="100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>
      <c r="A527" s="40"/>
      <c r="B527" s="103"/>
      <c r="C527" s="40" t="str">
        <f>VLOOKUP(B527,Sheet3!$B$2:$E$312,2,FALSE)</f>
        <v>#N/A</v>
      </c>
      <c r="D527" s="40" t="str">
        <f>VLOOKUP(B527,Sheet3!$B$2:$E$312,3,)</f>
        <v>#N/A</v>
      </c>
      <c r="E527" s="40" t="str">
        <f>VLOOKUP(B527,Sheet3!$B$2:$E$312,4,)</f>
        <v>#N/A</v>
      </c>
      <c r="F527" s="40"/>
      <c r="G527" s="40"/>
      <c r="H527" s="40"/>
      <c r="I527" s="100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>
      <c r="A528" s="40"/>
      <c r="B528" s="103"/>
      <c r="C528" s="40" t="str">
        <f>VLOOKUP(B528,Sheet3!$B$2:$E$312,2,FALSE)</f>
        <v>#N/A</v>
      </c>
      <c r="D528" s="40" t="str">
        <f>VLOOKUP(B528,Sheet3!$B$2:$E$312,3,)</f>
        <v>#N/A</v>
      </c>
      <c r="E528" s="40" t="str">
        <f>VLOOKUP(B528,Sheet3!$B$2:$E$312,4,)</f>
        <v>#N/A</v>
      </c>
      <c r="F528" s="40"/>
      <c r="G528" s="40"/>
      <c r="H528" s="40"/>
      <c r="I528" s="100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>
      <c r="A529" s="40"/>
      <c r="B529" s="103"/>
      <c r="C529" s="40" t="str">
        <f>VLOOKUP(B529,Sheet3!$B$2:$E$312,2,FALSE)</f>
        <v>#N/A</v>
      </c>
      <c r="D529" s="40" t="str">
        <f>VLOOKUP(B529,Sheet3!$B$2:$E$312,3,)</f>
        <v>#N/A</v>
      </c>
      <c r="E529" s="40" t="str">
        <f>VLOOKUP(B529,Sheet3!$B$2:$E$312,4,)</f>
        <v>#N/A</v>
      </c>
      <c r="F529" s="40"/>
      <c r="G529" s="40"/>
      <c r="H529" s="40"/>
      <c r="I529" s="100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>
      <c r="A530" s="40"/>
      <c r="B530" s="103"/>
      <c r="C530" s="40" t="str">
        <f>VLOOKUP(B530,Sheet3!$B$2:$E$312,2,FALSE)</f>
        <v>#N/A</v>
      </c>
      <c r="D530" s="40" t="str">
        <f>VLOOKUP(B530,Sheet3!$B$2:$E$312,3,)</f>
        <v>#N/A</v>
      </c>
      <c r="E530" s="40" t="str">
        <f>VLOOKUP(B530,Sheet3!$B$2:$E$312,4,)</f>
        <v>#N/A</v>
      </c>
      <c r="F530" s="40"/>
      <c r="G530" s="40"/>
      <c r="H530" s="40"/>
      <c r="I530" s="100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>
      <c r="A531" s="40"/>
      <c r="B531" s="103"/>
      <c r="C531" s="40" t="str">
        <f>VLOOKUP(B531,Sheet3!$B$2:$E$312,2,FALSE)</f>
        <v>#N/A</v>
      </c>
      <c r="D531" s="40" t="str">
        <f>VLOOKUP(B531,Sheet3!$B$2:$E$312,3,)</f>
        <v>#N/A</v>
      </c>
      <c r="E531" s="40" t="str">
        <f>VLOOKUP(B531,Sheet3!$B$2:$E$312,4,)</f>
        <v>#N/A</v>
      </c>
      <c r="F531" s="40"/>
      <c r="G531" s="40"/>
      <c r="H531" s="40"/>
      <c r="I531" s="100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>
      <c r="A532" s="40"/>
      <c r="B532" s="103"/>
      <c r="C532" s="40" t="str">
        <f>VLOOKUP(B532,Sheet3!$B$2:$E$312,2,FALSE)</f>
        <v>#N/A</v>
      </c>
      <c r="D532" s="40" t="str">
        <f>VLOOKUP(B532,Sheet3!$B$2:$E$312,3,)</f>
        <v>#N/A</v>
      </c>
      <c r="E532" s="40" t="str">
        <f>VLOOKUP(B532,Sheet3!$B$2:$E$312,4,)</f>
        <v>#N/A</v>
      </c>
      <c r="F532" s="40"/>
      <c r="G532" s="40"/>
      <c r="H532" s="40"/>
      <c r="I532" s="100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>
      <c r="A533" s="40"/>
      <c r="B533" s="103"/>
      <c r="C533" s="40" t="str">
        <f>VLOOKUP(B533,Sheet3!$B$2:$E$312,2,FALSE)</f>
        <v>#N/A</v>
      </c>
      <c r="D533" s="40" t="str">
        <f>VLOOKUP(B533,Sheet3!$B$2:$E$312,3,)</f>
        <v>#N/A</v>
      </c>
      <c r="E533" s="40" t="str">
        <f>VLOOKUP(B533,Sheet3!$B$2:$E$312,4,)</f>
        <v>#N/A</v>
      </c>
      <c r="F533" s="40"/>
      <c r="G533" s="40"/>
      <c r="H533" s="40"/>
      <c r="I533" s="100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>
      <c r="A534" s="40"/>
      <c r="B534" s="103"/>
      <c r="C534" s="40" t="str">
        <f>VLOOKUP(B534,Sheet3!$B$2:$E$312,2,FALSE)</f>
        <v>#N/A</v>
      </c>
      <c r="D534" s="40" t="str">
        <f>VLOOKUP(B534,Sheet3!$B$2:$E$312,3,)</f>
        <v>#N/A</v>
      </c>
      <c r="E534" s="40" t="str">
        <f>VLOOKUP(B534,Sheet3!$B$2:$E$312,4,)</f>
        <v>#N/A</v>
      </c>
      <c r="F534" s="40"/>
      <c r="G534" s="40"/>
      <c r="H534" s="40"/>
      <c r="I534" s="100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>
      <c r="A535" s="40"/>
      <c r="B535" s="103"/>
      <c r="C535" s="40" t="str">
        <f>VLOOKUP(B535,Sheet3!$B$2:$E$312,2,FALSE)</f>
        <v>#N/A</v>
      </c>
      <c r="D535" s="40" t="str">
        <f>VLOOKUP(B535,Sheet3!$B$2:$E$312,3,)</f>
        <v>#N/A</v>
      </c>
      <c r="E535" s="40" t="str">
        <f>VLOOKUP(B535,Sheet3!$B$2:$E$312,4,)</f>
        <v>#N/A</v>
      </c>
      <c r="F535" s="40"/>
      <c r="G535" s="40"/>
      <c r="H535" s="40"/>
      <c r="I535" s="100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>
      <c r="A536" s="40"/>
      <c r="B536" s="103"/>
      <c r="C536" s="40" t="str">
        <f>VLOOKUP(B536,Sheet3!$B$2:$E$312,2,FALSE)</f>
        <v>#N/A</v>
      </c>
      <c r="D536" s="40" t="str">
        <f>VLOOKUP(B536,Sheet3!$B$2:$E$312,3,)</f>
        <v>#N/A</v>
      </c>
      <c r="E536" s="40" t="str">
        <f>VLOOKUP(B536,Sheet3!$B$2:$E$312,4,)</f>
        <v>#N/A</v>
      </c>
      <c r="F536" s="40"/>
      <c r="G536" s="40"/>
      <c r="H536" s="40"/>
      <c r="I536" s="100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>
      <c r="A537" s="40"/>
      <c r="B537" s="103"/>
      <c r="C537" s="40" t="str">
        <f>VLOOKUP(B537,Sheet3!$B$2:$E$312,2,FALSE)</f>
        <v>#N/A</v>
      </c>
      <c r="D537" s="40" t="str">
        <f>VLOOKUP(B537,Sheet3!$B$2:$E$312,3,)</f>
        <v>#N/A</v>
      </c>
      <c r="E537" s="40" t="str">
        <f>VLOOKUP(B537,Sheet3!$B$2:$E$312,4,)</f>
        <v>#N/A</v>
      </c>
      <c r="F537" s="40"/>
      <c r="G537" s="40"/>
      <c r="H537" s="40"/>
      <c r="I537" s="100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>
      <c r="A538" s="40"/>
      <c r="B538" s="103"/>
      <c r="C538" s="40" t="str">
        <f>VLOOKUP(B538,Sheet3!$B$2:$E$312,2,FALSE)</f>
        <v>#N/A</v>
      </c>
      <c r="D538" s="40" t="str">
        <f>VLOOKUP(B538,Sheet3!$B$2:$E$312,3,)</f>
        <v>#N/A</v>
      </c>
      <c r="E538" s="40" t="str">
        <f>VLOOKUP(B538,Sheet3!$B$2:$E$312,4,)</f>
        <v>#N/A</v>
      </c>
      <c r="F538" s="40"/>
      <c r="G538" s="40"/>
      <c r="H538" s="40"/>
      <c r="I538" s="100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>
      <c r="A539" s="40"/>
      <c r="B539" s="103"/>
      <c r="C539" s="40" t="str">
        <f>VLOOKUP(B539,Sheet3!$B$2:$E$312,2,FALSE)</f>
        <v>#N/A</v>
      </c>
      <c r="D539" s="40" t="str">
        <f>VLOOKUP(B539,Sheet3!$B$2:$E$312,3,)</f>
        <v>#N/A</v>
      </c>
      <c r="E539" s="40" t="str">
        <f>VLOOKUP(B539,Sheet3!$B$2:$E$312,4,)</f>
        <v>#N/A</v>
      </c>
      <c r="F539" s="40"/>
      <c r="G539" s="40"/>
      <c r="H539" s="40"/>
      <c r="I539" s="100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>
      <c r="A540" s="40"/>
      <c r="B540" s="103"/>
      <c r="C540" s="40" t="str">
        <f>VLOOKUP(B540,Sheet3!$B$2:$E$312,2,FALSE)</f>
        <v>#N/A</v>
      </c>
      <c r="D540" s="40" t="str">
        <f>VLOOKUP(B540,Sheet3!$B$2:$E$312,3,)</f>
        <v>#N/A</v>
      </c>
      <c r="E540" s="40" t="str">
        <f>VLOOKUP(B540,Sheet3!$B$2:$E$312,4,)</f>
        <v>#N/A</v>
      </c>
      <c r="F540" s="40"/>
      <c r="G540" s="40"/>
      <c r="H540" s="40"/>
      <c r="I540" s="100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>
      <c r="A541" s="40"/>
      <c r="B541" s="103"/>
      <c r="C541" s="40" t="str">
        <f>VLOOKUP(B541,Sheet3!$B$2:$E$312,2,FALSE)</f>
        <v>#N/A</v>
      </c>
      <c r="D541" s="40" t="str">
        <f>VLOOKUP(B541,Sheet3!$B$2:$E$312,3,)</f>
        <v>#N/A</v>
      </c>
      <c r="E541" s="40" t="str">
        <f>VLOOKUP(B541,Sheet3!$B$2:$E$312,4,)</f>
        <v>#N/A</v>
      </c>
      <c r="F541" s="40"/>
      <c r="G541" s="40"/>
      <c r="H541" s="40"/>
      <c r="I541" s="100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>
      <c r="A542" s="40"/>
      <c r="B542" s="103"/>
      <c r="C542" s="40" t="str">
        <f>VLOOKUP(B542,Sheet3!$B$2:$E$312,2,FALSE)</f>
        <v>#N/A</v>
      </c>
      <c r="D542" s="40" t="str">
        <f>VLOOKUP(B542,Sheet3!$B$2:$E$312,3,)</f>
        <v>#N/A</v>
      </c>
      <c r="E542" s="40" t="str">
        <f>VLOOKUP(B542,Sheet3!$B$2:$E$312,4,)</f>
        <v>#N/A</v>
      </c>
      <c r="F542" s="40"/>
      <c r="G542" s="40"/>
      <c r="H542" s="40"/>
      <c r="I542" s="100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>
      <c r="A543" s="40"/>
      <c r="B543" s="103"/>
      <c r="C543" s="40" t="str">
        <f>VLOOKUP(B543,Sheet3!$B$2:$E$312,2,FALSE)</f>
        <v>#N/A</v>
      </c>
      <c r="D543" s="40" t="str">
        <f>VLOOKUP(B543,Sheet3!$B$2:$E$312,3,)</f>
        <v>#N/A</v>
      </c>
      <c r="E543" s="40" t="str">
        <f>VLOOKUP(B543,Sheet3!$B$2:$E$312,4,)</f>
        <v>#N/A</v>
      </c>
      <c r="F543" s="40"/>
      <c r="G543" s="40"/>
      <c r="H543" s="40"/>
      <c r="I543" s="100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>
      <c r="A544" s="40"/>
      <c r="B544" s="103"/>
      <c r="C544" s="40" t="str">
        <f>VLOOKUP(B544,Sheet3!$B$2:$E$312,2,FALSE)</f>
        <v>#N/A</v>
      </c>
      <c r="D544" s="40" t="str">
        <f>VLOOKUP(B544,Sheet3!$B$2:$E$312,3,)</f>
        <v>#N/A</v>
      </c>
      <c r="E544" s="40" t="str">
        <f>VLOOKUP(B544,Sheet3!$B$2:$E$312,4,)</f>
        <v>#N/A</v>
      </c>
      <c r="F544" s="40"/>
      <c r="G544" s="40"/>
      <c r="H544" s="40"/>
      <c r="I544" s="100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>
      <c r="A545" s="40"/>
      <c r="B545" s="103"/>
      <c r="C545" s="40" t="str">
        <f>VLOOKUP(B545,Sheet3!$B$2:$E$312,2,FALSE)</f>
        <v>#N/A</v>
      </c>
      <c r="D545" s="40" t="str">
        <f>VLOOKUP(B545,Sheet3!$B$2:$E$312,3,)</f>
        <v>#N/A</v>
      </c>
      <c r="E545" s="40" t="str">
        <f>VLOOKUP(B545,Sheet3!$B$2:$E$312,4,)</f>
        <v>#N/A</v>
      </c>
      <c r="F545" s="40"/>
      <c r="G545" s="40"/>
      <c r="H545" s="40"/>
      <c r="I545" s="100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>
      <c r="A546" s="40"/>
      <c r="B546" s="103"/>
      <c r="C546" s="40" t="str">
        <f>VLOOKUP(B546,Sheet3!$B$2:$E$312,2,FALSE)</f>
        <v>#N/A</v>
      </c>
      <c r="D546" s="40" t="str">
        <f>VLOOKUP(B546,Sheet3!$B$2:$E$312,3,)</f>
        <v>#N/A</v>
      </c>
      <c r="E546" s="40" t="str">
        <f>VLOOKUP(B546,Sheet3!$B$2:$E$312,4,)</f>
        <v>#N/A</v>
      </c>
      <c r="F546" s="40"/>
      <c r="G546" s="40"/>
      <c r="H546" s="40"/>
      <c r="I546" s="100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>
      <c r="A547" s="40"/>
      <c r="B547" s="103"/>
      <c r="C547" s="40" t="str">
        <f>VLOOKUP(B547,Sheet3!$B$2:$E$312,2,FALSE)</f>
        <v>#N/A</v>
      </c>
      <c r="D547" s="40" t="str">
        <f>VLOOKUP(B547,Sheet3!$B$2:$E$312,3,)</f>
        <v>#N/A</v>
      </c>
      <c r="E547" s="40" t="str">
        <f>VLOOKUP(B547,Sheet3!$B$2:$E$312,4,)</f>
        <v>#N/A</v>
      </c>
      <c r="F547" s="40"/>
      <c r="G547" s="40"/>
      <c r="H547" s="40"/>
      <c r="I547" s="100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>
      <c r="A548" s="40"/>
      <c r="B548" s="103"/>
      <c r="C548" s="40" t="str">
        <f>VLOOKUP(B548,Sheet3!$B$2:$E$312,2,FALSE)</f>
        <v>#N/A</v>
      </c>
      <c r="D548" s="40" t="str">
        <f>VLOOKUP(B548,Sheet3!$B$2:$E$312,3,)</f>
        <v>#N/A</v>
      </c>
      <c r="E548" s="40" t="str">
        <f>VLOOKUP(B548,Sheet3!$B$2:$E$312,4,)</f>
        <v>#N/A</v>
      </c>
      <c r="F548" s="40"/>
      <c r="G548" s="40"/>
      <c r="H548" s="40"/>
      <c r="I548" s="100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>
      <c r="A549" s="40"/>
      <c r="B549" s="103"/>
      <c r="C549" s="40" t="str">
        <f>VLOOKUP(B549,Sheet3!$B$2:$E$312,2,FALSE)</f>
        <v>#N/A</v>
      </c>
      <c r="D549" s="40" t="str">
        <f>VLOOKUP(B549,Sheet3!$B$2:$E$312,3,)</f>
        <v>#N/A</v>
      </c>
      <c r="E549" s="40" t="str">
        <f>VLOOKUP(B549,Sheet3!$B$2:$E$312,4,)</f>
        <v>#N/A</v>
      </c>
      <c r="F549" s="40"/>
      <c r="G549" s="40"/>
      <c r="H549" s="40"/>
      <c r="I549" s="100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>
      <c r="A550" s="40"/>
      <c r="B550" s="103"/>
      <c r="C550" s="40" t="str">
        <f>VLOOKUP(B550,Sheet3!$B$2:$E$312,2,FALSE)</f>
        <v>#N/A</v>
      </c>
      <c r="D550" s="40" t="str">
        <f>VLOOKUP(B550,Sheet3!$B$2:$E$312,3,)</f>
        <v>#N/A</v>
      </c>
      <c r="E550" s="40" t="str">
        <f>VLOOKUP(B550,Sheet3!$B$2:$E$312,4,)</f>
        <v>#N/A</v>
      </c>
      <c r="F550" s="40"/>
      <c r="G550" s="40"/>
      <c r="H550" s="40"/>
      <c r="I550" s="100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>
      <c r="A551" s="40"/>
      <c r="B551" s="103"/>
      <c r="C551" s="40" t="str">
        <f>VLOOKUP(B551,Sheet3!$B$2:$E$312,2,FALSE)</f>
        <v>#N/A</v>
      </c>
      <c r="D551" s="40" t="str">
        <f>VLOOKUP(B551,Sheet3!$B$2:$E$312,3,)</f>
        <v>#N/A</v>
      </c>
      <c r="E551" s="40" t="str">
        <f>VLOOKUP(B551,Sheet3!$B$2:$E$312,4,)</f>
        <v>#N/A</v>
      </c>
      <c r="F551" s="40"/>
      <c r="G551" s="40"/>
      <c r="H551" s="40"/>
      <c r="I551" s="100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>
      <c r="A552" s="40"/>
      <c r="B552" s="103"/>
      <c r="C552" s="40" t="str">
        <f>VLOOKUP(B552,Sheet3!$B$2:$E$312,2,FALSE)</f>
        <v>#N/A</v>
      </c>
      <c r="D552" s="40" t="str">
        <f>VLOOKUP(B552,Sheet3!$B$2:$E$312,3,)</f>
        <v>#N/A</v>
      </c>
      <c r="E552" s="40" t="str">
        <f>VLOOKUP(B552,Sheet3!$B$2:$E$312,4,)</f>
        <v>#N/A</v>
      </c>
      <c r="F552" s="40"/>
      <c r="G552" s="40"/>
      <c r="H552" s="40"/>
      <c r="I552" s="100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>
      <c r="A553" s="40"/>
      <c r="B553" s="103"/>
      <c r="C553" s="40" t="str">
        <f>VLOOKUP(B553,Sheet3!$B$2:$E$312,2,FALSE)</f>
        <v>#N/A</v>
      </c>
      <c r="D553" s="40" t="str">
        <f>VLOOKUP(B553,Sheet3!$B$2:$E$312,3,)</f>
        <v>#N/A</v>
      </c>
      <c r="E553" s="40" t="str">
        <f>VLOOKUP(B553,Sheet3!$B$2:$E$312,4,)</f>
        <v>#N/A</v>
      </c>
      <c r="F553" s="40"/>
      <c r="G553" s="40"/>
      <c r="H553" s="40"/>
      <c r="I553" s="100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>
      <c r="A554" s="40"/>
      <c r="B554" s="103"/>
      <c r="C554" s="40" t="str">
        <f>VLOOKUP(B554,Sheet3!$B$2:$E$312,2,FALSE)</f>
        <v>#N/A</v>
      </c>
      <c r="D554" s="40" t="str">
        <f>VLOOKUP(B554,Sheet3!$B$2:$E$312,3,)</f>
        <v>#N/A</v>
      </c>
      <c r="E554" s="40" t="str">
        <f>VLOOKUP(B554,Sheet3!$B$2:$E$312,4,)</f>
        <v>#N/A</v>
      </c>
      <c r="F554" s="40"/>
      <c r="G554" s="40"/>
      <c r="H554" s="40"/>
      <c r="I554" s="100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>
      <c r="A555" s="40"/>
      <c r="B555" s="103"/>
      <c r="C555" s="40" t="str">
        <f>VLOOKUP(B555,Sheet3!$B$2:$E$312,2,FALSE)</f>
        <v>#N/A</v>
      </c>
      <c r="D555" s="40" t="str">
        <f>VLOOKUP(B555,Sheet3!$B$2:$E$312,3,)</f>
        <v>#N/A</v>
      </c>
      <c r="E555" s="40" t="str">
        <f>VLOOKUP(B555,Sheet3!$B$2:$E$312,4,)</f>
        <v>#N/A</v>
      </c>
      <c r="F555" s="40"/>
      <c r="G555" s="40"/>
      <c r="H555" s="40"/>
      <c r="I555" s="100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>
      <c r="A556" s="40"/>
      <c r="B556" s="103"/>
      <c r="C556" s="40" t="str">
        <f>VLOOKUP(B556,Sheet3!$B$2:$E$312,2,FALSE)</f>
        <v>#N/A</v>
      </c>
      <c r="D556" s="40" t="str">
        <f>VLOOKUP(B556,Sheet3!$B$2:$E$312,3,)</f>
        <v>#N/A</v>
      </c>
      <c r="E556" s="40" t="str">
        <f>VLOOKUP(B556,Sheet3!$B$2:$E$312,4,)</f>
        <v>#N/A</v>
      </c>
      <c r="F556" s="40"/>
      <c r="G556" s="40"/>
      <c r="H556" s="40"/>
      <c r="I556" s="100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>
      <c r="A557" s="40"/>
      <c r="B557" s="103"/>
      <c r="C557" s="40" t="str">
        <f>VLOOKUP(B557,Sheet3!$B$2:$E$312,2,FALSE)</f>
        <v>#N/A</v>
      </c>
      <c r="D557" s="40" t="str">
        <f>VLOOKUP(B557,Sheet3!$B$2:$E$312,3,)</f>
        <v>#N/A</v>
      </c>
      <c r="E557" s="40" t="str">
        <f>VLOOKUP(B557,Sheet3!$B$2:$E$312,4,)</f>
        <v>#N/A</v>
      </c>
      <c r="F557" s="40"/>
      <c r="G557" s="40"/>
      <c r="H557" s="40"/>
      <c r="I557" s="100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>
      <c r="A558" s="40"/>
      <c r="B558" s="103"/>
      <c r="C558" s="40" t="str">
        <f>VLOOKUP(B558,Sheet3!$B$2:$E$312,2,FALSE)</f>
        <v>#N/A</v>
      </c>
      <c r="D558" s="40" t="str">
        <f>VLOOKUP(B558,Sheet3!$B$2:$E$312,3,)</f>
        <v>#N/A</v>
      </c>
      <c r="E558" s="40" t="str">
        <f>VLOOKUP(B558,Sheet3!$B$2:$E$312,4,)</f>
        <v>#N/A</v>
      </c>
      <c r="F558" s="40"/>
      <c r="G558" s="40"/>
      <c r="H558" s="40"/>
      <c r="I558" s="100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>
      <c r="A559" s="40"/>
      <c r="B559" s="103"/>
      <c r="C559" s="40" t="str">
        <f>VLOOKUP(B559,Sheet3!$B$2:$E$312,2,FALSE)</f>
        <v>#N/A</v>
      </c>
      <c r="D559" s="40" t="str">
        <f>VLOOKUP(B559,Sheet3!$B$2:$E$312,3,)</f>
        <v>#N/A</v>
      </c>
      <c r="E559" s="40" t="str">
        <f>VLOOKUP(B559,Sheet3!$B$2:$E$312,4,)</f>
        <v>#N/A</v>
      </c>
      <c r="F559" s="40"/>
      <c r="G559" s="40"/>
      <c r="H559" s="40"/>
      <c r="I559" s="100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>
      <c r="A560" s="40"/>
      <c r="B560" s="103"/>
      <c r="C560" s="40" t="str">
        <f>VLOOKUP(B560,Sheet3!$B$2:$E$312,2,FALSE)</f>
        <v>#N/A</v>
      </c>
      <c r="D560" s="40" t="str">
        <f>VLOOKUP(B560,Sheet3!$B$2:$E$312,3,)</f>
        <v>#N/A</v>
      </c>
      <c r="E560" s="40" t="str">
        <f>VLOOKUP(B560,Sheet3!$B$2:$E$312,4,)</f>
        <v>#N/A</v>
      </c>
      <c r="F560" s="40"/>
      <c r="G560" s="40"/>
      <c r="H560" s="40"/>
      <c r="I560" s="100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>
      <c r="A561" s="100"/>
      <c r="B561" s="104"/>
      <c r="C561" s="100" t="str">
        <f>VLOOKUP(B561,Sheet3!$B$2:$E$312,2,FALSE)</f>
        <v>#N/A</v>
      </c>
      <c r="D561" s="100" t="str">
        <f>VLOOKUP(B561,Sheet3!$B$2:$E$312,3,)</f>
        <v>#N/A</v>
      </c>
      <c r="E561" s="100" t="str">
        <f>VLOOKUP(B561,Sheet3!$B$2:$E$312,4,)</f>
        <v>#N/A</v>
      </c>
      <c r="F561" s="100"/>
      <c r="G561" s="100"/>
      <c r="H561" s="100"/>
      <c r="I561" s="100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>
      <c r="A562" s="100"/>
      <c r="B562" s="104"/>
      <c r="C562" s="100" t="str">
        <f>VLOOKUP(B562,Sheet3!$B$2:$E$312,2,FALSE)</f>
        <v>#N/A</v>
      </c>
      <c r="D562" s="100" t="str">
        <f>VLOOKUP(B562,Sheet3!$B$2:$E$312,3,)</f>
        <v>#N/A</v>
      </c>
      <c r="E562" s="100" t="str">
        <f>VLOOKUP(B562,Sheet3!$B$2:$E$312,4,)</f>
        <v>#N/A</v>
      </c>
      <c r="F562" s="100"/>
      <c r="G562" s="100"/>
      <c r="H562" s="100"/>
      <c r="I562" s="100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>
      <c r="A563" s="100"/>
      <c r="B563" s="104"/>
      <c r="C563" s="100" t="str">
        <f>VLOOKUP(B563,Sheet3!$B$2:$E$312,2,FALSE)</f>
        <v>#N/A</v>
      </c>
      <c r="D563" s="100" t="str">
        <f>VLOOKUP(B563,Sheet3!$B$2:$E$312,3,)</f>
        <v>#N/A</v>
      </c>
      <c r="E563" s="100" t="str">
        <f>VLOOKUP(B563,Sheet3!$B$2:$E$312,4,)</f>
        <v>#N/A</v>
      </c>
      <c r="F563" s="100"/>
      <c r="G563" s="100"/>
      <c r="H563" s="100"/>
      <c r="I563" s="100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>
      <c r="A564" s="100"/>
      <c r="B564" s="104"/>
      <c r="C564" s="100" t="str">
        <f>VLOOKUP(B564,Sheet3!$B$2:$E$312,2,FALSE)</f>
        <v>#N/A</v>
      </c>
      <c r="D564" s="100" t="str">
        <f>VLOOKUP(B564,Sheet3!$B$2:$E$312,3,)</f>
        <v>#N/A</v>
      </c>
      <c r="E564" s="100" t="str">
        <f>VLOOKUP(B564,Sheet3!$B$2:$E$312,4,)</f>
        <v>#N/A</v>
      </c>
      <c r="F564" s="100"/>
      <c r="G564" s="100"/>
      <c r="H564" s="100"/>
      <c r="I564" s="100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>
      <c r="A565" s="100"/>
      <c r="B565" s="104"/>
      <c r="C565" s="100" t="str">
        <f>VLOOKUP(B565,Sheet3!$B$2:$E$312,2,FALSE)</f>
        <v>#N/A</v>
      </c>
      <c r="D565" s="100" t="str">
        <f>VLOOKUP(B565,Sheet3!$B$2:$E$312,3,)</f>
        <v>#N/A</v>
      </c>
      <c r="E565" s="100" t="str">
        <f>VLOOKUP(B565,Sheet3!$B$2:$E$312,4,)</f>
        <v>#N/A</v>
      </c>
      <c r="F565" s="100"/>
      <c r="G565" s="100"/>
      <c r="H565" s="100"/>
      <c r="I565" s="100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>
      <c r="A566" s="100"/>
      <c r="B566" s="104"/>
      <c r="C566" s="100" t="str">
        <f>VLOOKUP(B566,Sheet3!$B$2:$E$312,2,FALSE)</f>
        <v>#N/A</v>
      </c>
      <c r="D566" s="100" t="str">
        <f>VLOOKUP(B566,Sheet3!$B$2:$E$312,3,)</f>
        <v>#N/A</v>
      </c>
      <c r="E566" s="100" t="str">
        <f>VLOOKUP(B566,Sheet3!$B$2:$E$312,4,)</f>
        <v>#N/A</v>
      </c>
      <c r="F566" s="100"/>
      <c r="G566" s="100"/>
      <c r="H566" s="100"/>
      <c r="I566" s="100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>
      <c r="A567" s="100"/>
      <c r="B567" s="104"/>
      <c r="C567" s="100" t="str">
        <f>VLOOKUP(B567,Sheet3!$B$2:$E$312,2,FALSE)</f>
        <v>#N/A</v>
      </c>
      <c r="D567" s="100" t="str">
        <f>VLOOKUP(B567,Sheet3!$B$2:$E$312,3,)</f>
        <v>#N/A</v>
      </c>
      <c r="E567" s="100" t="str">
        <f>VLOOKUP(B567,Sheet3!$B$2:$E$312,4,)</f>
        <v>#N/A</v>
      </c>
      <c r="F567" s="100"/>
      <c r="G567" s="100"/>
      <c r="H567" s="100"/>
      <c r="I567" s="100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>
      <c r="A568" s="100"/>
      <c r="B568" s="104"/>
      <c r="C568" s="100" t="str">
        <f>VLOOKUP(B568,Sheet3!$B$2:$E$312,2,FALSE)</f>
        <v>#N/A</v>
      </c>
      <c r="D568" s="100" t="str">
        <f>VLOOKUP(B568,Sheet3!$B$2:$E$312,3,)</f>
        <v>#N/A</v>
      </c>
      <c r="E568" s="100" t="str">
        <f>VLOOKUP(B568,Sheet3!$B$2:$E$312,4,)</f>
        <v>#N/A</v>
      </c>
      <c r="F568" s="100"/>
      <c r="G568" s="100"/>
      <c r="H568" s="100"/>
      <c r="I568" s="100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>
      <c r="A569" s="100"/>
      <c r="B569" s="104"/>
      <c r="C569" s="100" t="str">
        <f>VLOOKUP(B569,Sheet3!$B$2:$E$312,2,FALSE)</f>
        <v>#N/A</v>
      </c>
      <c r="D569" s="100" t="str">
        <f>VLOOKUP(B569,Sheet3!$B$2:$E$312,3,)</f>
        <v>#N/A</v>
      </c>
      <c r="E569" s="100" t="str">
        <f>VLOOKUP(B569,Sheet3!$B$2:$E$312,4,)</f>
        <v>#N/A</v>
      </c>
      <c r="F569" s="100"/>
      <c r="G569" s="100"/>
      <c r="H569" s="100"/>
      <c r="I569" s="100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>
      <c r="A570" s="100"/>
      <c r="B570" s="104"/>
      <c r="C570" s="100" t="str">
        <f>VLOOKUP(B570,Sheet3!$B$2:$E$312,2,FALSE)</f>
        <v>#N/A</v>
      </c>
      <c r="D570" s="100" t="str">
        <f>VLOOKUP(B570,Sheet3!$B$2:$E$312,3,)</f>
        <v>#N/A</v>
      </c>
      <c r="E570" s="100" t="str">
        <f>VLOOKUP(B570,Sheet3!$B$2:$E$312,4,)</f>
        <v>#N/A</v>
      </c>
      <c r="F570" s="100"/>
      <c r="G570" s="100"/>
      <c r="H570" s="100"/>
      <c r="I570" s="100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>
      <c r="A571" s="100"/>
      <c r="B571" s="104"/>
      <c r="C571" s="100" t="str">
        <f>VLOOKUP(B571,Sheet3!$B$2:$E$312,2,FALSE)</f>
        <v>#N/A</v>
      </c>
      <c r="D571" s="100" t="str">
        <f>VLOOKUP(B571,Sheet3!$B$2:$E$312,3,)</f>
        <v>#N/A</v>
      </c>
      <c r="E571" s="100" t="str">
        <f>VLOOKUP(B571,Sheet3!$B$2:$E$312,4,)</f>
        <v>#N/A</v>
      </c>
      <c r="F571" s="100"/>
      <c r="G571" s="100"/>
      <c r="H571" s="100"/>
      <c r="I571" s="100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>
      <c r="A572" s="100"/>
      <c r="B572" s="104"/>
      <c r="C572" s="100" t="str">
        <f>VLOOKUP(B572,Sheet3!$B$2:$E$312,2,FALSE)</f>
        <v>#N/A</v>
      </c>
      <c r="D572" s="100" t="str">
        <f>VLOOKUP(B572,Sheet3!$B$2:$E$312,3,)</f>
        <v>#N/A</v>
      </c>
      <c r="E572" s="100" t="str">
        <f>VLOOKUP(B572,Sheet3!$B$2:$E$312,4,)</f>
        <v>#N/A</v>
      </c>
      <c r="F572" s="100"/>
      <c r="G572" s="100"/>
      <c r="H572" s="100"/>
      <c r="I572" s="100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>
      <c r="A573" s="100"/>
      <c r="B573" s="104"/>
      <c r="C573" s="100" t="str">
        <f>VLOOKUP(B573,Sheet3!$B$2:$E$312,2,FALSE)</f>
        <v>#N/A</v>
      </c>
      <c r="D573" s="100" t="str">
        <f>VLOOKUP(B573,Sheet3!$B$2:$E$312,3,)</f>
        <v>#N/A</v>
      </c>
      <c r="E573" s="100" t="str">
        <f>VLOOKUP(B573,Sheet3!$B$2:$E$312,4,)</f>
        <v>#N/A</v>
      </c>
      <c r="F573" s="100"/>
      <c r="G573" s="100"/>
      <c r="H573" s="100"/>
      <c r="I573" s="100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>
      <c r="A574" s="100"/>
      <c r="B574" s="104"/>
      <c r="C574" s="100" t="str">
        <f>VLOOKUP(B574,Sheet3!$B$2:$E$312,2,FALSE)</f>
        <v>#N/A</v>
      </c>
      <c r="D574" s="100" t="str">
        <f>VLOOKUP(B574,Sheet3!$B$2:$E$312,3,)</f>
        <v>#N/A</v>
      </c>
      <c r="E574" s="100" t="str">
        <f>VLOOKUP(B574,Sheet3!$B$2:$E$312,4,)</f>
        <v>#N/A</v>
      </c>
      <c r="F574" s="100"/>
      <c r="G574" s="100"/>
      <c r="H574" s="100"/>
      <c r="I574" s="100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>
      <c r="A575" s="100"/>
      <c r="B575" s="104"/>
      <c r="C575" s="100" t="str">
        <f>VLOOKUP(B575,Sheet3!$B$2:$E$312,2,FALSE)</f>
        <v>#N/A</v>
      </c>
      <c r="D575" s="100" t="str">
        <f>VLOOKUP(B575,Sheet3!$B$2:$E$312,3,)</f>
        <v>#N/A</v>
      </c>
      <c r="E575" s="100" t="str">
        <f>VLOOKUP(B575,Sheet3!$B$2:$E$312,4,)</f>
        <v>#N/A</v>
      </c>
      <c r="F575" s="100"/>
      <c r="G575" s="100"/>
      <c r="H575" s="100"/>
      <c r="I575" s="100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>
      <c r="A576" s="100"/>
      <c r="B576" s="104"/>
      <c r="C576" s="100" t="str">
        <f>VLOOKUP(B576,Sheet3!$B$2:$E$312,2,FALSE)</f>
        <v>#N/A</v>
      </c>
      <c r="D576" s="100" t="str">
        <f>VLOOKUP(B576,Sheet3!$B$2:$E$312,3,)</f>
        <v>#N/A</v>
      </c>
      <c r="E576" s="100" t="str">
        <f>VLOOKUP(B576,Sheet3!$B$2:$E$312,4,)</f>
        <v>#N/A</v>
      </c>
      <c r="F576" s="100"/>
      <c r="G576" s="100"/>
      <c r="H576" s="100"/>
      <c r="I576" s="100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>
      <c r="A577" s="100"/>
      <c r="B577" s="104"/>
      <c r="C577" s="100" t="str">
        <f>VLOOKUP(B577,Sheet3!$B$2:$E$312,2,FALSE)</f>
        <v>#N/A</v>
      </c>
      <c r="D577" s="100" t="str">
        <f>VLOOKUP(B577,Sheet3!$B$2:$E$312,3,)</f>
        <v>#N/A</v>
      </c>
      <c r="E577" s="100" t="str">
        <f>VLOOKUP(B577,Sheet3!$B$2:$E$312,4,)</f>
        <v>#N/A</v>
      </c>
      <c r="F577" s="100"/>
      <c r="G577" s="100"/>
      <c r="H577" s="100"/>
      <c r="I577" s="100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>
      <c r="A578" s="100"/>
      <c r="B578" s="104"/>
      <c r="C578" s="100" t="str">
        <f>VLOOKUP(B578,Sheet3!$B$2:$E$312,2,FALSE)</f>
        <v>#N/A</v>
      </c>
      <c r="D578" s="100" t="str">
        <f>VLOOKUP(B578,Sheet3!$B$2:$E$312,3,)</f>
        <v>#N/A</v>
      </c>
      <c r="E578" s="100" t="str">
        <f>VLOOKUP(B578,Sheet3!$B$2:$E$312,4,)</f>
        <v>#N/A</v>
      </c>
      <c r="F578" s="100"/>
      <c r="G578" s="100"/>
      <c r="H578" s="100"/>
      <c r="I578" s="100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>
      <c r="A579" s="100"/>
      <c r="B579" s="104"/>
      <c r="C579" s="100" t="str">
        <f>VLOOKUP(B579,Sheet3!$B$2:$E$312,2,FALSE)</f>
        <v>#N/A</v>
      </c>
      <c r="D579" s="100" t="str">
        <f>VLOOKUP(B579,Sheet3!$B$2:$E$312,3,)</f>
        <v>#N/A</v>
      </c>
      <c r="E579" s="100" t="str">
        <f>VLOOKUP(B579,Sheet3!$B$2:$E$312,4,)</f>
        <v>#N/A</v>
      </c>
      <c r="F579" s="100"/>
      <c r="G579" s="100"/>
      <c r="H579" s="100"/>
      <c r="I579" s="100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>
      <c r="A580" s="100"/>
      <c r="B580" s="104"/>
      <c r="C580" s="100" t="str">
        <f>VLOOKUP(B580,Sheet3!$B$2:$E$312,2,FALSE)</f>
        <v>#N/A</v>
      </c>
      <c r="D580" s="100" t="str">
        <f>VLOOKUP(B580,Sheet3!$B$2:$E$312,3,)</f>
        <v>#N/A</v>
      </c>
      <c r="E580" s="100" t="str">
        <f>VLOOKUP(B580,Sheet3!$B$2:$E$312,4,)</f>
        <v>#N/A</v>
      </c>
      <c r="F580" s="100"/>
      <c r="G580" s="100"/>
      <c r="H580" s="100"/>
      <c r="I580" s="100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>
      <c r="A581" s="100"/>
      <c r="B581" s="104"/>
      <c r="C581" s="100" t="str">
        <f>VLOOKUP(B581,Sheet3!$B$2:$E$312,2,FALSE)</f>
        <v>#N/A</v>
      </c>
      <c r="D581" s="100" t="str">
        <f>VLOOKUP(B581,Sheet3!$B$2:$E$312,3,)</f>
        <v>#N/A</v>
      </c>
      <c r="E581" s="100" t="str">
        <f>VLOOKUP(B581,Sheet3!$B$2:$E$312,4,)</f>
        <v>#N/A</v>
      </c>
      <c r="F581" s="100"/>
      <c r="G581" s="100"/>
      <c r="H581" s="100"/>
      <c r="I581" s="100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>
      <c r="A582" s="100"/>
      <c r="B582" s="104"/>
      <c r="C582" s="100" t="str">
        <f>VLOOKUP(B582,Sheet3!$B$2:$E$312,2,FALSE)</f>
        <v>#N/A</v>
      </c>
      <c r="D582" s="100" t="str">
        <f>VLOOKUP(B582,Sheet3!$B$2:$E$312,3,)</f>
        <v>#N/A</v>
      </c>
      <c r="E582" s="100" t="str">
        <f>VLOOKUP(B582,Sheet3!$B$2:$E$312,4,)</f>
        <v>#N/A</v>
      </c>
      <c r="F582" s="100"/>
      <c r="G582" s="100"/>
      <c r="H582" s="100"/>
      <c r="I582" s="100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>
      <c r="A583" s="100"/>
      <c r="B583" s="104"/>
      <c r="C583" s="100" t="str">
        <f>VLOOKUP(B583,Sheet3!$B$2:$E$312,2,FALSE)</f>
        <v>#N/A</v>
      </c>
      <c r="D583" s="100" t="str">
        <f>VLOOKUP(B583,Sheet3!$B$2:$E$312,3,)</f>
        <v>#N/A</v>
      </c>
      <c r="E583" s="100" t="str">
        <f>VLOOKUP(B583,Sheet3!$B$2:$E$312,4,)</f>
        <v>#N/A</v>
      </c>
      <c r="F583" s="100"/>
      <c r="G583" s="100"/>
      <c r="H583" s="100"/>
      <c r="I583" s="100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>
      <c r="A584" s="100"/>
      <c r="B584" s="104"/>
      <c r="C584" s="100" t="str">
        <f>VLOOKUP(B584,Sheet3!$B$2:$E$312,2,FALSE)</f>
        <v>#N/A</v>
      </c>
      <c r="D584" s="100" t="str">
        <f>VLOOKUP(B584,Sheet3!$B$2:$E$312,3,)</f>
        <v>#N/A</v>
      </c>
      <c r="E584" s="100" t="str">
        <f>VLOOKUP(B584,Sheet3!$B$2:$E$312,4,)</f>
        <v>#N/A</v>
      </c>
      <c r="F584" s="100"/>
      <c r="G584" s="100"/>
      <c r="H584" s="100"/>
      <c r="I584" s="100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>
      <c r="A585" s="100"/>
      <c r="B585" s="104"/>
      <c r="C585" s="100" t="str">
        <f>VLOOKUP(B585,Sheet3!$B$2:$E$312,2,FALSE)</f>
        <v>#N/A</v>
      </c>
      <c r="D585" s="100" t="str">
        <f>VLOOKUP(B585,Sheet3!$B$2:$E$312,3,)</f>
        <v>#N/A</v>
      </c>
      <c r="E585" s="100" t="str">
        <f>VLOOKUP(B585,Sheet3!$B$2:$E$312,4,)</f>
        <v>#N/A</v>
      </c>
      <c r="F585" s="100"/>
      <c r="G585" s="100"/>
      <c r="H585" s="100"/>
      <c r="I585" s="100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>
      <c r="A586" s="100"/>
      <c r="B586" s="104"/>
      <c r="C586" s="100" t="str">
        <f>VLOOKUP(B586,Sheet3!$B$2:$E$312,2,FALSE)</f>
        <v>#N/A</v>
      </c>
      <c r="D586" s="100" t="str">
        <f>VLOOKUP(B586,Sheet3!$B$2:$E$312,3,)</f>
        <v>#N/A</v>
      </c>
      <c r="E586" s="100" t="str">
        <f>VLOOKUP(B586,Sheet3!$B$2:$E$312,4,)</f>
        <v>#N/A</v>
      </c>
      <c r="F586" s="100"/>
      <c r="G586" s="100"/>
      <c r="H586" s="100"/>
      <c r="I586" s="100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>
      <c r="A587" s="100"/>
      <c r="B587" s="104"/>
      <c r="C587" s="100" t="str">
        <f>VLOOKUP(B587,Sheet3!$B$2:$E$312,2,FALSE)</f>
        <v>#N/A</v>
      </c>
      <c r="D587" s="100" t="str">
        <f>VLOOKUP(B587,Sheet3!$B$2:$E$312,3,)</f>
        <v>#N/A</v>
      </c>
      <c r="E587" s="100" t="str">
        <f>VLOOKUP(B587,Sheet3!$B$2:$E$312,4,)</f>
        <v>#N/A</v>
      </c>
      <c r="F587" s="100"/>
      <c r="G587" s="100"/>
      <c r="H587" s="100"/>
      <c r="I587" s="100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>
      <c r="A588" s="100"/>
      <c r="B588" s="104"/>
      <c r="C588" s="100" t="str">
        <f>VLOOKUP(B588,Sheet3!$B$2:$E$312,2,FALSE)</f>
        <v>#N/A</v>
      </c>
      <c r="D588" s="100" t="str">
        <f>VLOOKUP(B588,Sheet3!$B$2:$E$312,3,)</f>
        <v>#N/A</v>
      </c>
      <c r="E588" s="100" t="str">
        <f>VLOOKUP(B588,Sheet3!$B$2:$E$312,4,)</f>
        <v>#N/A</v>
      </c>
      <c r="F588" s="100"/>
      <c r="G588" s="100"/>
      <c r="H588" s="100"/>
      <c r="I588" s="100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>
      <c r="A589" s="100"/>
      <c r="B589" s="104"/>
      <c r="C589" s="100" t="str">
        <f>VLOOKUP(B589,Sheet3!$B$2:$E$312,2,FALSE)</f>
        <v>#N/A</v>
      </c>
      <c r="D589" s="100" t="str">
        <f>VLOOKUP(B589,Sheet3!$B$2:$E$312,3,)</f>
        <v>#N/A</v>
      </c>
      <c r="E589" s="100" t="str">
        <f>VLOOKUP(B589,Sheet3!$B$2:$E$312,4,)</f>
        <v>#N/A</v>
      </c>
      <c r="F589" s="100"/>
      <c r="G589" s="100"/>
      <c r="H589" s="100"/>
      <c r="I589" s="100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>
      <c r="A590" s="100"/>
      <c r="B590" s="104"/>
      <c r="C590" s="100" t="str">
        <f>VLOOKUP(B590,Sheet3!$B$2:$E$312,2,FALSE)</f>
        <v>#N/A</v>
      </c>
      <c r="D590" s="100" t="str">
        <f>VLOOKUP(B590,Sheet3!$B$2:$E$312,3,)</f>
        <v>#N/A</v>
      </c>
      <c r="E590" s="100" t="str">
        <f>VLOOKUP(B590,Sheet3!$B$2:$E$312,4,)</f>
        <v>#N/A</v>
      </c>
      <c r="F590" s="100"/>
      <c r="G590" s="100"/>
      <c r="H590" s="100"/>
      <c r="I590" s="100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>
      <c r="A591" s="100"/>
      <c r="B591" s="104"/>
      <c r="C591" s="100" t="str">
        <f>VLOOKUP(B591,Sheet3!$B$2:$E$312,2,FALSE)</f>
        <v>#N/A</v>
      </c>
      <c r="D591" s="100" t="str">
        <f>VLOOKUP(B591,Sheet3!$B$2:$E$312,3,)</f>
        <v>#N/A</v>
      </c>
      <c r="E591" s="100" t="str">
        <f>VLOOKUP(B591,Sheet3!$B$2:$E$312,4,)</f>
        <v>#N/A</v>
      </c>
      <c r="F591" s="100"/>
      <c r="G591" s="100"/>
      <c r="H591" s="100"/>
      <c r="I591" s="100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>
      <c r="A592" s="100"/>
      <c r="B592" s="104"/>
      <c r="C592" s="100" t="str">
        <f>VLOOKUP(B592,Sheet3!$B$2:$E$312,2,FALSE)</f>
        <v>#N/A</v>
      </c>
      <c r="D592" s="100" t="str">
        <f>VLOOKUP(B592,Sheet3!$B$2:$E$312,3,)</f>
        <v>#N/A</v>
      </c>
      <c r="E592" s="100" t="str">
        <f>VLOOKUP(B592,Sheet3!$B$2:$E$312,4,)</f>
        <v>#N/A</v>
      </c>
      <c r="F592" s="100"/>
      <c r="G592" s="100"/>
      <c r="H592" s="100"/>
      <c r="I592" s="100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>
      <c r="A593" s="100"/>
      <c r="B593" s="104"/>
      <c r="C593" s="100" t="str">
        <f>VLOOKUP(B593,Sheet3!$B$2:$E$312,2,FALSE)</f>
        <v>#N/A</v>
      </c>
      <c r="D593" s="100" t="str">
        <f>VLOOKUP(B593,Sheet3!$B$2:$E$312,3,)</f>
        <v>#N/A</v>
      </c>
      <c r="E593" s="100" t="str">
        <f>VLOOKUP(B593,Sheet3!$B$2:$E$312,4,)</f>
        <v>#N/A</v>
      </c>
      <c r="F593" s="100"/>
      <c r="G593" s="100"/>
      <c r="H593" s="100"/>
      <c r="I593" s="100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>
      <c r="A594" s="100"/>
      <c r="B594" s="104"/>
      <c r="C594" s="100" t="str">
        <f>VLOOKUP(B594,Sheet3!$B$2:$E$312,2,FALSE)</f>
        <v>#N/A</v>
      </c>
      <c r="D594" s="100" t="str">
        <f>VLOOKUP(B594,Sheet3!$B$2:$E$312,3,)</f>
        <v>#N/A</v>
      </c>
      <c r="E594" s="100" t="str">
        <f>VLOOKUP(B594,Sheet3!$B$2:$E$312,4,)</f>
        <v>#N/A</v>
      </c>
      <c r="F594" s="100"/>
      <c r="G594" s="100"/>
      <c r="H594" s="100"/>
      <c r="I594" s="100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>
      <c r="A595" s="100"/>
      <c r="B595" s="104"/>
      <c r="C595" s="100" t="str">
        <f>VLOOKUP(B595,Sheet3!$B$2:$E$312,2,FALSE)</f>
        <v>#N/A</v>
      </c>
      <c r="D595" s="100" t="str">
        <f>VLOOKUP(B595,Sheet3!$B$2:$E$312,3,)</f>
        <v>#N/A</v>
      </c>
      <c r="E595" s="100" t="str">
        <f>VLOOKUP(B595,Sheet3!$B$2:$E$312,4,)</f>
        <v>#N/A</v>
      </c>
      <c r="F595" s="100"/>
      <c r="G595" s="100"/>
      <c r="H595" s="100"/>
      <c r="I595" s="100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>
      <c r="A596" s="100"/>
      <c r="B596" s="104"/>
      <c r="C596" s="100" t="str">
        <f>VLOOKUP(B596,Sheet3!$B$2:$E$312,2,FALSE)</f>
        <v>#N/A</v>
      </c>
      <c r="D596" s="100" t="str">
        <f>VLOOKUP(B596,Sheet3!$B$2:$E$312,3,)</f>
        <v>#N/A</v>
      </c>
      <c r="E596" s="100" t="str">
        <f>VLOOKUP(B596,Sheet3!$B$2:$E$312,4,)</f>
        <v>#N/A</v>
      </c>
      <c r="F596" s="100"/>
      <c r="G596" s="100"/>
      <c r="H596" s="100"/>
      <c r="I596" s="100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>
      <c r="A597" s="100"/>
      <c r="B597" s="104"/>
      <c r="C597" s="100" t="str">
        <f>VLOOKUP(B597,Sheet3!$B$2:$E$312,2,FALSE)</f>
        <v>#N/A</v>
      </c>
      <c r="D597" s="100" t="str">
        <f>VLOOKUP(B597,Sheet3!$B$2:$E$312,3,)</f>
        <v>#N/A</v>
      </c>
      <c r="E597" s="100" t="str">
        <f>VLOOKUP(B597,Sheet3!$B$2:$E$312,4,)</f>
        <v>#N/A</v>
      </c>
      <c r="F597" s="100"/>
      <c r="G597" s="100"/>
      <c r="H597" s="100"/>
      <c r="I597" s="100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>
      <c r="A598" s="100"/>
      <c r="B598" s="104"/>
      <c r="C598" s="100" t="str">
        <f>VLOOKUP(B598,Sheet3!$B$2:$E$312,2,FALSE)</f>
        <v>#N/A</v>
      </c>
      <c r="D598" s="100" t="str">
        <f>VLOOKUP(B598,Sheet3!$B$2:$E$312,3,)</f>
        <v>#N/A</v>
      </c>
      <c r="E598" s="100" t="str">
        <f>VLOOKUP(B598,Sheet3!$B$2:$E$312,4,)</f>
        <v>#N/A</v>
      </c>
      <c r="F598" s="100"/>
      <c r="G598" s="100"/>
      <c r="H598" s="100"/>
      <c r="I598" s="100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>
      <c r="A599" s="100"/>
      <c r="B599" s="104"/>
      <c r="C599" s="100" t="str">
        <f>VLOOKUP(B599,Sheet3!$B$2:$E$312,2,FALSE)</f>
        <v>#N/A</v>
      </c>
      <c r="D599" s="100" t="str">
        <f>VLOOKUP(B599,Sheet3!$B$2:$E$312,3,)</f>
        <v>#N/A</v>
      </c>
      <c r="E599" s="100" t="str">
        <f>VLOOKUP(B599,Sheet3!$B$2:$E$312,4,)</f>
        <v>#N/A</v>
      </c>
      <c r="F599" s="100"/>
      <c r="G599" s="100"/>
      <c r="H599" s="100"/>
      <c r="I599" s="100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>
      <c r="A600" s="100"/>
      <c r="B600" s="104"/>
      <c r="C600" s="100" t="str">
        <f>VLOOKUP(B600,Sheet3!$B$2:$E$312,2,FALSE)</f>
        <v>#N/A</v>
      </c>
      <c r="D600" s="100" t="str">
        <f>VLOOKUP(B600,Sheet3!$B$2:$E$312,3,)</f>
        <v>#N/A</v>
      </c>
      <c r="E600" s="100" t="str">
        <f>VLOOKUP(B600,Sheet3!$B$2:$E$312,4,)</f>
        <v>#N/A</v>
      </c>
      <c r="F600" s="100"/>
      <c r="G600" s="100"/>
      <c r="H600" s="100"/>
      <c r="I600" s="100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>
      <c r="A601" s="100"/>
      <c r="B601" s="104"/>
      <c r="C601" s="100" t="str">
        <f>VLOOKUP(B601,Sheet3!$B$2:$E$312,2,FALSE)</f>
        <v>#N/A</v>
      </c>
      <c r="D601" s="100" t="str">
        <f>VLOOKUP(B601,Sheet3!$B$2:$E$312,3,)</f>
        <v>#N/A</v>
      </c>
      <c r="E601" s="100" t="str">
        <f>VLOOKUP(B601,Sheet3!$B$2:$E$312,4,)</f>
        <v>#N/A</v>
      </c>
      <c r="F601" s="100"/>
      <c r="G601" s="100"/>
      <c r="H601" s="100"/>
      <c r="I601" s="100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>
      <c r="A602" s="100"/>
      <c r="B602" s="104"/>
      <c r="C602" s="100" t="str">
        <f>VLOOKUP(B602,Sheet3!$B$2:$E$312,2,FALSE)</f>
        <v>#N/A</v>
      </c>
      <c r="D602" s="100" t="str">
        <f>VLOOKUP(B602,Sheet3!$B$2:$E$312,3,)</f>
        <v>#N/A</v>
      </c>
      <c r="E602" s="100" t="str">
        <f>VLOOKUP(B602,Sheet3!$B$2:$E$312,4,)</f>
        <v>#N/A</v>
      </c>
      <c r="F602" s="100"/>
      <c r="G602" s="100"/>
      <c r="H602" s="100"/>
      <c r="I602" s="100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>
      <c r="A603" s="100"/>
      <c r="B603" s="104"/>
      <c r="C603" s="100" t="str">
        <f>VLOOKUP(B603,Sheet3!$B$2:$E$312,2,FALSE)</f>
        <v>#N/A</v>
      </c>
      <c r="D603" s="100" t="str">
        <f>VLOOKUP(B603,Sheet3!$B$2:$E$312,3,)</f>
        <v>#N/A</v>
      </c>
      <c r="E603" s="100" t="str">
        <f>VLOOKUP(B603,Sheet3!$B$2:$E$312,4,)</f>
        <v>#N/A</v>
      </c>
      <c r="F603" s="100"/>
      <c r="G603" s="100"/>
      <c r="H603" s="100"/>
      <c r="I603" s="100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>
      <c r="A604" s="100"/>
      <c r="B604" s="104"/>
      <c r="C604" s="100" t="str">
        <f>VLOOKUP(B604,Sheet3!$B$2:$E$312,2,FALSE)</f>
        <v>#N/A</v>
      </c>
      <c r="D604" s="100" t="str">
        <f>VLOOKUP(B604,Sheet3!$B$2:$E$312,3,)</f>
        <v>#N/A</v>
      </c>
      <c r="E604" s="100" t="str">
        <f>VLOOKUP(B604,Sheet3!$B$2:$E$312,4,)</f>
        <v>#N/A</v>
      </c>
      <c r="F604" s="100"/>
      <c r="G604" s="100"/>
      <c r="H604" s="100"/>
      <c r="I604" s="100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>
      <c r="A605" s="100"/>
      <c r="B605" s="104"/>
      <c r="C605" s="100" t="str">
        <f>VLOOKUP(B605,Sheet3!$B$2:$E$312,2,FALSE)</f>
        <v>#N/A</v>
      </c>
      <c r="D605" s="100" t="str">
        <f>VLOOKUP(B605,Sheet3!$B$2:$E$312,3,)</f>
        <v>#N/A</v>
      </c>
      <c r="E605" s="100" t="str">
        <f>VLOOKUP(B605,Sheet3!$B$2:$E$312,4,)</f>
        <v>#N/A</v>
      </c>
      <c r="F605" s="100"/>
      <c r="G605" s="100"/>
      <c r="H605" s="100"/>
      <c r="I605" s="100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>
      <c r="A606" s="100"/>
      <c r="B606" s="104"/>
      <c r="C606" s="100" t="str">
        <f>VLOOKUP(B606,Sheet3!$B$2:$E$312,2,FALSE)</f>
        <v>#N/A</v>
      </c>
      <c r="D606" s="100" t="str">
        <f>VLOOKUP(B606,Sheet3!$B$2:$E$312,3,)</f>
        <v>#N/A</v>
      </c>
      <c r="E606" s="100" t="str">
        <f>VLOOKUP(B606,Sheet3!$B$2:$E$312,4,)</f>
        <v>#N/A</v>
      </c>
      <c r="F606" s="100"/>
      <c r="G606" s="100"/>
      <c r="H606" s="100"/>
      <c r="I606" s="100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>
      <c r="A607" s="100"/>
      <c r="B607" s="104"/>
      <c r="C607" s="100" t="str">
        <f>VLOOKUP(B607,Sheet3!$B$2:$E$312,2,FALSE)</f>
        <v>#N/A</v>
      </c>
      <c r="D607" s="100" t="str">
        <f>VLOOKUP(B607,Sheet3!$B$2:$E$312,3,)</f>
        <v>#N/A</v>
      </c>
      <c r="E607" s="100" t="str">
        <f>VLOOKUP(B607,Sheet3!$B$2:$E$312,4,)</f>
        <v>#N/A</v>
      </c>
      <c r="F607" s="100"/>
      <c r="G607" s="100"/>
      <c r="H607" s="100"/>
      <c r="I607" s="100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>
      <c r="A608" s="100"/>
      <c r="B608" s="104"/>
      <c r="C608" s="100" t="str">
        <f>VLOOKUP(B608,Sheet3!$B$2:$E$312,2,FALSE)</f>
        <v>#N/A</v>
      </c>
      <c r="D608" s="100" t="str">
        <f>VLOOKUP(B608,Sheet3!$B$2:$E$312,3,)</f>
        <v>#N/A</v>
      </c>
      <c r="E608" s="100" t="str">
        <f>VLOOKUP(B608,Sheet3!$B$2:$E$312,4,)</f>
        <v>#N/A</v>
      </c>
      <c r="F608" s="100"/>
      <c r="G608" s="100"/>
      <c r="H608" s="100"/>
      <c r="I608" s="100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>
      <c r="A609" s="100"/>
      <c r="B609" s="104"/>
      <c r="C609" s="100" t="str">
        <f>VLOOKUP(B609,Sheet3!$B$2:$E$312,2,FALSE)</f>
        <v>#N/A</v>
      </c>
      <c r="D609" s="100" t="str">
        <f>VLOOKUP(B609,Sheet3!$B$2:$E$312,3,)</f>
        <v>#N/A</v>
      </c>
      <c r="E609" s="100" t="str">
        <f>VLOOKUP(B609,Sheet3!$B$2:$E$312,4,)</f>
        <v>#N/A</v>
      </c>
      <c r="F609" s="100"/>
      <c r="G609" s="100"/>
      <c r="H609" s="100"/>
      <c r="I609" s="100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>
      <c r="A610" s="100"/>
      <c r="B610" s="104"/>
      <c r="C610" s="100" t="str">
        <f>VLOOKUP(B610,Sheet3!$B$2:$E$312,2,FALSE)</f>
        <v>#N/A</v>
      </c>
      <c r="D610" s="100" t="str">
        <f>VLOOKUP(B610,Sheet3!$B$2:$E$312,3,)</f>
        <v>#N/A</v>
      </c>
      <c r="E610" s="100" t="str">
        <f>VLOOKUP(B610,Sheet3!$B$2:$E$312,4,)</f>
        <v>#N/A</v>
      </c>
      <c r="F610" s="100"/>
      <c r="G610" s="100"/>
      <c r="H610" s="100"/>
      <c r="I610" s="100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>
      <c r="A611" s="100"/>
      <c r="B611" s="104"/>
      <c r="C611" s="100" t="str">
        <f>VLOOKUP(B611,Sheet3!$B$2:$E$312,2,FALSE)</f>
        <v>#N/A</v>
      </c>
      <c r="D611" s="100" t="str">
        <f>VLOOKUP(B611,Sheet3!$B$2:$E$312,3,)</f>
        <v>#N/A</v>
      </c>
      <c r="E611" s="100" t="str">
        <f>VLOOKUP(B611,Sheet3!$B$2:$E$312,4,)</f>
        <v>#N/A</v>
      </c>
      <c r="F611" s="100"/>
      <c r="G611" s="100"/>
      <c r="H611" s="100"/>
      <c r="I611" s="100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>
      <c r="A612" s="100"/>
      <c r="B612" s="104"/>
      <c r="C612" s="100" t="str">
        <f>VLOOKUP(B612,Sheet3!$B$2:$E$312,2,FALSE)</f>
        <v>#N/A</v>
      </c>
      <c r="D612" s="100" t="str">
        <f>VLOOKUP(B612,Sheet3!$B$2:$E$312,3,)</f>
        <v>#N/A</v>
      </c>
      <c r="E612" s="100" t="str">
        <f>VLOOKUP(B612,Sheet3!$B$2:$E$312,4,)</f>
        <v>#N/A</v>
      </c>
      <c r="F612" s="100"/>
      <c r="G612" s="100"/>
      <c r="H612" s="100"/>
      <c r="I612" s="100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>
      <c r="A613" s="100"/>
      <c r="B613" s="104"/>
      <c r="C613" s="100" t="str">
        <f>VLOOKUP(B613,Sheet3!$B$2:$E$312,2,FALSE)</f>
        <v>#N/A</v>
      </c>
      <c r="D613" s="100" t="str">
        <f>VLOOKUP(B613,Sheet3!$B$2:$E$312,3,)</f>
        <v>#N/A</v>
      </c>
      <c r="E613" s="100" t="str">
        <f>VLOOKUP(B613,Sheet3!$B$2:$E$312,4,)</f>
        <v>#N/A</v>
      </c>
      <c r="F613" s="100"/>
      <c r="G613" s="100"/>
      <c r="H613" s="100"/>
      <c r="I613" s="100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>
      <c r="A614" s="100"/>
      <c r="B614" s="104"/>
      <c r="C614" s="100" t="str">
        <f>VLOOKUP(B614,Sheet3!$B$2:$E$312,2,FALSE)</f>
        <v>#N/A</v>
      </c>
      <c r="D614" s="100" t="str">
        <f>VLOOKUP(B614,Sheet3!$B$2:$E$312,3,)</f>
        <v>#N/A</v>
      </c>
      <c r="E614" s="100" t="str">
        <f>VLOOKUP(B614,Sheet3!$B$2:$E$312,4,)</f>
        <v>#N/A</v>
      </c>
      <c r="F614" s="100"/>
      <c r="G614" s="100"/>
      <c r="H614" s="100"/>
      <c r="I614" s="100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>
      <c r="A615" s="100"/>
      <c r="B615" s="104"/>
      <c r="C615" s="100" t="str">
        <f>VLOOKUP(B615,Sheet3!$B$2:$E$312,2,FALSE)</f>
        <v>#N/A</v>
      </c>
      <c r="D615" s="100" t="str">
        <f>VLOOKUP(B615,Sheet3!$B$2:$E$312,3,)</f>
        <v>#N/A</v>
      </c>
      <c r="E615" s="100" t="str">
        <f>VLOOKUP(B615,Sheet3!$B$2:$E$312,4,)</f>
        <v>#N/A</v>
      </c>
      <c r="F615" s="100"/>
      <c r="G615" s="100"/>
      <c r="H615" s="100"/>
      <c r="I615" s="100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>
      <c r="A616" s="100"/>
      <c r="B616" s="104"/>
      <c r="C616" s="100" t="str">
        <f>VLOOKUP(B616,Sheet3!$B$2:$E$312,2,FALSE)</f>
        <v>#N/A</v>
      </c>
      <c r="D616" s="100" t="str">
        <f>VLOOKUP(B616,Sheet3!$B$2:$E$312,3,)</f>
        <v>#N/A</v>
      </c>
      <c r="E616" s="100" t="str">
        <f>VLOOKUP(B616,Sheet3!$B$2:$E$312,4,)</f>
        <v>#N/A</v>
      </c>
      <c r="F616" s="100"/>
      <c r="G616" s="100"/>
      <c r="H616" s="100"/>
      <c r="I616" s="100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>
      <c r="A617" s="100"/>
      <c r="B617" s="104"/>
      <c r="C617" s="100" t="str">
        <f>VLOOKUP(B617,Sheet3!$B$2:$E$312,2,FALSE)</f>
        <v>#N/A</v>
      </c>
      <c r="D617" s="100" t="str">
        <f>VLOOKUP(B617,Sheet3!$B$2:$E$312,3,)</f>
        <v>#N/A</v>
      </c>
      <c r="E617" s="100" t="str">
        <f>VLOOKUP(B617,Sheet3!$B$2:$E$312,4,)</f>
        <v>#N/A</v>
      </c>
      <c r="F617" s="100"/>
      <c r="G617" s="100"/>
      <c r="H617" s="100"/>
      <c r="I617" s="100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>
      <c r="A618" s="100"/>
      <c r="B618" s="104"/>
      <c r="C618" s="100" t="str">
        <f>VLOOKUP(B618,Sheet3!$B$2:$E$312,2,FALSE)</f>
        <v>#N/A</v>
      </c>
      <c r="D618" s="100" t="str">
        <f>VLOOKUP(B618,Sheet3!$B$2:$E$312,3,)</f>
        <v>#N/A</v>
      </c>
      <c r="E618" s="100" t="str">
        <f>VLOOKUP(B618,Sheet3!$B$2:$E$312,4,)</f>
        <v>#N/A</v>
      </c>
      <c r="F618" s="100"/>
      <c r="G618" s="100"/>
      <c r="H618" s="100"/>
      <c r="I618" s="100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>
      <c r="A619" s="100"/>
      <c r="B619" s="104"/>
      <c r="C619" s="100" t="str">
        <f>VLOOKUP(B619,Sheet3!$B$2:$E$312,2,FALSE)</f>
        <v>#N/A</v>
      </c>
      <c r="D619" s="100" t="str">
        <f>VLOOKUP(B619,Sheet3!$B$2:$E$312,3,)</f>
        <v>#N/A</v>
      </c>
      <c r="E619" s="100" t="str">
        <f>VLOOKUP(B619,Sheet3!$B$2:$E$312,4,)</f>
        <v>#N/A</v>
      </c>
      <c r="F619" s="100"/>
      <c r="G619" s="100"/>
      <c r="H619" s="100"/>
      <c r="I619" s="100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>
      <c r="A620" s="100"/>
      <c r="B620" s="104"/>
      <c r="C620" s="100" t="str">
        <f>VLOOKUP(B620,Sheet3!$B$2:$E$312,2,FALSE)</f>
        <v>#N/A</v>
      </c>
      <c r="D620" s="100" t="str">
        <f>VLOOKUP(B620,Sheet3!$B$2:$E$312,3,)</f>
        <v>#N/A</v>
      </c>
      <c r="E620" s="100" t="str">
        <f>VLOOKUP(B620,Sheet3!$B$2:$E$312,4,)</f>
        <v>#N/A</v>
      </c>
      <c r="F620" s="100"/>
      <c r="G620" s="100"/>
      <c r="H620" s="100"/>
      <c r="I620" s="100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>
      <c r="A621" s="100"/>
      <c r="B621" s="104"/>
      <c r="C621" s="100" t="str">
        <f>VLOOKUP(B621,Sheet3!$B$2:$E$312,2,FALSE)</f>
        <v>#N/A</v>
      </c>
      <c r="D621" s="100" t="str">
        <f>VLOOKUP(B621,Sheet3!$B$2:$E$312,3,)</f>
        <v>#N/A</v>
      </c>
      <c r="E621" s="100" t="str">
        <f>VLOOKUP(B621,Sheet3!$B$2:$E$312,4,)</f>
        <v>#N/A</v>
      </c>
      <c r="F621" s="100"/>
      <c r="G621" s="100"/>
      <c r="H621" s="100"/>
      <c r="I621" s="100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>
      <c r="A622" s="100"/>
      <c r="B622" s="104"/>
      <c r="C622" s="100" t="str">
        <f>VLOOKUP(B622,Sheet3!$B$2:$E$312,2,FALSE)</f>
        <v>#N/A</v>
      </c>
      <c r="D622" s="100" t="str">
        <f>VLOOKUP(B622,Sheet3!$B$2:$E$312,3,)</f>
        <v>#N/A</v>
      </c>
      <c r="E622" s="100" t="str">
        <f>VLOOKUP(B622,Sheet3!$B$2:$E$312,4,)</f>
        <v>#N/A</v>
      </c>
      <c r="F622" s="100"/>
      <c r="G622" s="100"/>
      <c r="H622" s="100"/>
      <c r="I622" s="100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>
      <c r="A623" s="100"/>
      <c r="B623" s="104"/>
      <c r="C623" s="100" t="str">
        <f>VLOOKUP(B623,Sheet3!$B$2:$E$312,2,FALSE)</f>
        <v>#N/A</v>
      </c>
      <c r="D623" s="100" t="str">
        <f>VLOOKUP(B623,Sheet3!$B$2:$E$312,3,)</f>
        <v>#N/A</v>
      </c>
      <c r="E623" s="100" t="str">
        <f>VLOOKUP(B623,Sheet3!$B$2:$E$312,4,)</f>
        <v>#N/A</v>
      </c>
      <c r="F623" s="100"/>
      <c r="G623" s="100"/>
      <c r="H623" s="100"/>
      <c r="I623" s="100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>
      <c r="A624" s="100"/>
      <c r="B624" s="104"/>
      <c r="C624" s="100" t="str">
        <f>VLOOKUP(B624,Sheet3!$B$2:$E$312,2,FALSE)</f>
        <v>#N/A</v>
      </c>
      <c r="D624" s="100" t="str">
        <f>VLOOKUP(B624,Sheet3!$B$2:$E$312,3,)</f>
        <v>#N/A</v>
      </c>
      <c r="E624" s="100" t="str">
        <f>VLOOKUP(B624,Sheet3!$B$2:$E$312,4,)</f>
        <v>#N/A</v>
      </c>
      <c r="F624" s="100"/>
      <c r="G624" s="100"/>
      <c r="H624" s="100"/>
      <c r="I624" s="100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>
      <c r="A625" s="100"/>
      <c r="B625" s="104"/>
      <c r="C625" s="100" t="str">
        <f>VLOOKUP(B625,Sheet3!$B$2:$E$312,2,FALSE)</f>
        <v>#N/A</v>
      </c>
      <c r="D625" s="100" t="str">
        <f>VLOOKUP(B625,Sheet3!$B$2:$E$312,3,)</f>
        <v>#N/A</v>
      </c>
      <c r="E625" s="100" t="str">
        <f>VLOOKUP(B625,Sheet3!$B$2:$E$312,4,)</f>
        <v>#N/A</v>
      </c>
      <c r="F625" s="100"/>
      <c r="G625" s="100"/>
      <c r="H625" s="100"/>
      <c r="I625" s="100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>
      <c r="A626" s="100"/>
      <c r="B626" s="104"/>
      <c r="C626" s="100" t="str">
        <f>VLOOKUP(B626,Sheet3!$B$2:$E$312,2,FALSE)</f>
        <v>#N/A</v>
      </c>
      <c r="D626" s="100" t="str">
        <f>VLOOKUP(B626,Sheet3!$B$2:$E$312,3,)</f>
        <v>#N/A</v>
      </c>
      <c r="E626" s="100" t="str">
        <f>VLOOKUP(B626,Sheet3!$B$2:$E$312,4,)</f>
        <v>#N/A</v>
      </c>
      <c r="F626" s="100"/>
      <c r="G626" s="100"/>
      <c r="H626" s="100"/>
      <c r="I626" s="100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>
      <c r="A627" s="100"/>
      <c r="B627" s="104"/>
      <c r="C627" s="100" t="str">
        <f>VLOOKUP(B627,Sheet3!$B$2:$E$312,2,FALSE)</f>
        <v>#N/A</v>
      </c>
      <c r="D627" s="100" t="str">
        <f>VLOOKUP(B627,Sheet3!$B$2:$E$312,3,)</f>
        <v>#N/A</v>
      </c>
      <c r="E627" s="100" t="str">
        <f>VLOOKUP(B627,Sheet3!$B$2:$E$312,4,)</f>
        <v>#N/A</v>
      </c>
      <c r="F627" s="100"/>
      <c r="G627" s="100"/>
      <c r="H627" s="100"/>
      <c r="I627" s="100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>
      <c r="A628" s="100"/>
      <c r="B628" s="104"/>
      <c r="C628" s="100" t="str">
        <f>VLOOKUP(B628,Sheet3!$B$2:$E$312,2,FALSE)</f>
        <v>#N/A</v>
      </c>
      <c r="D628" s="100" t="str">
        <f>VLOOKUP(B628,Sheet3!$B$2:$E$312,3,)</f>
        <v>#N/A</v>
      </c>
      <c r="E628" s="100" t="str">
        <f>VLOOKUP(B628,Sheet3!$B$2:$E$312,4,)</f>
        <v>#N/A</v>
      </c>
      <c r="F628" s="100"/>
      <c r="G628" s="100"/>
      <c r="H628" s="100"/>
      <c r="I628" s="100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>
      <c r="A629" s="100"/>
      <c r="B629" s="104"/>
      <c r="C629" s="100" t="str">
        <f>VLOOKUP(B629,Sheet3!$B$2:$E$312,2,FALSE)</f>
        <v>#N/A</v>
      </c>
      <c r="D629" s="100" t="str">
        <f>VLOOKUP(B629,Sheet3!$B$2:$E$312,3,)</f>
        <v>#N/A</v>
      </c>
      <c r="E629" s="100" t="str">
        <f>VLOOKUP(B629,Sheet3!$B$2:$E$312,4,)</f>
        <v>#N/A</v>
      </c>
      <c r="F629" s="100"/>
      <c r="G629" s="100"/>
      <c r="H629" s="100"/>
      <c r="I629" s="100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>
      <c r="A630" s="100"/>
      <c r="B630" s="104"/>
      <c r="C630" s="100" t="str">
        <f>VLOOKUP(B630,Sheet3!$B$2:$E$312,2,FALSE)</f>
        <v>#N/A</v>
      </c>
      <c r="D630" s="100" t="str">
        <f>VLOOKUP(B630,Sheet3!$B$2:$E$312,3,)</f>
        <v>#N/A</v>
      </c>
      <c r="E630" s="100" t="str">
        <f>VLOOKUP(B630,Sheet3!$B$2:$E$312,4,)</f>
        <v>#N/A</v>
      </c>
      <c r="F630" s="100"/>
      <c r="G630" s="100"/>
      <c r="H630" s="100"/>
      <c r="I630" s="100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>
      <c r="A631" s="100"/>
      <c r="B631" s="104"/>
      <c r="C631" s="100" t="str">
        <f>VLOOKUP(B631,Sheet3!$B$2:$E$312,2,FALSE)</f>
        <v>#N/A</v>
      </c>
      <c r="D631" s="100" t="str">
        <f>VLOOKUP(B631,Sheet3!$B$2:$E$312,3,)</f>
        <v>#N/A</v>
      </c>
      <c r="E631" s="100" t="str">
        <f>VLOOKUP(B631,Sheet3!$B$2:$E$312,4,)</f>
        <v>#N/A</v>
      </c>
      <c r="F631" s="100"/>
      <c r="G631" s="100"/>
      <c r="H631" s="100"/>
      <c r="I631" s="100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>
      <c r="A632" s="100"/>
      <c r="B632" s="104"/>
      <c r="C632" s="100" t="str">
        <f>VLOOKUP(B632,Sheet3!$B$2:$E$312,2,FALSE)</f>
        <v>#N/A</v>
      </c>
      <c r="D632" s="100" t="str">
        <f>VLOOKUP(B632,Sheet3!$B$2:$E$312,3,)</f>
        <v>#N/A</v>
      </c>
      <c r="E632" s="100" t="str">
        <f>VLOOKUP(B632,Sheet3!$B$2:$E$312,4,)</f>
        <v>#N/A</v>
      </c>
      <c r="F632" s="100"/>
      <c r="G632" s="100"/>
      <c r="H632" s="100"/>
      <c r="I632" s="100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>
      <c r="A633" s="100"/>
      <c r="B633" s="104"/>
      <c r="C633" s="100" t="str">
        <f>VLOOKUP(B633,Sheet3!$B$2:$E$312,2,FALSE)</f>
        <v>#N/A</v>
      </c>
      <c r="D633" s="100" t="str">
        <f>VLOOKUP(B633,Sheet3!$B$2:$E$312,3,)</f>
        <v>#N/A</v>
      </c>
      <c r="E633" s="100" t="str">
        <f>VLOOKUP(B633,Sheet3!$B$2:$E$312,4,)</f>
        <v>#N/A</v>
      </c>
      <c r="F633" s="100"/>
      <c r="G633" s="100"/>
      <c r="H633" s="100"/>
      <c r="I633" s="100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>
      <c r="A634" s="100"/>
      <c r="B634" s="104"/>
      <c r="C634" s="100" t="str">
        <f>VLOOKUP(B634,Sheet3!$B$2:$E$312,2,FALSE)</f>
        <v>#N/A</v>
      </c>
      <c r="D634" s="100" t="str">
        <f>VLOOKUP(B634,Sheet3!$B$2:$E$312,3,)</f>
        <v>#N/A</v>
      </c>
      <c r="E634" s="100" t="str">
        <f>VLOOKUP(B634,Sheet3!$B$2:$E$312,4,)</f>
        <v>#N/A</v>
      </c>
      <c r="F634" s="100"/>
      <c r="G634" s="100"/>
      <c r="H634" s="100"/>
      <c r="I634" s="100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>
      <c r="A635" s="100"/>
      <c r="B635" s="104"/>
      <c r="C635" s="100" t="str">
        <f>VLOOKUP(B635,Sheet3!$B$2:$E$312,2,FALSE)</f>
        <v>#N/A</v>
      </c>
      <c r="D635" s="100" t="str">
        <f>VLOOKUP(B635,Sheet3!$B$2:$E$312,3,)</f>
        <v>#N/A</v>
      </c>
      <c r="E635" s="100" t="str">
        <f>VLOOKUP(B635,Sheet3!$B$2:$E$312,4,)</f>
        <v>#N/A</v>
      </c>
      <c r="F635" s="100"/>
      <c r="G635" s="100"/>
      <c r="H635" s="100"/>
      <c r="I635" s="100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>
      <c r="A636" s="100"/>
      <c r="B636" s="104"/>
      <c r="C636" s="100" t="str">
        <f>VLOOKUP(B636,Sheet3!$B$2:$E$312,2,FALSE)</f>
        <v>#N/A</v>
      </c>
      <c r="D636" s="100" t="str">
        <f>VLOOKUP(B636,Sheet3!$B$2:$E$312,3,)</f>
        <v>#N/A</v>
      </c>
      <c r="E636" s="100" t="str">
        <f>VLOOKUP(B636,Sheet3!$B$2:$E$312,4,)</f>
        <v>#N/A</v>
      </c>
      <c r="F636" s="100"/>
      <c r="G636" s="100"/>
      <c r="H636" s="100"/>
      <c r="I636" s="100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>
      <c r="A637" s="100"/>
      <c r="B637" s="104"/>
      <c r="C637" s="100" t="str">
        <f>VLOOKUP(B637,Sheet3!$B$2:$E$312,2,FALSE)</f>
        <v>#N/A</v>
      </c>
      <c r="D637" s="100" t="str">
        <f>VLOOKUP(B637,Sheet3!$B$2:$E$312,3,)</f>
        <v>#N/A</v>
      </c>
      <c r="E637" s="100" t="str">
        <f>VLOOKUP(B637,Sheet3!$B$2:$E$312,4,)</f>
        <v>#N/A</v>
      </c>
      <c r="F637" s="100"/>
      <c r="G637" s="100"/>
      <c r="H637" s="100"/>
      <c r="I637" s="100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>
      <c r="A638" s="100"/>
      <c r="B638" s="104"/>
      <c r="C638" s="100" t="str">
        <f>VLOOKUP(B638,Sheet3!$B$2:$E$312,2,FALSE)</f>
        <v>#N/A</v>
      </c>
      <c r="D638" s="100" t="str">
        <f>VLOOKUP(B638,Sheet3!$B$2:$E$312,3,)</f>
        <v>#N/A</v>
      </c>
      <c r="E638" s="100" t="str">
        <f>VLOOKUP(B638,Sheet3!$B$2:$E$312,4,)</f>
        <v>#N/A</v>
      </c>
      <c r="F638" s="100"/>
      <c r="G638" s="100"/>
      <c r="H638" s="100"/>
      <c r="I638" s="100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>
      <c r="A639" s="100"/>
      <c r="B639" s="104"/>
      <c r="C639" s="100" t="str">
        <f>VLOOKUP(B639,Sheet3!$B$2:$E$312,2,FALSE)</f>
        <v>#N/A</v>
      </c>
      <c r="D639" s="100" t="str">
        <f>VLOOKUP(B639,Sheet3!$B$2:$E$312,3,)</f>
        <v>#N/A</v>
      </c>
      <c r="E639" s="100" t="str">
        <f>VLOOKUP(B639,Sheet3!$B$2:$E$312,4,)</f>
        <v>#N/A</v>
      </c>
      <c r="F639" s="100"/>
      <c r="G639" s="100"/>
      <c r="H639" s="100"/>
      <c r="I639" s="100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>
      <c r="A640" s="100"/>
      <c r="B640" s="104"/>
      <c r="C640" s="100" t="str">
        <f>VLOOKUP(B640,Sheet3!$B$2:$E$312,2,FALSE)</f>
        <v>#N/A</v>
      </c>
      <c r="D640" s="100" t="str">
        <f>VLOOKUP(B640,Sheet3!$B$2:$E$312,3,)</f>
        <v>#N/A</v>
      </c>
      <c r="E640" s="100" t="str">
        <f>VLOOKUP(B640,Sheet3!$B$2:$E$312,4,)</f>
        <v>#N/A</v>
      </c>
      <c r="F640" s="100"/>
      <c r="G640" s="100"/>
      <c r="H640" s="100"/>
      <c r="I640" s="100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>
      <c r="A641" s="100"/>
      <c r="B641" s="104"/>
      <c r="C641" s="100" t="str">
        <f>VLOOKUP(B641,Sheet3!$B$2:$E$312,2,FALSE)</f>
        <v>#N/A</v>
      </c>
      <c r="D641" s="100" t="str">
        <f>VLOOKUP(B641,Sheet3!$B$2:$E$312,3,)</f>
        <v>#N/A</v>
      </c>
      <c r="E641" s="100" t="str">
        <f>VLOOKUP(B641,Sheet3!$B$2:$E$312,4,)</f>
        <v>#N/A</v>
      </c>
      <c r="F641" s="100"/>
      <c r="G641" s="100"/>
      <c r="H641" s="100"/>
      <c r="I641" s="100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>
      <c r="A642" s="100"/>
      <c r="B642" s="104"/>
      <c r="C642" s="100" t="str">
        <f>VLOOKUP(B642,Sheet3!$B$2:$E$312,2,FALSE)</f>
        <v>#N/A</v>
      </c>
      <c r="D642" s="100" t="str">
        <f>VLOOKUP(B642,Sheet3!$B$2:$E$312,3,)</f>
        <v>#N/A</v>
      </c>
      <c r="E642" s="100" t="str">
        <f>VLOOKUP(B642,Sheet3!$B$2:$E$312,4,)</f>
        <v>#N/A</v>
      </c>
      <c r="F642" s="100"/>
      <c r="G642" s="100"/>
      <c r="H642" s="100"/>
      <c r="I642" s="100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>
      <c r="A643" s="100"/>
      <c r="B643" s="104"/>
      <c r="C643" s="100" t="str">
        <f>VLOOKUP(B643,Sheet3!$B$2:$E$312,2,FALSE)</f>
        <v>#N/A</v>
      </c>
      <c r="D643" s="100" t="str">
        <f>VLOOKUP(B643,Sheet3!$B$2:$E$312,3,)</f>
        <v>#N/A</v>
      </c>
      <c r="E643" s="100" t="str">
        <f>VLOOKUP(B643,Sheet3!$B$2:$E$312,4,)</f>
        <v>#N/A</v>
      </c>
      <c r="F643" s="100"/>
      <c r="G643" s="100"/>
      <c r="H643" s="100"/>
      <c r="I643" s="100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>
      <c r="A644" s="100"/>
      <c r="B644" s="104"/>
      <c r="C644" s="100" t="str">
        <f>VLOOKUP(B644,Sheet3!$B$2:$E$312,2,FALSE)</f>
        <v>#N/A</v>
      </c>
      <c r="D644" s="100" t="str">
        <f>VLOOKUP(B644,Sheet3!$B$2:$E$312,3,)</f>
        <v>#N/A</v>
      </c>
      <c r="E644" s="100" t="str">
        <f>VLOOKUP(B644,Sheet3!$B$2:$E$312,4,)</f>
        <v>#N/A</v>
      </c>
      <c r="F644" s="100"/>
      <c r="G644" s="100"/>
      <c r="H644" s="100"/>
      <c r="I644" s="100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>
      <c r="A645" s="100"/>
      <c r="B645" s="104"/>
      <c r="C645" s="100" t="str">
        <f>VLOOKUP(B645,Sheet3!$B$2:$E$312,2,FALSE)</f>
        <v>#N/A</v>
      </c>
      <c r="D645" s="100" t="str">
        <f>VLOOKUP(B645,Sheet3!$B$2:$E$312,3,)</f>
        <v>#N/A</v>
      </c>
      <c r="E645" s="100" t="str">
        <f>VLOOKUP(B645,Sheet3!$B$2:$E$312,4,)</f>
        <v>#N/A</v>
      </c>
      <c r="F645" s="100"/>
      <c r="G645" s="100"/>
      <c r="H645" s="100"/>
      <c r="I645" s="100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>
      <c r="A646" s="100"/>
      <c r="B646" s="104"/>
      <c r="C646" s="100" t="str">
        <f>VLOOKUP(B646,Sheet3!$B$2:$E$312,2,FALSE)</f>
        <v>#N/A</v>
      </c>
      <c r="D646" s="100" t="str">
        <f>VLOOKUP(B646,Sheet3!$B$2:$E$312,3,)</f>
        <v>#N/A</v>
      </c>
      <c r="E646" s="100" t="str">
        <f>VLOOKUP(B646,Sheet3!$B$2:$E$312,4,)</f>
        <v>#N/A</v>
      </c>
      <c r="F646" s="100"/>
      <c r="G646" s="100"/>
      <c r="H646" s="100"/>
      <c r="I646" s="100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>
      <c r="A647" s="100"/>
      <c r="B647" s="104"/>
      <c r="C647" s="100" t="str">
        <f>VLOOKUP(B647,Sheet3!$B$2:$E$312,2,FALSE)</f>
        <v>#N/A</v>
      </c>
      <c r="D647" s="100" t="str">
        <f>VLOOKUP(B647,Sheet3!$B$2:$E$312,3,)</f>
        <v>#N/A</v>
      </c>
      <c r="E647" s="100" t="str">
        <f>VLOOKUP(B647,Sheet3!$B$2:$E$312,4,)</f>
        <v>#N/A</v>
      </c>
      <c r="F647" s="100"/>
      <c r="G647" s="100"/>
      <c r="H647" s="100"/>
      <c r="I647" s="100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>
      <c r="A648" s="100"/>
      <c r="B648" s="104"/>
      <c r="C648" s="100" t="str">
        <f>VLOOKUP(B648,Sheet3!$B$2:$E$312,2,FALSE)</f>
        <v>#N/A</v>
      </c>
      <c r="D648" s="100" t="str">
        <f>VLOOKUP(B648,Sheet3!$B$2:$E$312,3,)</f>
        <v>#N/A</v>
      </c>
      <c r="E648" s="100" t="str">
        <f>VLOOKUP(B648,Sheet3!$B$2:$E$312,4,)</f>
        <v>#N/A</v>
      </c>
      <c r="F648" s="100"/>
      <c r="G648" s="100"/>
      <c r="H648" s="100"/>
      <c r="I648" s="100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>
      <c r="A649" s="100"/>
      <c r="B649" s="104"/>
      <c r="C649" s="100" t="str">
        <f>VLOOKUP(B649,Sheet3!$B$2:$E$312,2,FALSE)</f>
        <v>#N/A</v>
      </c>
      <c r="D649" s="100" t="str">
        <f>VLOOKUP(B649,Sheet3!$B$2:$E$312,3,)</f>
        <v>#N/A</v>
      </c>
      <c r="E649" s="100" t="str">
        <f>VLOOKUP(B649,Sheet3!$B$2:$E$312,4,)</f>
        <v>#N/A</v>
      </c>
      <c r="F649" s="100"/>
      <c r="G649" s="100"/>
      <c r="H649" s="100"/>
      <c r="I649" s="100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>
      <c r="A650" s="100"/>
      <c r="B650" s="104"/>
      <c r="C650" s="100" t="str">
        <f>VLOOKUP(B650,Sheet3!$B$2:$E$312,2,FALSE)</f>
        <v>#N/A</v>
      </c>
      <c r="D650" s="100" t="str">
        <f>VLOOKUP(B650,Sheet3!$B$2:$E$312,3,)</f>
        <v>#N/A</v>
      </c>
      <c r="E650" s="100" t="str">
        <f>VLOOKUP(B650,Sheet3!$B$2:$E$312,4,)</f>
        <v>#N/A</v>
      </c>
      <c r="F650" s="100"/>
      <c r="G650" s="100"/>
      <c r="H650" s="100"/>
      <c r="I650" s="100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>
      <c r="A651" s="100"/>
      <c r="B651" s="104"/>
      <c r="C651" s="100" t="str">
        <f>VLOOKUP(B651,Sheet3!$B$2:$E$312,2,FALSE)</f>
        <v>#N/A</v>
      </c>
      <c r="D651" s="100" t="str">
        <f>VLOOKUP(B651,Sheet3!$B$2:$E$312,3,)</f>
        <v>#N/A</v>
      </c>
      <c r="E651" s="100" t="str">
        <f>VLOOKUP(B651,Sheet3!$B$2:$E$312,4,)</f>
        <v>#N/A</v>
      </c>
      <c r="F651" s="100"/>
      <c r="G651" s="100"/>
      <c r="H651" s="100"/>
      <c r="I651" s="100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>
      <c r="A652" s="100"/>
      <c r="B652" s="104"/>
      <c r="C652" s="100" t="str">
        <f>VLOOKUP(B652,Sheet3!$B$2:$E$312,2,FALSE)</f>
        <v>#N/A</v>
      </c>
      <c r="D652" s="100" t="str">
        <f>VLOOKUP(B652,Sheet3!$B$2:$E$312,3,)</f>
        <v>#N/A</v>
      </c>
      <c r="E652" s="100" t="str">
        <f>VLOOKUP(B652,Sheet3!$B$2:$E$312,4,)</f>
        <v>#N/A</v>
      </c>
      <c r="F652" s="100"/>
      <c r="G652" s="100"/>
      <c r="H652" s="100"/>
      <c r="I652" s="100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>
      <c r="A653" s="100"/>
      <c r="B653" s="104"/>
      <c r="C653" s="100" t="str">
        <f>VLOOKUP(B653,Sheet3!$B$2:$E$312,2,FALSE)</f>
        <v>#N/A</v>
      </c>
      <c r="D653" s="100" t="str">
        <f>VLOOKUP(B653,Sheet3!$B$2:$E$312,3,)</f>
        <v>#N/A</v>
      </c>
      <c r="E653" s="100" t="str">
        <f>VLOOKUP(B653,Sheet3!$B$2:$E$312,4,)</f>
        <v>#N/A</v>
      </c>
      <c r="F653" s="100"/>
      <c r="G653" s="100"/>
      <c r="H653" s="100"/>
      <c r="I653" s="100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>
      <c r="A654" s="100"/>
      <c r="B654" s="104"/>
      <c r="C654" s="100" t="str">
        <f>VLOOKUP(B654,Sheet3!$B$2:$E$312,2,FALSE)</f>
        <v>#N/A</v>
      </c>
      <c r="D654" s="100" t="str">
        <f>VLOOKUP(B654,Sheet3!$B$2:$E$312,3,)</f>
        <v>#N/A</v>
      </c>
      <c r="E654" s="100" t="str">
        <f>VLOOKUP(B654,Sheet3!$B$2:$E$312,4,)</f>
        <v>#N/A</v>
      </c>
      <c r="F654" s="100"/>
      <c r="G654" s="100"/>
      <c r="H654" s="100"/>
      <c r="I654" s="100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>
      <c r="A655" s="100"/>
      <c r="B655" s="104"/>
      <c r="C655" s="100" t="str">
        <f>VLOOKUP(B655,Sheet3!$B$2:$E$312,2,FALSE)</f>
        <v>#N/A</v>
      </c>
      <c r="D655" s="100" t="str">
        <f>VLOOKUP(B655,Sheet3!$B$2:$E$312,3,)</f>
        <v>#N/A</v>
      </c>
      <c r="E655" s="100" t="str">
        <f>VLOOKUP(B655,Sheet3!$B$2:$E$312,4,)</f>
        <v>#N/A</v>
      </c>
      <c r="F655" s="100"/>
      <c r="G655" s="100"/>
      <c r="H655" s="100"/>
      <c r="I655" s="100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>
      <c r="A656" s="100"/>
      <c r="B656" s="104"/>
      <c r="C656" s="100" t="str">
        <f>VLOOKUP(B656,Sheet3!$B$2:$E$312,2,FALSE)</f>
        <v>#N/A</v>
      </c>
      <c r="D656" s="100" t="str">
        <f>VLOOKUP(B656,Sheet3!$B$2:$E$312,3,)</f>
        <v>#N/A</v>
      </c>
      <c r="E656" s="100" t="str">
        <f>VLOOKUP(B656,Sheet3!$B$2:$E$312,4,)</f>
        <v>#N/A</v>
      </c>
      <c r="F656" s="100"/>
      <c r="G656" s="100"/>
      <c r="H656" s="100"/>
      <c r="I656" s="100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>
      <c r="A657" s="100"/>
      <c r="B657" s="104"/>
      <c r="C657" s="100" t="str">
        <f>VLOOKUP(B657,Sheet3!$B$2:$E$312,2,FALSE)</f>
        <v>#N/A</v>
      </c>
      <c r="D657" s="100" t="str">
        <f>VLOOKUP(B657,Sheet3!$B$2:$E$312,3,)</f>
        <v>#N/A</v>
      </c>
      <c r="E657" s="100" t="str">
        <f>VLOOKUP(B657,Sheet3!$B$2:$E$312,4,)</f>
        <v>#N/A</v>
      </c>
      <c r="F657" s="100"/>
      <c r="G657" s="100"/>
      <c r="H657" s="100"/>
      <c r="I657" s="100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>
      <c r="A658" s="100"/>
      <c r="B658" s="104"/>
      <c r="C658" s="100" t="str">
        <f>VLOOKUP(B658,Sheet3!$B$2:$E$312,2,FALSE)</f>
        <v>#N/A</v>
      </c>
      <c r="D658" s="100" t="str">
        <f>VLOOKUP(B658,Sheet3!$B$2:$E$312,3,)</f>
        <v>#N/A</v>
      </c>
      <c r="E658" s="100" t="str">
        <f>VLOOKUP(B658,Sheet3!$B$2:$E$312,4,)</f>
        <v>#N/A</v>
      </c>
      <c r="F658" s="100"/>
      <c r="G658" s="100"/>
      <c r="H658" s="100"/>
      <c r="I658" s="100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>
      <c r="A659" s="100"/>
      <c r="B659" s="104"/>
      <c r="C659" s="100" t="str">
        <f>VLOOKUP(B659,Sheet3!$B$2:$E$312,2,FALSE)</f>
        <v>#N/A</v>
      </c>
      <c r="D659" s="100" t="str">
        <f>VLOOKUP(B659,Sheet3!$B$2:$E$312,3,)</f>
        <v>#N/A</v>
      </c>
      <c r="E659" s="100" t="str">
        <f>VLOOKUP(B659,Sheet3!$B$2:$E$312,4,)</f>
        <v>#N/A</v>
      </c>
      <c r="F659" s="100"/>
      <c r="G659" s="100"/>
      <c r="H659" s="100"/>
      <c r="I659" s="100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>
      <c r="A660" s="100"/>
      <c r="B660" s="104"/>
      <c r="C660" s="100" t="str">
        <f>VLOOKUP(B660,Sheet3!$B$2:$E$312,2,FALSE)</f>
        <v>#N/A</v>
      </c>
      <c r="D660" s="100" t="str">
        <f>VLOOKUP(B660,Sheet3!$B$2:$E$312,3,)</f>
        <v>#N/A</v>
      </c>
      <c r="E660" s="100" t="str">
        <f>VLOOKUP(B660,Sheet3!$B$2:$E$312,4,)</f>
        <v>#N/A</v>
      </c>
      <c r="F660" s="100"/>
      <c r="G660" s="100"/>
      <c r="H660" s="100"/>
      <c r="I660" s="100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>
      <c r="A661" s="100"/>
      <c r="B661" s="104"/>
      <c r="C661" s="100" t="str">
        <f>VLOOKUP(B661,Sheet3!$B$2:$E$312,2,FALSE)</f>
        <v>#N/A</v>
      </c>
      <c r="D661" s="100" t="str">
        <f>VLOOKUP(B661,Sheet3!$B$2:$E$312,3,)</f>
        <v>#N/A</v>
      </c>
      <c r="E661" s="100" t="str">
        <f>VLOOKUP(B661,Sheet3!$B$2:$E$312,4,)</f>
        <v>#N/A</v>
      </c>
      <c r="F661" s="100"/>
      <c r="G661" s="100"/>
      <c r="H661" s="100"/>
      <c r="I661" s="100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>
      <c r="A662" s="100"/>
      <c r="B662" s="104"/>
      <c r="C662" s="100" t="str">
        <f>VLOOKUP(B662,Sheet3!$B$2:$E$312,2,FALSE)</f>
        <v>#N/A</v>
      </c>
      <c r="D662" s="100" t="str">
        <f>VLOOKUP(B662,Sheet3!$B$2:$E$312,3,)</f>
        <v>#N/A</v>
      </c>
      <c r="E662" s="100" t="str">
        <f>VLOOKUP(B662,Sheet3!$B$2:$E$312,4,)</f>
        <v>#N/A</v>
      </c>
      <c r="F662" s="100"/>
      <c r="G662" s="100"/>
      <c r="H662" s="100"/>
      <c r="I662" s="100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>
      <c r="A663" s="100"/>
      <c r="B663" s="104"/>
      <c r="C663" s="100" t="str">
        <f>VLOOKUP(B663,Sheet3!$B$2:$E$312,2,FALSE)</f>
        <v>#N/A</v>
      </c>
      <c r="D663" s="100" t="str">
        <f>VLOOKUP(B663,Sheet3!$B$2:$E$312,3,)</f>
        <v>#N/A</v>
      </c>
      <c r="E663" s="100" t="str">
        <f>VLOOKUP(B663,Sheet3!$B$2:$E$312,4,)</f>
        <v>#N/A</v>
      </c>
      <c r="F663" s="100"/>
      <c r="G663" s="100"/>
      <c r="H663" s="100"/>
      <c r="I663" s="100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>
      <c r="A664" s="100"/>
      <c r="B664" s="104"/>
      <c r="C664" s="100" t="str">
        <f>VLOOKUP(B664,Sheet3!$B$2:$E$312,2,FALSE)</f>
        <v>#N/A</v>
      </c>
      <c r="D664" s="100" t="str">
        <f>VLOOKUP(B664,Sheet3!$B$2:$E$312,3,)</f>
        <v>#N/A</v>
      </c>
      <c r="E664" s="100" t="str">
        <f>VLOOKUP(B664,Sheet3!$B$2:$E$312,4,)</f>
        <v>#N/A</v>
      </c>
      <c r="F664" s="100"/>
      <c r="G664" s="100"/>
      <c r="H664" s="100"/>
      <c r="I664" s="100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>
      <c r="A665" s="100"/>
      <c r="B665" s="104"/>
      <c r="C665" s="100" t="str">
        <f>VLOOKUP(B665,Sheet3!$B$2:$E$312,2,FALSE)</f>
        <v>#N/A</v>
      </c>
      <c r="D665" s="100" t="str">
        <f>VLOOKUP(B665,Sheet3!$B$2:$E$312,3,)</f>
        <v>#N/A</v>
      </c>
      <c r="E665" s="100" t="str">
        <f>VLOOKUP(B665,Sheet3!$B$2:$E$312,4,)</f>
        <v>#N/A</v>
      </c>
      <c r="F665" s="100"/>
      <c r="G665" s="100"/>
      <c r="H665" s="100"/>
      <c r="I665" s="100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>
      <c r="A666" s="100"/>
      <c r="B666" s="104"/>
      <c r="C666" s="100" t="str">
        <f>VLOOKUP(B666,Sheet3!$B$2:$E$312,2,FALSE)</f>
        <v>#N/A</v>
      </c>
      <c r="D666" s="100" t="str">
        <f>VLOOKUP(B666,Sheet3!$B$2:$E$312,3,)</f>
        <v>#N/A</v>
      </c>
      <c r="E666" s="100" t="str">
        <f>VLOOKUP(B666,Sheet3!$B$2:$E$312,4,)</f>
        <v>#N/A</v>
      </c>
      <c r="F666" s="100"/>
      <c r="G666" s="100"/>
      <c r="H666" s="100"/>
      <c r="I666" s="100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>
      <c r="A667" s="100"/>
      <c r="B667" s="104"/>
      <c r="C667" s="100" t="str">
        <f>VLOOKUP(B667,Sheet3!$B$2:$E$312,2,FALSE)</f>
        <v>#N/A</v>
      </c>
      <c r="D667" s="100" t="str">
        <f>VLOOKUP(B667,Sheet3!$B$2:$E$312,3,)</f>
        <v>#N/A</v>
      </c>
      <c r="E667" s="100" t="str">
        <f>VLOOKUP(B667,Sheet3!$B$2:$E$312,4,)</f>
        <v>#N/A</v>
      </c>
      <c r="F667" s="100"/>
      <c r="G667" s="100"/>
      <c r="H667" s="100"/>
      <c r="I667" s="100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>
      <c r="A668" s="100"/>
      <c r="B668" s="104"/>
      <c r="C668" s="100" t="str">
        <f>VLOOKUP(B668,Sheet3!$B$2:$E$312,2,FALSE)</f>
        <v>#N/A</v>
      </c>
      <c r="D668" s="100" t="str">
        <f>VLOOKUP(B668,Sheet3!$B$2:$E$312,3,)</f>
        <v>#N/A</v>
      </c>
      <c r="E668" s="100" t="str">
        <f>VLOOKUP(B668,Sheet3!$B$2:$E$312,4,)</f>
        <v>#N/A</v>
      </c>
      <c r="F668" s="100"/>
      <c r="G668" s="100"/>
      <c r="H668" s="100"/>
      <c r="I668" s="100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>
      <c r="A669" s="100"/>
      <c r="B669" s="104"/>
      <c r="C669" s="100" t="str">
        <f>VLOOKUP(B669,Sheet3!$B$2:$E$312,2,FALSE)</f>
        <v>#N/A</v>
      </c>
      <c r="D669" s="100" t="str">
        <f>VLOOKUP(B669,Sheet3!$B$2:$E$312,3,)</f>
        <v>#N/A</v>
      </c>
      <c r="E669" s="100" t="str">
        <f>VLOOKUP(B669,Sheet3!$B$2:$E$312,4,)</f>
        <v>#N/A</v>
      </c>
      <c r="F669" s="100"/>
      <c r="G669" s="100"/>
      <c r="H669" s="100"/>
      <c r="I669" s="100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>
      <c r="A670" s="100"/>
      <c r="B670" s="104"/>
      <c r="C670" s="100" t="str">
        <f>VLOOKUP(B670,Sheet3!$B$2:$E$312,2,FALSE)</f>
        <v>#N/A</v>
      </c>
      <c r="D670" s="100" t="str">
        <f>VLOOKUP(B670,Sheet3!$B$2:$E$312,3,)</f>
        <v>#N/A</v>
      </c>
      <c r="E670" s="100" t="str">
        <f>VLOOKUP(B670,Sheet3!$B$2:$E$312,4,)</f>
        <v>#N/A</v>
      </c>
      <c r="F670" s="100"/>
      <c r="G670" s="100"/>
      <c r="H670" s="100"/>
      <c r="I670" s="100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>
      <c r="A671" s="100"/>
      <c r="B671" s="104"/>
      <c r="C671" s="100" t="str">
        <f>VLOOKUP(B671,Sheet3!$B$2:$E$312,2,FALSE)</f>
        <v>#N/A</v>
      </c>
      <c r="D671" s="100" t="str">
        <f>VLOOKUP(B671,Sheet3!$B$2:$E$312,3,)</f>
        <v>#N/A</v>
      </c>
      <c r="E671" s="100" t="str">
        <f>VLOOKUP(B671,Sheet3!$B$2:$E$312,4,)</f>
        <v>#N/A</v>
      </c>
      <c r="F671" s="100"/>
      <c r="G671" s="100"/>
      <c r="H671" s="100"/>
      <c r="I671" s="100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>
      <c r="A672" s="100"/>
      <c r="B672" s="104"/>
      <c r="C672" s="100" t="str">
        <f>VLOOKUP(B672,Sheet3!$B$2:$E$312,2,FALSE)</f>
        <v>#N/A</v>
      </c>
      <c r="D672" s="100" t="str">
        <f>VLOOKUP(B672,Sheet3!$B$2:$E$312,3,)</f>
        <v>#N/A</v>
      </c>
      <c r="E672" s="100" t="str">
        <f>VLOOKUP(B672,Sheet3!$B$2:$E$312,4,)</f>
        <v>#N/A</v>
      </c>
      <c r="F672" s="100"/>
      <c r="G672" s="100"/>
      <c r="H672" s="100"/>
      <c r="I672" s="100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>
      <c r="A673" s="100"/>
      <c r="B673" s="104"/>
      <c r="C673" s="100" t="str">
        <f>VLOOKUP(B673,Sheet3!$B$2:$E$312,2,FALSE)</f>
        <v>#N/A</v>
      </c>
      <c r="D673" s="100" t="str">
        <f>VLOOKUP(B673,Sheet3!$B$2:$E$312,3,)</f>
        <v>#N/A</v>
      </c>
      <c r="E673" s="100" t="str">
        <f>VLOOKUP(B673,Sheet3!$B$2:$E$312,4,)</f>
        <v>#N/A</v>
      </c>
      <c r="F673" s="100"/>
      <c r="G673" s="100"/>
      <c r="H673" s="100"/>
      <c r="I673" s="100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>
      <c r="A674" s="100"/>
      <c r="B674" s="104"/>
      <c r="C674" s="100" t="str">
        <f>VLOOKUP(B674,Sheet3!$B$2:$E$312,2,FALSE)</f>
        <v>#N/A</v>
      </c>
      <c r="D674" s="100" t="str">
        <f>VLOOKUP(B674,Sheet3!$B$2:$E$312,3,)</f>
        <v>#N/A</v>
      </c>
      <c r="E674" s="100" t="str">
        <f>VLOOKUP(B674,Sheet3!$B$2:$E$312,4,)</f>
        <v>#N/A</v>
      </c>
      <c r="F674" s="100"/>
      <c r="G674" s="100"/>
      <c r="H674" s="100"/>
      <c r="I674" s="100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>
      <c r="A675" s="100"/>
      <c r="B675" s="104"/>
      <c r="C675" s="100" t="str">
        <f>VLOOKUP(B675,Sheet3!$B$2:$E$312,2,FALSE)</f>
        <v>#N/A</v>
      </c>
      <c r="D675" s="100" t="str">
        <f>VLOOKUP(B675,Sheet3!$B$2:$E$312,3,)</f>
        <v>#N/A</v>
      </c>
      <c r="E675" s="100" t="str">
        <f>VLOOKUP(B675,Sheet3!$B$2:$E$312,4,)</f>
        <v>#N/A</v>
      </c>
      <c r="F675" s="100"/>
      <c r="G675" s="100"/>
      <c r="H675" s="100"/>
      <c r="I675" s="100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>
      <c r="A676" s="100"/>
      <c r="B676" s="104"/>
      <c r="C676" s="100" t="str">
        <f>VLOOKUP(B676,Sheet3!$B$2:$E$312,2,FALSE)</f>
        <v>#N/A</v>
      </c>
      <c r="D676" s="100" t="str">
        <f>VLOOKUP(B676,Sheet3!$B$2:$E$312,3,)</f>
        <v>#N/A</v>
      </c>
      <c r="E676" s="100" t="str">
        <f>VLOOKUP(B676,Sheet3!$B$2:$E$312,4,)</f>
        <v>#N/A</v>
      </c>
      <c r="F676" s="100"/>
      <c r="G676" s="100"/>
      <c r="H676" s="100"/>
      <c r="I676" s="100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>
      <c r="A677" s="100"/>
      <c r="B677" s="104"/>
      <c r="C677" s="100" t="str">
        <f>VLOOKUP(B677,Sheet3!$B$2:$E$312,2,FALSE)</f>
        <v>#N/A</v>
      </c>
      <c r="D677" s="100" t="str">
        <f>VLOOKUP(B677,Sheet3!$B$2:$E$312,3,)</f>
        <v>#N/A</v>
      </c>
      <c r="E677" s="100" t="str">
        <f>VLOOKUP(B677,Sheet3!$B$2:$E$312,4,)</f>
        <v>#N/A</v>
      </c>
      <c r="F677" s="100"/>
      <c r="G677" s="100"/>
      <c r="H677" s="100"/>
      <c r="I677" s="100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>
      <c r="A678" s="100"/>
      <c r="B678" s="104"/>
      <c r="C678" s="100" t="str">
        <f>VLOOKUP(B678,Sheet3!$B$2:$E$312,2,FALSE)</f>
        <v>#N/A</v>
      </c>
      <c r="D678" s="100" t="str">
        <f>VLOOKUP(B678,Sheet3!$B$2:$E$312,3,)</f>
        <v>#N/A</v>
      </c>
      <c r="E678" s="100" t="str">
        <f>VLOOKUP(B678,Sheet3!$B$2:$E$312,4,)</f>
        <v>#N/A</v>
      </c>
      <c r="F678" s="100"/>
      <c r="G678" s="100"/>
      <c r="H678" s="100"/>
      <c r="I678" s="100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>
      <c r="A679" s="100"/>
      <c r="B679" s="104"/>
      <c r="C679" s="100" t="str">
        <f>VLOOKUP(B679,Sheet3!$B$2:$E$312,2,FALSE)</f>
        <v>#N/A</v>
      </c>
      <c r="D679" s="100" t="str">
        <f>VLOOKUP(B679,Sheet3!$B$2:$E$312,3,)</f>
        <v>#N/A</v>
      </c>
      <c r="E679" s="100" t="str">
        <f>VLOOKUP(B679,Sheet3!$B$2:$E$312,4,)</f>
        <v>#N/A</v>
      </c>
      <c r="F679" s="100"/>
      <c r="G679" s="100"/>
      <c r="H679" s="100"/>
      <c r="I679" s="100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>
      <c r="A680" s="100"/>
      <c r="B680" s="104"/>
      <c r="C680" s="100" t="str">
        <f>VLOOKUP(B680,Sheet3!$B$2:$E$312,2,FALSE)</f>
        <v>#N/A</v>
      </c>
      <c r="D680" s="100" t="str">
        <f>VLOOKUP(B680,Sheet3!$B$2:$E$312,3,)</f>
        <v>#N/A</v>
      </c>
      <c r="E680" s="100" t="str">
        <f>VLOOKUP(B680,Sheet3!$B$2:$E$312,4,)</f>
        <v>#N/A</v>
      </c>
      <c r="F680" s="100"/>
      <c r="G680" s="100"/>
      <c r="H680" s="100"/>
      <c r="I680" s="100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>
      <c r="A681" s="100"/>
      <c r="B681" s="104"/>
      <c r="C681" s="100" t="str">
        <f>VLOOKUP(B681,Sheet3!$B$2:$E$312,2,FALSE)</f>
        <v>#N/A</v>
      </c>
      <c r="D681" s="100" t="str">
        <f>VLOOKUP(B681,Sheet3!$B$2:$E$312,3,)</f>
        <v>#N/A</v>
      </c>
      <c r="E681" s="100" t="str">
        <f>VLOOKUP(B681,Sheet3!$B$2:$E$312,4,)</f>
        <v>#N/A</v>
      </c>
      <c r="F681" s="100"/>
      <c r="G681" s="100"/>
      <c r="H681" s="100"/>
      <c r="I681" s="100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>
      <c r="A682" s="100"/>
      <c r="B682" s="104"/>
      <c r="C682" s="100" t="str">
        <f>VLOOKUP(B682,Sheet3!$B$2:$E$312,2,FALSE)</f>
        <v>#N/A</v>
      </c>
      <c r="D682" s="100" t="str">
        <f>VLOOKUP(B682,Sheet3!$B$2:$E$312,3,)</f>
        <v>#N/A</v>
      </c>
      <c r="E682" s="100" t="str">
        <f>VLOOKUP(B682,Sheet3!$B$2:$E$312,4,)</f>
        <v>#N/A</v>
      </c>
      <c r="F682" s="100"/>
      <c r="G682" s="100"/>
      <c r="H682" s="100"/>
      <c r="I682" s="100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>
      <c r="A683" s="100"/>
      <c r="B683" s="104"/>
      <c r="C683" s="100" t="str">
        <f>VLOOKUP(B683,Sheet3!$B$2:$E$312,2,FALSE)</f>
        <v>#N/A</v>
      </c>
      <c r="D683" s="100" t="str">
        <f>VLOOKUP(B683,Sheet3!$B$2:$E$312,3,)</f>
        <v>#N/A</v>
      </c>
      <c r="E683" s="100" t="str">
        <f>VLOOKUP(B683,Sheet3!$B$2:$E$312,4,)</f>
        <v>#N/A</v>
      </c>
      <c r="F683" s="100"/>
      <c r="G683" s="100"/>
      <c r="H683" s="100"/>
      <c r="I683" s="100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>
      <c r="A684" s="100"/>
      <c r="B684" s="104"/>
      <c r="C684" s="100" t="str">
        <f>VLOOKUP(B684,Sheet3!$B$2:$E$312,2,FALSE)</f>
        <v>#N/A</v>
      </c>
      <c r="D684" s="100" t="str">
        <f>VLOOKUP(B684,Sheet3!$B$2:$E$312,3,)</f>
        <v>#N/A</v>
      </c>
      <c r="E684" s="100" t="str">
        <f>VLOOKUP(B684,Sheet3!$B$2:$E$312,4,)</f>
        <v>#N/A</v>
      </c>
      <c r="F684" s="100"/>
      <c r="G684" s="100"/>
      <c r="H684" s="100"/>
      <c r="I684" s="100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>
      <c r="A685" s="100"/>
      <c r="B685" s="104"/>
      <c r="C685" s="100" t="str">
        <f>VLOOKUP(B685,Sheet3!$B$2:$E$312,2,FALSE)</f>
        <v>#N/A</v>
      </c>
      <c r="D685" s="100" t="str">
        <f>VLOOKUP(B685,Sheet3!$B$2:$E$312,3,)</f>
        <v>#N/A</v>
      </c>
      <c r="E685" s="100" t="str">
        <f>VLOOKUP(B685,Sheet3!$B$2:$E$312,4,)</f>
        <v>#N/A</v>
      </c>
      <c r="F685" s="100"/>
      <c r="G685" s="100"/>
      <c r="H685" s="100"/>
      <c r="I685" s="100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>
      <c r="A686" s="100"/>
      <c r="B686" s="104"/>
      <c r="C686" s="100" t="str">
        <f>VLOOKUP(B686,Sheet3!$B$2:$E$312,2,FALSE)</f>
        <v>#N/A</v>
      </c>
      <c r="D686" s="100" t="str">
        <f>VLOOKUP(B686,Sheet3!$B$2:$E$312,3,)</f>
        <v>#N/A</v>
      </c>
      <c r="E686" s="100" t="str">
        <f>VLOOKUP(B686,Sheet3!$B$2:$E$312,4,)</f>
        <v>#N/A</v>
      </c>
      <c r="F686" s="100"/>
      <c r="G686" s="100"/>
      <c r="H686" s="100"/>
      <c r="I686" s="100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>
      <c r="A687" s="100"/>
      <c r="B687" s="104"/>
      <c r="C687" s="100" t="str">
        <f>VLOOKUP(B687,Sheet3!$B$2:$E$312,2,FALSE)</f>
        <v>#N/A</v>
      </c>
      <c r="D687" s="100" t="str">
        <f>VLOOKUP(B687,Sheet3!$B$2:$E$312,3,)</f>
        <v>#N/A</v>
      </c>
      <c r="E687" s="100" t="str">
        <f>VLOOKUP(B687,Sheet3!$B$2:$E$312,4,)</f>
        <v>#N/A</v>
      </c>
      <c r="F687" s="100"/>
      <c r="G687" s="100"/>
      <c r="H687" s="100"/>
      <c r="I687" s="100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>
      <c r="A688" s="100"/>
      <c r="B688" s="104"/>
      <c r="C688" s="100" t="str">
        <f>VLOOKUP(B688,Sheet3!$B$2:$E$312,2,FALSE)</f>
        <v>#N/A</v>
      </c>
      <c r="D688" s="100" t="str">
        <f>VLOOKUP(B688,Sheet3!$B$2:$E$312,3,)</f>
        <v>#N/A</v>
      </c>
      <c r="E688" s="100" t="str">
        <f>VLOOKUP(B688,Sheet3!$B$2:$E$312,4,)</f>
        <v>#N/A</v>
      </c>
      <c r="F688" s="100"/>
      <c r="G688" s="100"/>
      <c r="H688" s="100"/>
      <c r="I688" s="100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>
      <c r="A689" s="100"/>
      <c r="B689" s="104"/>
      <c r="C689" s="100" t="str">
        <f>VLOOKUP(B689,Sheet3!$B$2:$E$312,2,FALSE)</f>
        <v>#N/A</v>
      </c>
      <c r="D689" s="100" t="str">
        <f>VLOOKUP(B689,Sheet3!$B$2:$E$312,3,)</f>
        <v>#N/A</v>
      </c>
      <c r="E689" s="100" t="str">
        <f>VLOOKUP(B689,Sheet3!$B$2:$E$312,4,)</f>
        <v>#N/A</v>
      </c>
      <c r="F689" s="100"/>
      <c r="G689" s="100"/>
      <c r="H689" s="100"/>
      <c r="I689" s="100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>
      <c r="A690" s="100"/>
      <c r="B690" s="104"/>
      <c r="C690" s="100" t="str">
        <f>VLOOKUP(B690,Sheet3!$B$2:$E$312,2,FALSE)</f>
        <v>#N/A</v>
      </c>
      <c r="D690" s="100" t="str">
        <f>VLOOKUP(B690,Sheet3!$B$2:$E$312,3,)</f>
        <v>#N/A</v>
      </c>
      <c r="E690" s="100" t="str">
        <f>VLOOKUP(B690,Sheet3!$B$2:$E$312,4,)</f>
        <v>#N/A</v>
      </c>
      <c r="F690" s="100"/>
      <c r="G690" s="100"/>
      <c r="H690" s="100"/>
      <c r="I690" s="100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>
      <c r="A691" s="100"/>
      <c r="B691" s="104"/>
      <c r="C691" s="100" t="str">
        <f>VLOOKUP(B691,Sheet3!$B$2:$E$312,2,FALSE)</f>
        <v>#N/A</v>
      </c>
      <c r="D691" s="100" t="str">
        <f>VLOOKUP(B691,Sheet3!$B$2:$E$312,3,)</f>
        <v>#N/A</v>
      </c>
      <c r="E691" s="100" t="str">
        <f>VLOOKUP(B691,Sheet3!$B$2:$E$312,4,)</f>
        <v>#N/A</v>
      </c>
      <c r="F691" s="100"/>
      <c r="G691" s="100"/>
      <c r="H691" s="100"/>
      <c r="I691" s="100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>
      <c r="A692" s="100"/>
      <c r="B692" s="104"/>
      <c r="C692" s="100" t="str">
        <f>VLOOKUP(B692,Sheet3!$B$2:$E$312,2,FALSE)</f>
        <v>#N/A</v>
      </c>
      <c r="D692" s="100" t="str">
        <f>VLOOKUP(B692,Sheet3!$B$2:$E$312,3,)</f>
        <v>#N/A</v>
      </c>
      <c r="E692" s="100" t="str">
        <f>VLOOKUP(B692,Sheet3!$B$2:$E$312,4,)</f>
        <v>#N/A</v>
      </c>
      <c r="F692" s="100"/>
      <c r="G692" s="100"/>
      <c r="H692" s="100"/>
      <c r="I692" s="100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>
      <c r="A693" s="100"/>
      <c r="B693" s="104"/>
      <c r="C693" s="100" t="str">
        <f>VLOOKUP(B693,Sheet3!$B$2:$E$312,2,FALSE)</f>
        <v>#N/A</v>
      </c>
      <c r="D693" s="100" t="str">
        <f>VLOOKUP(B693,Sheet3!$B$2:$E$312,3,)</f>
        <v>#N/A</v>
      </c>
      <c r="E693" s="100" t="str">
        <f>VLOOKUP(B693,Sheet3!$B$2:$E$312,4,)</f>
        <v>#N/A</v>
      </c>
      <c r="F693" s="100"/>
      <c r="G693" s="100"/>
      <c r="H693" s="100"/>
      <c r="I693" s="100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>
      <c r="A694" s="100"/>
      <c r="B694" s="104"/>
      <c r="C694" s="100" t="str">
        <f>VLOOKUP(B694,Sheet3!$B$2:$E$312,2,FALSE)</f>
        <v>#N/A</v>
      </c>
      <c r="D694" s="100" t="str">
        <f>VLOOKUP(B694,Sheet3!$B$2:$E$312,3,)</f>
        <v>#N/A</v>
      </c>
      <c r="E694" s="100" t="str">
        <f>VLOOKUP(B694,Sheet3!$B$2:$E$312,4,)</f>
        <v>#N/A</v>
      </c>
      <c r="F694" s="100"/>
      <c r="G694" s="100"/>
      <c r="H694" s="100"/>
      <c r="I694" s="100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>
      <c r="A695" s="100"/>
      <c r="B695" s="104"/>
      <c r="C695" s="100" t="str">
        <f>VLOOKUP(B695,Sheet3!$B$2:$E$312,2,FALSE)</f>
        <v>#N/A</v>
      </c>
      <c r="D695" s="100" t="str">
        <f>VLOOKUP(B695,Sheet3!$B$2:$E$312,3,)</f>
        <v>#N/A</v>
      </c>
      <c r="E695" s="100" t="str">
        <f>VLOOKUP(B695,Sheet3!$B$2:$E$312,4,)</f>
        <v>#N/A</v>
      </c>
      <c r="F695" s="100"/>
      <c r="G695" s="100"/>
      <c r="H695" s="100"/>
      <c r="I695" s="100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>
      <c r="A696" s="100"/>
      <c r="B696" s="104"/>
      <c r="C696" s="100" t="str">
        <f>VLOOKUP(B696,Sheet3!$B$2:$E$312,2,FALSE)</f>
        <v>#N/A</v>
      </c>
      <c r="D696" s="100" t="str">
        <f>VLOOKUP(B696,Sheet3!$B$2:$E$312,3,)</f>
        <v>#N/A</v>
      </c>
      <c r="E696" s="100" t="str">
        <f>VLOOKUP(B696,Sheet3!$B$2:$E$312,4,)</f>
        <v>#N/A</v>
      </c>
      <c r="F696" s="100"/>
      <c r="G696" s="100"/>
      <c r="H696" s="100"/>
      <c r="I696" s="100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>
      <c r="A697" s="100"/>
      <c r="B697" s="104"/>
      <c r="C697" s="100" t="str">
        <f>VLOOKUP(B697,Sheet3!$B$2:$E$312,2,FALSE)</f>
        <v>#N/A</v>
      </c>
      <c r="D697" s="100" t="str">
        <f>VLOOKUP(B697,Sheet3!$B$2:$E$312,3,)</f>
        <v>#N/A</v>
      </c>
      <c r="E697" s="100" t="str">
        <f>VLOOKUP(B697,Sheet3!$B$2:$E$312,4,)</f>
        <v>#N/A</v>
      </c>
      <c r="F697" s="100"/>
      <c r="G697" s="100"/>
      <c r="H697" s="100"/>
      <c r="I697" s="100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>
      <c r="A698" s="100"/>
      <c r="B698" s="104"/>
      <c r="C698" s="100" t="str">
        <f>VLOOKUP(B698,Sheet3!$B$2:$E$312,2,FALSE)</f>
        <v>#N/A</v>
      </c>
      <c r="D698" s="100" t="str">
        <f>VLOOKUP(B698,Sheet3!$B$2:$E$312,3,)</f>
        <v>#N/A</v>
      </c>
      <c r="E698" s="100" t="str">
        <f>VLOOKUP(B698,Sheet3!$B$2:$E$312,4,)</f>
        <v>#N/A</v>
      </c>
      <c r="F698" s="100"/>
      <c r="G698" s="100"/>
      <c r="H698" s="100"/>
      <c r="I698" s="100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>
      <c r="A699" s="100"/>
      <c r="B699" s="104"/>
      <c r="C699" s="100" t="str">
        <f>VLOOKUP(B699,Sheet3!$B$2:$E$312,2,FALSE)</f>
        <v>#N/A</v>
      </c>
      <c r="D699" s="100" t="str">
        <f>VLOOKUP(B699,Sheet3!$B$2:$E$312,3,)</f>
        <v>#N/A</v>
      </c>
      <c r="E699" s="100" t="str">
        <f>VLOOKUP(B699,Sheet3!$B$2:$E$312,4,)</f>
        <v>#N/A</v>
      </c>
      <c r="F699" s="100"/>
      <c r="G699" s="100"/>
      <c r="H699" s="100"/>
      <c r="I699" s="100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>
      <c r="A700" s="100"/>
      <c r="B700" s="104"/>
      <c r="C700" s="100" t="str">
        <f>VLOOKUP(B700,Sheet3!$B$2:$E$312,2,FALSE)</f>
        <v>#N/A</v>
      </c>
      <c r="D700" s="100" t="str">
        <f>VLOOKUP(B700,Sheet3!$B$2:$E$312,3,)</f>
        <v>#N/A</v>
      </c>
      <c r="E700" s="100" t="str">
        <f>VLOOKUP(B700,Sheet3!$B$2:$E$312,4,)</f>
        <v>#N/A</v>
      </c>
      <c r="F700" s="100"/>
      <c r="G700" s="100"/>
      <c r="H700" s="100"/>
      <c r="I700" s="100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>
      <c r="A701" s="100"/>
      <c r="B701" s="104"/>
      <c r="C701" s="100" t="str">
        <f>VLOOKUP(B701,Sheet3!$B$2:$E$312,2,FALSE)</f>
        <v>#N/A</v>
      </c>
      <c r="D701" s="100" t="str">
        <f>VLOOKUP(B701,Sheet3!$B$2:$E$312,3,)</f>
        <v>#N/A</v>
      </c>
      <c r="E701" s="100" t="str">
        <f>VLOOKUP(B701,Sheet3!$B$2:$E$312,4,)</f>
        <v>#N/A</v>
      </c>
      <c r="F701" s="100"/>
      <c r="G701" s="100"/>
      <c r="H701" s="100"/>
      <c r="I701" s="100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>
      <c r="A702" s="100"/>
      <c r="B702" s="104"/>
      <c r="C702" s="100" t="str">
        <f>VLOOKUP(B702,Sheet3!$B$2:$E$312,2,FALSE)</f>
        <v>#N/A</v>
      </c>
      <c r="D702" s="100" t="str">
        <f>VLOOKUP(B702,Sheet3!$B$2:$E$312,3,)</f>
        <v>#N/A</v>
      </c>
      <c r="E702" s="100" t="str">
        <f>VLOOKUP(B702,Sheet3!$B$2:$E$312,4,)</f>
        <v>#N/A</v>
      </c>
      <c r="F702" s="100"/>
      <c r="G702" s="100"/>
      <c r="H702" s="100"/>
      <c r="I702" s="100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>
      <c r="A703" s="100"/>
      <c r="B703" s="104"/>
      <c r="C703" s="100" t="str">
        <f>VLOOKUP(B703,Sheet3!$B$2:$E$312,2,FALSE)</f>
        <v>#N/A</v>
      </c>
      <c r="D703" s="100" t="str">
        <f>VLOOKUP(B703,Sheet3!$B$2:$E$312,3,)</f>
        <v>#N/A</v>
      </c>
      <c r="E703" s="100" t="str">
        <f>VLOOKUP(B703,Sheet3!$B$2:$E$312,4,)</f>
        <v>#N/A</v>
      </c>
      <c r="F703" s="100"/>
      <c r="G703" s="100"/>
      <c r="H703" s="100"/>
      <c r="I703" s="100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>
      <c r="A704" s="100"/>
      <c r="B704" s="104"/>
      <c r="C704" s="100" t="str">
        <f>VLOOKUP(B704,Sheet3!$B$2:$E$312,2,FALSE)</f>
        <v>#N/A</v>
      </c>
      <c r="D704" s="100" t="str">
        <f>VLOOKUP(B704,Sheet3!$B$2:$E$312,3,)</f>
        <v>#N/A</v>
      </c>
      <c r="E704" s="100" t="str">
        <f>VLOOKUP(B704,Sheet3!$B$2:$E$312,4,)</f>
        <v>#N/A</v>
      </c>
      <c r="F704" s="100"/>
      <c r="G704" s="100"/>
      <c r="H704" s="100"/>
      <c r="I704" s="100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>
      <c r="A705" s="100"/>
      <c r="B705" s="104"/>
      <c r="C705" s="100" t="str">
        <f>VLOOKUP(B705,Sheet3!$B$2:$E$312,2,FALSE)</f>
        <v>#N/A</v>
      </c>
      <c r="D705" s="100" t="str">
        <f>VLOOKUP(B705,Sheet3!$B$2:$E$312,3,)</f>
        <v>#N/A</v>
      </c>
      <c r="E705" s="100" t="str">
        <f>VLOOKUP(B705,Sheet3!$B$2:$E$312,4,)</f>
        <v>#N/A</v>
      </c>
      <c r="F705" s="100"/>
      <c r="G705" s="100"/>
      <c r="H705" s="100"/>
      <c r="I705" s="100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>
      <c r="A706" s="100"/>
      <c r="B706" s="104"/>
      <c r="C706" s="100" t="str">
        <f>VLOOKUP(B706,Sheet3!$B$2:$E$312,2,FALSE)</f>
        <v>#N/A</v>
      </c>
      <c r="D706" s="100" t="str">
        <f>VLOOKUP(B706,Sheet3!$B$2:$E$312,3,)</f>
        <v>#N/A</v>
      </c>
      <c r="E706" s="100" t="str">
        <f>VLOOKUP(B706,Sheet3!$B$2:$E$312,4,)</f>
        <v>#N/A</v>
      </c>
      <c r="F706" s="100"/>
      <c r="G706" s="100"/>
      <c r="H706" s="100"/>
      <c r="I706" s="100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>
      <c r="A707" s="100"/>
      <c r="B707" s="104"/>
      <c r="C707" s="100" t="str">
        <f>VLOOKUP(B707,Sheet3!$B$2:$E$312,2,FALSE)</f>
        <v>#N/A</v>
      </c>
      <c r="D707" s="100" t="str">
        <f>VLOOKUP(B707,Sheet3!$B$2:$E$312,3,)</f>
        <v>#N/A</v>
      </c>
      <c r="E707" s="100" t="str">
        <f>VLOOKUP(B707,Sheet3!$B$2:$E$312,4,)</f>
        <v>#N/A</v>
      </c>
      <c r="F707" s="100"/>
      <c r="G707" s="100"/>
      <c r="H707" s="100"/>
      <c r="I707" s="100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>
      <c r="A708" s="100"/>
      <c r="B708" s="104"/>
      <c r="C708" s="100" t="str">
        <f>VLOOKUP(B708,Sheet3!$B$2:$E$312,2,FALSE)</f>
        <v>#N/A</v>
      </c>
      <c r="D708" s="100" t="str">
        <f>VLOOKUP(B708,Sheet3!$B$2:$E$312,3,)</f>
        <v>#N/A</v>
      </c>
      <c r="E708" s="100" t="str">
        <f>VLOOKUP(B708,Sheet3!$B$2:$E$312,4,)</f>
        <v>#N/A</v>
      </c>
      <c r="F708" s="100"/>
      <c r="G708" s="100"/>
      <c r="H708" s="100"/>
      <c r="I708" s="100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>
      <c r="A709" s="100"/>
      <c r="B709" s="104"/>
      <c r="C709" s="100" t="str">
        <f>VLOOKUP(B709,Sheet3!$B$2:$E$312,2,FALSE)</f>
        <v>#N/A</v>
      </c>
      <c r="D709" s="100" t="str">
        <f>VLOOKUP(B709,Sheet3!$B$2:$E$312,3,)</f>
        <v>#N/A</v>
      </c>
      <c r="E709" s="100" t="str">
        <f>VLOOKUP(B709,Sheet3!$B$2:$E$312,4,)</f>
        <v>#N/A</v>
      </c>
      <c r="F709" s="100"/>
      <c r="G709" s="100"/>
      <c r="H709" s="100"/>
      <c r="I709" s="100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>
      <c r="A710" s="100"/>
      <c r="B710" s="104"/>
      <c r="C710" s="100" t="str">
        <f>VLOOKUP(B710,Sheet3!$B$2:$E$312,2,FALSE)</f>
        <v>#N/A</v>
      </c>
      <c r="D710" s="100" t="str">
        <f>VLOOKUP(B710,Sheet3!$B$2:$E$312,3,)</f>
        <v>#N/A</v>
      </c>
      <c r="E710" s="100" t="str">
        <f>VLOOKUP(B710,Sheet3!$B$2:$E$312,4,)</f>
        <v>#N/A</v>
      </c>
      <c r="F710" s="100"/>
      <c r="G710" s="100"/>
      <c r="H710" s="100"/>
      <c r="I710" s="100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>
      <c r="A711" s="100"/>
      <c r="B711" s="104"/>
      <c r="C711" s="100" t="str">
        <f>VLOOKUP(B711,Sheet3!$B$2:$E$312,2,FALSE)</f>
        <v>#N/A</v>
      </c>
      <c r="D711" s="100" t="str">
        <f>VLOOKUP(B711,Sheet3!$B$2:$E$312,3,)</f>
        <v>#N/A</v>
      </c>
      <c r="E711" s="100" t="str">
        <f>VLOOKUP(B711,Sheet3!$B$2:$E$312,4,)</f>
        <v>#N/A</v>
      </c>
      <c r="F711" s="100"/>
      <c r="G711" s="100"/>
      <c r="H711" s="100"/>
      <c r="I711" s="100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>
      <c r="A712" s="100"/>
      <c r="B712" s="104"/>
      <c r="C712" s="100" t="str">
        <f>VLOOKUP(B712,Sheet3!$B$2:$E$312,2,FALSE)</f>
        <v>#N/A</v>
      </c>
      <c r="D712" s="100" t="str">
        <f>VLOOKUP(B712,Sheet3!$B$2:$E$312,3,)</f>
        <v>#N/A</v>
      </c>
      <c r="E712" s="100" t="str">
        <f>VLOOKUP(B712,Sheet3!$B$2:$E$312,4,)</f>
        <v>#N/A</v>
      </c>
      <c r="F712" s="100"/>
      <c r="G712" s="100"/>
      <c r="H712" s="100"/>
      <c r="I712" s="100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>
      <c r="A713" s="100"/>
      <c r="B713" s="104"/>
      <c r="C713" s="100" t="str">
        <f>VLOOKUP(B713,Sheet3!$B$2:$E$312,2,FALSE)</f>
        <v>#N/A</v>
      </c>
      <c r="D713" s="100" t="str">
        <f>VLOOKUP(B713,Sheet3!$B$2:$E$312,3,)</f>
        <v>#N/A</v>
      </c>
      <c r="E713" s="100" t="str">
        <f>VLOOKUP(B713,Sheet3!$B$2:$E$312,4,)</f>
        <v>#N/A</v>
      </c>
      <c r="F713" s="100"/>
      <c r="G713" s="100"/>
      <c r="H713" s="100"/>
      <c r="I713" s="100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>
      <c r="A714" s="100"/>
      <c r="B714" s="104"/>
      <c r="C714" s="100" t="str">
        <f>VLOOKUP(B714,Sheet3!$B$2:$E$312,2,FALSE)</f>
        <v>#N/A</v>
      </c>
      <c r="D714" s="100" t="str">
        <f>VLOOKUP(B714,Sheet3!$B$2:$E$312,3,)</f>
        <v>#N/A</v>
      </c>
      <c r="E714" s="100" t="str">
        <f>VLOOKUP(B714,Sheet3!$B$2:$E$312,4,)</f>
        <v>#N/A</v>
      </c>
      <c r="F714" s="100"/>
      <c r="G714" s="100"/>
      <c r="H714" s="100"/>
      <c r="I714" s="100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>
      <c r="A715" s="100"/>
      <c r="B715" s="104"/>
      <c r="C715" s="100" t="str">
        <f>VLOOKUP(B715,Sheet3!$B$2:$E$312,2,FALSE)</f>
        <v>#N/A</v>
      </c>
      <c r="D715" s="100" t="str">
        <f>VLOOKUP(B715,Sheet3!$B$2:$E$312,3,)</f>
        <v>#N/A</v>
      </c>
      <c r="E715" s="100" t="str">
        <f>VLOOKUP(B715,Sheet3!$B$2:$E$312,4,)</f>
        <v>#N/A</v>
      </c>
      <c r="F715" s="100"/>
      <c r="G715" s="100"/>
      <c r="H715" s="100"/>
      <c r="I715" s="100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>
      <c r="A716" s="100"/>
      <c r="B716" s="104"/>
      <c r="C716" s="100" t="str">
        <f>VLOOKUP(B716,Sheet3!$B$2:$E$312,2,FALSE)</f>
        <v>#N/A</v>
      </c>
      <c r="D716" s="100" t="str">
        <f>VLOOKUP(B716,Sheet3!$B$2:$E$312,3,)</f>
        <v>#N/A</v>
      </c>
      <c r="E716" s="100" t="str">
        <f>VLOOKUP(B716,Sheet3!$B$2:$E$312,4,)</f>
        <v>#N/A</v>
      </c>
      <c r="F716" s="100"/>
      <c r="G716" s="100"/>
      <c r="H716" s="100"/>
      <c r="I716" s="100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>
      <c r="A717" s="100"/>
      <c r="B717" s="104"/>
      <c r="C717" s="100" t="str">
        <f>VLOOKUP(B717,Sheet3!$B$2:$E$312,2,FALSE)</f>
        <v>#N/A</v>
      </c>
      <c r="D717" s="100" t="str">
        <f>VLOOKUP(B717,Sheet3!$B$2:$E$312,3,)</f>
        <v>#N/A</v>
      </c>
      <c r="E717" s="100" t="str">
        <f>VLOOKUP(B717,Sheet3!$B$2:$E$312,4,)</f>
        <v>#N/A</v>
      </c>
      <c r="F717" s="100"/>
      <c r="G717" s="100"/>
      <c r="H717" s="100"/>
      <c r="I717" s="100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>
      <c r="A718" s="100"/>
      <c r="B718" s="104"/>
      <c r="C718" s="100" t="str">
        <f>VLOOKUP(B718,Sheet3!$B$2:$E$312,2,FALSE)</f>
        <v>#N/A</v>
      </c>
      <c r="D718" s="100" t="str">
        <f>VLOOKUP(B718,Sheet3!$B$2:$E$312,3,)</f>
        <v>#N/A</v>
      </c>
      <c r="E718" s="100" t="str">
        <f>VLOOKUP(B718,Sheet3!$B$2:$E$312,4,)</f>
        <v>#N/A</v>
      </c>
      <c r="F718" s="100"/>
      <c r="G718" s="100"/>
      <c r="H718" s="100"/>
      <c r="I718" s="100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>
      <c r="A719" s="100"/>
      <c r="B719" s="104"/>
      <c r="C719" s="100" t="str">
        <f>VLOOKUP(B719,Sheet3!$B$2:$E$312,2,FALSE)</f>
        <v>#N/A</v>
      </c>
      <c r="D719" s="100" t="str">
        <f>VLOOKUP(B719,Sheet3!$B$2:$E$312,3,)</f>
        <v>#N/A</v>
      </c>
      <c r="E719" s="100" t="str">
        <f>VLOOKUP(B719,Sheet3!$B$2:$E$312,4,)</f>
        <v>#N/A</v>
      </c>
      <c r="F719" s="100"/>
      <c r="G719" s="100"/>
      <c r="H719" s="100"/>
      <c r="I719" s="100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>
      <c r="A720" s="100"/>
      <c r="B720" s="104"/>
      <c r="C720" s="100" t="str">
        <f>VLOOKUP(B720,Sheet3!$B$2:$E$312,2,FALSE)</f>
        <v>#N/A</v>
      </c>
      <c r="D720" s="100" t="str">
        <f>VLOOKUP(B720,Sheet3!$B$2:$E$312,3,)</f>
        <v>#N/A</v>
      </c>
      <c r="E720" s="100" t="str">
        <f>VLOOKUP(B720,Sheet3!$B$2:$E$312,4,)</f>
        <v>#N/A</v>
      </c>
      <c r="F720" s="100"/>
      <c r="G720" s="100"/>
      <c r="H720" s="100"/>
      <c r="I720" s="100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>
      <c r="A721" s="100"/>
      <c r="B721" s="104"/>
      <c r="C721" s="100" t="str">
        <f>VLOOKUP(B721,Sheet3!$B$2:$E$312,2,FALSE)</f>
        <v>#N/A</v>
      </c>
      <c r="D721" s="100" t="str">
        <f>VLOOKUP(B721,Sheet3!$B$2:$E$312,3,)</f>
        <v>#N/A</v>
      </c>
      <c r="E721" s="100" t="str">
        <f>VLOOKUP(B721,Sheet3!$B$2:$E$312,4,)</f>
        <v>#N/A</v>
      </c>
      <c r="F721" s="100"/>
      <c r="G721" s="100"/>
      <c r="H721" s="100"/>
      <c r="I721" s="100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>
      <c r="A722" s="100"/>
      <c r="B722" s="104"/>
      <c r="C722" s="100" t="str">
        <f>VLOOKUP(B722,Sheet3!$B$2:$E$312,2,FALSE)</f>
        <v>#N/A</v>
      </c>
      <c r="D722" s="100" t="str">
        <f>VLOOKUP(B722,Sheet3!$B$2:$E$312,3,)</f>
        <v>#N/A</v>
      </c>
      <c r="E722" s="100" t="str">
        <f>VLOOKUP(B722,Sheet3!$B$2:$E$312,4,)</f>
        <v>#N/A</v>
      </c>
      <c r="F722" s="100"/>
      <c r="G722" s="100"/>
      <c r="H722" s="100"/>
      <c r="I722" s="100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>
      <c r="A723" s="100"/>
      <c r="B723" s="104"/>
      <c r="C723" s="100" t="str">
        <f>VLOOKUP(B723,Sheet3!$B$2:$E$312,2,FALSE)</f>
        <v>#N/A</v>
      </c>
      <c r="D723" s="100" t="str">
        <f>VLOOKUP(B723,Sheet3!$B$2:$E$312,3,)</f>
        <v>#N/A</v>
      </c>
      <c r="E723" s="100" t="str">
        <f>VLOOKUP(B723,Sheet3!$B$2:$E$312,4,)</f>
        <v>#N/A</v>
      </c>
      <c r="F723" s="100"/>
      <c r="G723" s="100"/>
      <c r="H723" s="100"/>
      <c r="I723" s="100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>
      <c r="A724" s="100"/>
      <c r="B724" s="104"/>
      <c r="C724" s="100" t="str">
        <f>VLOOKUP(B724,Sheet3!$B$2:$E$312,2,FALSE)</f>
        <v>#N/A</v>
      </c>
      <c r="D724" s="100" t="str">
        <f>VLOOKUP(B724,Sheet3!$B$2:$E$312,3,)</f>
        <v>#N/A</v>
      </c>
      <c r="E724" s="100" t="str">
        <f>VLOOKUP(B724,Sheet3!$B$2:$E$312,4,)</f>
        <v>#N/A</v>
      </c>
      <c r="F724" s="100"/>
      <c r="G724" s="100"/>
      <c r="H724" s="100"/>
      <c r="I724" s="100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>
      <c r="A725" s="100"/>
      <c r="B725" s="104"/>
      <c r="C725" s="100" t="str">
        <f>VLOOKUP(B725,Sheet3!$B$2:$E$312,2,FALSE)</f>
        <v>#N/A</v>
      </c>
      <c r="D725" s="100" t="str">
        <f>VLOOKUP(B725,Sheet3!$B$2:$E$312,3,)</f>
        <v>#N/A</v>
      </c>
      <c r="E725" s="100" t="str">
        <f>VLOOKUP(B725,Sheet3!$B$2:$E$312,4,)</f>
        <v>#N/A</v>
      </c>
      <c r="F725" s="100"/>
      <c r="G725" s="100"/>
      <c r="H725" s="100"/>
      <c r="I725" s="100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>
      <c r="A726" s="100"/>
      <c r="B726" s="104"/>
      <c r="C726" s="100" t="str">
        <f>VLOOKUP(B726,Sheet3!$B$2:$E$312,2,FALSE)</f>
        <v>#N/A</v>
      </c>
      <c r="D726" s="100" t="str">
        <f>VLOOKUP(B726,Sheet3!$B$2:$E$312,3,)</f>
        <v>#N/A</v>
      </c>
      <c r="E726" s="100" t="str">
        <f>VLOOKUP(B726,Sheet3!$B$2:$E$312,4,)</f>
        <v>#N/A</v>
      </c>
      <c r="F726" s="100"/>
      <c r="G726" s="100"/>
      <c r="H726" s="100"/>
      <c r="I726" s="100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>
      <c r="A727" s="100"/>
      <c r="B727" s="104"/>
      <c r="C727" s="100" t="str">
        <f>VLOOKUP(B727,Sheet3!$B$2:$E$312,2,FALSE)</f>
        <v>#N/A</v>
      </c>
      <c r="D727" s="100" t="str">
        <f>VLOOKUP(B727,Sheet3!$B$2:$E$312,3,)</f>
        <v>#N/A</v>
      </c>
      <c r="E727" s="100" t="str">
        <f>VLOOKUP(B727,Sheet3!$B$2:$E$312,4,)</f>
        <v>#N/A</v>
      </c>
      <c r="F727" s="100"/>
      <c r="G727" s="100"/>
      <c r="H727" s="100"/>
      <c r="I727" s="100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>
      <c r="A728" s="100"/>
      <c r="B728" s="104"/>
      <c r="C728" s="100" t="str">
        <f>VLOOKUP(B728,Sheet3!$B$2:$E$312,2,FALSE)</f>
        <v>#N/A</v>
      </c>
      <c r="D728" s="100" t="str">
        <f>VLOOKUP(B728,Sheet3!$B$2:$E$312,3,)</f>
        <v>#N/A</v>
      </c>
      <c r="E728" s="100" t="str">
        <f>VLOOKUP(B728,Sheet3!$B$2:$E$312,4,)</f>
        <v>#N/A</v>
      </c>
      <c r="F728" s="100"/>
      <c r="G728" s="100"/>
      <c r="H728" s="100"/>
      <c r="I728" s="100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>
      <c r="A729" s="100"/>
      <c r="B729" s="104"/>
      <c r="C729" s="100" t="str">
        <f>VLOOKUP(B729,Sheet3!$B$2:$E$312,2,FALSE)</f>
        <v>#N/A</v>
      </c>
      <c r="D729" s="100" t="str">
        <f>VLOOKUP(B729,Sheet3!$B$2:$E$312,3,)</f>
        <v>#N/A</v>
      </c>
      <c r="E729" s="100" t="str">
        <f>VLOOKUP(B729,Sheet3!$B$2:$E$312,4,)</f>
        <v>#N/A</v>
      </c>
      <c r="F729" s="100"/>
      <c r="G729" s="100"/>
      <c r="H729" s="100"/>
      <c r="I729" s="100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>
      <c r="A730" s="100"/>
      <c r="B730" s="104"/>
      <c r="C730" s="100" t="str">
        <f>VLOOKUP(B730,Sheet3!$B$2:$E$312,2,FALSE)</f>
        <v>#N/A</v>
      </c>
      <c r="D730" s="100" t="str">
        <f>VLOOKUP(B730,Sheet3!$B$2:$E$312,3,)</f>
        <v>#N/A</v>
      </c>
      <c r="E730" s="100" t="str">
        <f>VLOOKUP(B730,Sheet3!$B$2:$E$312,4,)</f>
        <v>#N/A</v>
      </c>
      <c r="F730" s="100"/>
      <c r="G730" s="100"/>
      <c r="H730" s="100"/>
      <c r="I730" s="100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>
      <c r="A731" s="100"/>
      <c r="B731" s="104"/>
      <c r="C731" s="100" t="str">
        <f>VLOOKUP(B731,Sheet3!$B$2:$E$312,2,FALSE)</f>
        <v>#N/A</v>
      </c>
      <c r="D731" s="100" t="str">
        <f>VLOOKUP(B731,Sheet3!$B$2:$E$312,3,)</f>
        <v>#N/A</v>
      </c>
      <c r="E731" s="100" t="str">
        <f>VLOOKUP(B731,Sheet3!$B$2:$E$312,4,)</f>
        <v>#N/A</v>
      </c>
      <c r="F731" s="100"/>
      <c r="G731" s="100"/>
      <c r="H731" s="100"/>
      <c r="I731" s="100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>
      <c r="A732" s="100"/>
      <c r="B732" s="104"/>
      <c r="C732" s="100" t="str">
        <f>VLOOKUP(B732,Sheet3!$B$2:$E$312,2,FALSE)</f>
        <v>#N/A</v>
      </c>
      <c r="D732" s="100" t="str">
        <f>VLOOKUP(B732,Sheet3!$B$2:$E$312,3,)</f>
        <v>#N/A</v>
      </c>
      <c r="E732" s="100" t="str">
        <f>VLOOKUP(B732,Sheet3!$B$2:$E$312,4,)</f>
        <v>#N/A</v>
      </c>
      <c r="F732" s="100"/>
      <c r="G732" s="100"/>
      <c r="H732" s="100"/>
      <c r="I732" s="100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>
      <c r="A733" s="100"/>
      <c r="B733" s="104"/>
      <c r="C733" s="100" t="str">
        <f>VLOOKUP(B733,Sheet3!$B$2:$E$312,2,FALSE)</f>
        <v>#N/A</v>
      </c>
      <c r="D733" s="100" t="str">
        <f>VLOOKUP(B733,Sheet3!$B$2:$E$312,3,)</f>
        <v>#N/A</v>
      </c>
      <c r="E733" s="100" t="str">
        <f>VLOOKUP(B733,Sheet3!$B$2:$E$312,4,)</f>
        <v>#N/A</v>
      </c>
      <c r="F733" s="100"/>
      <c r="G733" s="100"/>
      <c r="H733" s="100"/>
      <c r="I733" s="100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>
      <c r="A734" s="100"/>
      <c r="B734" s="104"/>
      <c r="C734" s="100" t="str">
        <f>VLOOKUP(B734,Sheet3!$B$2:$E$312,2,FALSE)</f>
        <v>#N/A</v>
      </c>
      <c r="D734" s="100" t="str">
        <f>VLOOKUP(B734,Sheet3!$B$2:$E$312,3,)</f>
        <v>#N/A</v>
      </c>
      <c r="E734" s="100" t="str">
        <f>VLOOKUP(B734,Sheet3!$B$2:$E$312,4,)</f>
        <v>#N/A</v>
      </c>
      <c r="F734" s="100"/>
      <c r="G734" s="100"/>
      <c r="H734" s="100"/>
      <c r="I734" s="100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>
      <c r="A735" s="100"/>
      <c r="B735" s="104"/>
      <c r="C735" s="100" t="str">
        <f>VLOOKUP(B735,Sheet3!$B$2:$E$312,2,FALSE)</f>
        <v>#N/A</v>
      </c>
      <c r="D735" s="100" t="str">
        <f>VLOOKUP(B735,Sheet3!$B$2:$E$312,3,)</f>
        <v>#N/A</v>
      </c>
      <c r="E735" s="100" t="str">
        <f>VLOOKUP(B735,Sheet3!$B$2:$E$312,4,)</f>
        <v>#N/A</v>
      </c>
      <c r="F735" s="100"/>
      <c r="G735" s="100"/>
      <c r="H735" s="100"/>
      <c r="I735" s="100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>
      <c r="A736" s="100"/>
      <c r="B736" s="104"/>
      <c r="C736" s="100" t="str">
        <f>VLOOKUP(B736,Sheet3!$B$2:$E$312,2,FALSE)</f>
        <v>#N/A</v>
      </c>
      <c r="D736" s="100" t="str">
        <f>VLOOKUP(B736,Sheet3!$B$2:$E$312,3,)</f>
        <v>#N/A</v>
      </c>
      <c r="E736" s="100" t="str">
        <f>VLOOKUP(B736,Sheet3!$B$2:$E$312,4,)</f>
        <v>#N/A</v>
      </c>
      <c r="F736" s="100"/>
      <c r="G736" s="100"/>
      <c r="H736" s="100"/>
      <c r="I736" s="100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>
      <c r="A737" s="100"/>
      <c r="B737" s="104"/>
      <c r="C737" s="100" t="str">
        <f>VLOOKUP(B737,Sheet3!$B$2:$E$312,2,FALSE)</f>
        <v>#N/A</v>
      </c>
      <c r="D737" s="100" t="str">
        <f>VLOOKUP(B737,Sheet3!$B$2:$E$312,3,)</f>
        <v>#N/A</v>
      </c>
      <c r="E737" s="100" t="str">
        <f>VLOOKUP(B737,Sheet3!$B$2:$E$312,4,)</f>
        <v>#N/A</v>
      </c>
      <c r="F737" s="100"/>
      <c r="G737" s="100"/>
      <c r="H737" s="100"/>
      <c r="I737" s="100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>
      <c r="A738" s="100"/>
      <c r="B738" s="104"/>
      <c r="C738" s="100" t="str">
        <f>VLOOKUP(B738,Sheet3!$B$2:$E$312,2,FALSE)</f>
        <v>#N/A</v>
      </c>
      <c r="D738" s="100" t="str">
        <f>VLOOKUP(B738,Sheet3!$B$2:$E$312,3,)</f>
        <v>#N/A</v>
      </c>
      <c r="E738" s="100" t="str">
        <f>VLOOKUP(B738,Sheet3!$B$2:$E$312,4,)</f>
        <v>#N/A</v>
      </c>
      <c r="F738" s="100"/>
      <c r="G738" s="100"/>
      <c r="H738" s="100"/>
      <c r="I738" s="100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>
      <c r="A739" s="100"/>
      <c r="B739" s="104"/>
      <c r="C739" s="100" t="str">
        <f>VLOOKUP(B739,Sheet3!$B$2:$E$312,2,FALSE)</f>
        <v>#N/A</v>
      </c>
      <c r="D739" s="100" t="str">
        <f>VLOOKUP(B739,Sheet3!$B$2:$E$312,3,)</f>
        <v>#N/A</v>
      </c>
      <c r="E739" s="100" t="str">
        <f>VLOOKUP(B739,Sheet3!$B$2:$E$312,4,)</f>
        <v>#N/A</v>
      </c>
      <c r="F739" s="100"/>
      <c r="G739" s="100"/>
      <c r="H739" s="100"/>
      <c r="I739" s="100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>
      <c r="A740" s="100"/>
      <c r="B740" s="104"/>
      <c r="C740" s="100" t="str">
        <f>VLOOKUP(B740,Sheet3!$B$2:$E$312,2,FALSE)</f>
        <v>#N/A</v>
      </c>
      <c r="D740" s="100" t="str">
        <f>VLOOKUP(B740,Sheet3!$B$2:$E$312,3,)</f>
        <v>#N/A</v>
      </c>
      <c r="E740" s="100" t="str">
        <f>VLOOKUP(B740,Sheet3!$B$2:$E$312,4,)</f>
        <v>#N/A</v>
      </c>
      <c r="F740" s="100"/>
      <c r="G740" s="100"/>
      <c r="H740" s="100"/>
      <c r="I740" s="100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>
      <c r="A741" s="100"/>
      <c r="B741" s="104"/>
      <c r="C741" s="100" t="str">
        <f>VLOOKUP(B741,Sheet3!$B$2:$E$312,2,FALSE)</f>
        <v>#N/A</v>
      </c>
      <c r="D741" s="100" t="str">
        <f>VLOOKUP(B741,Sheet3!$B$2:$E$312,3,)</f>
        <v>#N/A</v>
      </c>
      <c r="E741" s="100" t="str">
        <f>VLOOKUP(B741,Sheet3!$B$2:$E$312,4,)</f>
        <v>#N/A</v>
      </c>
      <c r="F741" s="100"/>
      <c r="G741" s="100"/>
      <c r="H741" s="100"/>
      <c r="I741" s="100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>
      <c r="A742" s="100"/>
      <c r="B742" s="104"/>
      <c r="C742" s="100" t="str">
        <f>VLOOKUP(B742,Sheet3!$B$2:$E$312,2,FALSE)</f>
        <v>#N/A</v>
      </c>
      <c r="D742" s="100" t="str">
        <f>VLOOKUP(B742,Sheet3!$B$2:$E$312,3,)</f>
        <v>#N/A</v>
      </c>
      <c r="E742" s="100"/>
      <c r="F742" s="100"/>
      <c r="G742" s="100"/>
      <c r="H742" s="100"/>
      <c r="I742" s="100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>
      <c r="A743" s="100"/>
      <c r="B743" s="104"/>
      <c r="C743" s="100" t="str">
        <f>VLOOKUP(B743,Sheet3!$B$2:$E$312,2,FALSE)</f>
        <v>#N/A</v>
      </c>
      <c r="D743" s="100" t="str">
        <f>VLOOKUP(B743,Sheet3!$B$2:$E$312,3,)</f>
        <v>#N/A</v>
      </c>
      <c r="E743" s="100"/>
      <c r="F743" s="100"/>
      <c r="G743" s="100"/>
      <c r="H743" s="100"/>
      <c r="I743" s="100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>
      <c r="A744" s="100"/>
      <c r="B744" s="104"/>
      <c r="C744" s="100" t="str">
        <f>VLOOKUP(B744,Sheet3!$B$2:$E$312,2,FALSE)</f>
        <v>#N/A</v>
      </c>
      <c r="D744" s="100" t="str">
        <f>VLOOKUP(B744,Sheet3!$B$2:$E$312,3,)</f>
        <v>#N/A</v>
      </c>
      <c r="E744" s="100"/>
      <c r="F744" s="100"/>
      <c r="G744" s="100"/>
      <c r="H744" s="100"/>
      <c r="I744" s="100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>
      <c r="A745" s="100"/>
      <c r="B745" s="104"/>
      <c r="C745" s="100" t="str">
        <f>VLOOKUP(B745,Sheet3!$B$2:$E$312,2,FALSE)</f>
        <v>#N/A</v>
      </c>
      <c r="D745" s="100" t="str">
        <f>VLOOKUP(B745,Sheet3!$B$2:$E$312,3,)</f>
        <v>#N/A</v>
      </c>
      <c r="E745" s="100"/>
      <c r="F745" s="100"/>
      <c r="G745" s="100"/>
      <c r="H745" s="100"/>
      <c r="I745" s="100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>
      <c r="A746" s="100"/>
      <c r="B746" s="104"/>
      <c r="C746" s="100" t="str">
        <f>VLOOKUP(B746,Sheet3!$B$2:$E$312,2,FALSE)</f>
        <v>#N/A</v>
      </c>
      <c r="D746" s="100" t="str">
        <f>VLOOKUP(B746,Sheet3!$B$2:$E$312,3,)</f>
        <v>#N/A</v>
      </c>
      <c r="E746" s="100"/>
      <c r="F746" s="100"/>
      <c r="G746" s="100"/>
      <c r="H746" s="100"/>
      <c r="I746" s="100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>
      <c r="A747" s="100"/>
      <c r="B747" s="104"/>
      <c r="C747" s="100" t="str">
        <f>VLOOKUP(B747,Sheet3!$B$2:$E$312,2,FALSE)</f>
        <v>#N/A</v>
      </c>
      <c r="D747" s="100" t="str">
        <f>VLOOKUP(B747,Sheet3!$B$2:$E$312,3,)</f>
        <v>#N/A</v>
      </c>
      <c r="E747" s="100"/>
      <c r="F747" s="100"/>
      <c r="G747" s="100"/>
      <c r="H747" s="100"/>
      <c r="I747" s="100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>
      <c r="A748" s="100"/>
      <c r="B748" s="104"/>
      <c r="C748" s="100" t="str">
        <f>VLOOKUP(B748,Sheet3!$B$2:$E$312,2,FALSE)</f>
        <v>#N/A</v>
      </c>
      <c r="D748" s="100" t="str">
        <f>VLOOKUP(B748,Sheet3!$B$2:$E$312,3,)</f>
        <v>#N/A</v>
      </c>
      <c r="E748" s="100"/>
      <c r="F748" s="100"/>
      <c r="G748" s="100"/>
      <c r="H748" s="100"/>
      <c r="I748" s="100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>
      <c r="A749" s="100"/>
      <c r="B749" s="104"/>
      <c r="C749" s="100" t="str">
        <f>VLOOKUP(B749,Sheet3!$B$2:$E$312,2,FALSE)</f>
        <v>#N/A</v>
      </c>
      <c r="D749" s="100" t="str">
        <f>VLOOKUP(B749,Sheet3!$B$2:$E$312,3,)</f>
        <v>#N/A</v>
      </c>
      <c r="E749" s="100"/>
      <c r="F749" s="100"/>
      <c r="G749" s="100"/>
      <c r="H749" s="100"/>
      <c r="I749" s="100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>
      <c r="A750" s="100"/>
      <c r="B750" s="104"/>
      <c r="C750" s="100" t="str">
        <f>VLOOKUP(B750,Sheet3!$B$2:$E$312,2,FALSE)</f>
        <v>#N/A</v>
      </c>
      <c r="D750" s="100"/>
      <c r="E750" s="100"/>
      <c r="F750" s="100"/>
      <c r="G750" s="100"/>
      <c r="H750" s="100"/>
      <c r="I750" s="100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>
      <c r="A751" s="100"/>
      <c r="B751" s="104"/>
      <c r="C751" s="100" t="str">
        <f>VLOOKUP(B751,Sheet3!$B$2:$E$312,2,FALSE)</f>
        <v>#N/A</v>
      </c>
      <c r="D751" s="100"/>
      <c r="E751" s="100"/>
      <c r="F751" s="100"/>
      <c r="G751" s="100"/>
      <c r="H751" s="100"/>
      <c r="I751" s="100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>
      <c r="A752" s="100"/>
      <c r="B752" s="104"/>
      <c r="C752" s="100"/>
      <c r="D752" s="100"/>
      <c r="E752" s="100"/>
      <c r="F752" s="100"/>
      <c r="G752" s="100"/>
      <c r="H752" s="100"/>
      <c r="I752" s="100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>
      <c r="A753" s="100"/>
      <c r="B753" s="104"/>
      <c r="C753" s="100"/>
      <c r="D753" s="100"/>
      <c r="E753" s="100"/>
      <c r="F753" s="100"/>
      <c r="G753" s="100"/>
      <c r="H753" s="100"/>
      <c r="I753" s="100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>
      <c r="A754" s="100"/>
      <c r="B754" s="104"/>
      <c r="C754" s="100"/>
      <c r="D754" s="100"/>
      <c r="E754" s="100"/>
      <c r="F754" s="100"/>
      <c r="G754" s="100"/>
      <c r="H754" s="100"/>
      <c r="I754" s="100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>
      <c r="A755" s="100"/>
      <c r="B755" s="104"/>
      <c r="C755" s="100"/>
      <c r="D755" s="100"/>
      <c r="E755" s="100"/>
      <c r="F755" s="100"/>
      <c r="G755" s="100"/>
      <c r="H755" s="100"/>
      <c r="I755" s="100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>
      <c r="A756" s="100"/>
      <c r="B756" s="104"/>
      <c r="C756" s="100"/>
      <c r="D756" s="100"/>
      <c r="E756" s="100"/>
      <c r="F756" s="100"/>
      <c r="G756" s="100"/>
      <c r="H756" s="100"/>
      <c r="I756" s="100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>
      <c r="A757" s="100"/>
      <c r="B757" s="104"/>
      <c r="C757" s="100"/>
      <c r="D757" s="100"/>
      <c r="E757" s="100"/>
      <c r="F757" s="100"/>
      <c r="G757" s="100"/>
      <c r="H757" s="100"/>
      <c r="I757" s="100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>
      <c r="A758" s="100"/>
      <c r="B758" s="104"/>
      <c r="C758" s="100"/>
      <c r="D758" s="100"/>
      <c r="E758" s="100"/>
      <c r="F758" s="100"/>
      <c r="G758" s="100"/>
      <c r="H758" s="100"/>
      <c r="I758" s="100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>
      <c r="A759" s="100"/>
      <c r="B759" s="104"/>
      <c r="C759" s="100"/>
      <c r="D759" s="100"/>
      <c r="E759" s="100"/>
      <c r="F759" s="100"/>
      <c r="G759" s="100"/>
      <c r="H759" s="100"/>
      <c r="I759" s="100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>
      <c r="A760" s="100"/>
      <c r="B760" s="104"/>
      <c r="C760" s="100"/>
      <c r="D760" s="100"/>
      <c r="E760" s="100"/>
      <c r="F760" s="100"/>
      <c r="G760" s="100"/>
      <c r="H760" s="100"/>
      <c r="I760" s="100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>
      <c r="A761" s="100"/>
      <c r="B761" s="104"/>
      <c r="C761" s="100"/>
      <c r="D761" s="100"/>
      <c r="E761" s="100"/>
      <c r="F761" s="100"/>
      <c r="G761" s="100"/>
      <c r="H761" s="100"/>
      <c r="I761" s="100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>
      <c r="A762" s="100"/>
      <c r="B762" s="104"/>
      <c r="C762" s="100"/>
      <c r="D762" s="100"/>
      <c r="E762" s="100"/>
      <c r="F762" s="100"/>
      <c r="G762" s="100"/>
      <c r="H762" s="100"/>
      <c r="I762" s="100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>
      <c r="A763" s="100"/>
      <c r="B763" s="104"/>
      <c r="C763" s="100"/>
      <c r="D763" s="100"/>
      <c r="E763" s="100"/>
      <c r="F763" s="100"/>
      <c r="G763" s="100"/>
      <c r="H763" s="100"/>
      <c r="I763" s="100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>
      <c r="A764" s="100"/>
      <c r="B764" s="104"/>
      <c r="C764" s="100"/>
      <c r="D764" s="100"/>
      <c r="E764" s="100"/>
      <c r="F764" s="100"/>
      <c r="G764" s="100"/>
      <c r="H764" s="100"/>
      <c r="I764" s="100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>
      <c r="A765" s="100"/>
      <c r="B765" s="104"/>
      <c r="C765" s="100"/>
      <c r="D765" s="100"/>
      <c r="E765" s="100"/>
      <c r="F765" s="100"/>
      <c r="G765" s="100"/>
      <c r="H765" s="100"/>
      <c r="I765" s="100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>
      <c r="A766" s="100"/>
      <c r="B766" s="104"/>
      <c r="C766" s="100"/>
      <c r="D766" s="100"/>
      <c r="E766" s="100"/>
      <c r="F766" s="100"/>
      <c r="G766" s="100"/>
      <c r="H766" s="100"/>
      <c r="I766" s="100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>
      <c r="A767" s="100"/>
      <c r="B767" s="104"/>
      <c r="C767" s="100"/>
      <c r="D767" s="100"/>
      <c r="E767" s="100"/>
      <c r="F767" s="100"/>
      <c r="G767" s="100"/>
      <c r="H767" s="100"/>
      <c r="I767" s="100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>
      <c r="A768" s="100"/>
      <c r="B768" s="104"/>
      <c r="C768" s="100"/>
      <c r="D768" s="100"/>
      <c r="E768" s="100"/>
      <c r="F768" s="100"/>
      <c r="G768" s="100"/>
      <c r="H768" s="100"/>
      <c r="I768" s="100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>
      <c r="A769" s="100"/>
      <c r="B769" s="104"/>
      <c r="C769" s="100"/>
      <c r="D769" s="100"/>
      <c r="E769" s="100"/>
      <c r="F769" s="100"/>
      <c r="G769" s="100"/>
      <c r="H769" s="100"/>
      <c r="I769" s="100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>
      <c r="A770" s="100"/>
      <c r="B770" s="104"/>
      <c r="C770" s="100"/>
      <c r="D770" s="100"/>
      <c r="E770" s="100"/>
      <c r="F770" s="100"/>
      <c r="G770" s="100"/>
      <c r="H770" s="100"/>
      <c r="I770" s="100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>
      <c r="A771" s="100"/>
      <c r="B771" s="104"/>
      <c r="C771" s="100"/>
      <c r="D771" s="100"/>
      <c r="E771" s="100"/>
      <c r="F771" s="100"/>
      <c r="G771" s="100"/>
      <c r="H771" s="100"/>
      <c r="I771" s="100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>
      <c r="A772" s="100"/>
      <c r="B772" s="104"/>
      <c r="C772" s="100"/>
      <c r="D772" s="100"/>
      <c r="E772" s="100"/>
      <c r="F772" s="100"/>
      <c r="G772" s="100"/>
      <c r="H772" s="100"/>
      <c r="I772" s="100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>
      <c r="A773" s="100"/>
      <c r="B773" s="104"/>
      <c r="C773" s="100"/>
      <c r="D773" s="100"/>
      <c r="E773" s="100"/>
      <c r="F773" s="100"/>
      <c r="G773" s="100"/>
      <c r="H773" s="100"/>
      <c r="I773" s="100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>
      <c r="A774" s="100"/>
      <c r="B774" s="104"/>
      <c r="C774" s="100"/>
      <c r="D774" s="100"/>
      <c r="E774" s="100"/>
      <c r="F774" s="100"/>
      <c r="G774" s="100"/>
      <c r="H774" s="100"/>
      <c r="I774" s="100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>
      <c r="A775" s="100"/>
      <c r="B775" s="104"/>
      <c r="C775" s="100"/>
      <c r="D775" s="100"/>
      <c r="E775" s="100"/>
      <c r="F775" s="100"/>
      <c r="G775" s="100"/>
      <c r="H775" s="100"/>
      <c r="I775" s="100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>
      <c r="A776" s="100"/>
      <c r="B776" s="104"/>
      <c r="C776" s="100"/>
      <c r="D776" s="100"/>
      <c r="E776" s="100"/>
      <c r="F776" s="100"/>
      <c r="G776" s="100"/>
      <c r="H776" s="100"/>
      <c r="I776" s="100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>
      <c r="A777" s="100"/>
      <c r="B777" s="104"/>
      <c r="C777" s="100"/>
      <c r="D777" s="100"/>
      <c r="E777" s="100"/>
      <c r="F777" s="100"/>
      <c r="G777" s="100"/>
      <c r="H777" s="100"/>
      <c r="I777" s="100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>
      <c r="A778" s="100"/>
      <c r="B778" s="104"/>
      <c r="C778" s="100"/>
      <c r="D778" s="100"/>
      <c r="E778" s="100"/>
      <c r="F778" s="100"/>
      <c r="G778" s="100"/>
      <c r="H778" s="100"/>
      <c r="I778" s="100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>
      <c r="A779" s="100"/>
      <c r="B779" s="104"/>
      <c r="C779" s="100"/>
      <c r="D779" s="100"/>
      <c r="E779" s="100"/>
      <c r="F779" s="100"/>
      <c r="G779" s="100"/>
      <c r="H779" s="100"/>
      <c r="I779" s="100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>
      <c r="A780" s="100"/>
      <c r="B780" s="104"/>
      <c r="C780" s="100"/>
      <c r="D780" s="100"/>
      <c r="E780" s="100"/>
      <c r="F780" s="100"/>
      <c r="G780" s="100"/>
      <c r="H780" s="100"/>
      <c r="I780" s="100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>
      <c r="A781" s="100"/>
      <c r="B781" s="104"/>
      <c r="C781" s="100"/>
      <c r="D781" s="100"/>
      <c r="E781" s="100"/>
      <c r="F781" s="100"/>
      <c r="G781" s="100"/>
      <c r="H781" s="100"/>
      <c r="I781" s="100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>
      <c r="A782" s="100"/>
      <c r="B782" s="104"/>
      <c r="C782" s="100"/>
      <c r="D782" s="100"/>
      <c r="E782" s="100"/>
      <c r="F782" s="100"/>
      <c r="G782" s="100"/>
      <c r="H782" s="100"/>
      <c r="I782" s="100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>
      <c r="A783" s="100"/>
      <c r="B783" s="104"/>
      <c r="C783" s="100"/>
      <c r="D783" s="100"/>
      <c r="E783" s="100"/>
      <c r="F783" s="100"/>
      <c r="G783" s="100"/>
      <c r="H783" s="100"/>
      <c r="I783" s="100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>
      <c r="A784" s="100"/>
      <c r="B784" s="104"/>
      <c r="C784" s="100"/>
      <c r="D784" s="100"/>
      <c r="E784" s="100"/>
      <c r="F784" s="100"/>
      <c r="G784" s="100"/>
      <c r="H784" s="100"/>
      <c r="I784" s="100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>
      <c r="A785" s="100"/>
      <c r="B785" s="104"/>
      <c r="C785" s="100"/>
      <c r="D785" s="100"/>
      <c r="E785" s="100"/>
      <c r="F785" s="100"/>
      <c r="G785" s="100"/>
      <c r="H785" s="100"/>
      <c r="I785" s="100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>
      <c r="A786" s="100"/>
      <c r="B786" s="104"/>
      <c r="C786" s="100"/>
      <c r="D786" s="100"/>
      <c r="E786" s="100"/>
      <c r="F786" s="100"/>
      <c r="G786" s="100"/>
      <c r="H786" s="100"/>
      <c r="I786" s="100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>
      <c r="A787" s="100"/>
      <c r="B787" s="104"/>
      <c r="C787" s="100"/>
      <c r="D787" s="100"/>
      <c r="E787" s="100"/>
      <c r="F787" s="100"/>
      <c r="G787" s="100"/>
      <c r="H787" s="100"/>
      <c r="I787" s="100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>
      <c r="A788" s="100"/>
      <c r="B788" s="104"/>
      <c r="C788" s="100"/>
      <c r="D788" s="100"/>
      <c r="E788" s="100"/>
      <c r="F788" s="100"/>
      <c r="G788" s="100"/>
      <c r="H788" s="100"/>
      <c r="I788" s="100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>
      <c r="A789" s="100"/>
      <c r="B789" s="104"/>
      <c r="C789" s="100"/>
      <c r="D789" s="100"/>
      <c r="E789" s="100"/>
      <c r="F789" s="100"/>
      <c r="G789" s="100"/>
      <c r="H789" s="100"/>
      <c r="I789" s="100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>
      <c r="A790" s="100"/>
      <c r="B790" s="104"/>
      <c r="C790" s="100"/>
      <c r="D790" s="100"/>
      <c r="E790" s="100"/>
      <c r="F790" s="100"/>
      <c r="G790" s="100"/>
      <c r="H790" s="100"/>
      <c r="I790" s="100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>
      <c r="A791" s="100"/>
      <c r="B791" s="104"/>
      <c r="C791" s="100"/>
      <c r="D791" s="100"/>
      <c r="E791" s="100"/>
      <c r="F791" s="100"/>
      <c r="G791" s="100"/>
      <c r="H791" s="100"/>
      <c r="I791" s="100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>
      <c r="A792" s="100"/>
      <c r="B792" s="104"/>
      <c r="C792" s="100"/>
      <c r="D792" s="100"/>
      <c r="E792" s="100"/>
      <c r="F792" s="100"/>
      <c r="G792" s="100"/>
      <c r="H792" s="100"/>
      <c r="I792" s="100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>
      <c r="A793" s="100"/>
      <c r="B793" s="104"/>
      <c r="C793" s="100"/>
      <c r="D793" s="100"/>
      <c r="E793" s="100"/>
      <c r="F793" s="100"/>
      <c r="G793" s="100"/>
      <c r="H793" s="100"/>
      <c r="I793" s="100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>
      <c r="A794" s="100"/>
      <c r="B794" s="104"/>
      <c r="C794" s="100"/>
      <c r="D794" s="100"/>
      <c r="E794" s="100"/>
      <c r="F794" s="100"/>
      <c r="G794" s="100"/>
      <c r="H794" s="100"/>
      <c r="I794" s="100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>
      <c r="A795" s="100"/>
      <c r="B795" s="104"/>
      <c r="C795" s="100"/>
      <c r="D795" s="100"/>
      <c r="E795" s="100"/>
      <c r="F795" s="100"/>
      <c r="G795" s="100"/>
      <c r="H795" s="100"/>
      <c r="I795" s="100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>
      <c r="A796" s="100"/>
      <c r="B796" s="104"/>
      <c r="C796" s="100"/>
      <c r="D796" s="100"/>
      <c r="E796" s="100"/>
      <c r="F796" s="100"/>
      <c r="G796" s="100"/>
      <c r="H796" s="100"/>
      <c r="I796" s="100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>
      <c r="A797" s="100"/>
      <c r="B797" s="104"/>
      <c r="C797" s="100"/>
      <c r="D797" s="100"/>
      <c r="E797" s="100"/>
      <c r="F797" s="100"/>
      <c r="G797" s="100"/>
      <c r="H797" s="100"/>
      <c r="I797" s="100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>
      <c r="A798" s="100"/>
      <c r="B798" s="104"/>
      <c r="C798" s="100"/>
      <c r="D798" s="100"/>
      <c r="E798" s="100"/>
      <c r="F798" s="100"/>
      <c r="G798" s="100"/>
      <c r="H798" s="100"/>
      <c r="I798" s="100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>
      <c r="A799" s="100"/>
      <c r="B799" s="104"/>
      <c r="C799" s="100"/>
      <c r="D799" s="100"/>
      <c r="E799" s="100"/>
      <c r="F799" s="100"/>
      <c r="G799" s="100"/>
      <c r="H799" s="100"/>
      <c r="I799" s="100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>
      <c r="A800" s="100"/>
      <c r="B800" s="104"/>
      <c r="C800" s="100"/>
      <c r="D800" s="100"/>
      <c r="E800" s="100"/>
      <c r="F800" s="100"/>
      <c r="G800" s="100"/>
      <c r="H800" s="100"/>
      <c r="I800" s="100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>
      <c r="A801" s="100"/>
      <c r="B801" s="104"/>
      <c r="C801" s="100"/>
      <c r="D801" s="100"/>
      <c r="E801" s="100"/>
      <c r="F801" s="100"/>
      <c r="G801" s="100"/>
      <c r="H801" s="100"/>
      <c r="I801" s="100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>
      <c r="A802" s="100"/>
      <c r="B802" s="104"/>
      <c r="C802" s="100"/>
      <c r="D802" s="100"/>
      <c r="E802" s="100"/>
      <c r="F802" s="100"/>
      <c r="G802" s="100"/>
      <c r="H802" s="100"/>
      <c r="I802" s="100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>
      <c r="A803" s="100"/>
      <c r="B803" s="104"/>
      <c r="C803" s="100"/>
      <c r="D803" s="100"/>
      <c r="E803" s="100"/>
      <c r="F803" s="100"/>
      <c r="G803" s="100"/>
      <c r="H803" s="100"/>
      <c r="I803" s="100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>
      <c r="A804" s="100"/>
      <c r="B804" s="104"/>
      <c r="C804" s="100"/>
      <c r="D804" s="100"/>
      <c r="E804" s="100"/>
      <c r="F804" s="100"/>
      <c r="G804" s="100"/>
      <c r="H804" s="100"/>
      <c r="I804" s="100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>
      <c r="A805" s="100"/>
      <c r="B805" s="104"/>
      <c r="C805" s="100"/>
      <c r="D805" s="100"/>
      <c r="E805" s="100"/>
      <c r="F805" s="100"/>
      <c r="G805" s="100"/>
      <c r="H805" s="100"/>
      <c r="I805" s="100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>
      <c r="A806" s="100"/>
      <c r="B806" s="104"/>
      <c r="C806" s="100"/>
      <c r="D806" s="100"/>
      <c r="E806" s="100"/>
      <c r="F806" s="100"/>
      <c r="G806" s="100"/>
      <c r="H806" s="100"/>
      <c r="I806" s="100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>
      <c r="A807" s="100"/>
      <c r="B807" s="104"/>
      <c r="C807" s="100"/>
      <c r="D807" s="100"/>
      <c r="E807" s="100"/>
      <c r="F807" s="100"/>
      <c r="G807" s="100"/>
      <c r="H807" s="100"/>
      <c r="I807" s="100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>
      <c r="A808" s="100"/>
      <c r="B808" s="104"/>
      <c r="C808" s="100"/>
      <c r="D808" s="100"/>
      <c r="E808" s="100"/>
      <c r="F808" s="100"/>
      <c r="G808" s="100"/>
      <c r="H808" s="100"/>
      <c r="I808" s="100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>
      <c r="A809" s="100"/>
      <c r="B809" s="104"/>
      <c r="C809" s="100"/>
      <c r="D809" s="100"/>
      <c r="E809" s="100"/>
      <c r="F809" s="100"/>
      <c r="G809" s="100"/>
      <c r="H809" s="100"/>
      <c r="I809" s="100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>
      <c r="A810" s="100"/>
      <c r="B810" s="104"/>
      <c r="C810" s="100"/>
      <c r="D810" s="100"/>
      <c r="E810" s="100"/>
      <c r="F810" s="100"/>
      <c r="G810" s="100"/>
      <c r="H810" s="100"/>
      <c r="I810" s="100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>
      <c r="A811" s="100"/>
      <c r="B811" s="104"/>
      <c r="C811" s="100"/>
      <c r="D811" s="100"/>
      <c r="E811" s="100"/>
      <c r="F811" s="100"/>
      <c r="G811" s="100"/>
      <c r="H811" s="100"/>
      <c r="I811" s="100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>
      <c r="A812" s="100"/>
      <c r="B812" s="104"/>
      <c r="C812" s="100"/>
      <c r="D812" s="100"/>
      <c r="E812" s="100"/>
      <c r="F812" s="100"/>
      <c r="G812" s="100"/>
      <c r="H812" s="100"/>
      <c r="I812" s="100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>
      <c r="A813" s="100"/>
      <c r="B813" s="104"/>
      <c r="C813" s="100"/>
      <c r="D813" s="100"/>
      <c r="E813" s="100"/>
      <c r="F813" s="100"/>
      <c r="G813" s="100"/>
      <c r="H813" s="100"/>
      <c r="I813" s="100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>
      <c r="A814" s="100"/>
      <c r="B814" s="104"/>
      <c r="C814" s="100"/>
      <c r="D814" s="100"/>
      <c r="E814" s="100"/>
      <c r="F814" s="100"/>
      <c r="G814" s="100"/>
      <c r="H814" s="100"/>
      <c r="I814" s="100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>
      <c r="A815" s="100"/>
      <c r="B815" s="104"/>
      <c r="C815" s="100"/>
      <c r="D815" s="100"/>
      <c r="E815" s="100"/>
      <c r="F815" s="100"/>
      <c r="G815" s="100"/>
      <c r="H815" s="100"/>
      <c r="I815" s="100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>
      <c r="A816" s="100"/>
      <c r="B816" s="104"/>
      <c r="C816" s="100"/>
      <c r="D816" s="100"/>
      <c r="E816" s="100"/>
      <c r="F816" s="100"/>
      <c r="G816" s="100"/>
      <c r="H816" s="100"/>
      <c r="I816" s="100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>
      <c r="A817" s="100"/>
      <c r="B817" s="104"/>
      <c r="C817" s="100"/>
      <c r="D817" s="100"/>
      <c r="E817" s="100"/>
      <c r="F817" s="100"/>
      <c r="G817" s="100"/>
      <c r="H817" s="100"/>
      <c r="I817" s="100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>
      <c r="A818" s="100"/>
      <c r="B818" s="104"/>
      <c r="C818" s="100"/>
      <c r="D818" s="100"/>
      <c r="E818" s="100"/>
      <c r="F818" s="100"/>
      <c r="G818" s="100"/>
      <c r="H818" s="100"/>
      <c r="I818" s="100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>
      <c r="A819" s="100"/>
      <c r="B819" s="104"/>
      <c r="C819" s="100"/>
      <c r="D819" s="100"/>
      <c r="E819" s="100"/>
      <c r="F819" s="100"/>
      <c r="G819" s="100"/>
      <c r="H819" s="100"/>
      <c r="I819" s="100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>
      <c r="A820" s="100"/>
      <c r="B820" s="104"/>
      <c r="C820" s="100"/>
      <c r="D820" s="100"/>
      <c r="E820" s="100"/>
      <c r="F820" s="100"/>
      <c r="G820" s="100"/>
      <c r="H820" s="100"/>
      <c r="I820" s="100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>
      <c r="A821" s="100"/>
      <c r="B821" s="104"/>
      <c r="C821" s="100"/>
      <c r="D821" s="100"/>
      <c r="E821" s="100"/>
      <c r="F821" s="100"/>
      <c r="G821" s="100"/>
      <c r="H821" s="100"/>
      <c r="I821" s="100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>
      <c r="A822" s="100"/>
      <c r="B822" s="104"/>
      <c r="C822" s="100"/>
      <c r="D822" s="100"/>
      <c r="E822" s="100"/>
      <c r="F822" s="100"/>
      <c r="G822" s="100"/>
      <c r="H822" s="100"/>
      <c r="I822" s="100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>
      <c r="A823" s="100"/>
      <c r="B823" s="104"/>
      <c r="C823" s="100"/>
      <c r="D823" s="100"/>
      <c r="E823" s="100"/>
      <c r="F823" s="100"/>
      <c r="G823" s="100"/>
      <c r="H823" s="100"/>
      <c r="I823" s="100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>
      <c r="A824" s="100"/>
      <c r="B824" s="104"/>
      <c r="C824" s="100"/>
      <c r="D824" s="100"/>
      <c r="E824" s="100"/>
      <c r="F824" s="100"/>
      <c r="G824" s="100"/>
      <c r="H824" s="100"/>
      <c r="I824" s="100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>
      <c r="A825" s="100"/>
      <c r="B825" s="104"/>
      <c r="C825" s="100"/>
      <c r="D825" s="100"/>
      <c r="E825" s="100"/>
      <c r="F825" s="100"/>
      <c r="G825" s="100"/>
      <c r="H825" s="100"/>
      <c r="I825" s="100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>
      <c r="A826" s="100"/>
      <c r="B826" s="104"/>
      <c r="C826" s="100"/>
      <c r="D826" s="100"/>
      <c r="E826" s="100"/>
      <c r="F826" s="100"/>
      <c r="G826" s="100"/>
      <c r="H826" s="100"/>
      <c r="I826" s="100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>
      <c r="A827" s="100"/>
      <c r="B827" s="104"/>
      <c r="C827" s="100"/>
      <c r="D827" s="100"/>
      <c r="E827" s="100"/>
      <c r="F827" s="100"/>
      <c r="G827" s="100"/>
      <c r="H827" s="100"/>
      <c r="I827" s="100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>
      <c r="A828" s="100"/>
      <c r="B828" s="104"/>
      <c r="C828" s="100"/>
      <c r="D828" s="100"/>
      <c r="E828" s="100"/>
      <c r="F828" s="100"/>
      <c r="G828" s="100"/>
      <c r="H828" s="100"/>
      <c r="I828" s="100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>
      <c r="A829" s="100"/>
      <c r="B829" s="104"/>
      <c r="C829" s="100"/>
      <c r="D829" s="100"/>
      <c r="E829" s="100"/>
      <c r="F829" s="100"/>
      <c r="G829" s="100"/>
      <c r="H829" s="100"/>
      <c r="I829" s="100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>
      <c r="A830" s="100"/>
      <c r="B830" s="104"/>
      <c r="C830" s="100"/>
      <c r="D830" s="100"/>
      <c r="E830" s="100"/>
      <c r="F830" s="100"/>
      <c r="G830" s="100"/>
      <c r="H830" s="100"/>
      <c r="I830" s="100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>
      <c r="A831" s="100"/>
      <c r="B831" s="104"/>
      <c r="C831" s="100"/>
      <c r="D831" s="100"/>
      <c r="E831" s="100"/>
      <c r="F831" s="100"/>
      <c r="G831" s="100"/>
      <c r="H831" s="100"/>
      <c r="I831" s="100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>
      <c r="A832" s="100"/>
      <c r="B832" s="104"/>
      <c r="C832" s="100"/>
      <c r="D832" s="100"/>
      <c r="E832" s="100"/>
      <c r="F832" s="100"/>
      <c r="G832" s="100"/>
      <c r="H832" s="100"/>
      <c r="I832" s="100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>
      <c r="A833" s="100"/>
      <c r="B833" s="104"/>
      <c r="C833" s="100"/>
      <c r="D833" s="100"/>
      <c r="E833" s="100"/>
      <c r="F833" s="100"/>
      <c r="G833" s="100"/>
      <c r="H833" s="100"/>
      <c r="I833" s="100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>
      <c r="A834" s="100"/>
      <c r="B834" s="104"/>
      <c r="C834" s="100"/>
      <c r="D834" s="100"/>
      <c r="E834" s="100"/>
      <c r="F834" s="100"/>
      <c r="G834" s="100"/>
      <c r="H834" s="100"/>
      <c r="I834" s="100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>
      <c r="A835" s="100"/>
      <c r="B835" s="104"/>
      <c r="C835" s="100"/>
      <c r="D835" s="100"/>
      <c r="E835" s="100"/>
      <c r="F835" s="100"/>
      <c r="G835" s="100"/>
      <c r="H835" s="100"/>
      <c r="I835" s="100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>
      <c r="A836" s="100"/>
      <c r="B836" s="104"/>
      <c r="C836" s="100"/>
      <c r="D836" s="100"/>
      <c r="E836" s="100"/>
      <c r="F836" s="100"/>
      <c r="G836" s="100"/>
      <c r="H836" s="100"/>
      <c r="I836" s="100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>
      <c r="A837" s="100"/>
      <c r="B837" s="104"/>
      <c r="C837" s="100"/>
      <c r="D837" s="100"/>
      <c r="E837" s="100"/>
      <c r="F837" s="100"/>
      <c r="G837" s="100"/>
      <c r="H837" s="100"/>
      <c r="I837" s="100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>
      <c r="A838" s="100"/>
      <c r="B838" s="104"/>
      <c r="C838" s="100"/>
      <c r="D838" s="100"/>
      <c r="E838" s="100"/>
      <c r="F838" s="100"/>
      <c r="G838" s="100"/>
      <c r="H838" s="100"/>
      <c r="I838" s="100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>
      <c r="A839" s="100"/>
      <c r="B839" s="104"/>
      <c r="C839" s="100"/>
      <c r="D839" s="100"/>
      <c r="E839" s="100"/>
      <c r="F839" s="100"/>
      <c r="G839" s="100"/>
      <c r="H839" s="100"/>
      <c r="I839" s="100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>
      <c r="A840" s="100"/>
      <c r="B840" s="104"/>
      <c r="C840" s="100"/>
      <c r="D840" s="100"/>
      <c r="E840" s="100"/>
      <c r="F840" s="100"/>
      <c r="G840" s="100"/>
      <c r="H840" s="100"/>
      <c r="I840" s="100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>
      <c r="A841" s="100"/>
      <c r="B841" s="104"/>
      <c r="C841" s="100"/>
      <c r="D841" s="100"/>
      <c r="E841" s="100"/>
      <c r="F841" s="100"/>
      <c r="G841" s="100"/>
      <c r="H841" s="100"/>
      <c r="I841" s="100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>
      <c r="A842" s="100"/>
      <c r="B842" s="104"/>
      <c r="C842" s="100"/>
      <c r="D842" s="100"/>
      <c r="E842" s="100"/>
      <c r="F842" s="100"/>
      <c r="G842" s="100"/>
      <c r="H842" s="100"/>
      <c r="I842" s="100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>
      <c r="A843" s="100"/>
      <c r="B843" s="104"/>
      <c r="C843" s="100"/>
      <c r="D843" s="100"/>
      <c r="E843" s="100"/>
      <c r="F843" s="100"/>
      <c r="G843" s="100"/>
      <c r="H843" s="100"/>
      <c r="I843" s="100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>
      <c r="A844" s="100"/>
      <c r="B844" s="104"/>
      <c r="C844" s="100"/>
      <c r="D844" s="100"/>
      <c r="E844" s="100"/>
      <c r="F844" s="100"/>
      <c r="G844" s="100"/>
      <c r="H844" s="100"/>
      <c r="I844" s="100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>
      <c r="A845" s="100"/>
      <c r="B845" s="104"/>
      <c r="C845" s="100"/>
      <c r="D845" s="100"/>
      <c r="E845" s="100"/>
      <c r="F845" s="100"/>
      <c r="G845" s="100"/>
      <c r="H845" s="100"/>
      <c r="I845" s="100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>
      <c r="A846" s="100"/>
      <c r="B846" s="104"/>
      <c r="C846" s="100"/>
      <c r="D846" s="100"/>
      <c r="E846" s="100"/>
      <c r="F846" s="100"/>
      <c r="G846" s="100"/>
      <c r="H846" s="100"/>
      <c r="I846" s="100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>
      <c r="A847" s="100"/>
      <c r="B847" s="104"/>
      <c r="C847" s="100"/>
      <c r="D847" s="100"/>
      <c r="E847" s="100"/>
      <c r="F847" s="100"/>
      <c r="G847" s="100"/>
      <c r="H847" s="100"/>
      <c r="I847" s="100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>
      <c r="A848" s="100"/>
      <c r="B848" s="104"/>
      <c r="C848" s="100"/>
      <c r="D848" s="100"/>
      <c r="E848" s="100"/>
      <c r="F848" s="100"/>
      <c r="G848" s="100"/>
      <c r="H848" s="100"/>
      <c r="I848" s="100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>
      <c r="A849" s="100"/>
      <c r="B849" s="104"/>
      <c r="C849" s="100"/>
      <c r="D849" s="100"/>
      <c r="E849" s="100"/>
      <c r="F849" s="100"/>
      <c r="G849" s="100"/>
      <c r="H849" s="100"/>
      <c r="I849" s="100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>
      <c r="A850" s="100"/>
      <c r="B850" s="104"/>
      <c r="C850" s="100"/>
      <c r="D850" s="100"/>
      <c r="E850" s="100"/>
      <c r="F850" s="100"/>
      <c r="G850" s="100"/>
      <c r="H850" s="100"/>
      <c r="I850" s="100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>
      <c r="A851" s="100"/>
      <c r="B851" s="104"/>
      <c r="C851" s="100"/>
      <c r="D851" s="100"/>
      <c r="E851" s="100"/>
      <c r="F851" s="100"/>
      <c r="G851" s="100"/>
      <c r="H851" s="100"/>
      <c r="I851" s="100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>
      <c r="A852" s="100"/>
      <c r="B852" s="104"/>
      <c r="C852" s="100"/>
      <c r="D852" s="100"/>
      <c r="E852" s="100"/>
      <c r="F852" s="100"/>
      <c r="G852" s="100"/>
      <c r="H852" s="100"/>
      <c r="I852" s="100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>
      <c r="A853" s="100"/>
      <c r="B853" s="104"/>
      <c r="C853" s="100"/>
      <c r="D853" s="100"/>
      <c r="E853" s="100"/>
      <c r="F853" s="100"/>
      <c r="G853" s="100"/>
      <c r="H853" s="100"/>
      <c r="I853" s="100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>
      <c r="A854" s="100"/>
      <c r="B854" s="104"/>
      <c r="C854" s="100"/>
      <c r="D854" s="100"/>
      <c r="E854" s="100"/>
      <c r="F854" s="100"/>
      <c r="G854" s="100"/>
      <c r="H854" s="100"/>
      <c r="I854" s="100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>
      <c r="A855" s="100"/>
      <c r="B855" s="104"/>
      <c r="C855" s="100"/>
      <c r="D855" s="100"/>
      <c r="E855" s="100"/>
      <c r="F855" s="100"/>
      <c r="G855" s="100"/>
      <c r="H855" s="100"/>
      <c r="I855" s="100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>
      <c r="A856" s="100"/>
      <c r="B856" s="104"/>
      <c r="C856" s="100"/>
      <c r="D856" s="100"/>
      <c r="E856" s="100"/>
      <c r="F856" s="100"/>
      <c r="G856" s="100"/>
      <c r="H856" s="100"/>
      <c r="I856" s="100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>
      <c r="A857" s="100"/>
      <c r="B857" s="104"/>
      <c r="C857" s="100"/>
      <c r="D857" s="100"/>
      <c r="E857" s="100"/>
      <c r="F857" s="100"/>
      <c r="G857" s="100"/>
      <c r="H857" s="100"/>
      <c r="I857" s="100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>
      <c r="A858" s="100"/>
      <c r="B858" s="104"/>
      <c r="C858" s="100"/>
      <c r="D858" s="100"/>
      <c r="E858" s="100"/>
      <c r="F858" s="100"/>
      <c r="G858" s="100"/>
      <c r="H858" s="100"/>
      <c r="I858" s="100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>
      <c r="A859" s="100"/>
      <c r="B859" s="104"/>
      <c r="C859" s="100"/>
      <c r="D859" s="100"/>
      <c r="E859" s="100"/>
      <c r="F859" s="100"/>
      <c r="G859" s="100"/>
      <c r="H859" s="100"/>
      <c r="I859" s="100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>
      <c r="A860" s="100"/>
      <c r="B860" s="104"/>
      <c r="C860" s="100"/>
      <c r="D860" s="100"/>
      <c r="E860" s="100"/>
      <c r="F860" s="100"/>
      <c r="G860" s="100"/>
      <c r="H860" s="100"/>
      <c r="I860" s="100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>
      <c r="A861" s="100"/>
      <c r="B861" s="104"/>
      <c r="C861" s="100"/>
      <c r="D861" s="100"/>
      <c r="E861" s="100"/>
      <c r="F861" s="100"/>
      <c r="G861" s="100"/>
      <c r="H861" s="100"/>
      <c r="I861" s="100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>
      <c r="A862" s="100"/>
      <c r="B862" s="104"/>
      <c r="C862" s="100"/>
      <c r="D862" s="100"/>
      <c r="E862" s="100"/>
      <c r="F862" s="100"/>
      <c r="G862" s="100"/>
      <c r="H862" s="100"/>
      <c r="I862" s="100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>
      <c r="A863" s="100"/>
      <c r="B863" s="104"/>
      <c r="C863" s="100"/>
      <c r="D863" s="100"/>
      <c r="E863" s="100"/>
      <c r="F863" s="100"/>
      <c r="G863" s="100"/>
      <c r="H863" s="100"/>
      <c r="I863" s="100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>
      <c r="A864" s="100"/>
      <c r="B864" s="104"/>
      <c r="C864" s="100"/>
      <c r="D864" s="100"/>
      <c r="E864" s="100"/>
      <c r="F864" s="100"/>
      <c r="G864" s="100"/>
      <c r="H864" s="100"/>
      <c r="I864" s="100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>
      <c r="A865" s="100"/>
      <c r="B865" s="104"/>
      <c r="C865" s="100"/>
      <c r="D865" s="100"/>
      <c r="E865" s="100"/>
      <c r="F865" s="100"/>
      <c r="G865" s="100"/>
      <c r="H865" s="100"/>
      <c r="I865" s="100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>
      <c r="A866" s="100"/>
      <c r="B866" s="104"/>
      <c r="C866" s="100"/>
      <c r="D866" s="100"/>
      <c r="E866" s="100"/>
      <c r="F866" s="100"/>
      <c r="G866" s="100"/>
      <c r="H866" s="100"/>
      <c r="I866" s="100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>
      <c r="A867" s="100"/>
      <c r="B867" s="104"/>
      <c r="C867" s="100"/>
      <c r="D867" s="100"/>
      <c r="E867" s="100"/>
      <c r="F867" s="100"/>
      <c r="G867" s="100"/>
      <c r="H867" s="100"/>
      <c r="I867" s="100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>
      <c r="A868" s="100"/>
      <c r="B868" s="104"/>
      <c r="C868" s="100"/>
      <c r="D868" s="100"/>
      <c r="E868" s="100"/>
      <c r="F868" s="100"/>
      <c r="G868" s="100"/>
      <c r="H868" s="100"/>
      <c r="I868" s="100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>
      <c r="A869" s="100"/>
      <c r="B869" s="104"/>
      <c r="C869" s="100"/>
      <c r="D869" s="100"/>
      <c r="E869" s="100"/>
      <c r="F869" s="100"/>
      <c r="G869" s="100"/>
      <c r="H869" s="100"/>
      <c r="I869" s="100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>
      <c r="A870" s="100"/>
      <c r="B870" s="104"/>
      <c r="C870" s="100"/>
      <c r="D870" s="100"/>
      <c r="E870" s="100"/>
      <c r="F870" s="100"/>
      <c r="G870" s="100"/>
      <c r="H870" s="100"/>
      <c r="I870" s="100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>
      <c r="A871" s="100"/>
      <c r="B871" s="104"/>
      <c r="C871" s="100"/>
      <c r="D871" s="100"/>
      <c r="E871" s="100"/>
      <c r="F871" s="100"/>
      <c r="G871" s="100"/>
      <c r="H871" s="100"/>
      <c r="I871" s="100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>
      <c r="A872" s="100"/>
      <c r="B872" s="104"/>
      <c r="C872" s="100"/>
      <c r="D872" s="100"/>
      <c r="E872" s="100"/>
      <c r="F872" s="100"/>
      <c r="G872" s="100"/>
      <c r="H872" s="100"/>
      <c r="I872" s="100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>
      <c r="A873" s="100"/>
      <c r="B873" s="104"/>
      <c r="C873" s="100"/>
      <c r="D873" s="100"/>
      <c r="E873" s="100"/>
      <c r="F873" s="100"/>
      <c r="G873" s="100"/>
      <c r="H873" s="100"/>
      <c r="I873" s="100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>
      <c r="A874" s="100"/>
      <c r="B874" s="104"/>
      <c r="C874" s="100"/>
      <c r="D874" s="100"/>
      <c r="E874" s="100"/>
      <c r="F874" s="100"/>
      <c r="G874" s="100"/>
      <c r="H874" s="100"/>
      <c r="I874" s="100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>
      <c r="A875" s="100"/>
      <c r="B875" s="104"/>
      <c r="C875" s="100"/>
      <c r="D875" s="100"/>
      <c r="E875" s="100"/>
      <c r="F875" s="100"/>
      <c r="G875" s="100"/>
      <c r="H875" s="100"/>
      <c r="I875" s="100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>
      <c r="A876" s="100"/>
      <c r="B876" s="104"/>
      <c r="C876" s="100"/>
      <c r="D876" s="100"/>
      <c r="E876" s="100"/>
      <c r="F876" s="100"/>
      <c r="G876" s="100"/>
      <c r="H876" s="100"/>
      <c r="I876" s="100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>
      <c r="A877" s="100"/>
      <c r="B877" s="104"/>
      <c r="C877" s="100"/>
      <c r="D877" s="100"/>
      <c r="E877" s="100"/>
      <c r="F877" s="100"/>
      <c r="G877" s="100"/>
      <c r="H877" s="100"/>
      <c r="I877" s="100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>
      <c r="A878" s="100"/>
      <c r="B878" s="104"/>
      <c r="C878" s="100"/>
      <c r="D878" s="100"/>
      <c r="E878" s="100"/>
      <c r="F878" s="100"/>
      <c r="G878" s="100"/>
      <c r="H878" s="100"/>
      <c r="I878" s="100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>
      <c r="A879" s="100"/>
      <c r="B879" s="104"/>
      <c r="C879" s="100"/>
      <c r="D879" s="100"/>
      <c r="E879" s="100"/>
      <c r="F879" s="100"/>
      <c r="G879" s="100"/>
      <c r="H879" s="100"/>
      <c r="I879" s="100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>
      <c r="A880" s="100"/>
      <c r="B880" s="104"/>
      <c r="C880" s="100"/>
      <c r="D880" s="100"/>
      <c r="E880" s="100"/>
      <c r="F880" s="100"/>
      <c r="G880" s="100"/>
      <c r="H880" s="100"/>
      <c r="I880" s="100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>
      <c r="A881" s="100"/>
      <c r="B881" s="104"/>
      <c r="C881" s="100"/>
      <c r="D881" s="100"/>
      <c r="E881" s="100"/>
      <c r="F881" s="100"/>
      <c r="G881" s="100"/>
      <c r="H881" s="100"/>
      <c r="I881" s="100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>
      <c r="A882" s="100"/>
      <c r="B882" s="104"/>
      <c r="C882" s="100"/>
      <c r="D882" s="100"/>
      <c r="E882" s="100"/>
      <c r="F882" s="100"/>
      <c r="G882" s="100"/>
      <c r="H882" s="100"/>
      <c r="I882" s="100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>
      <c r="A883" s="100"/>
      <c r="B883" s="104"/>
      <c r="C883" s="100"/>
      <c r="D883" s="100"/>
      <c r="E883" s="100"/>
      <c r="F883" s="100"/>
      <c r="G883" s="100"/>
      <c r="H883" s="100"/>
      <c r="I883" s="100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5.75" customHeight="1">
      <c r="A884" s="100"/>
      <c r="B884" s="104"/>
      <c r="C884" s="100"/>
      <c r="D884" s="100"/>
      <c r="E884" s="100"/>
      <c r="F884" s="100"/>
      <c r="G884" s="100"/>
      <c r="H884" s="100"/>
      <c r="I884" s="100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5.75" customHeight="1">
      <c r="A885" s="100"/>
      <c r="B885" s="104"/>
      <c r="C885" s="100"/>
      <c r="D885" s="100"/>
      <c r="E885" s="100"/>
      <c r="F885" s="100"/>
      <c r="G885" s="100"/>
      <c r="H885" s="100"/>
      <c r="I885" s="100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5.75" customHeight="1">
      <c r="A886" s="100"/>
      <c r="B886" s="104"/>
      <c r="C886" s="100"/>
      <c r="D886" s="100"/>
      <c r="E886" s="100"/>
      <c r="F886" s="100"/>
      <c r="G886" s="100"/>
      <c r="H886" s="100"/>
      <c r="I886" s="100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5.75" customHeight="1">
      <c r="A887" s="100"/>
      <c r="B887" s="104"/>
      <c r="C887" s="100"/>
      <c r="D887" s="100"/>
      <c r="E887" s="100"/>
      <c r="F887" s="100"/>
      <c r="G887" s="100"/>
      <c r="H887" s="100"/>
      <c r="I887" s="100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5.75" customHeight="1">
      <c r="A888" s="100"/>
      <c r="B888" s="104"/>
      <c r="C888" s="100"/>
      <c r="D888" s="100"/>
      <c r="E888" s="100"/>
      <c r="F888" s="100"/>
      <c r="G888" s="100"/>
      <c r="H888" s="100"/>
      <c r="I888" s="100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5.75" customHeight="1">
      <c r="A889" s="100"/>
      <c r="B889" s="104"/>
      <c r="C889" s="100"/>
      <c r="D889" s="100"/>
      <c r="E889" s="100"/>
      <c r="F889" s="100"/>
      <c r="G889" s="100"/>
      <c r="H889" s="100"/>
      <c r="I889" s="100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5.75" customHeight="1">
      <c r="A890" s="100"/>
      <c r="B890" s="104"/>
      <c r="C890" s="100"/>
      <c r="D890" s="100"/>
      <c r="E890" s="100"/>
      <c r="F890" s="100"/>
      <c r="G890" s="100"/>
      <c r="H890" s="100"/>
      <c r="I890" s="100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5.75" customHeight="1">
      <c r="A891" s="100"/>
      <c r="B891" s="104"/>
      <c r="C891" s="100"/>
      <c r="D891" s="100"/>
      <c r="E891" s="100"/>
      <c r="F891" s="100"/>
      <c r="G891" s="100"/>
      <c r="H891" s="100"/>
      <c r="I891" s="100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5.75" customHeight="1">
      <c r="A892" s="100"/>
      <c r="B892" s="104"/>
      <c r="C892" s="100"/>
      <c r="D892" s="100"/>
      <c r="E892" s="100"/>
      <c r="F892" s="100"/>
      <c r="G892" s="100"/>
      <c r="H892" s="100"/>
      <c r="I892" s="100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5.75" customHeight="1">
      <c r="A893" s="100"/>
      <c r="B893" s="104"/>
      <c r="C893" s="100"/>
      <c r="D893" s="100"/>
      <c r="E893" s="100"/>
      <c r="F893" s="100"/>
      <c r="G893" s="100"/>
      <c r="H893" s="100"/>
      <c r="I893" s="100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5.75" customHeight="1">
      <c r="A894" s="100"/>
      <c r="B894" s="104"/>
      <c r="C894" s="100"/>
      <c r="D894" s="100"/>
      <c r="E894" s="100"/>
      <c r="F894" s="100"/>
      <c r="G894" s="100"/>
      <c r="H894" s="100"/>
      <c r="I894" s="100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5.75" customHeight="1">
      <c r="A895" s="100"/>
      <c r="B895" s="104"/>
      <c r="C895" s="100"/>
      <c r="D895" s="100"/>
      <c r="E895" s="100"/>
      <c r="F895" s="100"/>
      <c r="G895" s="100"/>
      <c r="H895" s="100"/>
      <c r="I895" s="100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5.75" customHeight="1">
      <c r="A896" s="100"/>
      <c r="B896" s="104"/>
      <c r="C896" s="100"/>
      <c r="D896" s="100"/>
      <c r="E896" s="100"/>
      <c r="F896" s="100"/>
      <c r="G896" s="100"/>
      <c r="H896" s="100"/>
      <c r="I896" s="100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5.75" customHeight="1">
      <c r="A897" s="100"/>
      <c r="B897" s="104"/>
      <c r="C897" s="100"/>
      <c r="D897" s="100"/>
      <c r="E897" s="100"/>
      <c r="F897" s="100"/>
      <c r="G897" s="100"/>
      <c r="H897" s="100"/>
      <c r="I897" s="100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5.75" customHeight="1">
      <c r="A898" s="100"/>
      <c r="B898" s="104"/>
      <c r="C898" s="100"/>
      <c r="D898" s="100"/>
      <c r="E898" s="100"/>
      <c r="F898" s="100"/>
      <c r="G898" s="100"/>
      <c r="H898" s="100"/>
      <c r="I898" s="100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5.75" customHeight="1">
      <c r="A899" s="100"/>
      <c r="B899" s="104"/>
      <c r="C899" s="100"/>
      <c r="D899" s="100"/>
      <c r="E899" s="100"/>
      <c r="F899" s="100"/>
      <c r="G899" s="100"/>
      <c r="H899" s="100"/>
      <c r="I899" s="100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5.75" customHeight="1">
      <c r="A900" s="100"/>
      <c r="B900" s="104"/>
      <c r="C900" s="100"/>
      <c r="D900" s="100"/>
      <c r="E900" s="100"/>
      <c r="F900" s="100"/>
      <c r="G900" s="100"/>
      <c r="H900" s="100"/>
      <c r="I900" s="100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5.75" customHeight="1">
      <c r="A901" s="100"/>
      <c r="B901" s="104"/>
      <c r="C901" s="100"/>
      <c r="D901" s="100"/>
      <c r="E901" s="100"/>
      <c r="F901" s="100"/>
      <c r="G901" s="100"/>
      <c r="H901" s="100"/>
      <c r="I901" s="100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5.75" customHeight="1">
      <c r="A902" s="100"/>
      <c r="B902" s="104"/>
      <c r="C902" s="100"/>
      <c r="D902" s="100"/>
      <c r="E902" s="100"/>
      <c r="F902" s="100"/>
      <c r="G902" s="100"/>
      <c r="H902" s="100"/>
      <c r="I902" s="100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5.75" customHeight="1">
      <c r="A903" s="100"/>
      <c r="B903" s="104"/>
      <c r="C903" s="100"/>
      <c r="D903" s="100"/>
      <c r="E903" s="100"/>
      <c r="F903" s="100"/>
      <c r="G903" s="100"/>
      <c r="H903" s="100"/>
      <c r="I903" s="100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5.75" customHeight="1">
      <c r="A904" s="100"/>
      <c r="B904" s="104"/>
      <c r="C904" s="100"/>
      <c r="D904" s="100"/>
      <c r="E904" s="100"/>
      <c r="F904" s="100"/>
      <c r="G904" s="100"/>
      <c r="H904" s="100"/>
      <c r="I904" s="100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5.75" customHeight="1">
      <c r="A905" s="100"/>
      <c r="B905" s="104"/>
      <c r="C905" s="100"/>
      <c r="D905" s="100"/>
      <c r="E905" s="100"/>
      <c r="F905" s="100"/>
      <c r="G905" s="100"/>
      <c r="H905" s="100"/>
      <c r="I905" s="100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5.75" customHeight="1">
      <c r="A906" s="100"/>
      <c r="B906" s="104"/>
      <c r="C906" s="100"/>
      <c r="D906" s="100"/>
      <c r="E906" s="100"/>
      <c r="F906" s="100"/>
      <c r="G906" s="100"/>
      <c r="H906" s="100"/>
      <c r="I906" s="100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5.75" customHeight="1">
      <c r="A907" s="100"/>
      <c r="B907" s="104"/>
      <c r="C907" s="100"/>
      <c r="D907" s="100"/>
      <c r="E907" s="100"/>
      <c r="F907" s="100"/>
      <c r="G907" s="100"/>
      <c r="H907" s="100"/>
      <c r="I907" s="100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5.75" customHeight="1">
      <c r="A908" s="100"/>
      <c r="B908" s="104"/>
      <c r="C908" s="100"/>
      <c r="D908" s="100"/>
      <c r="E908" s="100"/>
      <c r="F908" s="100"/>
      <c r="G908" s="100"/>
      <c r="H908" s="100"/>
      <c r="I908" s="100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5.75" customHeight="1">
      <c r="A909" s="100"/>
      <c r="B909" s="104"/>
      <c r="C909" s="100"/>
      <c r="D909" s="100"/>
      <c r="E909" s="100"/>
      <c r="F909" s="100"/>
      <c r="G909" s="100"/>
      <c r="H909" s="100"/>
      <c r="I909" s="100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5.75" customHeight="1">
      <c r="A910" s="100"/>
      <c r="B910" s="104"/>
      <c r="C910" s="100"/>
      <c r="D910" s="100"/>
      <c r="E910" s="100"/>
      <c r="F910" s="100"/>
      <c r="G910" s="100"/>
      <c r="H910" s="100"/>
      <c r="I910" s="100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5.75" customHeight="1">
      <c r="A911" s="100"/>
      <c r="B911" s="104"/>
      <c r="C911" s="100"/>
      <c r="D911" s="100"/>
      <c r="E911" s="100"/>
      <c r="F911" s="100"/>
      <c r="G911" s="100"/>
      <c r="H911" s="100"/>
      <c r="I911" s="100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5.75" customHeight="1">
      <c r="A912" s="100"/>
      <c r="B912" s="104"/>
      <c r="C912" s="100"/>
      <c r="D912" s="100"/>
      <c r="E912" s="100"/>
      <c r="F912" s="100"/>
      <c r="G912" s="100"/>
      <c r="H912" s="100"/>
      <c r="I912" s="100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5.75" customHeight="1">
      <c r="A913" s="100"/>
      <c r="B913" s="104"/>
      <c r="C913" s="100"/>
      <c r="D913" s="100"/>
      <c r="E913" s="100"/>
      <c r="F913" s="100"/>
      <c r="G913" s="100"/>
      <c r="H913" s="100"/>
      <c r="I913" s="100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5.75" customHeight="1">
      <c r="A914" s="100"/>
      <c r="B914" s="104"/>
      <c r="C914" s="100"/>
      <c r="D914" s="100"/>
      <c r="E914" s="100"/>
      <c r="F914" s="100"/>
      <c r="G914" s="100"/>
      <c r="H914" s="100"/>
      <c r="I914" s="100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5.75" customHeight="1">
      <c r="A915" s="100"/>
      <c r="B915" s="104"/>
      <c r="C915" s="100"/>
      <c r="D915" s="100"/>
      <c r="E915" s="100"/>
      <c r="F915" s="100"/>
      <c r="G915" s="100"/>
      <c r="H915" s="100"/>
      <c r="I915" s="100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5.75" customHeight="1">
      <c r="A916" s="100"/>
      <c r="B916" s="104"/>
      <c r="C916" s="100"/>
      <c r="D916" s="100"/>
      <c r="E916" s="100"/>
      <c r="F916" s="100"/>
      <c r="G916" s="100"/>
      <c r="H916" s="100"/>
      <c r="I916" s="100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5.75" customHeight="1">
      <c r="A917" s="100"/>
      <c r="B917" s="104"/>
      <c r="C917" s="100"/>
      <c r="D917" s="100"/>
      <c r="E917" s="100"/>
      <c r="F917" s="100"/>
      <c r="G917" s="100"/>
      <c r="H917" s="100"/>
      <c r="I917" s="100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5.75" customHeight="1">
      <c r="A918" s="100"/>
      <c r="B918" s="104"/>
      <c r="C918" s="100"/>
      <c r="D918" s="100"/>
      <c r="E918" s="100"/>
      <c r="F918" s="100"/>
      <c r="G918" s="100"/>
      <c r="H918" s="100"/>
      <c r="I918" s="100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5.75" customHeight="1">
      <c r="A919" s="100"/>
      <c r="B919" s="104"/>
      <c r="C919" s="100"/>
      <c r="D919" s="100"/>
      <c r="E919" s="100"/>
      <c r="F919" s="100"/>
      <c r="G919" s="100"/>
      <c r="H919" s="100"/>
      <c r="I919" s="100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5.75" customHeight="1">
      <c r="A920" s="100"/>
      <c r="B920" s="104"/>
      <c r="C920" s="100"/>
      <c r="D920" s="100"/>
      <c r="E920" s="100"/>
      <c r="F920" s="100"/>
      <c r="G920" s="100"/>
      <c r="H920" s="100"/>
      <c r="I920" s="100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5.75" customHeight="1">
      <c r="A921" s="100"/>
      <c r="B921" s="104"/>
      <c r="C921" s="100"/>
      <c r="D921" s="100"/>
      <c r="E921" s="100"/>
      <c r="F921" s="100"/>
      <c r="G921" s="100"/>
      <c r="H921" s="100"/>
      <c r="I921" s="100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5.75" customHeight="1">
      <c r="A922" s="100"/>
      <c r="B922" s="104"/>
      <c r="C922" s="100"/>
      <c r="D922" s="100"/>
      <c r="E922" s="100"/>
      <c r="F922" s="100"/>
      <c r="G922" s="100"/>
      <c r="H922" s="100"/>
      <c r="I922" s="100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5.75" customHeight="1">
      <c r="A923" s="100"/>
      <c r="B923" s="104"/>
      <c r="C923" s="100"/>
      <c r="D923" s="100"/>
      <c r="E923" s="100"/>
      <c r="F923" s="100"/>
      <c r="G923" s="100"/>
      <c r="H923" s="100"/>
      <c r="I923" s="100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5.75" customHeight="1">
      <c r="A924" s="100"/>
      <c r="B924" s="104"/>
      <c r="C924" s="100"/>
      <c r="D924" s="100"/>
      <c r="E924" s="100"/>
      <c r="F924" s="100"/>
      <c r="G924" s="100"/>
      <c r="H924" s="100"/>
      <c r="I924" s="100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5.75" customHeight="1">
      <c r="A925" s="100"/>
      <c r="B925" s="104"/>
      <c r="C925" s="100"/>
      <c r="D925" s="100"/>
      <c r="E925" s="100"/>
      <c r="F925" s="100"/>
      <c r="G925" s="100"/>
      <c r="H925" s="100"/>
      <c r="I925" s="100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5.75" customHeight="1">
      <c r="A926" s="100"/>
      <c r="B926" s="104"/>
      <c r="C926" s="100"/>
      <c r="D926" s="100"/>
      <c r="E926" s="100"/>
      <c r="F926" s="100"/>
      <c r="G926" s="100"/>
      <c r="H926" s="100"/>
      <c r="I926" s="100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5.75" customHeight="1">
      <c r="A927" s="100"/>
      <c r="B927" s="104"/>
      <c r="C927" s="100"/>
      <c r="D927" s="100"/>
      <c r="E927" s="100"/>
      <c r="F927" s="100"/>
      <c r="G927" s="100"/>
      <c r="H927" s="100"/>
      <c r="I927" s="100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5.75" customHeight="1">
      <c r="A928" s="100"/>
      <c r="B928" s="104"/>
      <c r="C928" s="100"/>
      <c r="D928" s="100"/>
      <c r="E928" s="100"/>
      <c r="F928" s="100"/>
      <c r="G928" s="100"/>
      <c r="H928" s="100"/>
      <c r="I928" s="100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5.75" customHeight="1">
      <c r="A929" s="100"/>
      <c r="B929" s="104"/>
      <c r="C929" s="100"/>
      <c r="D929" s="100"/>
      <c r="E929" s="100"/>
      <c r="F929" s="100"/>
      <c r="G929" s="100"/>
      <c r="H929" s="100"/>
      <c r="I929" s="100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5.75" customHeight="1">
      <c r="A930" s="100"/>
      <c r="B930" s="104"/>
      <c r="C930" s="100"/>
      <c r="D930" s="100"/>
      <c r="E930" s="100"/>
      <c r="F930" s="100"/>
      <c r="G930" s="100"/>
      <c r="H930" s="100"/>
      <c r="I930" s="100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5.75" customHeight="1">
      <c r="A931" s="100"/>
      <c r="B931" s="104"/>
      <c r="C931" s="100"/>
      <c r="D931" s="100"/>
      <c r="E931" s="100"/>
      <c r="F931" s="100"/>
      <c r="G931" s="100"/>
      <c r="H931" s="100"/>
      <c r="I931" s="100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5.75" customHeight="1">
      <c r="A932" s="100"/>
      <c r="B932" s="104"/>
      <c r="C932" s="100"/>
      <c r="D932" s="100"/>
      <c r="E932" s="100"/>
      <c r="F932" s="100"/>
      <c r="G932" s="100"/>
      <c r="H932" s="100"/>
      <c r="I932" s="100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5.75" customHeight="1">
      <c r="A933" s="100"/>
      <c r="B933" s="104"/>
      <c r="C933" s="100"/>
      <c r="D933" s="100"/>
      <c r="E933" s="100"/>
      <c r="F933" s="100"/>
      <c r="G933" s="100"/>
      <c r="H933" s="100"/>
      <c r="I933" s="100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5.75" customHeight="1">
      <c r="A934" s="100"/>
      <c r="B934" s="104"/>
      <c r="C934" s="100"/>
      <c r="D934" s="100"/>
      <c r="E934" s="100"/>
      <c r="F934" s="100"/>
      <c r="G934" s="100"/>
      <c r="H934" s="100"/>
      <c r="I934" s="100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5.75" customHeight="1">
      <c r="A935" s="100"/>
      <c r="B935" s="104"/>
      <c r="C935" s="100"/>
      <c r="D935" s="100"/>
      <c r="E935" s="100"/>
      <c r="F935" s="100"/>
      <c r="G935" s="100"/>
      <c r="H935" s="100"/>
      <c r="I935" s="100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5.75" customHeight="1">
      <c r="A936" s="100"/>
      <c r="B936" s="104"/>
      <c r="C936" s="100"/>
      <c r="D936" s="100"/>
      <c r="E936" s="100"/>
      <c r="F936" s="100"/>
      <c r="G936" s="100"/>
      <c r="H936" s="100"/>
      <c r="I936" s="100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5.75" customHeight="1">
      <c r="A937" s="100"/>
      <c r="B937" s="104"/>
      <c r="C937" s="100"/>
      <c r="D937" s="100"/>
      <c r="E937" s="100"/>
      <c r="F937" s="100"/>
      <c r="G937" s="100"/>
      <c r="H937" s="100"/>
      <c r="I937" s="100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5.75" customHeight="1">
      <c r="A938" s="100"/>
      <c r="B938" s="104"/>
      <c r="C938" s="100"/>
      <c r="D938" s="100"/>
      <c r="E938" s="100"/>
      <c r="F938" s="100"/>
      <c r="G938" s="100"/>
      <c r="H938" s="100"/>
      <c r="I938" s="100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5.75" customHeight="1">
      <c r="A939" s="100"/>
      <c r="B939" s="104"/>
      <c r="C939" s="100"/>
      <c r="D939" s="100"/>
      <c r="E939" s="100"/>
      <c r="F939" s="100"/>
      <c r="G939" s="100"/>
      <c r="H939" s="100"/>
      <c r="I939" s="100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5.75" customHeight="1">
      <c r="A940" s="100"/>
      <c r="B940" s="104"/>
      <c r="C940" s="100"/>
      <c r="D940" s="100"/>
      <c r="E940" s="100"/>
      <c r="F940" s="100"/>
      <c r="G940" s="100"/>
      <c r="H940" s="100"/>
      <c r="I940" s="100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5.75" customHeight="1">
      <c r="A941" s="100"/>
      <c r="B941" s="104"/>
      <c r="C941" s="100"/>
      <c r="D941" s="100"/>
      <c r="E941" s="100"/>
      <c r="F941" s="100"/>
      <c r="G941" s="100"/>
      <c r="H941" s="100"/>
      <c r="I941" s="100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5.75" customHeight="1">
      <c r="A942" s="100"/>
      <c r="B942" s="104"/>
      <c r="C942" s="100"/>
      <c r="D942" s="100"/>
      <c r="E942" s="100"/>
      <c r="F942" s="100"/>
      <c r="G942" s="100"/>
      <c r="H942" s="100"/>
      <c r="I942" s="100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5.75" customHeight="1">
      <c r="A943" s="100"/>
      <c r="B943" s="104"/>
      <c r="C943" s="100"/>
      <c r="D943" s="100"/>
      <c r="E943" s="100"/>
      <c r="F943" s="100"/>
      <c r="G943" s="100"/>
      <c r="H943" s="100"/>
      <c r="I943" s="100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5.75" customHeight="1">
      <c r="A944" s="100"/>
      <c r="B944" s="104"/>
      <c r="C944" s="100"/>
      <c r="D944" s="100"/>
      <c r="E944" s="100"/>
      <c r="F944" s="100"/>
      <c r="G944" s="100"/>
      <c r="H944" s="100"/>
      <c r="I944" s="100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5.75" customHeight="1">
      <c r="A945" s="100"/>
      <c r="B945" s="104"/>
      <c r="C945" s="100"/>
      <c r="D945" s="100"/>
      <c r="E945" s="100"/>
      <c r="F945" s="100"/>
      <c r="G945" s="100"/>
      <c r="H945" s="100"/>
      <c r="I945" s="100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5.75" customHeight="1">
      <c r="A946" s="100"/>
      <c r="B946" s="104"/>
      <c r="C946" s="100"/>
      <c r="D946" s="100"/>
      <c r="E946" s="100"/>
      <c r="F946" s="100"/>
      <c r="G946" s="100"/>
      <c r="H946" s="100"/>
      <c r="I946" s="100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5.75" customHeight="1">
      <c r="A947" s="100"/>
      <c r="B947" s="104"/>
      <c r="C947" s="100"/>
      <c r="D947" s="100"/>
      <c r="E947" s="100"/>
      <c r="F947" s="100"/>
      <c r="G947" s="100"/>
      <c r="H947" s="100"/>
      <c r="I947" s="100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5.75" customHeight="1">
      <c r="A948" s="100"/>
      <c r="B948" s="104"/>
      <c r="C948" s="100"/>
      <c r="D948" s="100"/>
      <c r="E948" s="100"/>
      <c r="F948" s="100"/>
      <c r="G948" s="100"/>
      <c r="H948" s="100"/>
      <c r="I948" s="100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5.75" customHeight="1">
      <c r="A949" s="100"/>
      <c r="B949" s="104"/>
      <c r="C949" s="100"/>
      <c r="D949" s="100"/>
      <c r="E949" s="100"/>
      <c r="F949" s="100"/>
      <c r="G949" s="100"/>
      <c r="H949" s="100"/>
      <c r="I949" s="100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5.75" customHeight="1">
      <c r="A950" s="100"/>
      <c r="B950" s="104"/>
      <c r="C950" s="100"/>
      <c r="D950" s="100"/>
      <c r="E950" s="100"/>
      <c r="F950" s="100"/>
      <c r="G950" s="100"/>
      <c r="H950" s="100"/>
      <c r="I950" s="100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5.75" customHeight="1">
      <c r="A951" s="100"/>
      <c r="B951" s="104"/>
      <c r="C951" s="100"/>
      <c r="D951" s="100"/>
      <c r="E951" s="100"/>
      <c r="F951" s="100"/>
      <c r="G951" s="100"/>
      <c r="H951" s="100"/>
      <c r="I951" s="100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5.75" customHeight="1">
      <c r="A952" s="100"/>
      <c r="B952" s="104"/>
      <c r="C952" s="100"/>
      <c r="D952" s="100"/>
      <c r="E952" s="100"/>
      <c r="F952" s="100"/>
      <c r="G952" s="100"/>
      <c r="H952" s="100"/>
      <c r="I952" s="100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5.75" customHeight="1">
      <c r="A953" s="100"/>
      <c r="B953" s="104"/>
      <c r="C953" s="100"/>
      <c r="D953" s="100"/>
      <c r="E953" s="100"/>
      <c r="F953" s="100"/>
      <c r="G953" s="100"/>
      <c r="H953" s="100"/>
      <c r="I953" s="100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5.75" customHeight="1">
      <c r="A954" s="100"/>
      <c r="B954" s="104"/>
      <c r="C954" s="100"/>
      <c r="D954" s="100"/>
      <c r="E954" s="100"/>
      <c r="F954" s="100"/>
      <c r="G954" s="100"/>
      <c r="H954" s="100"/>
      <c r="I954" s="100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5.75" customHeight="1">
      <c r="A955" s="100"/>
      <c r="B955" s="104"/>
      <c r="C955" s="100"/>
      <c r="D955" s="100"/>
      <c r="E955" s="100"/>
      <c r="F955" s="100"/>
      <c r="G955" s="100"/>
      <c r="H955" s="100"/>
      <c r="I955" s="100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5.75" customHeight="1">
      <c r="A956" s="100"/>
      <c r="B956" s="104"/>
      <c r="C956" s="100"/>
      <c r="D956" s="100"/>
      <c r="E956" s="100"/>
      <c r="F956" s="100"/>
      <c r="G956" s="100"/>
      <c r="H956" s="100"/>
      <c r="I956" s="100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5.75" customHeight="1">
      <c r="A957" s="100"/>
      <c r="B957" s="104"/>
      <c r="C957" s="100"/>
      <c r="D957" s="100"/>
      <c r="E957" s="100"/>
      <c r="F957" s="100"/>
      <c r="G957" s="100"/>
      <c r="H957" s="100"/>
      <c r="I957" s="100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5.75" customHeight="1">
      <c r="A958" s="100"/>
      <c r="B958" s="104"/>
      <c r="C958" s="100"/>
      <c r="D958" s="100"/>
      <c r="E958" s="100"/>
      <c r="F958" s="100"/>
      <c r="G958" s="100"/>
      <c r="H958" s="100"/>
      <c r="I958" s="100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5.75" customHeight="1">
      <c r="A959" s="100"/>
      <c r="B959" s="104"/>
      <c r="C959" s="100"/>
      <c r="D959" s="100"/>
      <c r="E959" s="100"/>
      <c r="F959" s="100"/>
      <c r="G959" s="100"/>
      <c r="H959" s="100"/>
      <c r="I959" s="100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5.75" customHeight="1">
      <c r="A960" s="100"/>
      <c r="B960" s="104"/>
      <c r="C960" s="100"/>
      <c r="D960" s="100"/>
      <c r="E960" s="100"/>
      <c r="F960" s="100"/>
      <c r="G960" s="100"/>
      <c r="H960" s="100"/>
      <c r="I960" s="100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5.75" customHeight="1">
      <c r="A961" s="100"/>
      <c r="B961" s="104"/>
      <c r="C961" s="100"/>
      <c r="D961" s="100"/>
      <c r="E961" s="100"/>
      <c r="F961" s="100"/>
      <c r="G961" s="100"/>
      <c r="H961" s="100"/>
      <c r="I961" s="100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5.75" customHeight="1">
      <c r="A962" s="100"/>
      <c r="B962" s="104"/>
      <c r="C962" s="100"/>
      <c r="D962" s="100"/>
      <c r="E962" s="100"/>
      <c r="F962" s="100"/>
      <c r="G962" s="100"/>
      <c r="H962" s="100"/>
      <c r="I962" s="100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5.75" customHeight="1">
      <c r="A963" s="100"/>
      <c r="B963" s="104"/>
      <c r="C963" s="100"/>
      <c r="D963" s="100"/>
      <c r="E963" s="100"/>
      <c r="F963" s="100"/>
      <c r="G963" s="100"/>
      <c r="H963" s="100"/>
      <c r="I963" s="100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5.75" customHeight="1">
      <c r="A964" s="100"/>
      <c r="B964" s="104"/>
      <c r="C964" s="100"/>
      <c r="D964" s="100"/>
      <c r="E964" s="100"/>
      <c r="F964" s="100"/>
      <c r="G964" s="100"/>
      <c r="H964" s="100"/>
      <c r="I964" s="100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5.75" customHeight="1">
      <c r="A965" s="100"/>
      <c r="B965" s="104"/>
      <c r="C965" s="100"/>
      <c r="D965" s="100"/>
      <c r="E965" s="100"/>
      <c r="F965" s="100"/>
      <c r="G965" s="100"/>
      <c r="H965" s="100"/>
      <c r="I965" s="100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5.75" customHeight="1">
      <c r="A966" s="100"/>
      <c r="B966" s="104"/>
      <c r="C966" s="100"/>
      <c r="D966" s="100"/>
      <c r="E966" s="100"/>
      <c r="F966" s="100"/>
      <c r="G966" s="100"/>
      <c r="H966" s="100"/>
      <c r="I966" s="100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5.75" customHeight="1">
      <c r="A967" s="100"/>
      <c r="B967" s="104"/>
      <c r="C967" s="100"/>
      <c r="D967" s="100"/>
      <c r="E967" s="100"/>
      <c r="F967" s="100"/>
      <c r="G967" s="100"/>
      <c r="H967" s="100"/>
      <c r="I967" s="100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5.75" customHeight="1">
      <c r="A968" s="100"/>
      <c r="B968" s="104"/>
      <c r="C968" s="100"/>
      <c r="D968" s="100"/>
      <c r="E968" s="100"/>
      <c r="F968" s="100"/>
      <c r="G968" s="100"/>
      <c r="H968" s="100"/>
      <c r="I968" s="100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5.75" customHeight="1">
      <c r="A969" s="100"/>
      <c r="B969" s="104"/>
      <c r="C969" s="100"/>
      <c r="D969" s="100"/>
      <c r="E969" s="100"/>
      <c r="F969" s="100"/>
      <c r="G969" s="100"/>
      <c r="H969" s="100"/>
      <c r="I969" s="100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5.75" customHeight="1">
      <c r="A970" s="100"/>
      <c r="B970" s="104"/>
      <c r="C970" s="100"/>
      <c r="D970" s="100"/>
      <c r="E970" s="100"/>
      <c r="F970" s="100"/>
      <c r="G970" s="100"/>
      <c r="H970" s="100"/>
      <c r="I970" s="100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5.75" customHeight="1">
      <c r="A971" s="100"/>
      <c r="B971" s="104"/>
      <c r="C971" s="100"/>
      <c r="D971" s="100"/>
      <c r="E971" s="100"/>
      <c r="F971" s="100"/>
      <c r="G971" s="100"/>
      <c r="H971" s="100"/>
      <c r="I971" s="100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5.75" customHeight="1">
      <c r="A972" s="100"/>
      <c r="B972" s="104"/>
      <c r="C972" s="100"/>
      <c r="D972" s="100"/>
      <c r="E972" s="100"/>
      <c r="F972" s="100"/>
      <c r="G972" s="100"/>
      <c r="H972" s="100"/>
      <c r="I972" s="100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5.75" customHeight="1">
      <c r="A973" s="100"/>
      <c r="B973" s="104"/>
      <c r="C973" s="100"/>
      <c r="D973" s="100"/>
      <c r="E973" s="100"/>
      <c r="F973" s="100"/>
      <c r="G973" s="100"/>
      <c r="H973" s="100"/>
      <c r="I973" s="100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5.75" customHeight="1">
      <c r="A974" s="100"/>
      <c r="B974" s="104"/>
      <c r="C974" s="100"/>
      <c r="D974" s="100"/>
      <c r="E974" s="100"/>
      <c r="F974" s="100"/>
      <c r="G974" s="100"/>
      <c r="H974" s="100"/>
      <c r="I974" s="100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5.75" customHeight="1">
      <c r="A975" s="100"/>
      <c r="B975" s="104"/>
      <c r="C975" s="100"/>
      <c r="D975" s="100"/>
      <c r="E975" s="100"/>
      <c r="F975" s="100"/>
      <c r="G975" s="100"/>
      <c r="H975" s="100"/>
      <c r="I975" s="100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5.75" customHeight="1">
      <c r="A976" s="100"/>
      <c r="B976" s="104"/>
      <c r="C976" s="100"/>
      <c r="D976" s="100"/>
      <c r="E976" s="100"/>
      <c r="F976" s="100"/>
      <c r="G976" s="100"/>
      <c r="H976" s="100"/>
      <c r="I976" s="100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5.75" customHeight="1">
      <c r="A977" s="100"/>
      <c r="B977" s="104"/>
      <c r="C977" s="100"/>
      <c r="D977" s="100"/>
      <c r="E977" s="100"/>
      <c r="F977" s="100"/>
      <c r="G977" s="100"/>
      <c r="H977" s="100"/>
      <c r="I977" s="100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5.75" customHeight="1">
      <c r="A978" s="100"/>
      <c r="B978" s="104"/>
      <c r="C978" s="100"/>
      <c r="D978" s="100"/>
      <c r="E978" s="100"/>
      <c r="F978" s="100"/>
      <c r="G978" s="100"/>
      <c r="H978" s="100"/>
      <c r="I978" s="100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5.75" customHeight="1">
      <c r="A979" s="100"/>
      <c r="B979" s="104"/>
      <c r="C979" s="100"/>
      <c r="D979" s="100"/>
      <c r="E979" s="100"/>
      <c r="F979" s="100"/>
      <c r="G979" s="100"/>
      <c r="H979" s="100"/>
      <c r="I979" s="100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5.75" customHeight="1">
      <c r="A980" s="100"/>
      <c r="B980" s="104"/>
      <c r="C980" s="100"/>
      <c r="D980" s="100"/>
      <c r="E980" s="100"/>
      <c r="F980" s="100"/>
      <c r="G980" s="100"/>
      <c r="H980" s="100"/>
      <c r="I980" s="100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5.75" customHeight="1">
      <c r="A981" s="100"/>
      <c r="B981" s="104"/>
      <c r="C981" s="100"/>
      <c r="D981" s="100"/>
      <c r="E981" s="100"/>
      <c r="F981" s="100"/>
      <c r="G981" s="100"/>
      <c r="H981" s="100"/>
      <c r="I981" s="100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5.75" customHeight="1">
      <c r="A982" s="100"/>
      <c r="B982" s="104"/>
      <c r="C982" s="100"/>
      <c r="D982" s="100"/>
      <c r="E982" s="100"/>
      <c r="F982" s="100"/>
      <c r="G982" s="100"/>
      <c r="H982" s="100"/>
      <c r="I982" s="100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5.75" customHeight="1">
      <c r="A983" s="100"/>
      <c r="B983" s="104"/>
      <c r="C983" s="100"/>
      <c r="D983" s="100"/>
      <c r="E983" s="100"/>
      <c r="F983" s="100"/>
      <c r="G983" s="100"/>
      <c r="H983" s="100"/>
      <c r="I983" s="100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5.75" customHeight="1">
      <c r="A984" s="100"/>
      <c r="B984" s="104"/>
      <c r="C984" s="100"/>
      <c r="D984" s="100"/>
      <c r="E984" s="100"/>
      <c r="F984" s="100"/>
      <c r="G984" s="100"/>
      <c r="H984" s="100"/>
      <c r="I984" s="100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5.75" customHeight="1">
      <c r="A985" s="100"/>
      <c r="B985" s="104"/>
      <c r="C985" s="100"/>
      <c r="D985" s="100"/>
      <c r="E985" s="100"/>
      <c r="F985" s="100"/>
      <c r="G985" s="100"/>
      <c r="H985" s="100"/>
      <c r="I985" s="100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5.75" customHeight="1">
      <c r="A986" s="100"/>
      <c r="B986" s="104"/>
      <c r="C986" s="100"/>
      <c r="D986" s="100"/>
      <c r="E986" s="100"/>
      <c r="F986" s="100"/>
      <c r="G986" s="100"/>
      <c r="H986" s="100"/>
      <c r="I986" s="100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5.75" customHeight="1">
      <c r="A987" s="100"/>
      <c r="B987" s="104"/>
      <c r="C987" s="100"/>
      <c r="D987" s="100"/>
      <c r="E987" s="100"/>
      <c r="F987" s="100"/>
      <c r="G987" s="100"/>
      <c r="H987" s="100"/>
      <c r="I987" s="100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5.75" customHeight="1">
      <c r="A988" s="100"/>
      <c r="B988" s="104"/>
      <c r="C988" s="100"/>
      <c r="D988" s="100"/>
      <c r="E988" s="100"/>
      <c r="F988" s="100"/>
      <c r="G988" s="100"/>
      <c r="H988" s="100"/>
      <c r="I988" s="100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5.75" customHeight="1">
      <c r="A989" s="100"/>
      <c r="B989" s="104"/>
      <c r="C989" s="100"/>
      <c r="D989" s="100"/>
      <c r="E989" s="100"/>
      <c r="F989" s="100"/>
      <c r="G989" s="100"/>
      <c r="H989" s="100"/>
      <c r="I989" s="100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5.75" customHeight="1">
      <c r="A990" s="100"/>
      <c r="B990" s="104"/>
      <c r="C990" s="100"/>
      <c r="D990" s="100"/>
      <c r="E990" s="100"/>
      <c r="F990" s="100"/>
      <c r="G990" s="100"/>
      <c r="H990" s="100"/>
      <c r="I990" s="100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5.75" customHeight="1">
      <c r="A991" s="100"/>
      <c r="B991" s="104"/>
      <c r="C991" s="100"/>
      <c r="D991" s="100"/>
      <c r="E991" s="100"/>
      <c r="F991" s="100"/>
      <c r="G991" s="100"/>
      <c r="H991" s="100"/>
      <c r="I991" s="100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5.75" customHeight="1">
      <c r="A992" s="100"/>
      <c r="B992" s="104"/>
      <c r="C992" s="100"/>
      <c r="D992" s="100"/>
      <c r="E992" s="100"/>
      <c r="F992" s="100"/>
      <c r="G992" s="100"/>
      <c r="H992" s="100"/>
      <c r="I992" s="100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5.75" customHeight="1">
      <c r="A993" s="100"/>
      <c r="B993" s="104"/>
      <c r="C993" s="100"/>
      <c r="D993" s="100"/>
      <c r="E993" s="100"/>
      <c r="F993" s="100"/>
      <c r="G993" s="100"/>
      <c r="H993" s="100"/>
      <c r="I993" s="100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5.75" customHeight="1">
      <c r="A994" s="100"/>
      <c r="B994" s="104"/>
      <c r="C994" s="100"/>
      <c r="D994" s="100"/>
      <c r="E994" s="100"/>
      <c r="F994" s="100"/>
      <c r="G994" s="100"/>
      <c r="H994" s="100"/>
      <c r="I994" s="100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5.75" customHeight="1">
      <c r="A995" s="100"/>
      <c r="B995" s="104"/>
      <c r="C995" s="100"/>
      <c r="D995" s="100"/>
      <c r="E995" s="100"/>
      <c r="F995" s="100"/>
      <c r="G995" s="100"/>
      <c r="H995" s="100"/>
      <c r="I995" s="100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5.75" customHeight="1">
      <c r="A996" s="100"/>
      <c r="B996" s="104"/>
      <c r="C996" s="100"/>
      <c r="D996" s="100"/>
      <c r="E996" s="100"/>
      <c r="F996" s="100"/>
      <c r="G996" s="100"/>
      <c r="H996" s="100"/>
      <c r="I996" s="100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5.75" customHeight="1">
      <c r="A997" s="100"/>
      <c r="B997" s="104"/>
      <c r="C997" s="100"/>
      <c r="D997" s="100"/>
      <c r="E997" s="100"/>
      <c r="F997" s="100"/>
      <c r="G997" s="100"/>
      <c r="H997" s="100"/>
      <c r="I997" s="100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5.75" customHeight="1">
      <c r="A998" s="100"/>
      <c r="B998" s="104"/>
      <c r="C998" s="100"/>
      <c r="D998" s="100"/>
      <c r="E998" s="100"/>
      <c r="F998" s="100"/>
      <c r="G998" s="100"/>
      <c r="H998" s="100"/>
      <c r="I998" s="100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5.75" customHeight="1">
      <c r="A999" s="100"/>
      <c r="B999" s="104"/>
      <c r="C999" s="100"/>
      <c r="D999" s="100"/>
      <c r="E999" s="100"/>
      <c r="F999" s="100"/>
      <c r="G999" s="100"/>
      <c r="H999" s="100"/>
      <c r="I999" s="100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5.75" customHeight="1">
      <c r="A1000" s="100"/>
      <c r="B1000" s="104"/>
      <c r="C1000" s="100"/>
      <c r="D1000" s="100"/>
      <c r="E1000" s="100"/>
      <c r="F1000" s="100"/>
      <c r="G1000" s="100"/>
      <c r="H1000" s="100"/>
      <c r="I1000" s="100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  <row r="1001" ht="15.75" customHeight="1">
      <c r="A1001" s="100"/>
      <c r="B1001" s="104"/>
      <c r="C1001" s="100"/>
      <c r="D1001" s="100"/>
      <c r="E1001" s="100"/>
      <c r="F1001" s="100"/>
      <c r="G1001" s="100"/>
      <c r="H1001" s="100"/>
      <c r="I1001" s="100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</row>
    <row r="1002" ht="15.75" customHeight="1">
      <c r="A1002" s="100"/>
      <c r="B1002" s="104"/>
      <c r="C1002" s="100"/>
      <c r="D1002" s="100"/>
      <c r="E1002" s="100"/>
      <c r="F1002" s="100"/>
      <c r="G1002" s="100"/>
      <c r="H1002" s="100"/>
      <c r="I1002" s="100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</row>
    <row r="1003" ht="15.75" customHeight="1">
      <c r="A1003" s="100"/>
      <c r="B1003" s="104"/>
      <c r="C1003" s="100"/>
      <c r="D1003" s="100"/>
      <c r="E1003" s="100"/>
      <c r="F1003" s="100"/>
      <c r="G1003" s="100"/>
      <c r="H1003" s="100"/>
      <c r="I1003" s="100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</row>
    <row r="1004" ht="15.75" customHeight="1">
      <c r="A1004" s="100"/>
      <c r="B1004" s="104"/>
      <c r="C1004" s="100"/>
      <c r="D1004" s="100"/>
      <c r="E1004" s="100"/>
      <c r="F1004" s="100"/>
      <c r="G1004" s="100"/>
      <c r="H1004" s="100"/>
      <c r="I1004" s="100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</row>
  </sheetData>
  <autoFilter ref="$A$1:$Z$751"/>
  <dataValidations>
    <dataValidation type="list" allowBlank="1" showErrorMessage="1" sqref="B2:B63 B65:B133 B135:B138 B140:B214 B216:B226 B228:B233 B235:B328 B334:B757">
      <formula1>'DATA PER 111225'!$B$2:$B$311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1.29"/>
    <col customWidth="1" min="4" max="4" width="26.57"/>
    <col customWidth="1" min="7" max="7" width="26.86"/>
    <col customWidth="1" min="10" max="10" width="22.57"/>
    <col customWidth="1" min="11" max="11" width="8.43"/>
    <col customWidth="1" min="12" max="12" width="9.0"/>
  </cols>
  <sheetData>
    <row r="1">
      <c r="A1" s="3" t="s">
        <v>0</v>
      </c>
    </row>
    <row r="2">
      <c r="A2" s="3" t="s">
        <v>12</v>
      </c>
    </row>
    <row r="3">
      <c r="A3" s="3" t="s">
        <v>13</v>
      </c>
    </row>
    <row r="4">
      <c r="A4" s="62" t="s">
        <v>1535</v>
      </c>
    </row>
    <row r="5">
      <c r="A5" s="9"/>
      <c r="D5" s="63"/>
      <c r="E5" s="64"/>
      <c r="H5" s="65"/>
    </row>
    <row r="6">
      <c r="A6" s="12" t="s">
        <v>10</v>
      </c>
      <c r="B6" s="13" t="s">
        <v>2</v>
      </c>
      <c r="C6" s="14" t="s">
        <v>11</v>
      </c>
      <c r="D6" s="66" t="s">
        <v>1537</v>
      </c>
      <c r="E6" s="67" t="s">
        <v>5</v>
      </c>
      <c r="F6" s="14" t="s">
        <v>4</v>
      </c>
      <c r="G6" s="14" t="s">
        <v>6</v>
      </c>
      <c r="H6" s="68" t="s">
        <v>7</v>
      </c>
      <c r="I6" s="15" t="s">
        <v>56</v>
      </c>
      <c r="J6" s="15" t="s">
        <v>57</v>
      </c>
      <c r="K6" s="15"/>
      <c r="L6" s="15" t="s">
        <v>60</v>
      </c>
    </row>
    <row r="7">
      <c r="A7" s="69" t="s">
        <v>63</v>
      </c>
      <c r="B7" s="7" t="s">
        <v>148</v>
      </c>
      <c r="C7" s="7" t="str">
        <f>IFERROR(VLOOKUP(B7,'Master data'!$A$1:$D$397,2,FALSE),"")</f>
        <v>B001-064</v>
      </c>
      <c r="D7" s="70" t="str">
        <f>VLOOKUP(B7,Sheet3!$B$2:$E$312,3,)</f>
        <v>bahan baku</v>
      </c>
      <c r="E7" s="71">
        <v>50.0</v>
      </c>
      <c r="F7" s="16" t="str">
        <f>IFERROR(VLOOKUP(B7,'Master data'!$A$1:$D$397,3,FALSE),"")</f>
        <v>GR</v>
      </c>
      <c r="G7" s="7" t="s">
        <v>1540</v>
      </c>
      <c r="H7" s="69" t="s">
        <v>1541</v>
      </c>
      <c r="I7" s="7" t="s">
        <v>1542</v>
      </c>
      <c r="J7" s="7" t="s">
        <v>61</v>
      </c>
      <c r="K7" s="16" t="b">
        <v>0</v>
      </c>
      <c r="L7" s="7" t="b">
        <v>1</v>
      </c>
      <c r="N7" s="72"/>
    </row>
    <row r="8">
      <c r="B8" s="7" t="s">
        <v>139</v>
      </c>
      <c r="C8" s="7" t="str">
        <f>IFERROR(VLOOKUP(B8,'Master data'!$A$1:$D$397,2,FALSE),"")</f>
        <v>B001-061</v>
      </c>
      <c r="D8" s="70" t="str">
        <f>VLOOKUP(B8,Sheet3!$B$2:$E$312,3,)</f>
        <v>bahan baku</v>
      </c>
      <c r="E8" s="71">
        <v>40.0</v>
      </c>
      <c r="F8" s="16" t="str">
        <f>IFERROR(VLOOKUP(B8,'Master data'!$A$1:$D$397,3,FALSE),"")</f>
        <v>GR</v>
      </c>
      <c r="G8" s="7" t="s">
        <v>1540</v>
      </c>
      <c r="I8" s="7" t="s">
        <v>1542</v>
      </c>
      <c r="J8" s="7" t="s">
        <v>61</v>
      </c>
      <c r="K8" s="16" t="b">
        <v>0</v>
      </c>
      <c r="L8" s="7" t="b">
        <v>1</v>
      </c>
      <c r="N8" s="72"/>
    </row>
    <row r="9">
      <c r="B9" s="7" t="s">
        <v>28</v>
      </c>
      <c r="C9" s="7" t="str">
        <f>IFERROR(VLOOKUP(B9,'Master data'!$A$1:$D$397,2,FALSE),"")</f>
        <v>B001-006</v>
      </c>
      <c r="D9" s="70" t="str">
        <f>VLOOKUP(B9,Sheet3!$B$2:$E$312,3,)</f>
        <v>bahan baku</v>
      </c>
      <c r="E9" s="71">
        <v>17.0</v>
      </c>
      <c r="F9" s="16" t="str">
        <f>IFERROR(VLOOKUP(B9,'Master data'!$A$1:$D$397,3,FALSE),"")</f>
        <v>GR</v>
      </c>
      <c r="G9" s="7" t="s">
        <v>1540</v>
      </c>
      <c r="I9" s="7" t="s">
        <v>1542</v>
      </c>
      <c r="J9" s="7" t="s">
        <v>61</v>
      </c>
      <c r="K9" s="16" t="b">
        <v>0</v>
      </c>
      <c r="L9" s="7" t="b">
        <v>1</v>
      </c>
      <c r="N9" s="72"/>
    </row>
    <row r="10">
      <c r="B10" s="7" t="s">
        <v>148</v>
      </c>
      <c r="C10" s="7" t="str">
        <f>IFERROR(VLOOKUP(B10,'Master data'!$A$1:$D$397,2,FALSE),"")</f>
        <v>B001-064</v>
      </c>
      <c r="D10" s="70" t="str">
        <f>VLOOKUP(B10,Sheet3!$B$2:$E$312,3,)</f>
        <v>bahan baku</v>
      </c>
      <c r="E10" s="71">
        <v>119.0</v>
      </c>
      <c r="F10" s="16" t="str">
        <f>IFERROR(VLOOKUP(B10,'Master data'!$A$1:$D$397,3,FALSE),"")</f>
        <v>GR</v>
      </c>
      <c r="G10" s="7" t="s">
        <v>1540</v>
      </c>
      <c r="I10" s="7" t="s">
        <v>1542</v>
      </c>
      <c r="J10" s="7" t="s">
        <v>61</v>
      </c>
      <c r="K10" s="16" t="b">
        <v>0</v>
      </c>
      <c r="L10" s="7" t="b">
        <v>1</v>
      </c>
      <c r="N10" s="72"/>
    </row>
    <row r="11">
      <c r="B11" s="7" t="s">
        <v>33</v>
      </c>
      <c r="C11" s="7" t="str">
        <f>IFERROR(VLOOKUP(B11,'Master data'!$A$1:$D$397,2,FALSE),"")</f>
        <v>B001-008</v>
      </c>
      <c r="D11" s="70" t="str">
        <f>VLOOKUP(B11,Sheet3!$B$2:$E$312,3,)</f>
        <v>bahan baku</v>
      </c>
      <c r="E11" s="71" t="s">
        <v>1545</v>
      </c>
      <c r="F11" s="16" t="str">
        <f>IFERROR(VLOOKUP(B11,'Master data'!$A$1:$D$397,3,FALSE),"")</f>
        <v>GR</v>
      </c>
      <c r="G11" s="7" t="s">
        <v>1546</v>
      </c>
      <c r="H11" s="69" t="s">
        <v>1547</v>
      </c>
      <c r="I11" s="7" t="s">
        <v>1548</v>
      </c>
      <c r="J11" s="7" t="s">
        <v>61</v>
      </c>
      <c r="K11" s="16" t="b">
        <v>0</v>
      </c>
      <c r="L11" s="7" t="b">
        <v>1</v>
      </c>
      <c r="N11" s="72"/>
    </row>
    <row r="12">
      <c r="B12" s="7" t="s">
        <v>129</v>
      </c>
      <c r="C12" s="7" t="str">
        <f>IFERROR(VLOOKUP(B12,'Master data'!$A$1:$D$397,2,FALSE),"")</f>
        <v>B001-056</v>
      </c>
      <c r="D12" s="70" t="str">
        <f>VLOOKUP(B12,Sheet3!$B$2:$E$312,3,)</f>
        <v>bahan baku</v>
      </c>
      <c r="E12" s="71" t="s">
        <v>1549</v>
      </c>
      <c r="F12" s="16" t="str">
        <f>IFERROR(VLOOKUP(B12,'Master data'!$A$1:$D$397,3,FALSE),"")</f>
        <v>ML</v>
      </c>
      <c r="G12" s="7" t="s">
        <v>1546</v>
      </c>
      <c r="I12" s="7" t="s">
        <v>1548</v>
      </c>
      <c r="J12" s="7" t="s">
        <v>61</v>
      </c>
      <c r="K12" s="16" t="b">
        <v>0</v>
      </c>
      <c r="L12" s="7" t="b">
        <v>1</v>
      </c>
      <c r="N12" s="72"/>
    </row>
    <row r="13">
      <c r="B13" s="7" t="s">
        <v>653</v>
      </c>
      <c r="C13" s="7" t="str">
        <f>IFERROR(VLOOKUP(B13,'Master data'!$A$1:$D$397,2,FALSE),"")</f>
        <v>P004-022</v>
      </c>
      <c r="D13" s="70" t="str">
        <f>VLOOKUP(B13,Sheet3!$B$2:$E$312,3,)</f>
        <v>barang jadi &amp; bahan baku</v>
      </c>
      <c r="E13" s="71">
        <v>881.0</v>
      </c>
      <c r="F13" s="16" t="str">
        <f>IFERROR(VLOOKUP(B13,'Master data'!$A$1:$D$397,3,FALSE),"")</f>
        <v>GR</v>
      </c>
      <c r="G13" s="7" t="s">
        <v>1550</v>
      </c>
      <c r="H13" s="69" t="s">
        <v>1551</v>
      </c>
      <c r="I13" s="7" t="s">
        <v>1552</v>
      </c>
      <c r="J13" s="7" t="s">
        <v>61</v>
      </c>
      <c r="K13" s="16" t="b">
        <v>0</v>
      </c>
      <c r="L13" s="7" t="b">
        <v>1</v>
      </c>
      <c r="N13" s="72"/>
    </row>
    <row r="14">
      <c r="B14" s="7" t="s">
        <v>657</v>
      </c>
      <c r="C14" s="7" t="str">
        <f>IFERROR(VLOOKUP(B14,'Master data'!$A$1:$D$397,2,FALSE),"")</f>
        <v>P004-023</v>
      </c>
      <c r="D14" s="70" t="str">
        <f>VLOOKUP(B14,Sheet3!$B$2:$E$312,3,)</f>
        <v>barang jadi &amp; bahan baku</v>
      </c>
      <c r="E14" s="71">
        <v>32.0</v>
      </c>
      <c r="F14" s="16" t="str">
        <f>IFERROR(VLOOKUP(B14,'Master data'!$A$1:$D$397,3,FALSE),"")</f>
        <v>GR</v>
      </c>
      <c r="G14" s="7" t="s">
        <v>1550</v>
      </c>
      <c r="I14" s="7" t="s">
        <v>1552</v>
      </c>
      <c r="J14" s="7" t="s">
        <v>61</v>
      </c>
      <c r="K14" s="16" t="b">
        <v>0</v>
      </c>
      <c r="L14" s="7" t="b">
        <v>1</v>
      </c>
      <c r="N14" s="72"/>
    </row>
    <row r="15">
      <c r="B15" s="7" t="s">
        <v>660</v>
      </c>
      <c r="C15" s="7" t="str">
        <f>IFERROR(VLOOKUP(B15,'Master data'!$A$1:$D$397,2,FALSE),"")</f>
        <v>P004-024</v>
      </c>
      <c r="D15" s="70" t="str">
        <f>VLOOKUP(B15,Sheet3!$B$2:$E$312,3,FALSE)</f>
        <v>barang jadi &amp; bahan baku</v>
      </c>
      <c r="E15" s="71">
        <v>154.0</v>
      </c>
      <c r="F15" s="16" t="str">
        <f>IFERROR(VLOOKUP(B15,'Master data'!$A$1:$D$397,3,FALSE),"")</f>
        <v>ML</v>
      </c>
      <c r="G15" s="7" t="s">
        <v>1550</v>
      </c>
      <c r="I15" s="7" t="s">
        <v>1552</v>
      </c>
      <c r="J15" s="7" t="s">
        <v>61</v>
      </c>
      <c r="K15" s="16" t="b">
        <v>0</v>
      </c>
      <c r="L15" s="7" t="b">
        <v>1</v>
      </c>
      <c r="N15" s="72"/>
    </row>
    <row r="16">
      <c r="B16" s="7" t="s">
        <v>211</v>
      </c>
      <c r="C16" s="7" t="str">
        <f>IFERROR(VLOOKUP(B16,'Master data'!$A$1:$D$397,2,FALSE),"")</f>
        <v>B001-088</v>
      </c>
      <c r="D16" s="70" t="str">
        <f>VLOOKUP(B16,Sheet3!$B$2:$E$312,3,)</f>
        <v>bahan baku</v>
      </c>
      <c r="E16" s="71">
        <v>2965.0</v>
      </c>
      <c r="F16" s="16" t="str">
        <f>IFERROR(VLOOKUP(B16,'Master data'!$A$1:$D$397,3,FALSE),"")</f>
        <v>GR</v>
      </c>
      <c r="G16" s="7" t="s">
        <v>1554</v>
      </c>
      <c r="H16" s="69" t="s">
        <v>1555</v>
      </c>
      <c r="I16" s="7" t="s">
        <v>1556</v>
      </c>
      <c r="J16" s="7" t="s">
        <v>61</v>
      </c>
      <c r="K16" s="16" t="b">
        <v>0</v>
      </c>
      <c r="L16" s="7" t="b">
        <v>1</v>
      </c>
      <c r="N16" s="72"/>
    </row>
    <row r="17">
      <c r="B17" s="7" t="s">
        <v>36</v>
      </c>
      <c r="C17" s="7" t="str">
        <f>IFERROR(VLOOKUP(B17,'Master data'!$A$1:$D$397,2,FALSE),"")</f>
        <v>B001-009</v>
      </c>
      <c r="D17" s="70" t="str">
        <f>VLOOKUP(B17,Sheet3!$B$2:$E$312,3,)</f>
        <v>bahan baku</v>
      </c>
      <c r="E17" s="71">
        <v>45.0</v>
      </c>
      <c r="F17" s="16" t="str">
        <f>IFERROR(VLOOKUP(B17,'Master data'!$A$1:$D$397,3,FALSE),"")</f>
        <v>GR</v>
      </c>
      <c r="G17" s="7" t="s">
        <v>1557</v>
      </c>
      <c r="H17" s="69" t="s">
        <v>1551</v>
      </c>
      <c r="I17" s="7" t="s">
        <v>1552</v>
      </c>
      <c r="J17" s="7" t="s">
        <v>1558</v>
      </c>
      <c r="K17" s="16" t="b">
        <v>0</v>
      </c>
      <c r="L17" s="7" t="b">
        <v>1</v>
      </c>
      <c r="N17" s="72"/>
    </row>
    <row r="18">
      <c r="A18" s="36" t="s">
        <v>1559</v>
      </c>
      <c r="B18" s="7" t="s">
        <v>36</v>
      </c>
      <c r="C18" s="7" t="str">
        <f>IFERROR(VLOOKUP(B18,'Master data'!$A$1:$D$397,2,FALSE),"")</f>
        <v>B001-009</v>
      </c>
      <c r="D18" s="70" t="str">
        <f>VLOOKUP(B18,Sheet3!$B$2:$E$312,3,)</f>
        <v>bahan baku</v>
      </c>
      <c r="E18" s="71">
        <v>42.0</v>
      </c>
      <c r="F18" s="16" t="str">
        <f>IFERROR(VLOOKUP(B18,'Master data'!$A$1:$D$397,3,FALSE),"")</f>
        <v>GR</v>
      </c>
      <c r="G18" s="7" t="s">
        <v>1557</v>
      </c>
      <c r="I18" s="7" t="s">
        <v>1552</v>
      </c>
      <c r="J18" s="7" t="s">
        <v>1558</v>
      </c>
      <c r="K18" s="16" t="b">
        <v>0</v>
      </c>
      <c r="L18" s="7" t="b">
        <v>1</v>
      </c>
      <c r="N18" s="72"/>
    </row>
    <row r="19">
      <c r="B19" s="7" t="s">
        <v>663</v>
      </c>
      <c r="C19" s="7" t="str">
        <f>IFERROR(VLOOKUP(B19,'Master data'!$A$1:$D$397,2,FALSE),"")</f>
        <v>P004-045</v>
      </c>
      <c r="D19" s="70" t="str">
        <f>VLOOKUP(B19,Sheet3!$B$2:$E$312,3,)</f>
        <v>barang jadi &amp; bahan baku</v>
      </c>
      <c r="E19" s="71">
        <v>60.0</v>
      </c>
      <c r="F19" s="16" t="str">
        <f>IFERROR(VLOOKUP(B19,'Master data'!$A$1:$D$397,3,FALSE),"")</f>
        <v>PRS</v>
      </c>
      <c r="G19" s="7" t="s">
        <v>1560</v>
      </c>
      <c r="I19" s="7" t="s">
        <v>1552</v>
      </c>
      <c r="J19" s="7" t="s">
        <v>1561</v>
      </c>
      <c r="K19" s="16" t="b">
        <v>0</v>
      </c>
      <c r="L19" s="7" t="b">
        <v>1</v>
      </c>
      <c r="N19" s="72"/>
    </row>
    <row r="20">
      <c r="B20" s="7" t="s">
        <v>645</v>
      </c>
      <c r="C20" s="7" t="str">
        <f>IFERROR(VLOOKUP(B20,'Master data'!$A$1:$D$397,2,FALSE),"")</f>
        <v>P004-019</v>
      </c>
      <c r="D20" s="70" t="str">
        <f>VLOOKUP(B20,Sheet3!$B$2:$E$312,3,)</f>
        <v>barang jadi &amp; bahan baku</v>
      </c>
      <c r="E20" s="71">
        <v>16.0</v>
      </c>
      <c r="F20" s="16" t="str">
        <f>IFERROR(VLOOKUP(B20,'Master data'!$A$1:$D$397,3,FALSE),"")</f>
        <v>GR</v>
      </c>
      <c r="G20" s="7" t="s">
        <v>1560</v>
      </c>
      <c r="I20" s="7" t="s">
        <v>1552</v>
      </c>
      <c r="J20" s="7" t="s">
        <v>1561</v>
      </c>
      <c r="K20" s="16" t="b">
        <v>0</v>
      </c>
      <c r="L20" s="7" t="b">
        <v>1</v>
      </c>
      <c r="N20" s="72"/>
    </row>
    <row r="21">
      <c r="B21" s="7" t="s">
        <v>28</v>
      </c>
      <c r="C21" s="7" t="str">
        <f>IFERROR(VLOOKUP(B21,'Master data'!$A$1:$D$397,2,FALSE),"")</f>
        <v>B001-006</v>
      </c>
      <c r="D21" s="70" t="str">
        <f>VLOOKUP(B21,Sheet3!$B$2:$E$312,3,)</f>
        <v>bahan baku</v>
      </c>
      <c r="E21" s="71">
        <v>16.0</v>
      </c>
      <c r="F21" s="16" t="str">
        <f>IFERROR(VLOOKUP(B21,'Master data'!$A$1:$D$397,3,FALSE),"")</f>
        <v>GR</v>
      </c>
      <c r="G21" s="7" t="s">
        <v>1540</v>
      </c>
      <c r="H21" s="69" t="s">
        <v>1541</v>
      </c>
      <c r="I21" s="7" t="s">
        <v>1542</v>
      </c>
      <c r="J21" s="7" t="s">
        <v>61</v>
      </c>
      <c r="K21" s="16" t="b">
        <v>0</v>
      </c>
      <c r="L21" s="7" t="b">
        <v>1</v>
      </c>
      <c r="N21" s="72"/>
    </row>
    <row r="22">
      <c r="B22" s="7" t="s">
        <v>65</v>
      </c>
      <c r="C22" s="7" t="str">
        <f>IFERROR(VLOOKUP(B22,'Master data'!$A$1:$D$397,2,FALSE),"")</f>
        <v>B001-023</v>
      </c>
      <c r="D22" s="70" t="str">
        <f>VLOOKUP(B22,Sheet3!$B$2:$E$312,3,)</f>
        <v>bahan baku</v>
      </c>
      <c r="E22" s="71">
        <v>53.0</v>
      </c>
      <c r="F22" s="16" t="str">
        <f>IFERROR(VLOOKUP(B22,'Master data'!$A$1:$D$397,3,FALSE),"")</f>
        <v>GR</v>
      </c>
      <c r="G22" s="7" t="s">
        <v>1563</v>
      </c>
      <c r="I22" s="7" t="s">
        <v>1542</v>
      </c>
      <c r="J22" s="7" t="s">
        <v>1561</v>
      </c>
      <c r="K22" s="16" t="b">
        <v>0</v>
      </c>
      <c r="L22" s="7" t="b">
        <v>1</v>
      </c>
      <c r="N22" s="72"/>
    </row>
    <row r="23">
      <c r="B23" s="7" t="s">
        <v>76</v>
      </c>
      <c r="C23" s="7" t="str">
        <f>IFERROR(VLOOKUP(B23,'Master data'!$A$1:$D$397,2,FALSE),"")</f>
        <v>B001-032</v>
      </c>
      <c r="D23" s="70" t="str">
        <f>VLOOKUP(B23,Sheet3!$B$2:$E$312,3,)</f>
        <v>bahan baku</v>
      </c>
      <c r="E23" s="71">
        <v>540.0</v>
      </c>
      <c r="F23" s="16" t="str">
        <f>IFERROR(VLOOKUP(B23,'Master data'!$A$1:$D$397,3,FALSE),"")</f>
        <v>ML</v>
      </c>
      <c r="G23" s="7" t="s">
        <v>1563</v>
      </c>
      <c r="H23" s="69" t="s">
        <v>1565</v>
      </c>
      <c r="I23" s="7" t="s">
        <v>1552</v>
      </c>
      <c r="J23" s="7" t="s">
        <v>1561</v>
      </c>
      <c r="K23" s="16" t="b">
        <v>0</v>
      </c>
      <c r="L23" s="7" t="b">
        <v>1</v>
      </c>
      <c r="N23" s="72"/>
    </row>
    <row r="24">
      <c r="B24" s="7" t="s">
        <v>634</v>
      </c>
      <c r="C24" s="7" t="str">
        <f>IFERROR(VLOOKUP(B24,'Master data'!$A$1:$D$397,2,FALSE),"")</f>
        <v>P004-014</v>
      </c>
      <c r="D24" s="70" t="str">
        <f>VLOOKUP(B24,Sheet3!$B$2:$E$312,3,)</f>
        <v>barang jadi &amp; bahan baku</v>
      </c>
      <c r="E24" s="71">
        <v>82.0</v>
      </c>
      <c r="F24" s="16" t="str">
        <f>IFERROR(VLOOKUP(B24,'Master data'!$A$1:$D$397,3,FALSE),"")</f>
        <v>GR</v>
      </c>
      <c r="G24" s="7" t="s">
        <v>1550</v>
      </c>
      <c r="H24" s="69" t="s">
        <v>1541</v>
      </c>
      <c r="I24" s="7" t="s">
        <v>1542</v>
      </c>
      <c r="J24" s="7" t="s">
        <v>1561</v>
      </c>
      <c r="K24" s="16" t="b">
        <v>0</v>
      </c>
      <c r="L24" s="7" t="b">
        <v>1</v>
      </c>
      <c r="N24" s="72"/>
    </row>
    <row r="25">
      <c r="B25" s="7" t="s">
        <v>657</v>
      </c>
      <c r="C25" s="7" t="str">
        <f>IFERROR(VLOOKUP(B25,'Master data'!$A$1:$D$397,2,FALSE),"")</f>
        <v>P004-023</v>
      </c>
      <c r="D25" s="70" t="str">
        <f>VLOOKUP(B25,Sheet3!$B$2:$E$312,3,)</f>
        <v>barang jadi &amp; bahan baku</v>
      </c>
      <c r="E25" s="71">
        <v>451.0</v>
      </c>
      <c r="F25" s="16" t="str">
        <f>IFERROR(VLOOKUP(B25,'Master data'!$A$1:$D$397,3,FALSE),"")</f>
        <v>GR</v>
      </c>
      <c r="G25" s="7" t="s">
        <v>1563</v>
      </c>
      <c r="H25" s="69" t="s">
        <v>1565</v>
      </c>
      <c r="I25" s="7" t="s">
        <v>1552</v>
      </c>
      <c r="J25" s="7" t="s">
        <v>1561</v>
      </c>
      <c r="K25" s="16" t="b">
        <v>0</v>
      </c>
      <c r="L25" s="7" t="b">
        <v>1</v>
      </c>
      <c r="N25" s="72"/>
    </row>
    <row r="26">
      <c r="B26" s="7" t="s">
        <v>664</v>
      </c>
      <c r="C26" s="7" t="str">
        <f>IFERROR(VLOOKUP(B26,'Master data'!$A$1:$D$397,2,FALSE),"")</f>
        <v>P004-025</v>
      </c>
      <c r="D26" s="70" t="str">
        <f>VLOOKUP(B26,Sheet3!$B$2:$E$312,3,)</f>
        <v>barang jadi &amp; bahan baku</v>
      </c>
      <c r="E26" s="71">
        <v>248.0</v>
      </c>
      <c r="F26" s="16" t="str">
        <f>IFERROR(VLOOKUP(B26,'Master data'!$A$1:$D$397,3,FALSE),"")</f>
        <v>PRS</v>
      </c>
      <c r="G26" s="7" t="s">
        <v>1563</v>
      </c>
      <c r="I26" s="7" t="s">
        <v>1552</v>
      </c>
      <c r="J26" s="7" t="s">
        <v>1561</v>
      </c>
      <c r="K26" s="16" t="b">
        <v>0</v>
      </c>
      <c r="L26" s="7" t="b">
        <v>1</v>
      </c>
      <c r="N26" s="72"/>
    </row>
    <row r="27">
      <c r="B27" s="7" t="s">
        <v>653</v>
      </c>
      <c r="C27" s="7" t="str">
        <f>IFERROR(VLOOKUP(B27,'Master data'!$A$1:$D$397,2,FALSE),"")</f>
        <v>P004-022</v>
      </c>
      <c r="D27" s="70" t="str">
        <f>VLOOKUP(B27,Sheet3!$B$2:$E$312,3,)</f>
        <v>barang jadi &amp; bahan baku</v>
      </c>
      <c r="E27" s="71">
        <v>919.0</v>
      </c>
      <c r="F27" s="16" t="str">
        <f>IFERROR(VLOOKUP(B27,'Master data'!$A$1:$D$397,3,FALSE),"")</f>
        <v>GR</v>
      </c>
      <c r="G27" s="7" t="s">
        <v>1563</v>
      </c>
      <c r="I27" s="7" t="s">
        <v>1552</v>
      </c>
      <c r="J27" s="7" t="s">
        <v>1561</v>
      </c>
      <c r="K27" s="16" t="b">
        <v>0</v>
      </c>
      <c r="L27" s="7" t="b">
        <v>1</v>
      </c>
      <c r="N27" s="72"/>
    </row>
    <row r="28">
      <c r="B28" s="7" t="s">
        <v>660</v>
      </c>
      <c r="C28" s="7" t="str">
        <f>IFERROR(VLOOKUP(B28,'Master data'!$A$1:$D$397,2,FALSE),"")</f>
        <v>P004-024</v>
      </c>
      <c r="D28" s="70" t="str">
        <f>VLOOKUP(B28,Sheet3!$B$2:$E$312,3,)</f>
        <v>barang jadi &amp; bahan baku</v>
      </c>
      <c r="E28" s="71">
        <v>436.0</v>
      </c>
      <c r="F28" s="16" t="str">
        <f>IFERROR(VLOOKUP(B28,'Master data'!$A$1:$D$397,3,FALSE),"")</f>
        <v>ML</v>
      </c>
      <c r="G28" s="7" t="s">
        <v>1568</v>
      </c>
      <c r="I28" s="7" t="s">
        <v>1552</v>
      </c>
      <c r="J28" s="7" t="s">
        <v>1561</v>
      </c>
      <c r="K28" s="16" t="b">
        <v>0</v>
      </c>
      <c r="L28" s="7" t="b">
        <v>1</v>
      </c>
      <c r="N28" s="72"/>
    </row>
    <row r="29">
      <c r="B29" s="7" t="s">
        <v>18</v>
      </c>
      <c r="C29" s="7" t="str">
        <f>IFERROR(VLOOKUP(B29,'Master data'!$A$1:$D$397,2,FALSE),"")</f>
        <v>B001-002</v>
      </c>
      <c r="D29" s="70" t="str">
        <f>VLOOKUP(B29,Sheet3!$B$2:$E$312,3,)</f>
        <v>bahan baku</v>
      </c>
      <c r="E29" s="71">
        <v>68.0</v>
      </c>
      <c r="F29" s="16" t="str">
        <f>IFERROR(VLOOKUP(B29,'Master data'!$A$1:$D$397,3,FALSE),"")</f>
        <v>GR</v>
      </c>
      <c r="G29" s="7" t="s">
        <v>1550</v>
      </c>
      <c r="H29" s="69" t="s">
        <v>1569</v>
      </c>
      <c r="I29" s="7" t="s">
        <v>1548</v>
      </c>
      <c r="J29" s="7" t="s">
        <v>1561</v>
      </c>
      <c r="K29" s="16" t="b">
        <v>0</v>
      </c>
      <c r="L29" s="7" t="b">
        <v>1</v>
      </c>
      <c r="N29" s="72"/>
    </row>
    <row r="30">
      <c r="B30" s="7" t="s">
        <v>33</v>
      </c>
      <c r="C30" s="7" t="str">
        <f>IFERROR(VLOOKUP(B30,'Master data'!$A$1:$D$397,2,FALSE),"")</f>
        <v>B001-008</v>
      </c>
      <c r="D30" s="70" t="str">
        <f>VLOOKUP(B30,Sheet3!$B$2:$E$312,3,)</f>
        <v>bahan baku</v>
      </c>
      <c r="E30" s="78" t="s">
        <v>1570</v>
      </c>
      <c r="F30" s="16" t="str">
        <f>IFERROR(VLOOKUP(B30,'Master data'!$A$1:$D$397,3,FALSE),"")</f>
        <v>GR</v>
      </c>
      <c r="G30" s="7" t="s">
        <v>1546</v>
      </c>
      <c r="I30" s="7" t="s">
        <v>1548</v>
      </c>
      <c r="J30" s="7" t="s">
        <v>61</v>
      </c>
      <c r="K30" s="16" t="b">
        <v>0</v>
      </c>
      <c r="L30" s="7" t="b">
        <v>1</v>
      </c>
      <c r="N30" s="72"/>
    </row>
    <row r="31">
      <c r="B31" s="7" t="s">
        <v>129</v>
      </c>
      <c r="C31" s="7" t="str">
        <f>IFERROR(VLOOKUP(B31,'Master data'!$A$1:$D$397,2,FALSE),"")</f>
        <v>B001-056</v>
      </c>
      <c r="D31" s="70" t="str">
        <f>VLOOKUP(B31,Sheet3!$B$2:$E$312,3,)</f>
        <v>bahan baku</v>
      </c>
      <c r="E31" s="78" t="s">
        <v>1571</v>
      </c>
      <c r="F31" s="16" t="str">
        <f>IFERROR(VLOOKUP(B31,'Master data'!$A$1:$D$397,3,FALSE),"")</f>
        <v>ML</v>
      </c>
      <c r="G31" s="7" t="s">
        <v>1546</v>
      </c>
      <c r="I31" s="7" t="s">
        <v>1548</v>
      </c>
      <c r="J31" s="7" t="s">
        <v>61</v>
      </c>
      <c r="K31" s="16" t="b">
        <v>0</v>
      </c>
      <c r="L31" s="7" t="b">
        <v>1</v>
      </c>
      <c r="N31" s="72"/>
    </row>
    <row r="32">
      <c r="A32" s="36" t="s">
        <v>1572</v>
      </c>
      <c r="B32" s="7" t="s">
        <v>28</v>
      </c>
      <c r="C32" s="7" t="str">
        <f>IFERROR(VLOOKUP(B32,'Master data'!$A$1:$D$397,2,FALSE),"")</f>
        <v>B001-006</v>
      </c>
      <c r="D32" s="70" t="str">
        <f>VLOOKUP(B32,Sheet3!$B$2:$E$312,3,)</f>
        <v>bahan baku</v>
      </c>
      <c r="E32" s="71">
        <v>12.0</v>
      </c>
      <c r="F32" s="16" t="str">
        <f>IFERROR(VLOOKUP(B32,'Master data'!$A$1:$D$397,3,FALSE),"")</f>
        <v>GR</v>
      </c>
      <c r="G32" s="7" t="s">
        <v>1540</v>
      </c>
      <c r="H32" s="69" t="s">
        <v>1573</v>
      </c>
      <c r="I32" s="7" t="s">
        <v>1542</v>
      </c>
      <c r="J32" s="7" t="s">
        <v>1561</v>
      </c>
      <c r="K32" s="7" t="b">
        <v>0</v>
      </c>
      <c r="L32" s="7" t="b">
        <v>1</v>
      </c>
      <c r="N32" s="72"/>
    </row>
    <row r="33">
      <c r="B33" s="7" t="s">
        <v>52</v>
      </c>
      <c r="C33" s="7" t="str">
        <f>IFERROR(VLOOKUP(B33,'Master data'!$A$1:$D$397,2,FALSE),"")</f>
        <v>B001-018</v>
      </c>
      <c r="D33" s="70" t="str">
        <f>VLOOKUP(B33,Sheet3!$B$2:$E$312,3,)</f>
        <v>bahan baku</v>
      </c>
      <c r="E33" s="71">
        <v>17.0</v>
      </c>
      <c r="F33" s="16" t="str">
        <f>IFERROR(VLOOKUP(B33,'Master data'!$A$1:$D$397,3,FALSE),"")</f>
        <v>GR</v>
      </c>
      <c r="G33" s="7" t="s">
        <v>1540</v>
      </c>
      <c r="I33" s="7" t="s">
        <v>1542</v>
      </c>
      <c r="J33" s="7" t="s">
        <v>1561</v>
      </c>
      <c r="K33" s="16" t="b">
        <v>0</v>
      </c>
      <c r="L33" s="7" t="b">
        <v>1</v>
      </c>
      <c r="N33" s="72"/>
    </row>
    <row r="34">
      <c r="B34" s="7" t="s">
        <v>33</v>
      </c>
      <c r="C34" s="7" t="str">
        <f>IFERROR(VLOOKUP(B34,'Master data'!$A$1:$D$397,2,FALSE),"")</f>
        <v>B001-008</v>
      </c>
      <c r="D34" s="70" t="str">
        <f>VLOOKUP(B34,Sheet3!$B$2:$E$312,3,)</f>
        <v>bahan baku</v>
      </c>
      <c r="E34" s="71" t="s">
        <v>1576</v>
      </c>
      <c r="F34" s="16" t="str">
        <f>IFERROR(VLOOKUP(B34,'Master data'!$A$1:$D$397,3,FALSE),"")</f>
        <v>GR</v>
      </c>
      <c r="G34" s="7" t="s">
        <v>1546</v>
      </c>
      <c r="H34" s="69" t="s">
        <v>1569</v>
      </c>
      <c r="I34" s="7" t="s">
        <v>1548</v>
      </c>
      <c r="J34" s="7" t="s">
        <v>61</v>
      </c>
      <c r="K34" s="16" t="b">
        <v>0</v>
      </c>
      <c r="L34" s="7" t="b">
        <v>1</v>
      </c>
      <c r="N34" s="72"/>
    </row>
    <row r="35">
      <c r="B35" s="7" t="s">
        <v>129</v>
      </c>
      <c r="C35" s="7" t="str">
        <f>IFERROR(VLOOKUP(B35,'Master data'!$A$1:$D$397,2,FALSE),"")</f>
        <v>B001-056</v>
      </c>
      <c r="D35" s="70" t="str">
        <f>VLOOKUP(B35,Sheet3!$B$2:$E$312,3,)</f>
        <v>bahan baku</v>
      </c>
      <c r="E35" s="71" t="s">
        <v>1579</v>
      </c>
      <c r="F35" s="16" t="str">
        <f>IFERROR(VLOOKUP(B35,'Master data'!$A$1:$D$397,3,FALSE),"")</f>
        <v>ML</v>
      </c>
      <c r="G35" s="7" t="s">
        <v>1546</v>
      </c>
      <c r="I35" s="7" t="s">
        <v>1548</v>
      </c>
      <c r="J35" s="7" t="s">
        <v>61</v>
      </c>
      <c r="K35" s="16" t="b">
        <v>0</v>
      </c>
      <c r="L35" s="7" t="b">
        <v>1</v>
      </c>
      <c r="N35" s="72"/>
    </row>
    <row r="36">
      <c r="B36" s="7" t="s">
        <v>657</v>
      </c>
      <c r="C36" s="7" t="str">
        <f>IFERROR(VLOOKUP(B36,'Master data'!$A$1:$D$397,2,FALSE),"")</f>
        <v>P004-023</v>
      </c>
      <c r="D36" s="70" t="str">
        <f>VLOOKUP(B36,Sheet3!$B$2:$E$312,3,)</f>
        <v>barang jadi &amp; bahan baku</v>
      </c>
      <c r="E36" s="71">
        <v>863.0</v>
      </c>
      <c r="F36" s="16" t="str">
        <f>IFERROR(VLOOKUP(B36,'Master data'!$A$1:$D$397,3,FALSE),"")</f>
        <v>GR</v>
      </c>
      <c r="G36" s="7" t="s">
        <v>1550</v>
      </c>
      <c r="H36" s="69" t="s">
        <v>1565</v>
      </c>
      <c r="I36" s="7" t="s">
        <v>1552</v>
      </c>
      <c r="J36" s="7" t="s">
        <v>1561</v>
      </c>
      <c r="K36" s="16" t="b">
        <v>0</v>
      </c>
      <c r="L36" s="7" t="b">
        <v>1</v>
      </c>
      <c r="N36" s="72"/>
    </row>
    <row r="37">
      <c r="B37" s="7" t="s">
        <v>653</v>
      </c>
      <c r="C37" s="7" t="str">
        <f>IFERROR(VLOOKUP(B37,'Master data'!$A$1:$D$397,2,FALSE),"")</f>
        <v>P004-022</v>
      </c>
      <c r="D37" s="70" t="str">
        <f>VLOOKUP(B37,Sheet3!$B$2:$E$312,3,)</f>
        <v>barang jadi &amp; bahan baku</v>
      </c>
      <c r="E37" s="71">
        <v>400.0</v>
      </c>
      <c r="F37" s="16" t="str">
        <f>IFERROR(VLOOKUP(B37,'Master data'!$A$1:$D$397,3,FALSE),"")</f>
        <v>GR</v>
      </c>
      <c r="G37" s="7" t="s">
        <v>1550</v>
      </c>
      <c r="I37" s="7" t="s">
        <v>1552</v>
      </c>
      <c r="J37" s="7" t="s">
        <v>1561</v>
      </c>
      <c r="K37" s="16" t="b">
        <v>0</v>
      </c>
      <c r="L37" s="7" t="b">
        <v>1</v>
      </c>
      <c r="N37" s="72"/>
    </row>
    <row r="38">
      <c r="B38" s="7" t="s">
        <v>28</v>
      </c>
      <c r="C38" s="7" t="str">
        <f>IFERROR(VLOOKUP(B38,'Master data'!$A$1:$D$397,2,FALSE),"")</f>
        <v>B001-006</v>
      </c>
      <c r="D38" s="70" t="str">
        <f>VLOOKUP(B38,Sheet3!$B$2:$E$312,3,)</f>
        <v>bahan baku</v>
      </c>
      <c r="E38" s="71">
        <v>20.0</v>
      </c>
      <c r="F38" s="16" t="str">
        <f>IFERROR(VLOOKUP(B38,'Master data'!$A$1:$D$397,3,FALSE),"")</f>
        <v>GR</v>
      </c>
      <c r="G38" s="7" t="s">
        <v>1540</v>
      </c>
      <c r="H38" s="69" t="s">
        <v>1541</v>
      </c>
      <c r="I38" s="7" t="s">
        <v>1542</v>
      </c>
      <c r="J38" s="7" t="s">
        <v>1561</v>
      </c>
      <c r="K38" s="16" t="b">
        <v>0</v>
      </c>
      <c r="L38" s="7" t="b">
        <v>1</v>
      </c>
      <c r="N38" s="72"/>
    </row>
    <row r="39">
      <c r="A39" s="9"/>
      <c r="B39" s="7" t="s">
        <v>211</v>
      </c>
      <c r="C39" s="7" t="str">
        <f>IFERROR(VLOOKUP(B39,'Master data'!$A$1:$D$397,2,FALSE),"")</f>
        <v>B001-088</v>
      </c>
      <c r="D39" s="70" t="str">
        <f>VLOOKUP(B39,Sheet3!$B$2:$E$312,3,)</f>
        <v>bahan baku</v>
      </c>
      <c r="E39" s="71">
        <v>2220.0</v>
      </c>
      <c r="F39" s="16" t="str">
        <f>IFERROR(VLOOKUP(B39,'Master data'!$A$1:$D$397,3,FALSE),"")</f>
        <v>GR</v>
      </c>
      <c r="G39" s="7" t="s">
        <v>1554</v>
      </c>
      <c r="H39" s="69" t="s">
        <v>1555</v>
      </c>
      <c r="I39" s="7" t="s">
        <v>1556</v>
      </c>
      <c r="J39" s="7" t="s">
        <v>61</v>
      </c>
      <c r="K39" s="16" t="b">
        <v>0</v>
      </c>
      <c r="L39" s="7" t="b">
        <v>1</v>
      </c>
      <c r="N39" s="72"/>
    </row>
    <row r="40">
      <c r="A40" s="36" t="s">
        <v>1583</v>
      </c>
      <c r="B40" s="7" t="s">
        <v>298</v>
      </c>
      <c r="C40" s="7" t="str">
        <f>IFERROR(VLOOKUP(B40,'Master data'!$A$1:$D$397,2,FALSE),"")</f>
        <v>B001-125</v>
      </c>
      <c r="D40" s="70" t="str">
        <f>VLOOKUP(B40,Sheet3!$B$2:$E$312,3,)</f>
        <v>bahan baku</v>
      </c>
      <c r="E40" s="71">
        <v>72.0</v>
      </c>
      <c r="F40" s="16" t="str">
        <f>IFERROR(VLOOKUP(B40,'Master data'!$A$1:$D$397,3,FALSE),"")</f>
        <v>GR</v>
      </c>
      <c r="G40" s="7" t="s">
        <v>1577</v>
      </c>
      <c r="H40" s="69" t="s">
        <v>1573</v>
      </c>
      <c r="I40" s="7" t="s">
        <v>1542</v>
      </c>
      <c r="J40" s="7" t="s">
        <v>1561</v>
      </c>
      <c r="K40" s="16" t="b">
        <v>0</v>
      </c>
      <c r="L40" s="7" t="b">
        <v>1</v>
      </c>
      <c r="N40" s="72"/>
    </row>
    <row r="41">
      <c r="B41" s="7" t="s">
        <v>636</v>
      </c>
      <c r="C41" s="7" t="str">
        <f>IFERROR(VLOOKUP(B41,'Master data'!$A$1:$D$397,2,FALSE),"")</f>
        <v>P004-015</v>
      </c>
      <c r="D41" s="70" t="str">
        <f>VLOOKUP(B41,Sheet3!$B$2:$E$312,3,)</f>
        <v>barang jadi &amp; bahan baku</v>
      </c>
      <c r="E41" s="71">
        <v>129.0</v>
      </c>
      <c r="F41" s="16" t="str">
        <f>IFERROR(VLOOKUP(B41,'Master data'!$A$1:$D$397,3,FALSE),"")</f>
        <v>PRS</v>
      </c>
      <c r="G41" s="7" t="s">
        <v>1563</v>
      </c>
      <c r="H41" s="69" t="s">
        <v>1584</v>
      </c>
      <c r="I41" s="7" t="s">
        <v>1548</v>
      </c>
      <c r="J41" s="7" t="s">
        <v>1561</v>
      </c>
      <c r="K41" s="16" t="b">
        <v>0</v>
      </c>
      <c r="L41" s="7" t="b">
        <v>1</v>
      </c>
      <c r="N41" s="72"/>
    </row>
    <row r="42">
      <c r="B42" s="7" t="s">
        <v>148</v>
      </c>
      <c r="C42" s="7" t="str">
        <f>IFERROR(VLOOKUP(B42,'Master data'!$A$1:$D$397,2,FALSE),"")</f>
        <v>B001-064</v>
      </c>
      <c r="D42" s="70" t="str">
        <f>VLOOKUP(B42,Sheet3!$B$2:$E$312,3,)</f>
        <v>bahan baku</v>
      </c>
      <c r="E42" s="71">
        <v>20.0</v>
      </c>
      <c r="F42" s="16" t="str">
        <f>IFERROR(VLOOKUP(B42,'Master data'!$A$1:$D$397,3,FALSE),"")</f>
        <v>GR</v>
      </c>
      <c r="G42" s="7" t="s">
        <v>1540</v>
      </c>
      <c r="H42" s="69" t="s">
        <v>1541</v>
      </c>
      <c r="I42" s="7" t="s">
        <v>1542</v>
      </c>
      <c r="J42" s="7" t="s">
        <v>61</v>
      </c>
      <c r="K42" s="16" t="b">
        <v>0</v>
      </c>
      <c r="L42" s="7" t="b">
        <v>1</v>
      </c>
      <c r="N42" s="72"/>
    </row>
    <row r="43">
      <c r="B43" s="7" t="s">
        <v>33</v>
      </c>
      <c r="C43" s="7" t="str">
        <f>IFERROR(VLOOKUP(B43,'Master data'!$A$1:$D$397,2,FALSE),"")</f>
        <v>B001-008</v>
      </c>
      <c r="D43" s="70" t="str">
        <f>VLOOKUP(B43,Sheet3!$B$2:$E$312,3,)</f>
        <v>bahan baku</v>
      </c>
      <c r="E43" s="71" t="s">
        <v>1587</v>
      </c>
      <c r="F43" s="16" t="str">
        <f>IFERROR(VLOOKUP(B43,'Master data'!$A$1:$D$397,3,FALSE),"")</f>
        <v>GR</v>
      </c>
      <c r="G43" s="7" t="s">
        <v>1546</v>
      </c>
      <c r="H43" s="69" t="s">
        <v>1569</v>
      </c>
      <c r="I43" s="7" t="s">
        <v>1548</v>
      </c>
      <c r="J43" s="7" t="s">
        <v>61</v>
      </c>
      <c r="K43" s="16" t="b">
        <v>0</v>
      </c>
      <c r="L43" s="7" t="b">
        <v>1</v>
      </c>
      <c r="N43" s="72"/>
    </row>
    <row r="44">
      <c r="B44" s="7" t="s">
        <v>129</v>
      </c>
      <c r="C44" s="7" t="str">
        <f>IFERROR(VLOOKUP(B44,'Master data'!$A$1:$D$397,2,FALSE),"")</f>
        <v>B001-056</v>
      </c>
      <c r="D44" s="70" t="str">
        <f>VLOOKUP(B44,Sheet3!$B$2:$E$312,3,)</f>
        <v>bahan baku</v>
      </c>
      <c r="E44" s="71" t="s">
        <v>1588</v>
      </c>
      <c r="F44" s="16" t="str">
        <f>IFERROR(VLOOKUP(B44,'Master data'!$A$1:$D$397,3,FALSE),"")</f>
        <v>ML</v>
      </c>
      <c r="G44" s="7" t="s">
        <v>1546</v>
      </c>
      <c r="I44" s="7" t="s">
        <v>1548</v>
      </c>
      <c r="J44" s="7" t="s">
        <v>61</v>
      </c>
      <c r="K44" s="16" t="b">
        <v>0</v>
      </c>
      <c r="L44" s="7" t="b">
        <v>1</v>
      </c>
      <c r="N44" s="72"/>
    </row>
    <row r="45">
      <c r="B45" s="7" t="s">
        <v>657</v>
      </c>
      <c r="C45" s="7" t="str">
        <f>IFERROR(VLOOKUP(B45,'Master data'!$A$1:$D$397,2,FALSE),"")</f>
        <v>P004-023</v>
      </c>
      <c r="D45" s="70" t="str">
        <f>VLOOKUP(B45,Sheet3!$B$2:$E$312,3,)</f>
        <v>barang jadi &amp; bahan baku</v>
      </c>
      <c r="E45" s="71">
        <v>480.0</v>
      </c>
      <c r="F45" s="16" t="str">
        <f>IFERROR(VLOOKUP(B45,'Master data'!$A$1:$D$397,3,FALSE),"")</f>
        <v>GR</v>
      </c>
      <c r="G45" s="7" t="s">
        <v>1563</v>
      </c>
      <c r="H45" s="69" t="s">
        <v>1551</v>
      </c>
      <c r="I45" s="7" t="s">
        <v>1552</v>
      </c>
      <c r="J45" s="7" t="s">
        <v>1561</v>
      </c>
      <c r="K45" s="16" t="b">
        <v>0</v>
      </c>
      <c r="L45" s="7" t="b">
        <v>1</v>
      </c>
      <c r="N45" s="72"/>
    </row>
    <row r="46">
      <c r="A46" s="36" t="s">
        <v>1589</v>
      </c>
      <c r="B46" s="7" t="s">
        <v>137</v>
      </c>
      <c r="C46" s="7" t="str">
        <f>IFERROR(VLOOKUP(B46,'Master data'!$A$1:$D$397,2,FALSE),"")</f>
        <v>B001-060</v>
      </c>
      <c r="D46" s="70" t="str">
        <f>VLOOKUP(B46,Sheet3!$B$2:$E$312,3,)</f>
        <v>bahan baku</v>
      </c>
      <c r="E46" s="71">
        <v>59.0</v>
      </c>
      <c r="F46" s="16" t="str">
        <f>IFERROR(VLOOKUP(B46,'Master data'!$A$1:$D$397,3,FALSE),"")</f>
        <v>GR</v>
      </c>
      <c r="G46" s="7" t="s">
        <v>1577</v>
      </c>
      <c r="H46" s="69" t="s">
        <v>1541</v>
      </c>
      <c r="I46" s="7" t="s">
        <v>1542</v>
      </c>
      <c r="J46" s="7" t="s">
        <v>1561</v>
      </c>
      <c r="K46" s="16" t="b">
        <v>0</v>
      </c>
      <c r="L46" s="7" t="b">
        <v>1</v>
      </c>
      <c r="N46" s="72"/>
    </row>
    <row r="47">
      <c r="B47" s="7" t="s">
        <v>211</v>
      </c>
      <c r="C47" s="7" t="str">
        <f>IFERROR(VLOOKUP(B47,'Master data'!$A$1:$D$397,2,FALSE),"")</f>
        <v>B001-088</v>
      </c>
      <c r="D47" s="70" t="str">
        <f>VLOOKUP(B47,Sheet3!$B$2:$E$312,3,)</f>
        <v>bahan baku</v>
      </c>
      <c r="E47" s="64">
        <f>1530+2055</f>
        <v>3585</v>
      </c>
      <c r="F47" s="16" t="str">
        <f>IFERROR(VLOOKUP(B47,'Master data'!$A$1:$D$397,3,FALSE),"")</f>
        <v>GR</v>
      </c>
      <c r="G47" s="7" t="s">
        <v>1554</v>
      </c>
      <c r="H47" s="69" t="s">
        <v>1547</v>
      </c>
      <c r="I47" s="7" t="s">
        <v>1556</v>
      </c>
      <c r="J47" s="7" t="s">
        <v>61</v>
      </c>
      <c r="K47" s="16" t="b">
        <v>0</v>
      </c>
      <c r="L47" s="7" t="b">
        <v>1</v>
      </c>
      <c r="N47" s="72"/>
    </row>
    <row r="48">
      <c r="B48" s="7" t="s">
        <v>28</v>
      </c>
      <c r="C48" s="7" t="str">
        <f>IFERROR(VLOOKUP(B48,'Master data'!$A$1:$D$397,2,FALSE),"")</f>
        <v>B001-006</v>
      </c>
      <c r="D48" s="70" t="str">
        <f>VLOOKUP(B48,Sheet3!$B$2:$E$312,3,)</f>
        <v>bahan baku</v>
      </c>
      <c r="E48" s="71">
        <v>8.0</v>
      </c>
      <c r="F48" s="16" t="str">
        <f>IFERROR(VLOOKUP(B48,'Master data'!$A$1:$D$397,3,FALSE),"")</f>
        <v>GR</v>
      </c>
      <c r="G48" s="7" t="s">
        <v>1540</v>
      </c>
      <c r="H48" s="69" t="s">
        <v>1541</v>
      </c>
      <c r="I48" s="7" t="s">
        <v>1542</v>
      </c>
      <c r="J48" s="7" t="s">
        <v>61</v>
      </c>
      <c r="K48" s="16" t="b">
        <v>0</v>
      </c>
      <c r="L48" s="7" t="b">
        <v>1</v>
      </c>
      <c r="N48" s="72"/>
    </row>
    <row r="49">
      <c r="B49" s="7" t="s">
        <v>1272</v>
      </c>
      <c r="C49" s="7" t="str">
        <f>IFERROR(VLOOKUP(B49,'Master data'!$A$1:$D$397,2,FALSE),"")</f>
        <v>P004-048</v>
      </c>
      <c r="D49" s="70" t="str">
        <f>VLOOKUP(B49,Sheet3!$B$2:$E$312,3,)</f>
        <v>#N/A</v>
      </c>
      <c r="E49" s="71">
        <v>120.0</v>
      </c>
      <c r="F49" s="7" t="s">
        <v>20</v>
      </c>
      <c r="G49" s="86" t="s">
        <v>1591</v>
      </c>
      <c r="H49" s="69" t="s">
        <v>1592</v>
      </c>
      <c r="I49" s="7" t="s">
        <v>1542</v>
      </c>
      <c r="J49" s="7" t="s">
        <v>817</v>
      </c>
      <c r="K49" s="16" t="b">
        <v>0</v>
      </c>
      <c r="L49" s="16" t="b">
        <v>0</v>
      </c>
      <c r="M49" s="7" t="s">
        <v>1593</v>
      </c>
      <c r="N49" s="72"/>
    </row>
    <row r="50">
      <c r="B50" s="7" t="s">
        <v>65</v>
      </c>
      <c r="C50" s="7" t="str">
        <f>IFERROR(VLOOKUP(B50,'Master data'!$A$1:$D$397,2,FALSE),"")</f>
        <v>B001-023</v>
      </c>
      <c r="D50" s="70" t="str">
        <f>VLOOKUP(B50,Sheet3!$B$2:$E$312,3,)</f>
        <v>bahan baku</v>
      </c>
      <c r="E50" s="71">
        <v>20.0</v>
      </c>
      <c r="F50" s="7" t="s">
        <v>20</v>
      </c>
      <c r="I50" s="7" t="s">
        <v>1542</v>
      </c>
      <c r="J50" s="7" t="s">
        <v>817</v>
      </c>
      <c r="K50" s="16" t="b">
        <v>0</v>
      </c>
      <c r="L50" s="16" t="b">
        <v>0</v>
      </c>
      <c r="M50" s="7" t="s">
        <v>1593</v>
      </c>
      <c r="N50" s="72"/>
    </row>
    <row r="51">
      <c r="B51" s="7" t="s">
        <v>651</v>
      </c>
      <c r="C51" s="7" t="str">
        <f>IFERROR(VLOOKUP(B51,'Master data'!$A$1:$D$397,2,FALSE),"")</f>
        <v>P004-021</v>
      </c>
      <c r="D51" s="70" t="str">
        <f>VLOOKUP(B51,Sheet3!$B$2:$E$312,3,)</f>
        <v>barang jadi &amp; bahan baku</v>
      </c>
      <c r="E51" s="71">
        <v>160.0</v>
      </c>
      <c r="F51" s="16" t="str">
        <f>IFERROR(VLOOKUP(B51,'Master data'!$A$1:$D$397,3,FALSE),"")</f>
        <v>PRS</v>
      </c>
      <c r="I51" s="7" t="s">
        <v>1542</v>
      </c>
      <c r="J51" s="7" t="s">
        <v>817</v>
      </c>
      <c r="K51" s="16" t="b">
        <v>0</v>
      </c>
      <c r="L51" s="16" t="b">
        <v>0</v>
      </c>
      <c r="M51" s="7" t="s">
        <v>1593</v>
      </c>
      <c r="N51" s="72"/>
    </row>
    <row r="52">
      <c r="B52" s="7" t="s">
        <v>76</v>
      </c>
      <c r="C52" s="7" t="str">
        <f>IFERROR(VLOOKUP(B52,'Master data'!$A$1:$D$397,2,FALSE),"")</f>
        <v>B001-032</v>
      </c>
      <c r="D52" s="70" t="str">
        <f>VLOOKUP(B52,Sheet3!$B$2:$E$312,3,)</f>
        <v>bahan baku</v>
      </c>
      <c r="E52" s="71">
        <v>291.0</v>
      </c>
      <c r="F52" s="16" t="str">
        <f>IFERROR(VLOOKUP(B52,'Master data'!$A$1:$D$397,3,FALSE),"")</f>
        <v>ML</v>
      </c>
      <c r="G52" s="7" t="s">
        <v>1563</v>
      </c>
      <c r="H52" s="69" t="s">
        <v>1565</v>
      </c>
      <c r="I52" s="7" t="s">
        <v>1552</v>
      </c>
      <c r="J52" s="7" t="s">
        <v>1561</v>
      </c>
      <c r="K52" s="16" t="b">
        <v>0</v>
      </c>
      <c r="L52" s="7" t="b">
        <v>1</v>
      </c>
      <c r="N52" s="72"/>
    </row>
    <row r="53">
      <c r="B53" s="7" t="s">
        <v>148</v>
      </c>
      <c r="C53" s="7" t="str">
        <f>IFERROR(VLOOKUP(B53,'Master data'!$A$1:$D$397,2,FALSE),"")</f>
        <v>B001-064</v>
      </c>
      <c r="D53" s="70" t="str">
        <f>VLOOKUP(B53,Sheet3!$B$2:$E$312,3,)</f>
        <v>bahan baku</v>
      </c>
      <c r="E53" s="71">
        <v>21.0</v>
      </c>
      <c r="F53" s="16" t="str">
        <f>IFERROR(VLOOKUP(B53,'Master data'!$A$1:$D$397,3,FALSE),"")</f>
        <v>GR</v>
      </c>
      <c r="G53" s="7" t="s">
        <v>1540</v>
      </c>
      <c r="H53" s="69" t="s">
        <v>1573</v>
      </c>
      <c r="I53" s="7" t="s">
        <v>1542</v>
      </c>
      <c r="J53" s="7" t="s">
        <v>61</v>
      </c>
      <c r="K53" s="16" t="b">
        <v>0</v>
      </c>
      <c r="L53" s="7" t="b">
        <v>1</v>
      </c>
      <c r="N53" s="72"/>
    </row>
    <row r="54">
      <c r="B54" s="7" t="s">
        <v>33</v>
      </c>
      <c r="C54" s="7" t="str">
        <f>IFERROR(VLOOKUP(B54,'Master data'!$A$1:$D$397,2,FALSE),"")</f>
        <v>B001-008</v>
      </c>
      <c r="D54" s="70" t="str">
        <f>VLOOKUP(B54,Sheet3!$B$2:$E$312,3,)</f>
        <v>bahan baku</v>
      </c>
      <c r="E54" s="71" t="s">
        <v>1596</v>
      </c>
      <c r="F54" s="16" t="str">
        <f>IFERROR(VLOOKUP(B54,'Master data'!$A$1:$D$397,3,FALSE),"")</f>
        <v>GR</v>
      </c>
      <c r="G54" s="7" t="s">
        <v>1546</v>
      </c>
      <c r="H54" s="69" t="s">
        <v>1569</v>
      </c>
      <c r="I54" s="7" t="s">
        <v>1548</v>
      </c>
      <c r="J54" s="7" t="s">
        <v>1561</v>
      </c>
      <c r="K54" s="16" t="b">
        <v>0</v>
      </c>
      <c r="L54" s="7" t="b">
        <v>1</v>
      </c>
      <c r="N54" s="72"/>
    </row>
    <row r="55">
      <c r="B55" s="7" t="s">
        <v>129</v>
      </c>
      <c r="C55" s="7" t="str">
        <f>IFERROR(VLOOKUP(B55,'Master data'!$A$1:$D$397,2,FALSE),"")</f>
        <v>B001-056</v>
      </c>
      <c r="D55" s="70" t="str">
        <f>VLOOKUP(B55,Sheet3!$B$2:$E$312,3,)</f>
        <v>bahan baku</v>
      </c>
      <c r="E55" s="71" t="s">
        <v>1598</v>
      </c>
      <c r="F55" s="16" t="str">
        <f>IFERROR(VLOOKUP(B55,'Master data'!$A$1:$D$397,3,FALSE),"")</f>
        <v>ML</v>
      </c>
      <c r="G55" s="7" t="s">
        <v>1546</v>
      </c>
      <c r="I55" s="7" t="s">
        <v>1548</v>
      </c>
      <c r="J55" s="7" t="s">
        <v>1561</v>
      </c>
      <c r="K55" s="16" t="b">
        <v>0</v>
      </c>
      <c r="L55" s="7" t="b">
        <v>1</v>
      </c>
      <c r="N55" s="72"/>
    </row>
    <row r="56">
      <c r="B56" s="7" t="s">
        <v>653</v>
      </c>
      <c r="C56" s="7" t="str">
        <f>IFERROR(VLOOKUP(B56,'Master data'!$A$1:$D$397,2,FALSE),"")</f>
        <v>P004-022</v>
      </c>
      <c r="D56" s="70" t="str">
        <f>VLOOKUP(B56,Sheet3!$B$2:$E$312,3,)</f>
        <v>barang jadi &amp; bahan baku</v>
      </c>
      <c r="E56" s="71">
        <v>1393.0</v>
      </c>
      <c r="F56" s="16" t="str">
        <f>IFERROR(VLOOKUP(B56,'Master data'!$A$1:$D$397,3,FALSE),"")</f>
        <v>GR</v>
      </c>
      <c r="G56" s="7" t="s">
        <v>1550</v>
      </c>
      <c r="H56" s="69" t="s">
        <v>1565</v>
      </c>
      <c r="I56" s="7" t="s">
        <v>1552</v>
      </c>
      <c r="J56" s="7" t="s">
        <v>1561</v>
      </c>
      <c r="K56" s="16" t="b">
        <v>0</v>
      </c>
      <c r="L56" s="7" t="b">
        <v>1</v>
      </c>
      <c r="N56" s="72"/>
    </row>
    <row r="57">
      <c r="B57" s="7" t="s">
        <v>657</v>
      </c>
      <c r="C57" s="7" t="str">
        <f>IFERROR(VLOOKUP(B57,'Master data'!$A$1:$D$397,2,FALSE),"")</f>
        <v>P004-023</v>
      </c>
      <c r="D57" s="70" t="str">
        <f>VLOOKUP(B57,Sheet3!$B$2:$E$312,3,)</f>
        <v>barang jadi &amp; bahan baku</v>
      </c>
      <c r="E57" s="71">
        <v>1673.0</v>
      </c>
      <c r="F57" s="16" t="str">
        <f>IFERROR(VLOOKUP(B57,'Master data'!$A$1:$D$397,3,FALSE),"")</f>
        <v>GR</v>
      </c>
      <c r="G57" s="7" t="s">
        <v>1550</v>
      </c>
      <c r="H57" s="69" t="s">
        <v>1565</v>
      </c>
      <c r="I57" s="7" t="s">
        <v>1552</v>
      </c>
      <c r="J57" s="7" t="s">
        <v>1561</v>
      </c>
      <c r="K57" s="16" t="b">
        <v>0</v>
      </c>
      <c r="L57" s="7" t="b">
        <v>1</v>
      </c>
      <c r="N57" s="72"/>
    </row>
    <row r="58">
      <c r="A58" s="36" t="s">
        <v>1600</v>
      </c>
      <c r="B58" s="7" t="s">
        <v>648</v>
      </c>
      <c r="C58" s="7" t="str">
        <f>IFERROR(VLOOKUP(B58,'Master data'!$A$1:$D$397,2,FALSE),"")</f>
        <v>P004-020</v>
      </c>
      <c r="D58" s="70" t="str">
        <f>VLOOKUP(B58,Sheet3!$B$2:$E$312,3,)</f>
        <v>barang jadi &amp; bahan baku</v>
      </c>
      <c r="E58" s="71">
        <v>86.0</v>
      </c>
      <c r="F58" s="16" t="str">
        <f>IFERROR(VLOOKUP(B58,'Master data'!$A$1:$D$397,3,FALSE),"")</f>
        <v>PCS</v>
      </c>
      <c r="G58" s="7" t="s">
        <v>1563</v>
      </c>
      <c r="H58" s="69" t="s">
        <v>1601</v>
      </c>
      <c r="I58" s="7" t="s">
        <v>1552</v>
      </c>
      <c r="J58" s="7" t="s">
        <v>1561</v>
      </c>
      <c r="K58" s="16" t="b">
        <v>0</v>
      </c>
      <c r="L58" s="7" t="b">
        <v>1</v>
      </c>
      <c r="N58" s="72"/>
    </row>
    <row r="59">
      <c r="B59" s="7" t="s">
        <v>28</v>
      </c>
      <c r="C59" s="7" t="str">
        <f>IFERROR(VLOOKUP(B59,'Master data'!$A$1:$D$397,2,FALSE),"")</f>
        <v>B001-006</v>
      </c>
      <c r="D59" s="70" t="str">
        <f>VLOOKUP(B59,Sheet3!$B$2:$E$312,3,)</f>
        <v>bahan baku</v>
      </c>
      <c r="E59" s="71">
        <v>24.0</v>
      </c>
      <c r="F59" s="16" t="str">
        <f>IFERROR(VLOOKUP(B59,'Master data'!$A$1:$D$397,3,FALSE),"")</f>
        <v>GR</v>
      </c>
      <c r="G59" s="7" t="s">
        <v>1540</v>
      </c>
      <c r="H59" s="69" t="s">
        <v>1573</v>
      </c>
      <c r="I59" s="7" t="s">
        <v>1542</v>
      </c>
      <c r="J59" s="7" t="s">
        <v>61</v>
      </c>
      <c r="K59" s="16" t="b">
        <v>0</v>
      </c>
      <c r="L59" s="7" t="b">
        <v>1</v>
      </c>
      <c r="N59" s="72"/>
    </row>
    <row r="60">
      <c r="B60" s="7" t="s">
        <v>298</v>
      </c>
      <c r="C60" s="7" t="str">
        <f>IFERROR(VLOOKUP(B60,'Master data'!$A$1:$D$397,2,FALSE),"")</f>
        <v>B001-125</v>
      </c>
      <c r="D60" s="70" t="str">
        <f>VLOOKUP(B60,Sheet3!$B$2:$E$312,3,)</f>
        <v>bahan baku</v>
      </c>
      <c r="E60" s="71">
        <v>43.0</v>
      </c>
      <c r="F60" s="16" t="str">
        <f>IFERROR(VLOOKUP(B60,'Master data'!$A$1:$D$397,3,FALSE),"")</f>
        <v>GR</v>
      </c>
      <c r="G60" s="7" t="s">
        <v>1540</v>
      </c>
      <c r="H60" s="69" t="s">
        <v>1541</v>
      </c>
      <c r="I60" s="7" t="s">
        <v>1542</v>
      </c>
      <c r="J60" s="7" t="s">
        <v>61</v>
      </c>
      <c r="K60" s="16" t="b">
        <v>0</v>
      </c>
      <c r="L60" s="7" t="b">
        <v>1</v>
      </c>
      <c r="N60" s="72"/>
    </row>
    <row r="61">
      <c r="B61" s="7" t="s">
        <v>148</v>
      </c>
      <c r="C61" s="7" t="str">
        <f>IFERROR(VLOOKUP(B61,'Master data'!$A$1:$D$397,2,FALSE),"")</f>
        <v>B001-064</v>
      </c>
      <c r="D61" s="70" t="str">
        <f>VLOOKUP(B61,Sheet3!$B$2:$E$312,3,)</f>
        <v>bahan baku</v>
      </c>
      <c r="E61" s="71">
        <v>200.0</v>
      </c>
      <c r="F61" s="16" t="str">
        <f>IFERROR(VLOOKUP(B61,'Master data'!$A$1:$D$397,3,FALSE),"")</f>
        <v>GR</v>
      </c>
      <c r="G61" s="7" t="s">
        <v>1540</v>
      </c>
      <c r="H61" s="69" t="s">
        <v>1541</v>
      </c>
      <c r="I61" s="7" t="s">
        <v>1542</v>
      </c>
      <c r="J61" s="7" t="s">
        <v>61</v>
      </c>
      <c r="K61" s="16" t="b">
        <v>0</v>
      </c>
      <c r="L61" s="7" t="b">
        <v>1</v>
      </c>
      <c r="N61" s="72"/>
    </row>
    <row r="62">
      <c r="B62" s="7" t="s">
        <v>298</v>
      </c>
      <c r="C62" s="7" t="str">
        <f>IFERROR(VLOOKUP(B62,'Master data'!$A$1:$D$397,2,FALSE),"")</f>
        <v>B001-125</v>
      </c>
      <c r="D62" s="70" t="str">
        <f>VLOOKUP(B62,Sheet3!$B$2:$E$312,3,)</f>
        <v>bahan baku</v>
      </c>
      <c r="E62" s="71">
        <v>22.0</v>
      </c>
      <c r="F62" s="16" t="str">
        <f>IFERROR(VLOOKUP(B62,'Master data'!$A$1:$D$397,3,FALSE),"")</f>
        <v>GR</v>
      </c>
      <c r="G62" s="7" t="s">
        <v>1606</v>
      </c>
      <c r="H62" s="69" t="s">
        <v>1541</v>
      </c>
      <c r="I62" s="7" t="s">
        <v>1542</v>
      </c>
      <c r="J62" s="7" t="s">
        <v>1561</v>
      </c>
      <c r="K62" s="16" t="b">
        <v>0</v>
      </c>
      <c r="L62" s="7" t="b">
        <v>1</v>
      </c>
      <c r="N62" s="72"/>
    </row>
    <row r="63">
      <c r="B63" s="7" t="s">
        <v>894</v>
      </c>
      <c r="C63" s="7" t="str">
        <f>IFERROR(VLOOKUP(B63,'Master data'!$A$1:$D$397,2,FALSE),"")</f>
        <v>B001-151</v>
      </c>
      <c r="D63" s="70" t="s">
        <v>19</v>
      </c>
      <c r="E63" s="71">
        <v>8.0</v>
      </c>
      <c r="F63" s="16" t="str">
        <f>IFERROR(VLOOKUP(B63,'Master data'!$A$1:$D$397,3,FALSE),"")</f>
        <v>GR</v>
      </c>
      <c r="G63" s="7" t="s">
        <v>1540</v>
      </c>
      <c r="H63" s="69" t="s">
        <v>1541</v>
      </c>
      <c r="I63" s="7" t="s">
        <v>1542</v>
      </c>
      <c r="J63" s="7" t="s">
        <v>61</v>
      </c>
      <c r="K63" s="16" t="b">
        <v>0</v>
      </c>
      <c r="L63" s="7" t="b">
        <v>1</v>
      </c>
      <c r="N63" s="72"/>
    </row>
    <row r="64">
      <c r="B64" s="7" t="s">
        <v>653</v>
      </c>
      <c r="C64" s="7" t="str">
        <f>IFERROR(VLOOKUP(B64,'Master data'!$A$1:$D$397,2,FALSE),"")</f>
        <v>P004-022</v>
      </c>
      <c r="D64" s="70" t="str">
        <f>VLOOKUP(B64,Sheet3!$B$2:$E$312,3,)</f>
        <v>barang jadi &amp; bahan baku</v>
      </c>
      <c r="E64" s="71">
        <v>387.0</v>
      </c>
      <c r="F64" s="16" t="str">
        <f>IFERROR(VLOOKUP(B64,'Master data'!$A$1:$D$397,3,FALSE),"")</f>
        <v>GR</v>
      </c>
      <c r="G64" s="7" t="s">
        <v>1550</v>
      </c>
      <c r="H64" s="69" t="s">
        <v>1565</v>
      </c>
      <c r="I64" s="7" t="s">
        <v>1552</v>
      </c>
      <c r="J64" s="7" t="s">
        <v>1561</v>
      </c>
      <c r="K64" s="16" t="b">
        <v>0</v>
      </c>
      <c r="L64" s="7" t="b">
        <v>1</v>
      </c>
      <c r="N64" s="72"/>
    </row>
    <row r="65">
      <c r="B65" s="7" t="s">
        <v>657</v>
      </c>
      <c r="C65" s="7" t="str">
        <f>IFERROR(VLOOKUP(B65,'Master data'!$A$1:$D$397,2,FALSE),"")</f>
        <v>P004-023</v>
      </c>
      <c r="D65" s="70" t="str">
        <f>VLOOKUP(B65,Sheet3!$B$2:$E$312,3,)</f>
        <v>barang jadi &amp; bahan baku</v>
      </c>
      <c r="E65" s="71">
        <v>668.0</v>
      </c>
      <c r="F65" s="16" t="str">
        <f>IFERROR(VLOOKUP(B65,'Master data'!$A$1:$D$397,3,FALSE),"")</f>
        <v>GR</v>
      </c>
      <c r="G65" s="7" t="s">
        <v>1550</v>
      </c>
      <c r="H65" s="69" t="s">
        <v>1565</v>
      </c>
      <c r="I65" s="7" t="s">
        <v>1552</v>
      </c>
      <c r="J65" s="7" t="s">
        <v>1561</v>
      </c>
      <c r="K65" s="16" t="b">
        <v>0</v>
      </c>
      <c r="L65" s="7" t="b">
        <v>1</v>
      </c>
      <c r="N65" s="72"/>
    </row>
    <row r="66">
      <c r="B66" s="7" t="s">
        <v>660</v>
      </c>
      <c r="C66" s="7" t="str">
        <f>IFERROR(VLOOKUP(B66,'Master data'!$A$1:$D$397,2,FALSE),"")</f>
        <v>P004-024</v>
      </c>
      <c r="D66" s="70" t="str">
        <f>VLOOKUP(B66,Sheet3!$B$2:$E$312,3,)</f>
        <v>barang jadi &amp; bahan baku</v>
      </c>
      <c r="E66" s="71">
        <v>409.0</v>
      </c>
      <c r="F66" s="16" t="str">
        <f>IFERROR(VLOOKUP(B66,'Master data'!$A$1:$D$397,3,FALSE),"")</f>
        <v>ML</v>
      </c>
      <c r="G66" s="7" t="s">
        <v>1550</v>
      </c>
      <c r="H66" s="69" t="s">
        <v>1565</v>
      </c>
      <c r="I66" s="7" t="s">
        <v>1552</v>
      </c>
      <c r="J66" s="7" t="s">
        <v>1561</v>
      </c>
      <c r="K66" s="16" t="b">
        <v>0</v>
      </c>
      <c r="L66" s="7" t="b">
        <v>1</v>
      </c>
      <c r="N66" s="72"/>
    </row>
    <row r="67">
      <c r="B67" s="7" t="s">
        <v>502</v>
      </c>
      <c r="C67" s="7" t="str">
        <f>IFERROR(VLOOKUP(B67,'Master data'!$A$1:$D$397,2,FALSE),"")</f>
        <v>S001-002</v>
      </c>
      <c r="D67" s="70" t="str">
        <f>VLOOKUP(B67,Sheet3!$B$2:$E$312,3,)</f>
        <v>barang jadi</v>
      </c>
      <c r="E67" s="71">
        <v>1.0</v>
      </c>
      <c r="F67" s="16" t="str">
        <f>IFERROR(VLOOKUP(B67,'Master data'!$A$1:$D$397,3,FALSE),"")</f>
        <v>PCS</v>
      </c>
      <c r="G67" s="7" t="s">
        <v>1550</v>
      </c>
      <c r="H67" s="69" t="s">
        <v>1551</v>
      </c>
      <c r="I67" s="7" t="s">
        <v>1548</v>
      </c>
      <c r="J67" s="7" t="s">
        <v>1561</v>
      </c>
      <c r="K67" s="16" t="b">
        <v>0</v>
      </c>
      <c r="L67" s="7" t="b">
        <v>1</v>
      </c>
      <c r="N67" s="72"/>
    </row>
    <row r="68">
      <c r="B68" s="7" t="s">
        <v>1280</v>
      </c>
      <c r="C68" s="7" t="str">
        <f>IFERROR(VLOOKUP(B68,'Master data'!$A$1:$D$397,2,FALSE),"")</f>
        <v>P004-051</v>
      </c>
      <c r="D68" s="70" t="s">
        <v>600</v>
      </c>
      <c r="E68" s="71">
        <v>59.0</v>
      </c>
      <c r="F68" s="7" t="s">
        <v>20</v>
      </c>
      <c r="G68" s="7" t="s">
        <v>1563</v>
      </c>
      <c r="H68" s="69" t="s">
        <v>1541</v>
      </c>
      <c r="I68" s="7" t="s">
        <v>1542</v>
      </c>
      <c r="J68" s="7" t="s">
        <v>1561</v>
      </c>
      <c r="K68" s="16" t="b">
        <v>0</v>
      </c>
      <c r="L68" s="7" t="b">
        <v>1</v>
      </c>
      <c r="N68" s="72"/>
    </row>
    <row r="69">
      <c r="A69" s="36" t="s">
        <v>1610</v>
      </c>
      <c r="B69" s="7" t="s">
        <v>148</v>
      </c>
      <c r="C69" s="7" t="str">
        <f>IFERROR(VLOOKUP(B69,'Master data'!$A$1:$D$397,2,FALSE),"")</f>
        <v>B001-064</v>
      </c>
      <c r="D69" s="70" t="str">
        <f>VLOOKUP(B69,Sheet3!$B$2:$E$312,3,)</f>
        <v>bahan baku</v>
      </c>
      <c r="E69" s="71">
        <v>100.0</v>
      </c>
      <c r="F69" s="16" t="str">
        <f>IFERROR(VLOOKUP(B69,'Master data'!$A$1:$D$397,3,FALSE),"")</f>
        <v>GR</v>
      </c>
      <c r="G69" s="7" t="s">
        <v>1540</v>
      </c>
      <c r="H69" s="69" t="s">
        <v>1573</v>
      </c>
      <c r="I69" s="7" t="s">
        <v>1542</v>
      </c>
      <c r="J69" s="7" t="s">
        <v>61</v>
      </c>
      <c r="K69" s="16" t="b">
        <v>0</v>
      </c>
      <c r="L69" s="7" t="b">
        <v>1</v>
      </c>
      <c r="N69" s="72"/>
    </row>
    <row r="70">
      <c r="B70" s="7" t="s">
        <v>28</v>
      </c>
      <c r="C70" s="7" t="str">
        <f>IFERROR(VLOOKUP(B70,'Master data'!$A$1:$D$397,2,FALSE),"")</f>
        <v>B001-006</v>
      </c>
      <c r="D70" s="70" t="str">
        <f>VLOOKUP(B70,Sheet3!$B$2:$E$312,3,)</f>
        <v>bahan baku</v>
      </c>
      <c r="E70" s="71">
        <v>12.0</v>
      </c>
      <c r="F70" s="16" t="str">
        <f>IFERROR(VLOOKUP(B70,'Master data'!$A$1:$D$397,3,FALSE),"")</f>
        <v>GR</v>
      </c>
      <c r="G70" s="7" t="s">
        <v>1540</v>
      </c>
      <c r="H70" s="69" t="s">
        <v>1573</v>
      </c>
      <c r="I70" s="7" t="s">
        <v>1542</v>
      </c>
      <c r="J70" s="7" t="s">
        <v>61</v>
      </c>
      <c r="K70" s="16" t="b">
        <v>0</v>
      </c>
      <c r="L70" s="7" t="b">
        <v>1</v>
      </c>
      <c r="N70" s="72"/>
    </row>
    <row r="71">
      <c r="B71" s="7" t="s">
        <v>211</v>
      </c>
      <c r="C71" s="7" t="str">
        <f>IFERROR(VLOOKUP(B71,'Master data'!$A$1:$D$397,2,FALSE),"")</f>
        <v>B001-088</v>
      </c>
      <c r="D71" s="70" t="str">
        <f>VLOOKUP(B71,Sheet3!$B$2:$E$312,3,)</f>
        <v>bahan baku</v>
      </c>
      <c r="E71" s="71">
        <v>3600.0</v>
      </c>
      <c r="F71" s="16" t="str">
        <f>IFERROR(VLOOKUP(B71,'Master data'!$A$1:$D$397,3,FALSE),"")</f>
        <v>GR</v>
      </c>
      <c r="G71" s="7" t="s">
        <v>1554</v>
      </c>
      <c r="H71" s="69" t="s">
        <v>1547</v>
      </c>
      <c r="I71" s="7" t="s">
        <v>1556</v>
      </c>
      <c r="J71" s="7" t="s">
        <v>61</v>
      </c>
      <c r="K71" s="16" t="b">
        <v>0</v>
      </c>
      <c r="L71" s="7" t="b">
        <v>1</v>
      </c>
      <c r="N71" s="72"/>
    </row>
    <row r="72">
      <c r="B72" s="7" t="s">
        <v>502</v>
      </c>
      <c r="C72" s="7" t="str">
        <f>IFERROR(VLOOKUP(B72,'Master data'!$A$1:$D$397,2,FALSE),"")</f>
        <v>S001-002</v>
      </c>
      <c r="D72" s="70" t="str">
        <f>VLOOKUP(B72,Sheet3!$B$2:$E$312,3,)</f>
        <v>barang jadi</v>
      </c>
      <c r="E72" s="71">
        <v>3.0</v>
      </c>
      <c r="F72" s="16" t="str">
        <f>IFERROR(VLOOKUP(B72,'Master data'!$A$1:$D$397,3,FALSE),"")</f>
        <v>PCS</v>
      </c>
      <c r="G72" s="7" t="s">
        <v>1563</v>
      </c>
      <c r="H72" s="69" t="s">
        <v>1551</v>
      </c>
      <c r="I72" s="7" t="s">
        <v>1548</v>
      </c>
      <c r="J72" s="7" t="s">
        <v>1561</v>
      </c>
      <c r="K72" s="16" t="b">
        <v>0</v>
      </c>
      <c r="L72" s="7" t="b">
        <v>1</v>
      </c>
      <c r="N72" s="72"/>
    </row>
    <row r="73">
      <c r="B73" s="7" t="s">
        <v>664</v>
      </c>
      <c r="C73" s="7" t="str">
        <f>IFERROR(VLOOKUP(B73,'Master data'!$A$1:$D$397,2,FALSE),"")</f>
        <v>P004-025</v>
      </c>
      <c r="D73" s="70" t="str">
        <f>VLOOKUP(B73,Sheet3!$B$2:$E$312,3,)</f>
        <v>barang jadi &amp; bahan baku</v>
      </c>
      <c r="E73" s="71">
        <v>1243.0</v>
      </c>
      <c r="F73" s="16" t="str">
        <f>IFERROR(VLOOKUP(B73,'Master data'!$A$1:$D$397,3,FALSE),"")</f>
        <v>PRS</v>
      </c>
      <c r="G73" s="7" t="s">
        <v>1550</v>
      </c>
      <c r="H73" s="69" t="s">
        <v>1565</v>
      </c>
      <c r="I73" s="7" t="s">
        <v>1552</v>
      </c>
      <c r="J73" s="7" t="s">
        <v>1561</v>
      </c>
      <c r="K73" s="16" t="b">
        <v>0</v>
      </c>
      <c r="L73" s="7" t="b">
        <v>1</v>
      </c>
      <c r="N73" s="72"/>
    </row>
    <row r="74">
      <c r="B74" s="7" t="s">
        <v>657</v>
      </c>
      <c r="C74" s="7" t="str">
        <f>IFERROR(VLOOKUP(B74,'Master data'!$A$1:$D$397,2,FALSE),"")</f>
        <v>P004-023</v>
      </c>
      <c r="D74" s="70" t="str">
        <f>VLOOKUP(B74,Sheet3!$B$2:$E$312,3,)</f>
        <v>barang jadi &amp; bahan baku</v>
      </c>
      <c r="E74" s="71">
        <v>731.0</v>
      </c>
      <c r="F74" s="16" t="str">
        <f>IFERROR(VLOOKUP(B74,'Master data'!$A$1:$D$397,3,FALSE),"")</f>
        <v>GR</v>
      </c>
      <c r="G74" s="7" t="s">
        <v>1550</v>
      </c>
      <c r="H74" s="69" t="s">
        <v>1565</v>
      </c>
      <c r="I74" s="7" t="s">
        <v>1552</v>
      </c>
      <c r="J74" s="7" t="s">
        <v>1561</v>
      </c>
      <c r="K74" s="16" t="b">
        <v>0</v>
      </c>
      <c r="L74" s="7" t="b">
        <v>1</v>
      </c>
      <c r="N74" s="72"/>
    </row>
    <row r="75">
      <c r="B75" s="7" t="s">
        <v>653</v>
      </c>
      <c r="C75" s="7" t="str">
        <f>IFERROR(VLOOKUP(B75,'Master data'!$A$1:$D$397,2,FALSE),"")</f>
        <v>P004-022</v>
      </c>
      <c r="D75" s="70" t="str">
        <f>VLOOKUP(B75,Sheet3!$B$2:$E$312,3,)</f>
        <v>barang jadi &amp; bahan baku</v>
      </c>
      <c r="E75" s="71">
        <v>995.0</v>
      </c>
      <c r="F75" s="16" t="str">
        <f>IFERROR(VLOOKUP(B75,'Master data'!$A$1:$D$397,3,FALSE),"")</f>
        <v>GR</v>
      </c>
      <c r="G75" s="7" t="s">
        <v>1550</v>
      </c>
      <c r="H75" s="69" t="s">
        <v>1565</v>
      </c>
      <c r="I75" s="7" t="s">
        <v>1552</v>
      </c>
      <c r="J75" s="7" t="s">
        <v>1561</v>
      </c>
      <c r="K75" s="16" t="b">
        <v>0</v>
      </c>
      <c r="L75" s="7" t="b">
        <v>1</v>
      </c>
      <c r="N75" s="72"/>
    </row>
    <row r="76">
      <c r="B76" s="7" t="s">
        <v>28</v>
      </c>
      <c r="C76" s="7" t="str">
        <f>IFERROR(VLOOKUP(B76,'Master data'!$A$1:$D$397,2,FALSE),"")</f>
        <v>B001-006</v>
      </c>
      <c r="D76" s="70" t="str">
        <f>VLOOKUP(B76,Sheet3!$B$2:$E$312,3,)</f>
        <v>bahan baku</v>
      </c>
      <c r="E76" s="71">
        <v>9.0</v>
      </c>
      <c r="F76" s="16" t="str">
        <f>IFERROR(VLOOKUP(B76,'Master data'!$A$1:$D$397,3,FALSE),"")</f>
        <v>GR</v>
      </c>
      <c r="G76" s="7" t="s">
        <v>1540</v>
      </c>
      <c r="H76" s="69" t="s">
        <v>1541</v>
      </c>
      <c r="I76" s="7" t="s">
        <v>1542</v>
      </c>
      <c r="J76" s="7" t="s">
        <v>61</v>
      </c>
      <c r="K76" s="16" t="b">
        <v>0</v>
      </c>
      <c r="L76" s="7" t="b">
        <v>1</v>
      </c>
      <c r="N76" s="72"/>
    </row>
    <row r="77">
      <c r="B77" s="7" t="s">
        <v>211</v>
      </c>
      <c r="C77" s="7" t="str">
        <f>IFERROR(VLOOKUP(B77,'Master data'!$A$1:$D$397,2,FALSE),"")</f>
        <v>B001-088</v>
      </c>
      <c r="D77" s="70" t="str">
        <f>VLOOKUP(B77,Sheet3!$B$2:$E$312,3,)</f>
        <v>bahan baku</v>
      </c>
      <c r="E77" s="71">
        <v>4675.0</v>
      </c>
      <c r="F77" s="16" t="str">
        <f>IFERROR(VLOOKUP(B77,'Master data'!$A$1:$D$397,3,FALSE),"")</f>
        <v>GR</v>
      </c>
      <c r="G77" s="7" t="s">
        <v>1554</v>
      </c>
      <c r="H77" s="69" t="s">
        <v>1547</v>
      </c>
      <c r="I77" s="7" t="s">
        <v>1556</v>
      </c>
      <c r="J77" s="7" t="s">
        <v>61</v>
      </c>
      <c r="K77" s="16" t="b">
        <v>0</v>
      </c>
      <c r="L77" s="7" t="b">
        <v>1</v>
      </c>
      <c r="N77" s="72"/>
    </row>
    <row r="78">
      <c r="B78" s="7" t="s">
        <v>33</v>
      </c>
      <c r="C78" s="7" t="str">
        <f>IFERROR(VLOOKUP(B78,'Master data'!$A$1:$D$397,2,FALSE),"")</f>
        <v>B001-008</v>
      </c>
      <c r="D78" s="70" t="str">
        <f>VLOOKUP(B78,Sheet3!$B$2:$E$312,3,)</f>
        <v>bahan baku</v>
      </c>
      <c r="E78" s="71" t="s">
        <v>1615</v>
      </c>
      <c r="F78" s="16" t="str">
        <f>IFERROR(VLOOKUP(B78,'Master data'!$A$1:$D$397,3,FALSE),"")</f>
        <v>GR</v>
      </c>
      <c r="G78" s="7" t="s">
        <v>1616</v>
      </c>
      <c r="H78" s="69" t="s">
        <v>1547</v>
      </c>
      <c r="I78" s="7" t="s">
        <v>1548</v>
      </c>
      <c r="J78" s="7" t="s">
        <v>1561</v>
      </c>
      <c r="K78" s="16" t="b">
        <v>0</v>
      </c>
      <c r="L78" s="7" t="b">
        <v>1</v>
      </c>
      <c r="N78" s="72"/>
    </row>
    <row r="79">
      <c r="B79" s="7" t="s">
        <v>129</v>
      </c>
      <c r="C79" s="7" t="str">
        <f>IFERROR(VLOOKUP(B79,'Master data'!$A$1:$D$397,2,FALSE),"")</f>
        <v>B001-056</v>
      </c>
      <c r="D79" s="70" t="str">
        <f>VLOOKUP(B79,Sheet3!$B$2:$E$312,3,)</f>
        <v>bahan baku</v>
      </c>
      <c r="E79" s="71" t="s">
        <v>1618</v>
      </c>
      <c r="F79" s="7" t="s">
        <v>78</v>
      </c>
      <c r="G79" s="7" t="s">
        <v>1619</v>
      </c>
      <c r="H79" s="69" t="s">
        <v>1620</v>
      </c>
      <c r="I79" s="7" t="s">
        <v>1548</v>
      </c>
      <c r="J79" s="7" t="s">
        <v>1561</v>
      </c>
      <c r="K79" s="16" t="b">
        <v>0</v>
      </c>
      <c r="L79" s="7" t="b">
        <v>1</v>
      </c>
      <c r="N79" s="72"/>
    </row>
    <row r="80">
      <c r="A80" s="36" t="s">
        <v>1621</v>
      </c>
      <c r="B80" s="7" t="s">
        <v>298</v>
      </c>
      <c r="C80" s="7" t="str">
        <f>IFERROR(VLOOKUP(B80,'Master data'!$A$1:$D$397,2,FALSE),"")</f>
        <v>B001-125</v>
      </c>
      <c r="D80" s="70" t="str">
        <f>VLOOKUP(B80,Sheet3!$B$2:$E$312,3,)</f>
        <v>bahan baku</v>
      </c>
      <c r="E80" s="71">
        <v>63.0</v>
      </c>
      <c r="F80" s="16" t="str">
        <f>IFERROR(VLOOKUP(B80,'Master data'!$A$1:$D$397,3,FALSE),"")</f>
        <v>GR</v>
      </c>
      <c r="G80" s="7" t="s">
        <v>1577</v>
      </c>
      <c r="H80" s="69" t="s">
        <v>1573</v>
      </c>
      <c r="I80" s="7" t="s">
        <v>1542</v>
      </c>
      <c r="J80" s="7" t="s">
        <v>1561</v>
      </c>
      <c r="K80" s="16" t="b">
        <v>0</v>
      </c>
      <c r="L80" s="7" t="b">
        <v>1</v>
      </c>
      <c r="N80" s="72"/>
    </row>
    <row r="81">
      <c r="B81" s="7" t="s">
        <v>148</v>
      </c>
      <c r="C81" s="7" t="str">
        <f>IFERROR(VLOOKUP(B81,'Master data'!$A$1:$D$397,2,FALSE),"")</f>
        <v>B001-064</v>
      </c>
      <c r="D81" s="70" t="str">
        <f>VLOOKUP(B81,Sheet3!$B$2:$E$312,3,)</f>
        <v>bahan baku</v>
      </c>
      <c r="E81" s="71">
        <v>48.0</v>
      </c>
      <c r="F81" s="16" t="str">
        <f>IFERROR(VLOOKUP(B81,'Master data'!$A$1:$D$397,3,FALSE),"")</f>
        <v>GR</v>
      </c>
      <c r="G81" s="7" t="s">
        <v>1540</v>
      </c>
      <c r="H81" s="69" t="s">
        <v>1573</v>
      </c>
      <c r="I81" s="7" t="s">
        <v>1542</v>
      </c>
      <c r="J81" s="7" t="s">
        <v>61</v>
      </c>
      <c r="K81" s="16" t="b">
        <v>0</v>
      </c>
      <c r="L81" s="7" t="b">
        <v>1</v>
      </c>
      <c r="N81" s="72"/>
    </row>
    <row r="82">
      <c r="B82" s="7" t="s">
        <v>86</v>
      </c>
      <c r="C82" s="7" t="str">
        <f>IFERROR(VLOOKUP(B82,'Master data'!$A$1:$D$397,2,FALSE),"")</f>
        <v>B001-036</v>
      </c>
      <c r="D82" s="70" t="str">
        <f>VLOOKUP(B82,Sheet3!$B$2:$E$312,3,)</f>
        <v>bahan baku</v>
      </c>
      <c r="E82" s="71">
        <v>21.0</v>
      </c>
      <c r="F82" s="16" t="str">
        <f>IFERROR(VLOOKUP(B82,'Master data'!$A$1:$D$397,3,FALSE),"")</f>
        <v>GR</v>
      </c>
      <c r="G82" s="7" t="s">
        <v>1540</v>
      </c>
      <c r="H82" s="69" t="s">
        <v>1551</v>
      </c>
      <c r="I82" s="7" t="s">
        <v>1552</v>
      </c>
      <c r="J82" s="7" t="s">
        <v>61</v>
      </c>
      <c r="K82" s="16" t="b">
        <v>0</v>
      </c>
      <c r="L82" s="7" t="b">
        <v>1</v>
      </c>
      <c r="N82" s="72"/>
    </row>
    <row r="83">
      <c r="B83" s="7" t="s">
        <v>338</v>
      </c>
      <c r="C83" s="7" t="str">
        <f>IFERROR(VLOOKUP(B83,'Master data'!$A$1:$D$397,2,FALSE),"")</f>
        <v>B001-033</v>
      </c>
      <c r="D83" s="70" t="s">
        <v>19</v>
      </c>
      <c r="E83" s="71">
        <v>1.0</v>
      </c>
      <c r="F83" s="16" t="str">
        <f>IFERROR(VLOOKUP(B83,'Master data'!$A$1:$D$397,3,FALSE),"")</f>
        <v>PCS</v>
      </c>
      <c r="G83" s="7" t="s">
        <v>1622</v>
      </c>
      <c r="H83" s="69" t="s">
        <v>1565</v>
      </c>
      <c r="I83" s="7" t="s">
        <v>1552</v>
      </c>
      <c r="J83" s="7" t="s">
        <v>1561</v>
      </c>
      <c r="K83" s="16" t="b">
        <v>0</v>
      </c>
      <c r="L83" s="7" t="b">
        <v>1</v>
      </c>
      <c r="N83" s="72"/>
    </row>
    <row r="84">
      <c r="B84" s="7" t="s">
        <v>653</v>
      </c>
      <c r="C84" s="7" t="str">
        <f>IFERROR(VLOOKUP(B84,'Master data'!$A$1:$D$397,2,FALSE),"")</f>
        <v>P004-022</v>
      </c>
      <c r="D84" s="70" t="str">
        <f>VLOOKUP(B84,Sheet3!$B$2:$E$312,3,)</f>
        <v>barang jadi &amp; bahan baku</v>
      </c>
      <c r="E84" s="71">
        <v>193.0</v>
      </c>
      <c r="F84" s="16" t="str">
        <f>IFERROR(VLOOKUP(B84,'Master data'!$A$1:$D$397,3,FALSE),"")</f>
        <v>GR</v>
      </c>
      <c r="G84" s="7" t="s">
        <v>1550</v>
      </c>
      <c r="H84" s="69" t="s">
        <v>1565</v>
      </c>
      <c r="I84" s="7" t="s">
        <v>1552</v>
      </c>
      <c r="J84" s="7" t="s">
        <v>1561</v>
      </c>
      <c r="K84" s="16" t="b">
        <v>0</v>
      </c>
      <c r="L84" s="7" t="b">
        <v>1</v>
      </c>
      <c r="N84" s="72"/>
    </row>
    <row r="85">
      <c r="B85" s="7" t="s">
        <v>657</v>
      </c>
      <c r="C85" s="7" t="str">
        <f>IFERROR(VLOOKUP(B85,'Master data'!$A$1:$D$397,2,FALSE),"")</f>
        <v>P004-023</v>
      </c>
      <c r="D85" s="70" t="str">
        <f>VLOOKUP(B85,Sheet3!$B$2:$E$312,3,)</f>
        <v>barang jadi &amp; bahan baku</v>
      </c>
      <c r="E85" s="71">
        <v>512.0</v>
      </c>
      <c r="F85" s="16" t="str">
        <f>IFERROR(VLOOKUP(B85,'Master data'!$A$1:$D$397,3,FALSE),"")</f>
        <v>GR</v>
      </c>
      <c r="G85" s="7" t="s">
        <v>1550</v>
      </c>
      <c r="H85" s="69" t="s">
        <v>1565</v>
      </c>
      <c r="I85" s="7" t="s">
        <v>1552</v>
      </c>
      <c r="J85" s="7" t="s">
        <v>1561</v>
      </c>
      <c r="K85" s="16" t="b">
        <v>0</v>
      </c>
      <c r="L85" s="7" t="b">
        <v>1</v>
      </c>
      <c r="N85" s="72"/>
    </row>
    <row r="86">
      <c r="B86" s="7" t="s">
        <v>211</v>
      </c>
      <c r="C86" s="7" t="str">
        <f>IFERROR(VLOOKUP(B86,'Master data'!$A$1:$D$397,2,FALSE),"")</f>
        <v>B001-088</v>
      </c>
      <c r="D86" s="70" t="str">
        <f>VLOOKUP(B86,Sheet3!$B$2:$E$312,3,)</f>
        <v>bahan baku</v>
      </c>
      <c r="E86" s="71">
        <v>2675.0</v>
      </c>
      <c r="F86" s="16" t="str">
        <f>IFERROR(VLOOKUP(B86,'Master data'!$A$1:$D$397,3,FALSE),"")</f>
        <v>GR</v>
      </c>
      <c r="G86" s="7" t="s">
        <v>1554</v>
      </c>
      <c r="H86" s="69" t="s">
        <v>1555</v>
      </c>
      <c r="I86" s="7" t="s">
        <v>1556</v>
      </c>
      <c r="J86" s="7" t="s">
        <v>61</v>
      </c>
      <c r="K86" s="16" t="b">
        <v>0</v>
      </c>
      <c r="L86" s="7" t="b">
        <v>1</v>
      </c>
      <c r="N86" s="72"/>
    </row>
    <row r="87">
      <c r="B87" s="7" t="s">
        <v>1257</v>
      </c>
      <c r="C87" s="7" t="str">
        <f>IFERROR(VLOOKUP(B87,'Master data'!$A$1:$D$397,2,FALSE),"")</f>
        <v>P004-043</v>
      </c>
      <c r="D87" s="70" t="s">
        <v>600</v>
      </c>
      <c r="E87" s="71">
        <v>54.0</v>
      </c>
      <c r="F87" s="16" t="str">
        <f>IFERROR(VLOOKUP(B87,'Master data'!$A$1:$D$397,3,FALSE),"")</f>
        <v>PRS</v>
      </c>
      <c r="G87" s="7" t="s">
        <v>1563</v>
      </c>
      <c r="H87" s="69" t="s">
        <v>1541</v>
      </c>
      <c r="I87" s="7" t="s">
        <v>1542</v>
      </c>
      <c r="J87" s="7" t="s">
        <v>1561</v>
      </c>
      <c r="K87" s="16" t="b">
        <v>0</v>
      </c>
      <c r="L87" s="7" t="b">
        <v>1</v>
      </c>
      <c r="N87" s="72"/>
    </row>
    <row r="88">
      <c r="B88" s="7" t="s">
        <v>148</v>
      </c>
      <c r="C88" s="7" t="str">
        <f>IFERROR(VLOOKUP(B88,'Master data'!$A$1:$D$397,2,FALSE),"")</f>
        <v>B001-064</v>
      </c>
      <c r="D88" s="70" t="str">
        <f>VLOOKUP(B88,Sheet3!$B$2:$E$312,3,)</f>
        <v>bahan baku</v>
      </c>
      <c r="E88" s="71">
        <v>31.0</v>
      </c>
      <c r="F88" s="16" t="str">
        <f>IFERROR(VLOOKUP(B88,'Master data'!$A$1:$D$397,3,FALSE),"")</f>
        <v>GR</v>
      </c>
      <c r="G88" s="7" t="s">
        <v>1540</v>
      </c>
      <c r="H88" s="69" t="s">
        <v>1541</v>
      </c>
      <c r="I88" s="7" t="s">
        <v>1542</v>
      </c>
      <c r="J88" s="7" t="s">
        <v>61</v>
      </c>
      <c r="K88" s="16" t="b">
        <v>0</v>
      </c>
      <c r="L88" s="7" t="b">
        <v>1</v>
      </c>
      <c r="N88" s="72"/>
    </row>
    <row r="89">
      <c r="B89" s="7" t="s">
        <v>139</v>
      </c>
      <c r="C89" s="7" t="str">
        <f>IFERROR(VLOOKUP(B89,'Master data'!$A$1:$D$397,2,FALSE),"")</f>
        <v>B001-061</v>
      </c>
      <c r="D89" s="70" t="str">
        <f>VLOOKUP(B89,Sheet3!$B$2:$E$312,3,)</f>
        <v>bahan baku</v>
      </c>
      <c r="E89" s="71">
        <v>23.0</v>
      </c>
      <c r="F89" s="16" t="str">
        <f>IFERROR(VLOOKUP(B89,'Master data'!$A$1:$D$397,3,FALSE),"")</f>
        <v>GR</v>
      </c>
      <c r="G89" s="7" t="s">
        <v>1540</v>
      </c>
      <c r="H89" s="69" t="s">
        <v>1541</v>
      </c>
      <c r="I89" s="7" t="s">
        <v>1542</v>
      </c>
      <c r="J89" s="7" t="s">
        <v>61</v>
      </c>
      <c r="K89" s="16" t="b">
        <v>0</v>
      </c>
      <c r="L89" s="7" t="b">
        <v>1</v>
      </c>
      <c r="N89" s="72"/>
    </row>
    <row r="90">
      <c r="B90" s="7" t="s">
        <v>28</v>
      </c>
      <c r="C90" s="7" t="str">
        <f>IFERROR(VLOOKUP(B90,'Master data'!$A$1:$D$397,2,FALSE),"")</f>
        <v>B001-006</v>
      </c>
      <c r="D90" s="70" t="str">
        <f>VLOOKUP(B90,Sheet3!$B$2:$E$312,3,)</f>
        <v>bahan baku</v>
      </c>
      <c r="E90" s="71">
        <v>11.0</v>
      </c>
      <c r="F90" s="16" t="str">
        <f>IFERROR(VLOOKUP(B90,'Master data'!$A$1:$D$397,3,FALSE),"")</f>
        <v>GR</v>
      </c>
      <c r="G90" s="7" t="s">
        <v>1540</v>
      </c>
      <c r="H90" s="69" t="s">
        <v>1541</v>
      </c>
      <c r="I90" s="7" t="s">
        <v>1542</v>
      </c>
      <c r="J90" s="7" t="s">
        <v>61</v>
      </c>
      <c r="K90" s="16" t="b">
        <v>0</v>
      </c>
      <c r="L90" s="7" t="b">
        <v>1</v>
      </c>
      <c r="N90" s="72"/>
    </row>
    <row r="91">
      <c r="B91" s="7" t="s">
        <v>877</v>
      </c>
      <c r="C91" s="7" t="str">
        <f>IFERROR(VLOOKUP(B91,'Master data'!$A$1:$D$397,2,FALSE),"")</f>
        <v>B001-145</v>
      </c>
      <c r="D91" s="70" t="s">
        <v>19</v>
      </c>
      <c r="E91" s="71">
        <v>91.0</v>
      </c>
      <c r="F91" s="16" t="str">
        <f>IFERROR(VLOOKUP(B91,'Master data'!$A$1:$D$397,3,FALSE),"")</f>
        <v>GR</v>
      </c>
      <c r="G91" s="7" t="s">
        <v>1563</v>
      </c>
      <c r="H91" s="69" t="s">
        <v>1541</v>
      </c>
      <c r="I91" s="7" t="s">
        <v>1542</v>
      </c>
      <c r="J91" s="7" t="s">
        <v>1561</v>
      </c>
      <c r="K91" s="16" t="b">
        <v>0</v>
      </c>
      <c r="L91" s="7" t="b">
        <v>1</v>
      </c>
      <c r="N91" s="72"/>
    </row>
    <row r="92">
      <c r="B92" s="7" t="s">
        <v>148</v>
      </c>
      <c r="C92" s="7" t="str">
        <f>IFERROR(VLOOKUP(B92,'Master data'!$A$1:$D$397,2,FALSE),"")</f>
        <v>B001-064</v>
      </c>
      <c r="D92" s="70" t="str">
        <f>VLOOKUP(B92,Sheet3!$B$2:$E$312,3,)</f>
        <v>bahan baku</v>
      </c>
      <c r="E92" s="71">
        <v>25.0</v>
      </c>
      <c r="F92" s="16" t="str">
        <f>IFERROR(VLOOKUP(B92,'Master data'!$A$1:$D$397,3,FALSE),"")</f>
        <v>GR</v>
      </c>
      <c r="G92" s="7" t="s">
        <v>1540</v>
      </c>
      <c r="H92" s="69" t="s">
        <v>1541</v>
      </c>
      <c r="I92" s="7" t="s">
        <v>1542</v>
      </c>
      <c r="J92" s="7" t="s">
        <v>61</v>
      </c>
      <c r="K92" s="16" t="b">
        <v>0</v>
      </c>
      <c r="L92" s="7" t="b">
        <v>1</v>
      </c>
      <c r="N92" s="72"/>
    </row>
    <row r="93">
      <c r="B93" s="7" t="s">
        <v>33</v>
      </c>
      <c r="C93" s="7" t="str">
        <f>IFERROR(VLOOKUP(B93,'Master data'!$A$1:$D$397,2,FALSE),"")</f>
        <v>B001-008</v>
      </c>
      <c r="D93" s="70" t="str">
        <f>VLOOKUP(B93,Sheet3!$B$2:$E$312,3,)</f>
        <v>bahan baku</v>
      </c>
      <c r="E93" s="71" t="s">
        <v>1629</v>
      </c>
      <c r="F93" s="16" t="str">
        <f>IFERROR(VLOOKUP(B93,'Master data'!$A$1:$D$397,3,FALSE),"")</f>
        <v>GR</v>
      </c>
      <c r="G93" s="7" t="s">
        <v>1546</v>
      </c>
      <c r="H93" s="69" t="s">
        <v>1569</v>
      </c>
      <c r="I93" s="7" t="s">
        <v>1548</v>
      </c>
      <c r="J93" s="7" t="s">
        <v>1561</v>
      </c>
      <c r="K93" s="16" t="b">
        <v>0</v>
      </c>
      <c r="L93" s="7" t="b">
        <v>1</v>
      </c>
      <c r="N93" s="72"/>
    </row>
    <row r="94">
      <c r="B94" s="7" t="s">
        <v>129</v>
      </c>
      <c r="C94" s="7" t="str">
        <f>IFERROR(VLOOKUP(B94,'Master data'!$A$1:$D$397,2,FALSE),"")</f>
        <v>B001-056</v>
      </c>
      <c r="D94" s="70" t="str">
        <f>VLOOKUP(B94,Sheet3!$B$2:$E$312,3,)</f>
        <v>bahan baku</v>
      </c>
      <c r="E94" s="71" t="s">
        <v>1630</v>
      </c>
      <c r="F94" s="7" t="s">
        <v>78</v>
      </c>
      <c r="G94" s="7" t="s">
        <v>1546</v>
      </c>
      <c r="H94" s="69" t="s">
        <v>1569</v>
      </c>
      <c r="I94" s="7" t="s">
        <v>1548</v>
      </c>
      <c r="J94" s="7" t="s">
        <v>1561</v>
      </c>
      <c r="K94" s="16" t="b">
        <v>0</v>
      </c>
      <c r="L94" s="7" t="b">
        <v>1</v>
      </c>
      <c r="N94" s="72"/>
    </row>
    <row r="95">
      <c r="A95" s="36" t="s">
        <v>1631</v>
      </c>
      <c r="B95" s="7" t="s">
        <v>148</v>
      </c>
      <c r="C95" s="7" t="str">
        <f>IFERROR(VLOOKUP(B95,'Master data'!$A$1:$D$397,2,FALSE),"")</f>
        <v>B001-064</v>
      </c>
      <c r="D95" s="70" t="str">
        <f>VLOOKUP(B95,Sheet3!$B$2:$E$312,3,)</f>
        <v>bahan baku</v>
      </c>
      <c r="E95" s="71">
        <v>74.0</v>
      </c>
      <c r="F95" s="16" t="str">
        <f>IFERROR(VLOOKUP(B95,'Master data'!$A$1:$D$397,3,FALSE),"")</f>
        <v>GR</v>
      </c>
      <c r="G95" s="7" t="s">
        <v>1540</v>
      </c>
      <c r="H95" s="69" t="s">
        <v>1573</v>
      </c>
      <c r="I95" s="7" t="s">
        <v>1542</v>
      </c>
      <c r="J95" s="7" t="s">
        <v>61</v>
      </c>
      <c r="K95" s="16" t="b">
        <v>0</v>
      </c>
      <c r="L95" s="7" t="b">
        <v>1</v>
      </c>
      <c r="N95" s="72"/>
    </row>
    <row r="96">
      <c r="B96" s="7" t="s">
        <v>33</v>
      </c>
      <c r="C96" s="7" t="str">
        <f>IFERROR(VLOOKUP(B96,'Master data'!$A$1:$D$397,2,FALSE),"")</f>
        <v>B001-008</v>
      </c>
      <c r="D96" s="70" t="str">
        <f>VLOOKUP(B96,Sheet3!$B$2:$E$312,3,)</f>
        <v>bahan baku</v>
      </c>
      <c r="E96" s="71" t="s">
        <v>1635</v>
      </c>
      <c r="F96" s="16" t="str">
        <f>IFERROR(VLOOKUP(B96,'Master data'!$A$1:$D$397,3,FALSE),"")</f>
        <v>GR</v>
      </c>
      <c r="G96" s="7" t="s">
        <v>1616</v>
      </c>
      <c r="H96" s="69" t="s">
        <v>1637</v>
      </c>
      <c r="I96" s="7" t="s">
        <v>1548</v>
      </c>
      <c r="J96" s="7" t="s">
        <v>1561</v>
      </c>
      <c r="K96" s="16" t="b">
        <v>0</v>
      </c>
      <c r="L96" s="7" t="b">
        <v>1</v>
      </c>
      <c r="N96" s="72"/>
    </row>
    <row r="97">
      <c r="B97" s="7" t="s">
        <v>129</v>
      </c>
      <c r="C97" s="7" t="str">
        <f>IFERROR(VLOOKUP(B97,'Master data'!$A$1:$D$397,2,FALSE),"")</f>
        <v>B001-056</v>
      </c>
      <c r="D97" s="70" t="str">
        <f>VLOOKUP(B97,Sheet3!$B$2:$E$312,3,)</f>
        <v>bahan baku</v>
      </c>
      <c r="E97" s="71" t="s">
        <v>1638</v>
      </c>
      <c r="F97" s="7" t="s">
        <v>78</v>
      </c>
      <c r="G97" s="7" t="s">
        <v>1616</v>
      </c>
      <c r="H97" s="69" t="s">
        <v>1637</v>
      </c>
      <c r="I97" s="7" t="s">
        <v>1548</v>
      </c>
      <c r="J97" s="7" t="s">
        <v>1561</v>
      </c>
      <c r="K97" s="16" t="b">
        <v>0</v>
      </c>
      <c r="L97" s="7" t="b">
        <v>1</v>
      </c>
      <c r="N97" s="72"/>
    </row>
    <row r="98">
      <c r="B98" s="7" t="s">
        <v>50</v>
      </c>
      <c r="C98" s="7" t="str">
        <f>IFERROR(VLOOKUP(B98,'Master data'!$A$1:$D$397,2,FALSE),"")</f>
        <v>B001-017</v>
      </c>
      <c r="D98" s="70" t="str">
        <f>VLOOKUP(B98,Sheet3!$B$2:$E$312,3,)</f>
        <v>bahan baku</v>
      </c>
      <c r="E98" s="71">
        <v>60.0</v>
      </c>
      <c r="F98" s="16" t="str">
        <f>IFERROR(VLOOKUP(B98,'Master data'!$A$1:$D$397,3,FALSE),"")</f>
        <v>GR</v>
      </c>
      <c r="G98" s="7" t="s">
        <v>1577</v>
      </c>
      <c r="H98" s="69" t="s">
        <v>1637</v>
      </c>
      <c r="I98" s="7" t="s">
        <v>1548</v>
      </c>
      <c r="J98" s="7" t="s">
        <v>1561</v>
      </c>
      <c r="K98" s="16" t="b">
        <v>0</v>
      </c>
      <c r="L98" s="7" t="b">
        <v>1</v>
      </c>
      <c r="N98" s="72"/>
    </row>
    <row r="99">
      <c r="B99" s="7" t="s">
        <v>33</v>
      </c>
      <c r="C99" s="7" t="str">
        <f>IFERROR(VLOOKUP(B99,'Master data'!$A$1:$D$397,2,FALSE),"")</f>
        <v>B001-008</v>
      </c>
      <c r="D99" s="70" t="str">
        <f>VLOOKUP(B99,Sheet3!$B$2:$E$312,3,)</f>
        <v>bahan baku</v>
      </c>
      <c r="E99" s="71" t="s">
        <v>1639</v>
      </c>
      <c r="F99" s="16" t="str">
        <f>IFERROR(VLOOKUP(B99,'Master data'!$A$1:$D$397,3,FALSE),"")</f>
        <v>GR</v>
      </c>
      <c r="G99" s="7" t="s">
        <v>1616</v>
      </c>
      <c r="H99" s="69" t="s">
        <v>1637</v>
      </c>
      <c r="I99" s="7" t="s">
        <v>1548</v>
      </c>
      <c r="J99" s="7" t="s">
        <v>1561</v>
      </c>
      <c r="K99" s="16" t="b">
        <v>0</v>
      </c>
      <c r="L99" s="7" t="b">
        <v>1</v>
      </c>
      <c r="N99" s="72"/>
    </row>
    <row r="100">
      <c r="B100" s="7" t="s">
        <v>129</v>
      </c>
      <c r="C100" s="7" t="str">
        <f>IFERROR(VLOOKUP(B100,'Master data'!$A$1:$D$397,2,FALSE),"")</f>
        <v>B001-056</v>
      </c>
      <c r="D100" s="70" t="str">
        <f>VLOOKUP(B100,Sheet3!$B$2:$E$312,3,)</f>
        <v>bahan baku</v>
      </c>
      <c r="E100" s="71" t="s">
        <v>1641</v>
      </c>
      <c r="F100" s="7" t="s">
        <v>78</v>
      </c>
      <c r="G100" s="7" t="s">
        <v>1616</v>
      </c>
      <c r="H100" s="69" t="s">
        <v>1637</v>
      </c>
      <c r="I100" s="7" t="s">
        <v>1548</v>
      </c>
      <c r="J100" s="7" t="s">
        <v>1561</v>
      </c>
      <c r="K100" s="16" t="b">
        <v>0</v>
      </c>
      <c r="L100" s="7" t="b">
        <v>1</v>
      </c>
      <c r="N100" s="72"/>
    </row>
    <row r="101">
      <c r="B101" s="7" t="s">
        <v>76</v>
      </c>
      <c r="C101" s="7" t="str">
        <f>IFERROR(VLOOKUP(B101,'Master data'!$A$1:$D$397,2,FALSE),"")</f>
        <v>B001-032</v>
      </c>
      <c r="D101" s="70" t="str">
        <f>VLOOKUP(B101,Sheet3!$B$2:$E$312,3,)</f>
        <v>bahan baku</v>
      </c>
      <c r="E101" s="71">
        <v>112.0</v>
      </c>
      <c r="F101" s="16" t="str">
        <f>IFERROR(VLOOKUP(B101,'Master data'!$A$1:$D$397,3,FALSE),"")</f>
        <v>ML</v>
      </c>
      <c r="G101" s="7" t="s">
        <v>1563</v>
      </c>
      <c r="H101" s="69" t="s">
        <v>1565</v>
      </c>
      <c r="I101" s="7" t="s">
        <v>1552</v>
      </c>
      <c r="J101" s="7" t="s">
        <v>1561</v>
      </c>
      <c r="K101" s="16" t="b">
        <v>0</v>
      </c>
      <c r="L101" s="7" t="b">
        <v>1</v>
      </c>
      <c r="N101" s="72"/>
    </row>
    <row r="102">
      <c r="B102" s="7" t="s">
        <v>653</v>
      </c>
      <c r="C102" s="7" t="str">
        <f>IFERROR(VLOOKUP(B102,'Master data'!$A$1:$D$397,2,FALSE),"")</f>
        <v>P004-022</v>
      </c>
      <c r="D102" s="70" t="str">
        <f>VLOOKUP(B102,Sheet3!$B$2:$E$312,3,)</f>
        <v>barang jadi &amp; bahan baku</v>
      </c>
      <c r="E102" s="71">
        <v>600.0</v>
      </c>
      <c r="F102" s="16" t="str">
        <f>IFERROR(VLOOKUP(B102,'Master data'!$A$1:$D$397,3,FALSE),"")</f>
        <v>GR</v>
      </c>
      <c r="G102" s="7" t="s">
        <v>1563</v>
      </c>
      <c r="H102" s="69" t="s">
        <v>1565</v>
      </c>
      <c r="I102" s="7" t="s">
        <v>1552</v>
      </c>
      <c r="J102" s="7" t="s">
        <v>1561</v>
      </c>
      <c r="K102" s="16" t="b">
        <v>0</v>
      </c>
      <c r="L102" s="7" t="b">
        <v>1</v>
      </c>
      <c r="N102" s="72"/>
    </row>
    <row r="103">
      <c r="B103" s="7" t="s">
        <v>33</v>
      </c>
      <c r="C103" s="7" t="str">
        <f>IFERROR(VLOOKUP(B103,'Master data'!$A$1:$D$397,2,FALSE),"")</f>
        <v>B001-008</v>
      </c>
      <c r="D103" s="70" t="str">
        <f>VLOOKUP(B103,Sheet3!$B$2:$E$312,3,)</f>
        <v>bahan baku</v>
      </c>
      <c r="E103" s="71" t="s">
        <v>1642</v>
      </c>
      <c r="F103" s="16" t="str">
        <f>IFERROR(VLOOKUP(B103,'Master data'!$A$1:$D$397,3,FALSE),"")</f>
        <v>GR</v>
      </c>
      <c r="G103" s="7" t="s">
        <v>1546</v>
      </c>
      <c r="H103" s="69" t="s">
        <v>1569</v>
      </c>
      <c r="I103" s="7" t="s">
        <v>1548</v>
      </c>
      <c r="J103" s="7" t="s">
        <v>1561</v>
      </c>
      <c r="K103" s="16" t="b">
        <v>0</v>
      </c>
      <c r="L103" s="7" t="b">
        <v>1</v>
      </c>
      <c r="N103" s="72"/>
    </row>
    <row r="104">
      <c r="B104" s="7" t="s">
        <v>129</v>
      </c>
      <c r="C104" s="7" t="str">
        <f>IFERROR(VLOOKUP(B104,'Master data'!$A$1:$D$397,2,FALSE),"")</f>
        <v>B001-056</v>
      </c>
      <c r="D104" s="70" t="str">
        <f>VLOOKUP(B104,Sheet3!$B$2:$E$312,3,)</f>
        <v>bahan baku</v>
      </c>
      <c r="E104" s="71" t="s">
        <v>1644</v>
      </c>
      <c r="F104" s="7" t="s">
        <v>78</v>
      </c>
      <c r="G104" s="7" t="s">
        <v>1546</v>
      </c>
      <c r="H104" s="69" t="s">
        <v>1569</v>
      </c>
      <c r="I104" s="7" t="s">
        <v>1548</v>
      </c>
      <c r="J104" s="7" t="s">
        <v>1561</v>
      </c>
      <c r="K104" s="16" t="b">
        <v>0</v>
      </c>
      <c r="L104" s="7" t="b">
        <v>1</v>
      </c>
      <c r="N104" s="72"/>
    </row>
    <row r="105">
      <c r="B105" s="7" t="s">
        <v>629</v>
      </c>
      <c r="C105" s="7" t="str">
        <f>IFERROR(VLOOKUP(B105,'Master data'!$A$1:$D$397,2,FALSE),"")</f>
        <v>P004-012</v>
      </c>
      <c r="D105" s="70" t="str">
        <f>VLOOKUP(B105,Sheet3!$B$2:$E$312,3,)</f>
        <v>barang jadi &amp; bahan baku</v>
      </c>
      <c r="E105" s="71">
        <v>334.0</v>
      </c>
      <c r="F105" s="16" t="str">
        <f>IFERROR(VLOOKUP(B105,'Master data'!$A$1:$D$397,3,FALSE),"")</f>
        <v>GR</v>
      </c>
      <c r="G105" s="7" t="s">
        <v>1563</v>
      </c>
      <c r="H105" s="69" t="s">
        <v>1584</v>
      </c>
      <c r="I105" s="7" t="s">
        <v>1542</v>
      </c>
      <c r="J105" s="7" t="s">
        <v>1561</v>
      </c>
      <c r="K105" s="16" t="b">
        <v>0</v>
      </c>
      <c r="L105" s="7" t="b">
        <v>1</v>
      </c>
      <c r="N105" s="72"/>
    </row>
    <row r="106">
      <c r="B106" s="7" t="s">
        <v>669</v>
      </c>
      <c r="C106" s="7" t="str">
        <f>IFERROR(VLOOKUP(B106,'Master data'!$A$1:$D$397,2,FALSE),"")</f>
        <v>P004-027</v>
      </c>
      <c r="D106" s="70" t="str">
        <f>VLOOKUP(B106,Sheet3!$B$2:$E$312,3,)</f>
        <v>barang jadi &amp; bahan baku</v>
      </c>
      <c r="E106" s="71">
        <v>361.0</v>
      </c>
      <c r="F106" s="16" t="str">
        <f>IFERROR(VLOOKUP(B106,'Master data'!$A$1:$D$397,3,FALSE),"")</f>
        <v>PRS</v>
      </c>
      <c r="G106" s="7" t="s">
        <v>1560</v>
      </c>
      <c r="H106" s="69" t="s">
        <v>1584</v>
      </c>
      <c r="I106" s="7" t="s">
        <v>1542</v>
      </c>
      <c r="J106" s="7" t="s">
        <v>1561</v>
      </c>
      <c r="K106" s="16" t="b">
        <v>0</v>
      </c>
      <c r="L106" s="7" t="b">
        <v>1</v>
      </c>
      <c r="N106" s="72"/>
    </row>
    <row r="107">
      <c r="B107" s="7" t="s">
        <v>28</v>
      </c>
      <c r="C107" s="7" t="str">
        <f>IFERROR(VLOOKUP(B107,'Master data'!$A$1:$D$397,2,FALSE),"")</f>
        <v>B001-006</v>
      </c>
      <c r="D107" s="70" t="str">
        <f>VLOOKUP(B107,Sheet3!$B$2:$E$312,3,)</f>
        <v>bahan baku</v>
      </c>
      <c r="E107" s="71">
        <v>26.0</v>
      </c>
      <c r="F107" s="16" t="str">
        <f>IFERROR(VLOOKUP(B107,'Master data'!$A$1:$D$397,3,FALSE),"")</f>
        <v>GR</v>
      </c>
      <c r="G107" s="7" t="s">
        <v>1540</v>
      </c>
      <c r="H107" s="69" t="s">
        <v>1584</v>
      </c>
      <c r="I107" s="7" t="s">
        <v>1542</v>
      </c>
      <c r="J107" s="7" t="s">
        <v>61</v>
      </c>
      <c r="K107" s="16" t="b">
        <v>0</v>
      </c>
      <c r="L107" s="7" t="b">
        <v>1</v>
      </c>
      <c r="N107" s="72"/>
    </row>
    <row r="108">
      <c r="A108" s="36" t="s">
        <v>1646</v>
      </c>
      <c r="B108" s="7" t="s">
        <v>653</v>
      </c>
      <c r="C108" s="7" t="str">
        <f>IFERROR(VLOOKUP(B108,'Master data'!$A$1:$D$397,2,FALSE),"")</f>
        <v>P004-022</v>
      </c>
      <c r="D108" s="70" t="str">
        <f>VLOOKUP(B108,Sheet3!$B$2:$E$312,3,)</f>
        <v>barang jadi &amp; bahan baku</v>
      </c>
      <c r="E108" s="71">
        <v>178.0</v>
      </c>
      <c r="F108" s="16" t="str">
        <f>IFERROR(VLOOKUP(B108,'Master data'!$A$1:$D$397,3,FALSE),"")</f>
        <v>GR</v>
      </c>
      <c r="G108" s="7" t="s">
        <v>1550</v>
      </c>
      <c r="H108" s="69" t="s">
        <v>1565</v>
      </c>
      <c r="I108" s="7" t="s">
        <v>1552</v>
      </c>
      <c r="J108" s="7" t="s">
        <v>1561</v>
      </c>
      <c r="K108" s="16" t="b">
        <v>0</v>
      </c>
      <c r="L108" s="7" t="b">
        <v>1</v>
      </c>
      <c r="N108" s="72"/>
    </row>
    <row r="109">
      <c r="B109" s="7" t="s">
        <v>660</v>
      </c>
      <c r="C109" s="7" t="str">
        <f>IFERROR(VLOOKUP(B109,'Master data'!$A$1:$D$397,2,FALSE),"")</f>
        <v>P004-024</v>
      </c>
      <c r="D109" s="70" t="str">
        <f>VLOOKUP(B109,Sheet3!$B$2:$E$312,3,)</f>
        <v>barang jadi &amp; bahan baku</v>
      </c>
      <c r="E109" s="71">
        <v>1049.0</v>
      </c>
      <c r="F109" s="16" t="str">
        <f>IFERROR(VLOOKUP(B109,'Master data'!$A$1:$D$397,3,FALSE),"")</f>
        <v>ML</v>
      </c>
      <c r="G109" s="7" t="s">
        <v>1550</v>
      </c>
      <c r="H109" s="69" t="s">
        <v>1565</v>
      </c>
      <c r="I109" s="7" t="s">
        <v>1552</v>
      </c>
      <c r="J109" s="7" t="s">
        <v>1561</v>
      </c>
      <c r="K109" s="16" t="b">
        <v>0</v>
      </c>
      <c r="L109" s="7" t="b">
        <v>1</v>
      </c>
      <c r="N109" s="72"/>
    </row>
    <row r="110">
      <c r="B110" s="7" t="s">
        <v>657</v>
      </c>
      <c r="C110" s="7" t="str">
        <f>IFERROR(VLOOKUP(B110,'Master data'!$A$1:$D$397,2,FALSE),"")</f>
        <v>P004-023</v>
      </c>
      <c r="D110" s="70" t="str">
        <f>VLOOKUP(B110,Sheet3!$B$2:$E$312,3,)</f>
        <v>barang jadi &amp; bahan baku</v>
      </c>
      <c r="E110" s="71">
        <v>770.0</v>
      </c>
      <c r="F110" s="16" t="str">
        <f>IFERROR(VLOOKUP(B110,'Master data'!$A$1:$D$397,3,FALSE),"")</f>
        <v>GR</v>
      </c>
      <c r="G110" s="7" t="s">
        <v>1550</v>
      </c>
      <c r="H110" s="69" t="s">
        <v>1565</v>
      </c>
      <c r="I110" s="7" t="s">
        <v>1552</v>
      </c>
      <c r="J110" s="7" t="s">
        <v>1561</v>
      </c>
      <c r="K110" s="16" t="b">
        <v>0</v>
      </c>
      <c r="L110" s="7" t="b">
        <v>1</v>
      </c>
      <c r="N110" s="72"/>
    </row>
    <row r="111">
      <c r="B111" s="7" t="s">
        <v>28</v>
      </c>
      <c r="C111" s="7" t="str">
        <f>IFERROR(VLOOKUP(B111,'Master data'!$A$1:$D$397,2,FALSE),"")</f>
        <v>B001-006</v>
      </c>
      <c r="D111" s="70" t="str">
        <f>VLOOKUP(B111,Sheet3!$B$2:$E$312,3,)</f>
        <v>bahan baku</v>
      </c>
      <c r="E111" s="71">
        <v>19.0</v>
      </c>
      <c r="F111" s="16" t="str">
        <f>IFERROR(VLOOKUP(B111,'Master data'!$A$1:$D$397,3,FALSE),"")</f>
        <v>GR</v>
      </c>
      <c r="G111" s="7" t="s">
        <v>1550</v>
      </c>
      <c r="H111" s="69" t="s">
        <v>1584</v>
      </c>
      <c r="I111" s="7" t="s">
        <v>1542</v>
      </c>
      <c r="J111" s="7" t="s">
        <v>61</v>
      </c>
      <c r="K111" s="16" t="b">
        <v>0</v>
      </c>
      <c r="L111" s="7" t="b">
        <v>1</v>
      </c>
      <c r="N111" s="72"/>
    </row>
    <row r="112">
      <c r="B112" s="7" t="s">
        <v>211</v>
      </c>
      <c r="C112" s="7" t="str">
        <f>IFERROR(VLOOKUP(B112,'Master data'!$A$1:$D$397,2,FALSE),"")</f>
        <v>B001-088</v>
      </c>
      <c r="D112" s="70" t="str">
        <f>VLOOKUP(B112,Sheet3!$B$2:$E$312,3,)</f>
        <v>bahan baku</v>
      </c>
      <c r="E112" s="64">
        <f>2595+3200</f>
        <v>5795</v>
      </c>
      <c r="F112" s="16" t="str">
        <f>IFERROR(VLOOKUP(B112,'Master data'!$A$1:$D$397,3,FALSE),"")</f>
        <v>GR</v>
      </c>
      <c r="G112" s="7" t="s">
        <v>1554</v>
      </c>
      <c r="H112" s="69" t="s">
        <v>1555</v>
      </c>
      <c r="I112" s="7" t="s">
        <v>1556</v>
      </c>
      <c r="J112" s="7" t="s">
        <v>61</v>
      </c>
      <c r="K112" s="16" t="b">
        <v>0</v>
      </c>
      <c r="L112" s="7" t="b">
        <v>1</v>
      </c>
      <c r="N112" s="72"/>
    </row>
    <row r="113">
      <c r="B113" s="7" t="s">
        <v>28</v>
      </c>
      <c r="C113" s="7" t="str">
        <f>IFERROR(VLOOKUP(B113,'Master data'!$A$1:$D$397,2,FALSE),"")</f>
        <v>B001-006</v>
      </c>
      <c r="D113" s="70" t="str">
        <f>VLOOKUP(B113,Sheet3!$B$2:$E$312,3,)</f>
        <v>bahan baku</v>
      </c>
      <c r="E113" s="71">
        <v>10.0</v>
      </c>
      <c r="F113" s="16" t="str">
        <f>IFERROR(VLOOKUP(B113,'Master data'!$A$1:$D$397,3,FALSE),"")</f>
        <v>GR</v>
      </c>
      <c r="G113" s="7" t="s">
        <v>1540</v>
      </c>
      <c r="H113" s="69" t="s">
        <v>1573</v>
      </c>
      <c r="I113" s="7" t="s">
        <v>1542</v>
      </c>
      <c r="J113" s="7" t="s">
        <v>61</v>
      </c>
      <c r="K113" s="16" t="b">
        <v>0</v>
      </c>
      <c r="L113" s="7" t="b">
        <v>1</v>
      </c>
      <c r="N113" s="72"/>
    </row>
    <row r="114">
      <c r="B114" s="7" t="s">
        <v>86</v>
      </c>
      <c r="C114" s="7" t="str">
        <f>IFERROR(VLOOKUP(B114,'Master data'!$A$1:$D$397,2,FALSE),"")</f>
        <v>B001-036</v>
      </c>
      <c r="D114" s="70" t="str">
        <f>VLOOKUP(B114,Sheet3!$B$2:$E$312,3,)</f>
        <v>bahan baku</v>
      </c>
      <c r="E114" s="71">
        <v>50.0</v>
      </c>
      <c r="F114" s="16" t="str">
        <f>IFERROR(VLOOKUP(B114,'Master data'!$A$1:$D$397,3,FALSE),"")</f>
        <v>GR</v>
      </c>
      <c r="G114" s="7" t="s">
        <v>1577</v>
      </c>
      <c r="H114" s="69" t="s">
        <v>1565</v>
      </c>
      <c r="I114" s="7" t="s">
        <v>1552</v>
      </c>
      <c r="J114" s="7" t="s">
        <v>1561</v>
      </c>
      <c r="K114" s="16" t="b">
        <v>0</v>
      </c>
      <c r="L114" s="7" t="b">
        <v>1</v>
      </c>
      <c r="N114" s="72"/>
    </row>
    <row r="115">
      <c r="B115" s="7" t="s">
        <v>111</v>
      </c>
      <c r="C115" s="7" t="str">
        <f>IFERROR(VLOOKUP(B115,'Master data'!$A$1:$D$397,2,FALSE),"")</f>
        <v>B001-047</v>
      </c>
      <c r="D115" s="70" t="str">
        <f>VLOOKUP(B115,Sheet3!$B$2:$E$312,3,)</f>
        <v>bahan baku</v>
      </c>
      <c r="E115" s="71">
        <v>9.0</v>
      </c>
      <c r="F115" s="16" t="str">
        <f>IFERROR(VLOOKUP(B115,'Master data'!$A$1:$D$397,3,FALSE),"")</f>
        <v>GR</v>
      </c>
      <c r="G115" s="7" t="s">
        <v>1577</v>
      </c>
      <c r="H115" s="69" t="s">
        <v>1565</v>
      </c>
      <c r="I115" s="7" t="s">
        <v>1552</v>
      </c>
      <c r="J115" s="7" t="s">
        <v>1561</v>
      </c>
      <c r="K115" s="16" t="b">
        <v>0</v>
      </c>
      <c r="L115" s="7" t="b">
        <v>1</v>
      </c>
      <c r="N115" s="72"/>
    </row>
    <row r="116">
      <c r="A116" s="36" t="s">
        <v>1649</v>
      </c>
      <c r="B116" s="7" t="s">
        <v>36</v>
      </c>
      <c r="C116" s="7" t="str">
        <f>IFERROR(VLOOKUP(B116,'Master data'!$A$1:$D$397,2,FALSE),"")</f>
        <v>B001-009</v>
      </c>
      <c r="D116" s="70" t="str">
        <f>VLOOKUP(B116,Sheet3!$B$2:$E$312,3,)</f>
        <v>bahan baku</v>
      </c>
      <c r="E116" s="71">
        <v>14.0</v>
      </c>
      <c r="F116" s="16" t="str">
        <f>IFERROR(VLOOKUP(B116,'Master data'!$A$1:$D$397,3,FALSE),"")</f>
        <v>GR</v>
      </c>
      <c r="G116" s="7" t="s">
        <v>1557</v>
      </c>
      <c r="H116" s="69" t="s">
        <v>1551</v>
      </c>
      <c r="I116" s="7" t="s">
        <v>1552</v>
      </c>
      <c r="J116" s="7" t="s">
        <v>1558</v>
      </c>
      <c r="K116" s="16" t="b">
        <v>0</v>
      </c>
      <c r="L116" s="7" t="b">
        <v>1</v>
      </c>
      <c r="N116" s="72"/>
    </row>
    <row r="117">
      <c r="B117" s="7" t="s">
        <v>870</v>
      </c>
      <c r="C117" s="7" t="str">
        <f>IFERROR(VLOOKUP(B117,'Master data'!$A$1:$D$397,2,FALSE),"")</f>
        <v>B001-143</v>
      </c>
      <c r="D117" s="70" t="s">
        <v>19</v>
      </c>
      <c r="E117" s="71" t="s">
        <v>1651</v>
      </c>
      <c r="F117" s="16" t="str">
        <f>IFERROR(VLOOKUP(B117,'Master data'!$A$1:$D$397,3,FALSE),"")</f>
        <v>GR</v>
      </c>
      <c r="G117" s="7" t="s">
        <v>1652</v>
      </c>
      <c r="H117" s="69" t="s">
        <v>1569</v>
      </c>
      <c r="I117" s="7" t="s">
        <v>1548</v>
      </c>
      <c r="J117" s="7" t="s">
        <v>1561</v>
      </c>
      <c r="K117" s="16" t="b">
        <v>0</v>
      </c>
      <c r="L117" s="7" t="b">
        <v>1</v>
      </c>
      <c r="N117" s="72"/>
    </row>
    <row r="118">
      <c r="B118" s="7" t="s">
        <v>33</v>
      </c>
      <c r="C118" s="7" t="str">
        <f>IFERROR(VLOOKUP(B118,'Master data'!$A$1:$D$397,2,FALSE),"")</f>
        <v>B001-008</v>
      </c>
      <c r="D118" s="70" t="str">
        <f>VLOOKUP(B118,Sheet3!$B$2:$E$312,3,)</f>
        <v>bahan baku</v>
      </c>
      <c r="E118" s="71" t="s">
        <v>1653</v>
      </c>
      <c r="F118" s="16" t="str">
        <f>IFERROR(VLOOKUP(B118,'Master data'!$A$1:$D$397,3,FALSE),"")</f>
        <v>GR</v>
      </c>
      <c r="G118" s="7" t="s">
        <v>1652</v>
      </c>
      <c r="I118" s="7" t="s">
        <v>1548</v>
      </c>
      <c r="J118" s="7" t="s">
        <v>1561</v>
      </c>
      <c r="K118" s="16" t="b">
        <v>0</v>
      </c>
      <c r="L118" s="7" t="b">
        <v>1</v>
      </c>
      <c r="N118" s="72"/>
    </row>
    <row r="119">
      <c r="B119" s="7" t="s">
        <v>129</v>
      </c>
      <c r="C119" s="7" t="str">
        <f>IFERROR(VLOOKUP(B119,'Master data'!$A$1:$D$397,2,FALSE),"")</f>
        <v>B001-056</v>
      </c>
      <c r="D119" s="70" t="str">
        <f>VLOOKUP(B119,Sheet3!$B$2:$E$312,3,)</f>
        <v>bahan baku</v>
      </c>
      <c r="E119" s="71" t="s">
        <v>1654</v>
      </c>
      <c r="F119" s="7" t="s">
        <v>78</v>
      </c>
      <c r="G119" s="7" t="s">
        <v>1652</v>
      </c>
      <c r="I119" s="7" t="s">
        <v>1548</v>
      </c>
      <c r="J119" s="7" t="s">
        <v>1561</v>
      </c>
      <c r="K119" s="16" t="b">
        <v>0</v>
      </c>
      <c r="L119" s="7" t="b">
        <v>1</v>
      </c>
      <c r="N119" s="72"/>
    </row>
    <row r="120">
      <c r="B120" s="7" t="s">
        <v>867</v>
      </c>
      <c r="C120" s="7" t="str">
        <f>IFERROR(VLOOKUP(B120,'Master data'!$A$1:$D$397,2,FALSE),"")</f>
        <v>B001-142</v>
      </c>
      <c r="D120" s="70" t="s">
        <v>19</v>
      </c>
      <c r="E120" s="71" t="s">
        <v>1655</v>
      </c>
      <c r="F120" s="16" t="str">
        <f>IFERROR(VLOOKUP(B120,'Master data'!$A$1:$D$397,3,FALSE),"")</f>
        <v>GR</v>
      </c>
      <c r="G120" s="7" t="s">
        <v>1652</v>
      </c>
      <c r="I120" s="7" t="s">
        <v>1548</v>
      </c>
      <c r="J120" s="7" t="s">
        <v>1561</v>
      </c>
      <c r="K120" s="16" t="b">
        <v>0</v>
      </c>
      <c r="L120" s="7" t="b">
        <v>1</v>
      </c>
      <c r="N120" s="72"/>
    </row>
    <row r="121">
      <c r="B121" s="7" t="s">
        <v>76</v>
      </c>
      <c r="C121" s="7" t="str">
        <f>IFERROR(VLOOKUP(B121,'Master data'!$A$1:$D$397,2,FALSE),"")</f>
        <v>B001-032</v>
      </c>
      <c r="D121" s="70" t="str">
        <f>VLOOKUP(B121,Sheet3!$B$2:$E$312,3,)</f>
        <v>bahan baku</v>
      </c>
      <c r="E121" s="71">
        <v>335.0</v>
      </c>
      <c r="F121" s="16" t="str">
        <f>IFERROR(VLOOKUP(B121,'Master data'!$A$1:$D$397,3,FALSE),"")</f>
        <v>ML</v>
      </c>
      <c r="G121" s="7" t="s">
        <v>1563</v>
      </c>
      <c r="H121" s="69" t="s">
        <v>1565</v>
      </c>
      <c r="I121" s="7" t="s">
        <v>1552</v>
      </c>
      <c r="J121" s="7" t="s">
        <v>1561</v>
      </c>
      <c r="K121" s="16" t="b">
        <v>0</v>
      </c>
      <c r="L121" s="7" t="b">
        <v>1</v>
      </c>
      <c r="N121" s="72"/>
    </row>
    <row r="122">
      <c r="B122" s="7" t="s">
        <v>65</v>
      </c>
      <c r="C122" s="7" t="str">
        <f>IFERROR(VLOOKUP(B122,'Master data'!$A$1:$D$397,2,FALSE),"")</f>
        <v>B001-023</v>
      </c>
      <c r="D122" s="70" t="str">
        <f>VLOOKUP(B122,Sheet3!$B$2:$E$312,3,)</f>
        <v>bahan baku</v>
      </c>
      <c r="E122" s="71">
        <v>57.0</v>
      </c>
      <c r="F122" s="16" t="str">
        <f>IFERROR(VLOOKUP(B122,'Master data'!$A$1:$D$397,3,FALSE),"")</f>
        <v>GR</v>
      </c>
      <c r="G122" s="7" t="s">
        <v>1563</v>
      </c>
      <c r="H122" s="69" t="s">
        <v>1541</v>
      </c>
      <c r="I122" s="7" t="s">
        <v>1542</v>
      </c>
      <c r="J122" s="7" t="s">
        <v>1561</v>
      </c>
      <c r="K122" s="16" t="b">
        <v>0</v>
      </c>
      <c r="L122" s="7" t="b">
        <v>1</v>
      </c>
      <c r="N122" s="72"/>
    </row>
    <row r="123">
      <c r="B123" s="7" t="s">
        <v>657</v>
      </c>
      <c r="C123" s="7" t="str">
        <f>IFERROR(VLOOKUP(B123,'Master data'!$A$1:$D$397,2,FALSE),"")</f>
        <v>P004-023</v>
      </c>
      <c r="D123" s="70" t="str">
        <f>VLOOKUP(B123,Sheet3!$B$2:$E$312,3,)</f>
        <v>barang jadi &amp; bahan baku</v>
      </c>
      <c r="E123" s="71">
        <v>322.0</v>
      </c>
      <c r="F123" s="16" t="str">
        <f>IFERROR(VLOOKUP(B123,'Master data'!$A$1:$D$397,3,FALSE),"")</f>
        <v>GR</v>
      </c>
      <c r="G123" s="7" t="s">
        <v>1563</v>
      </c>
      <c r="H123" s="69" t="s">
        <v>1565</v>
      </c>
      <c r="I123" s="7" t="s">
        <v>1552</v>
      </c>
      <c r="J123" s="7" t="s">
        <v>1561</v>
      </c>
      <c r="K123" s="16" t="b">
        <v>0</v>
      </c>
      <c r="L123" s="7" t="b">
        <v>1</v>
      </c>
      <c r="N123" s="72"/>
    </row>
    <row r="124">
      <c r="B124" s="7" t="s">
        <v>664</v>
      </c>
      <c r="C124" s="7" t="str">
        <f>IFERROR(VLOOKUP(B124,'Master data'!$A$1:$D$397,2,FALSE),"")</f>
        <v>P004-025</v>
      </c>
      <c r="D124" s="70" t="str">
        <f>VLOOKUP(B124,Sheet3!$B$2:$E$312,3,)</f>
        <v>barang jadi &amp; bahan baku</v>
      </c>
      <c r="E124" s="71">
        <v>144.0</v>
      </c>
      <c r="F124" s="16" t="str">
        <f>IFERROR(VLOOKUP(B124,'Master data'!$A$1:$D$397,3,FALSE),"")</f>
        <v>PRS</v>
      </c>
      <c r="G124" s="7" t="s">
        <v>1563</v>
      </c>
      <c r="H124" s="69" t="s">
        <v>1565</v>
      </c>
      <c r="I124" s="7" t="s">
        <v>1552</v>
      </c>
      <c r="J124" s="7" t="s">
        <v>1561</v>
      </c>
      <c r="K124" s="16" t="b">
        <v>0</v>
      </c>
      <c r="L124" s="7" t="b">
        <v>1</v>
      </c>
      <c r="N124" s="72"/>
    </row>
    <row r="125">
      <c r="B125" s="7" t="s">
        <v>653</v>
      </c>
      <c r="C125" s="7" t="str">
        <f>IFERROR(VLOOKUP(B125,'Master data'!$A$1:$D$397,2,FALSE),"")</f>
        <v>P004-022</v>
      </c>
      <c r="D125" s="70" t="str">
        <f>VLOOKUP(B125,Sheet3!$B$2:$E$312,3,)</f>
        <v>barang jadi &amp; bahan baku</v>
      </c>
      <c r="E125" s="71">
        <v>447.0</v>
      </c>
      <c r="F125" s="16" t="str">
        <f>IFERROR(VLOOKUP(B125,'Master data'!$A$1:$D$397,3,FALSE),"")</f>
        <v>GR</v>
      </c>
      <c r="G125" s="7" t="s">
        <v>1563</v>
      </c>
      <c r="H125" s="69" t="s">
        <v>1565</v>
      </c>
      <c r="I125" s="7" t="s">
        <v>1552</v>
      </c>
      <c r="J125" s="7" t="s">
        <v>1561</v>
      </c>
      <c r="K125" s="16" t="b">
        <v>0</v>
      </c>
      <c r="L125" s="7" t="b">
        <v>1</v>
      </c>
      <c r="N125" s="72"/>
    </row>
    <row r="126">
      <c r="B126" s="7" t="s">
        <v>211</v>
      </c>
      <c r="C126" s="7" t="str">
        <f>IFERROR(VLOOKUP(B126,'Master data'!$A$1:$D$397,2,FALSE),"")</f>
        <v>B001-088</v>
      </c>
      <c r="D126" s="70" t="str">
        <f>VLOOKUP(B126,Sheet3!$B$2:$E$312,3,)</f>
        <v>bahan baku</v>
      </c>
      <c r="E126" s="71">
        <v>3125.0</v>
      </c>
      <c r="F126" s="16" t="str">
        <f>IFERROR(VLOOKUP(B126,'Master data'!$A$1:$D$397,3,FALSE),"")</f>
        <v>GR</v>
      </c>
      <c r="G126" s="7" t="s">
        <v>1554</v>
      </c>
      <c r="H126" s="69" t="s">
        <v>1547</v>
      </c>
      <c r="I126" s="7" t="s">
        <v>1556</v>
      </c>
      <c r="J126" s="7" t="s">
        <v>61</v>
      </c>
      <c r="K126" s="16" t="b">
        <v>0</v>
      </c>
      <c r="L126" s="7" t="b">
        <v>1</v>
      </c>
      <c r="N126" s="72"/>
    </row>
    <row r="127">
      <c r="A127" s="36" t="s">
        <v>1659</v>
      </c>
      <c r="B127" s="7" t="s">
        <v>36</v>
      </c>
      <c r="C127" s="7" t="str">
        <f>IFERROR(VLOOKUP(B127,'Master data'!$A$1:$D$397,2,FALSE),"")</f>
        <v>B001-009</v>
      </c>
      <c r="D127" s="70" t="str">
        <f>VLOOKUP(B127,Sheet3!$B$2:$E$312,3,)</f>
        <v>bahan baku</v>
      </c>
      <c r="E127" s="71">
        <v>29.0</v>
      </c>
      <c r="F127" s="16" t="str">
        <f>IFERROR(VLOOKUP(B127,'Master data'!$A$1:$D$397,3,FALSE),"")</f>
        <v>GR</v>
      </c>
      <c r="G127" s="7" t="s">
        <v>1557</v>
      </c>
      <c r="H127" s="69" t="s">
        <v>1584</v>
      </c>
      <c r="I127" s="7" t="s">
        <v>1552</v>
      </c>
      <c r="J127" s="7" t="s">
        <v>1558</v>
      </c>
      <c r="K127" s="16" t="b">
        <v>0</v>
      </c>
      <c r="L127" s="7" t="b">
        <v>1</v>
      </c>
      <c r="N127" s="72"/>
    </row>
    <row r="128">
      <c r="B128" s="7" t="s">
        <v>657</v>
      </c>
      <c r="C128" s="7" t="str">
        <f>IFERROR(VLOOKUP(B128,'Master data'!$A$1:$D$397,2,FALSE),"")</f>
        <v>P004-023</v>
      </c>
      <c r="D128" s="70" t="str">
        <f>VLOOKUP(B128,Sheet3!$B$2:$E$312,3,)</f>
        <v>barang jadi &amp; bahan baku</v>
      </c>
      <c r="E128" s="71">
        <v>652.0</v>
      </c>
      <c r="F128" s="16" t="str">
        <f>IFERROR(VLOOKUP(B128,'Master data'!$A$1:$D$397,3,FALSE),"")</f>
        <v>GR</v>
      </c>
      <c r="G128" s="7" t="s">
        <v>1550</v>
      </c>
      <c r="H128" s="69" t="s">
        <v>1584</v>
      </c>
      <c r="I128" s="7" t="s">
        <v>1552</v>
      </c>
      <c r="J128" s="7" t="s">
        <v>1561</v>
      </c>
      <c r="K128" s="16" t="b">
        <v>0</v>
      </c>
      <c r="L128" s="7" t="b">
        <v>1</v>
      </c>
      <c r="N128" s="72"/>
    </row>
    <row r="129">
      <c r="B129" s="7" t="s">
        <v>664</v>
      </c>
      <c r="C129" s="7" t="str">
        <f>IFERROR(VLOOKUP(B129,'Master data'!$A$1:$D$397,2,FALSE),"")</f>
        <v>P004-025</v>
      </c>
      <c r="D129" s="70" t="str">
        <f>VLOOKUP(B129,Sheet3!$B$2:$E$312,3,)</f>
        <v>barang jadi &amp; bahan baku</v>
      </c>
      <c r="E129" s="71">
        <v>177.0</v>
      </c>
      <c r="F129" s="16" t="str">
        <f>IFERROR(VLOOKUP(B129,'Master data'!$A$1:$D$397,3,FALSE),"")</f>
        <v>PRS</v>
      </c>
      <c r="G129" s="7" t="s">
        <v>1550</v>
      </c>
      <c r="H129" s="69" t="s">
        <v>1584</v>
      </c>
      <c r="I129" s="7" t="s">
        <v>1552</v>
      </c>
      <c r="J129" s="7" t="s">
        <v>1561</v>
      </c>
      <c r="K129" s="16" t="b">
        <v>0</v>
      </c>
      <c r="L129" s="7" t="b">
        <v>1</v>
      </c>
      <c r="N129" s="72"/>
    </row>
    <row r="130">
      <c r="B130" s="7" t="s">
        <v>653</v>
      </c>
      <c r="C130" s="7" t="str">
        <f>IFERROR(VLOOKUP(B130,'Master data'!$A$1:$D$397,2,FALSE),"")</f>
        <v>P004-022</v>
      </c>
      <c r="D130" s="70" t="str">
        <f>VLOOKUP(B130,Sheet3!$B$2:$E$312,3,)</f>
        <v>barang jadi &amp; bahan baku</v>
      </c>
      <c r="E130" s="71">
        <v>333.0</v>
      </c>
      <c r="F130" s="16" t="str">
        <f>IFERROR(VLOOKUP(B130,'Master data'!$A$1:$D$397,3,FALSE),"")</f>
        <v>GR</v>
      </c>
      <c r="G130" s="7" t="s">
        <v>1550</v>
      </c>
      <c r="H130" s="69" t="s">
        <v>1584</v>
      </c>
      <c r="I130" s="7" t="s">
        <v>1552</v>
      </c>
      <c r="J130" s="7" t="s">
        <v>1561</v>
      </c>
      <c r="K130" s="16" t="b">
        <v>0</v>
      </c>
      <c r="L130" s="7" t="b">
        <v>1</v>
      </c>
      <c r="N130" s="72"/>
    </row>
    <row r="131">
      <c r="B131" s="7" t="s">
        <v>660</v>
      </c>
      <c r="C131" s="7" t="str">
        <f>IFERROR(VLOOKUP(B131,'Master data'!$A$1:$D$397,2,FALSE),"")</f>
        <v>P004-024</v>
      </c>
      <c r="D131" s="70" t="str">
        <f>VLOOKUP(B131,Sheet3!$B$2:$E$312,3,)</f>
        <v>barang jadi &amp; bahan baku</v>
      </c>
      <c r="E131" s="71">
        <v>942.0</v>
      </c>
      <c r="F131" s="16" t="str">
        <f>IFERROR(VLOOKUP(B131,'Master data'!$A$1:$D$397,3,FALSE),"")</f>
        <v>ML</v>
      </c>
      <c r="G131" s="7" t="s">
        <v>1550</v>
      </c>
      <c r="H131" s="69" t="s">
        <v>1584</v>
      </c>
      <c r="I131" s="7" t="s">
        <v>1552</v>
      </c>
      <c r="J131" s="7" t="s">
        <v>1561</v>
      </c>
      <c r="K131" s="16" t="b">
        <v>0</v>
      </c>
      <c r="L131" s="7" t="b">
        <v>1</v>
      </c>
      <c r="N131" s="72"/>
    </row>
    <row r="132">
      <c r="B132" s="7" t="s">
        <v>211</v>
      </c>
      <c r="C132" s="7" t="str">
        <f>IFERROR(VLOOKUP(B132,'Master data'!$A$1:$D$397,2,FALSE),"")</f>
        <v>B001-088</v>
      </c>
      <c r="D132" s="70" t="str">
        <f>VLOOKUP(B132,Sheet3!$B$2:$E$312,3,)</f>
        <v>bahan baku</v>
      </c>
      <c r="E132" s="71">
        <v>3360.0</v>
      </c>
      <c r="F132" s="16" t="str">
        <f>IFERROR(VLOOKUP(B132,'Master data'!$A$1:$D$397,3,FALSE),"")</f>
        <v>GR</v>
      </c>
      <c r="G132" s="7" t="s">
        <v>1554</v>
      </c>
      <c r="H132" s="69" t="s">
        <v>1555</v>
      </c>
      <c r="I132" s="7" t="s">
        <v>1556</v>
      </c>
      <c r="J132" s="7" t="s">
        <v>61</v>
      </c>
      <c r="K132" s="16" t="b">
        <v>0</v>
      </c>
      <c r="L132" s="7" t="b">
        <v>1</v>
      </c>
      <c r="N132" s="72"/>
    </row>
    <row r="133">
      <c r="A133" s="36" t="s">
        <v>1662</v>
      </c>
      <c r="B133" s="7" t="s">
        <v>672</v>
      </c>
      <c r="C133" s="7" t="str">
        <f>IFERROR(VLOOKUP(B133,'Master data'!$A$1:$D$397,2,FALSE),"")</f>
        <v>P004-028</v>
      </c>
      <c r="D133" s="70" t="str">
        <f>VLOOKUP(B133,Sheet3!$B$2:$E$312,3,)</f>
        <v>barang jadi &amp; bahan baku</v>
      </c>
      <c r="E133" s="71">
        <v>597.0</v>
      </c>
      <c r="F133" s="16" t="str">
        <f>IFERROR(VLOOKUP(B133,'Master data'!$A$1:$D$397,3,FALSE),"")</f>
        <v>PRS</v>
      </c>
      <c r="G133" s="7" t="s">
        <v>1563</v>
      </c>
      <c r="H133" s="69" t="s">
        <v>1573</v>
      </c>
      <c r="I133" s="7" t="s">
        <v>1542</v>
      </c>
      <c r="J133" s="7" t="s">
        <v>1561</v>
      </c>
      <c r="K133" s="16" t="b">
        <v>0</v>
      </c>
      <c r="L133" s="7" t="b">
        <v>1</v>
      </c>
      <c r="N133" s="72"/>
    </row>
    <row r="134">
      <c r="B134" s="7" t="s">
        <v>298</v>
      </c>
      <c r="C134" s="7" t="str">
        <f>IFERROR(VLOOKUP(B134,'Master data'!$A$1:$D$397,2,FALSE),"")</f>
        <v>B001-125</v>
      </c>
      <c r="D134" s="70" t="str">
        <f>VLOOKUP(B134,Sheet3!$B$2:$E$312,3,)</f>
        <v>bahan baku</v>
      </c>
      <c r="E134" s="71">
        <v>36.0</v>
      </c>
      <c r="F134" s="16" t="str">
        <f>IFERROR(VLOOKUP(B134,'Master data'!$A$1:$D$397,3,FALSE),"")</f>
        <v>GR</v>
      </c>
      <c r="G134" s="7" t="s">
        <v>1540</v>
      </c>
      <c r="H134" s="69" t="s">
        <v>1573</v>
      </c>
      <c r="I134" s="7" t="s">
        <v>1542</v>
      </c>
      <c r="J134" s="7" t="s">
        <v>61</v>
      </c>
      <c r="K134" s="16" t="b">
        <v>0</v>
      </c>
      <c r="L134" s="7" t="b">
        <v>1</v>
      </c>
      <c r="N134" s="72"/>
    </row>
    <row r="135">
      <c r="B135" s="7" t="s">
        <v>36</v>
      </c>
      <c r="C135" s="7" t="str">
        <f>IFERROR(VLOOKUP(B135,'Master data'!$A$1:$D$397,2,FALSE),"")</f>
        <v>B001-009</v>
      </c>
      <c r="D135" s="70" t="str">
        <f>VLOOKUP(B135,Sheet3!$B$2:$E$312,3,)</f>
        <v>bahan baku</v>
      </c>
      <c r="E135" s="71">
        <v>26.0</v>
      </c>
      <c r="F135" s="16" t="str">
        <f>IFERROR(VLOOKUP(B135,'Master data'!$A$1:$D$397,3,FALSE),"")</f>
        <v>GR</v>
      </c>
      <c r="G135" s="7" t="s">
        <v>1557</v>
      </c>
      <c r="H135" s="69" t="s">
        <v>1551</v>
      </c>
      <c r="I135" s="7" t="s">
        <v>1552</v>
      </c>
      <c r="J135" s="7" t="s">
        <v>1558</v>
      </c>
      <c r="K135" s="16" t="b">
        <v>0</v>
      </c>
      <c r="L135" s="7" t="b">
        <v>1</v>
      </c>
      <c r="N135" s="72"/>
    </row>
    <row r="136">
      <c r="B136" s="7" t="s">
        <v>720</v>
      </c>
      <c r="C136" s="7" t="str">
        <f>IFERROR(VLOOKUP(B136,'Master data'!$A$1:$D$397,2,FALSE),"")</f>
        <v>B002-005</v>
      </c>
      <c r="D136" s="70" t="str">
        <f>VLOOKUP(B136,Sheet3!$B$2:$E$312,3,)</f>
        <v>others</v>
      </c>
      <c r="E136" s="71">
        <v>1.0</v>
      </c>
      <c r="F136" s="16" t="str">
        <f>IFERROR(VLOOKUP(B136,'Master data'!$A$1:$D$397,3,FALSE),"")</f>
        <v>PCS</v>
      </c>
      <c r="G136" s="7" t="s">
        <v>1665</v>
      </c>
      <c r="H136" s="69" t="s">
        <v>1551</v>
      </c>
      <c r="I136" s="7" t="s">
        <v>1552</v>
      </c>
      <c r="J136" s="7" t="s">
        <v>1561</v>
      </c>
      <c r="K136" s="16" t="b">
        <v>0</v>
      </c>
      <c r="L136" s="7" t="b">
        <v>1</v>
      </c>
      <c r="N136" s="72"/>
    </row>
    <row r="137">
      <c r="B137" s="7" t="s">
        <v>28</v>
      </c>
      <c r="C137" s="7" t="str">
        <f>IFERROR(VLOOKUP(B137,'Master data'!$A$1:$D$397,2,FALSE),"")</f>
        <v>B001-006</v>
      </c>
      <c r="D137" s="70" t="str">
        <f>VLOOKUP(B137,Sheet3!$B$2:$E$312,3,)</f>
        <v>bahan baku</v>
      </c>
      <c r="E137" s="71">
        <v>15.0</v>
      </c>
      <c r="F137" s="16" t="str">
        <f>IFERROR(VLOOKUP(B137,'Master data'!$A$1:$D$397,3,FALSE),"")</f>
        <v>GR</v>
      </c>
      <c r="G137" s="7" t="s">
        <v>1540</v>
      </c>
      <c r="H137" s="69" t="s">
        <v>1573</v>
      </c>
      <c r="I137" s="7" t="s">
        <v>1542</v>
      </c>
      <c r="J137" s="7" t="s">
        <v>61</v>
      </c>
      <c r="K137" s="16" t="b">
        <v>0</v>
      </c>
      <c r="L137" s="7" t="b">
        <v>1</v>
      </c>
      <c r="N137" s="72"/>
    </row>
    <row r="138">
      <c r="B138" s="7" t="s">
        <v>148</v>
      </c>
      <c r="C138" s="7" t="str">
        <f>IFERROR(VLOOKUP(B138,'Master data'!$A$1:$D$397,2,FALSE),"")</f>
        <v>B001-064</v>
      </c>
      <c r="D138" s="70" t="str">
        <f>VLOOKUP(B138,Sheet3!$B$2:$E$312,3,)</f>
        <v>bahan baku</v>
      </c>
      <c r="E138" s="71">
        <v>163.0</v>
      </c>
      <c r="F138" s="16" t="str">
        <f>IFERROR(VLOOKUP(B138,'Master data'!$A$1:$D$397,3,FALSE),"")</f>
        <v>GR</v>
      </c>
      <c r="G138" s="7" t="s">
        <v>1540</v>
      </c>
      <c r="H138" s="69" t="s">
        <v>1573</v>
      </c>
      <c r="I138" s="7" t="s">
        <v>1542</v>
      </c>
      <c r="J138" s="7" t="s">
        <v>61</v>
      </c>
      <c r="K138" s="16" t="b">
        <v>0</v>
      </c>
      <c r="L138" s="7" t="b">
        <v>1</v>
      </c>
      <c r="N138" s="72"/>
    </row>
    <row r="139">
      <c r="B139" s="7" t="s">
        <v>660</v>
      </c>
      <c r="C139" s="7" t="str">
        <f>IFERROR(VLOOKUP(B139,'Master data'!$A$1:$D$397,2,FALSE),"")</f>
        <v>P004-024</v>
      </c>
      <c r="D139" s="70" t="str">
        <f>VLOOKUP(B139,Sheet3!$B$2:$E$312,3,)</f>
        <v>barang jadi &amp; bahan baku</v>
      </c>
      <c r="E139" s="71">
        <v>369.0</v>
      </c>
      <c r="F139" s="16" t="str">
        <f>IFERROR(VLOOKUP(B139,'Master data'!$A$1:$D$397,3,FALSE),"")</f>
        <v>ML</v>
      </c>
      <c r="G139" s="7" t="s">
        <v>1550</v>
      </c>
      <c r="H139" s="69" t="s">
        <v>1592</v>
      </c>
      <c r="I139" s="7" t="s">
        <v>1552</v>
      </c>
      <c r="J139" s="7" t="s">
        <v>1561</v>
      </c>
      <c r="K139" s="16" t="b">
        <v>0</v>
      </c>
      <c r="L139" s="7" t="b">
        <v>1</v>
      </c>
      <c r="N139" s="72"/>
    </row>
    <row r="140">
      <c r="B140" s="7" t="s">
        <v>657</v>
      </c>
      <c r="C140" s="7" t="str">
        <f>IFERROR(VLOOKUP(B140,'Master data'!$A$1:$D$397,2,FALSE),"")</f>
        <v>P004-023</v>
      </c>
      <c r="D140" s="70" t="str">
        <f>VLOOKUP(B140,Sheet3!$B$2:$E$312,3,)</f>
        <v>barang jadi &amp; bahan baku</v>
      </c>
      <c r="E140" s="71">
        <v>113.0</v>
      </c>
      <c r="F140" s="16" t="str">
        <f>IFERROR(VLOOKUP(B140,'Master data'!$A$1:$D$397,3,FALSE),"")</f>
        <v>GR</v>
      </c>
      <c r="G140" s="7" t="s">
        <v>1550</v>
      </c>
      <c r="H140" s="69" t="s">
        <v>1592</v>
      </c>
      <c r="I140" s="7" t="s">
        <v>1552</v>
      </c>
      <c r="J140" s="7" t="s">
        <v>1561</v>
      </c>
      <c r="K140" s="16" t="b">
        <v>0</v>
      </c>
      <c r="L140" s="7" t="b">
        <v>1</v>
      </c>
      <c r="N140" s="72"/>
    </row>
    <row r="141">
      <c r="B141" s="7" t="s">
        <v>653</v>
      </c>
      <c r="C141" s="7" t="str">
        <f>IFERROR(VLOOKUP(B141,'Master data'!$A$1:$D$397,2,FALSE),"")</f>
        <v>P004-022</v>
      </c>
      <c r="D141" s="70" t="str">
        <f>VLOOKUP(B141,Sheet3!$B$2:$E$312,3,)</f>
        <v>barang jadi &amp; bahan baku</v>
      </c>
      <c r="E141" s="71">
        <v>300.0</v>
      </c>
      <c r="F141" s="16" t="str">
        <f>IFERROR(VLOOKUP(B141,'Master data'!$A$1:$D$397,3,FALSE),"")</f>
        <v>GR</v>
      </c>
      <c r="G141" s="7" t="s">
        <v>1550</v>
      </c>
      <c r="H141" s="69" t="s">
        <v>1592</v>
      </c>
      <c r="I141" s="7" t="s">
        <v>1552</v>
      </c>
      <c r="J141" s="7" t="s">
        <v>1561</v>
      </c>
      <c r="K141" s="16" t="b">
        <v>0</v>
      </c>
      <c r="L141" s="7" t="b">
        <v>1</v>
      </c>
      <c r="N141" s="72"/>
    </row>
    <row r="142">
      <c r="B142" s="7" t="s">
        <v>664</v>
      </c>
      <c r="C142" s="7" t="str">
        <f>IFERROR(VLOOKUP(B142,'Master data'!$A$1:$D$397,2,FALSE),"")</f>
        <v>P004-025</v>
      </c>
      <c r="D142" s="70" t="str">
        <f>VLOOKUP(B142,Sheet3!$B$2:$E$312,3,)</f>
        <v>barang jadi &amp; bahan baku</v>
      </c>
      <c r="E142" s="71">
        <v>400.0</v>
      </c>
      <c r="F142" s="16" t="str">
        <f>IFERROR(VLOOKUP(B142,'Master data'!$A$1:$D$397,3,FALSE),"")</f>
        <v>PRS</v>
      </c>
      <c r="G142" s="7" t="s">
        <v>1550</v>
      </c>
      <c r="H142" s="69" t="s">
        <v>1592</v>
      </c>
      <c r="I142" s="7" t="s">
        <v>1552</v>
      </c>
      <c r="J142" s="7" t="s">
        <v>1561</v>
      </c>
      <c r="K142" s="16" t="b">
        <v>0</v>
      </c>
      <c r="L142" s="7" t="b">
        <v>1</v>
      </c>
      <c r="N142" s="72"/>
    </row>
    <row r="143">
      <c r="B143" s="7" t="s">
        <v>211</v>
      </c>
      <c r="C143" s="7" t="str">
        <f>IFERROR(VLOOKUP(B143,'Master data'!$A$1:$D$397,2,FALSE),"")</f>
        <v>B001-088</v>
      </c>
      <c r="D143" s="70" t="str">
        <f>VLOOKUP(B143,Sheet3!$B$2:$E$312,3,)</f>
        <v>bahan baku</v>
      </c>
      <c r="E143" s="71">
        <v>6200.0</v>
      </c>
      <c r="F143" s="16" t="str">
        <f>IFERROR(VLOOKUP(B143,'Master data'!$A$1:$D$397,3,FALSE),"")</f>
        <v>GR</v>
      </c>
      <c r="G143" s="7" t="s">
        <v>1550</v>
      </c>
      <c r="H143" s="69" t="s">
        <v>1547</v>
      </c>
      <c r="I143" s="7" t="s">
        <v>1556</v>
      </c>
      <c r="J143" s="7" t="s">
        <v>61</v>
      </c>
      <c r="K143" s="16" t="b">
        <v>0</v>
      </c>
      <c r="L143" s="7" t="b">
        <v>1</v>
      </c>
      <c r="N143" s="72"/>
    </row>
    <row r="144">
      <c r="B144" s="7" t="s">
        <v>502</v>
      </c>
      <c r="C144" s="7" t="str">
        <f>IFERROR(VLOOKUP(B144,'Master data'!$A$1:$D$397,2,FALSE),"")</f>
        <v>S001-002</v>
      </c>
      <c r="D144" s="70" t="str">
        <f>VLOOKUP(B144,Sheet3!$B$2:$E$312,3,)</f>
        <v>barang jadi</v>
      </c>
      <c r="E144" s="71">
        <v>3.0</v>
      </c>
      <c r="F144" s="16" t="str">
        <f>IFERROR(VLOOKUP(B144,'Master data'!$A$1:$D$397,3,FALSE),"")</f>
        <v>PCS</v>
      </c>
      <c r="G144" s="7" t="s">
        <v>1550</v>
      </c>
      <c r="H144" s="69" t="s">
        <v>1584</v>
      </c>
      <c r="I144" s="7" t="s">
        <v>1548</v>
      </c>
      <c r="J144" s="7" t="s">
        <v>1561</v>
      </c>
      <c r="K144" s="16" t="b">
        <v>0</v>
      </c>
      <c r="L144" s="7" t="b">
        <v>1</v>
      </c>
      <c r="N144" s="72"/>
    </row>
    <row r="145">
      <c r="B145" s="7" t="s">
        <v>135</v>
      </c>
      <c r="C145" s="7" t="str">
        <f>IFERROR(VLOOKUP(B145,'Master data'!$A$1:$D$397,2,FALSE),"")</f>
        <v>B001-058</v>
      </c>
      <c r="D145" s="70" t="str">
        <f>VLOOKUP(B145,Sheet3!$B$2:$E$312,3,)</f>
        <v>bahan baku</v>
      </c>
      <c r="E145" s="71">
        <v>74.0</v>
      </c>
      <c r="F145" s="16" t="str">
        <f>IFERROR(VLOOKUP(B145,'Master data'!$A$1:$D$397,3,FALSE),"")</f>
        <v>GR</v>
      </c>
      <c r="G145" s="7" t="s">
        <v>1563</v>
      </c>
      <c r="H145" s="69" t="s">
        <v>1541</v>
      </c>
      <c r="I145" s="7" t="s">
        <v>1542</v>
      </c>
      <c r="J145" s="7" t="s">
        <v>1561</v>
      </c>
      <c r="K145" s="16" t="b">
        <v>0</v>
      </c>
      <c r="L145" s="7" t="b">
        <v>1</v>
      </c>
      <c r="N145" s="72"/>
    </row>
    <row r="146">
      <c r="A146" s="99" t="s">
        <v>1667</v>
      </c>
      <c r="B146" s="7" t="s">
        <v>28</v>
      </c>
      <c r="C146" s="7" t="str">
        <f>IFERROR(VLOOKUP(B146,'Master data'!$A$1:$D$397,2,FALSE),"")</f>
        <v>B001-006</v>
      </c>
      <c r="D146" s="70" t="str">
        <f>VLOOKUP(B146,Sheet3!$B$2:$E$312,3,)</f>
        <v>bahan baku</v>
      </c>
      <c r="E146" s="71">
        <v>19.0</v>
      </c>
      <c r="F146" s="16" t="str">
        <f>IFERROR(VLOOKUP(B146,'Master data'!$A$1:$D$397,3,FALSE),"")</f>
        <v>GR</v>
      </c>
      <c r="G146" s="7" t="s">
        <v>1540</v>
      </c>
      <c r="H146" s="69" t="s">
        <v>1541</v>
      </c>
      <c r="I146" s="7" t="s">
        <v>1542</v>
      </c>
      <c r="J146" s="7" t="s">
        <v>61</v>
      </c>
      <c r="K146" s="16" t="b">
        <v>0</v>
      </c>
      <c r="L146" s="7" t="b">
        <v>1</v>
      </c>
      <c r="N146" s="72"/>
    </row>
    <row r="147">
      <c r="B147" s="7" t="s">
        <v>28</v>
      </c>
      <c r="C147" s="7" t="str">
        <f>IFERROR(VLOOKUP(B147,'Master data'!$A$1:$D$397,2,FALSE),"")</f>
        <v>B001-006</v>
      </c>
      <c r="D147" s="70" t="str">
        <f>VLOOKUP(B147,Sheet3!$B$2:$E$312,3,)</f>
        <v>bahan baku</v>
      </c>
      <c r="E147" s="71">
        <v>28.0</v>
      </c>
      <c r="F147" s="16" t="str">
        <f>IFERROR(VLOOKUP(B147,'Master data'!$A$1:$D$397,3,FALSE),"")</f>
        <v>GR</v>
      </c>
      <c r="G147" s="7" t="s">
        <v>1540</v>
      </c>
      <c r="H147" s="69" t="s">
        <v>1573</v>
      </c>
      <c r="I147" s="7" t="s">
        <v>1542</v>
      </c>
      <c r="J147" s="7" t="s">
        <v>61</v>
      </c>
      <c r="K147" s="16" t="b">
        <v>0</v>
      </c>
      <c r="L147" s="7" t="b">
        <v>1</v>
      </c>
      <c r="N147" s="72"/>
    </row>
    <row r="148">
      <c r="B148" s="7" t="s">
        <v>502</v>
      </c>
      <c r="C148" s="7" t="str">
        <f>IFERROR(VLOOKUP(B148,'Master data'!$A$1:$D$397,2,FALSE),"")</f>
        <v>S001-002</v>
      </c>
      <c r="D148" s="70" t="str">
        <f>VLOOKUP(B148,Sheet3!$B$2:$E$312,3,)</f>
        <v>barang jadi</v>
      </c>
      <c r="E148" s="71">
        <v>2.0</v>
      </c>
      <c r="F148" s="16" t="str">
        <f>IFERROR(VLOOKUP(B148,'Master data'!$A$1:$D$397,3,FALSE),"")</f>
        <v>PCS</v>
      </c>
      <c r="G148" s="7" t="s">
        <v>1550</v>
      </c>
      <c r="H148" s="69" t="s">
        <v>1584</v>
      </c>
      <c r="I148" s="7" t="s">
        <v>1548</v>
      </c>
      <c r="J148" s="7" t="s">
        <v>1561</v>
      </c>
      <c r="K148" s="16" t="b">
        <v>0</v>
      </c>
      <c r="L148" s="7" t="b">
        <v>1</v>
      </c>
      <c r="N148" s="72"/>
    </row>
    <row r="149">
      <c r="B149" s="7" t="s">
        <v>653</v>
      </c>
      <c r="C149" s="7" t="str">
        <f>IFERROR(VLOOKUP(B149,'Master data'!$A$1:$D$397,2,FALSE),"")</f>
        <v>P004-022</v>
      </c>
      <c r="D149" s="70" t="str">
        <f>VLOOKUP(B149,Sheet3!$B$2:$E$312,3,)</f>
        <v>barang jadi &amp; bahan baku</v>
      </c>
      <c r="E149" s="71">
        <v>100.0</v>
      </c>
      <c r="F149" s="16" t="str">
        <f>IFERROR(VLOOKUP(B149,'Master data'!$A$1:$D$397,3,FALSE),"")</f>
        <v>GR</v>
      </c>
      <c r="G149" s="7" t="s">
        <v>1550</v>
      </c>
      <c r="H149" s="69" t="s">
        <v>1565</v>
      </c>
      <c r="I149" s="7" t="s">
        <v>1552</v>
      </c>
      <c r="J149" s="7" t="s">
        <v>1561</v>
      </c>
      <c r="K149" s="16" t="b">
        <v>0</v>
      </c>
      <c r="L149" s="7" t="b">
        <v>1</v>
      </c>
      <c r="N149" s="72"/>
    </row>
    <row r="150">
      <c r="B150" s="7" t="s">
        <v>664</v>
      </c>
      <c r="C150" s="7" t="str">
        <f>IFERROR(VLOOKUP(B150,'Master data'!$A$1:$D$397,2,FALSE),"")</f>
        <v>P004-025</v>
      </c>
      <c r="D150" s="70" t="str">
        <f>VLOOKUP(B150,Sheet3!$B$2:$E$312,3,)</f>
        <v>barang jadi &amp; bahan baku</v>
      </c>
      <c r="E150" s="71">
        <v>946.0</v>
      </c>
      <c r="F150" s="16" t="str">
        <f>IFERROR(VLOOKUP(B150,'Master data'!$A$1:$D$397,3,FALSE),"")</f>
        <v>PRS</v>
      </c>
      <c r="G150" s="7" t="s">
        <v>1550</v>
      </c>
      <c r="H150" s="69" t="s">
        <v>1565</v>
      </c>
      <c r="I150" s="7" t="s">
        <v>1552</v>
      </c>
      <c r="J150" s="7" t="s">
        <v>1561</v>
      </c>
      <c r="K150" s="16" t="b">
        <v>0</v>
      </c>
      <c r="L150" s="7" t="b">
        <v>1</v>
      </c>
      <c r="N150" s="72"/>
    </row>
    <row r="151">
      <c r="B151" s="7" t="s">
        <v>660</v>
      </c>
      <c r="C151" s="7" t="str">
        <f>IFERROR(VLOOKUP(B151,'Master data'!$A$1:$D$397,2,FALSE),"")</f>
        <v>P004-024</v>
      </c>
      <c r="D151" s="70" t="str">
        <f>VLOOKUP(B151,Sheet3!$B$2:$E$312,3,)</f>
        <v>barang jadi &amp; bahan baku</v>
      </c>
      <c r="E151" s="71">
        <v>859.0</v>
      </c>
      <c r="F151" s="16" t="str">
        <f>IFERROR(VLOOKUP(B151,'Master data'!$A$1:$D$397,3,FALSE),"")</f>
        <v>ML</v>
      </c>
      <c r="G151" s="7" t="s">
        <v>1550</v>
      </c>
      <c r="H151" s="69" t="s">
        <v>1565</v>
      </c>
      <c r="I151" s="7" t="s">
        <v>1552</v>
      </c>
      <c r="J151" s="7" t="s">
        <v>1561</v>
      </c>
      <c r="K151" s="16" t="b">
        <v>0</v>
      </c>
      <c r="L151" s="7" t="b">
        <v>1</v>
      </c>
      <c r="N151" s="72"/>
    </row>
    <row r="152">
      <c r="B152" s="7" t="s">
        <v>657</v>
      </c>
      <c r="C152" s="7" t="str">
        <f>IFERROR(VLOOKUP(B152,'Master data'!$A$1:$D$397,2,FALSE),"")</f>
        <v>P004-023</v>
      </c>
      <c r="D152" s="70" t="str">
        <f>VLOOKUP(B152,Sheet3!$B$2:$E$312,3,)</f>
        <v>barang jadi &amp; bahan baku</v>
      </c>
      <c r="E152" s="71">
        <v>600.0</v>
      </c>
      <c r="F152" s="16" t="str">
        <f>IFERROR(VLOOKUP(B152,'Master data'!$A$1:$D$397,3,FALSE),"")</f>
        <v>GR</v>
      </c>
      <c r="G152" s="7" t="s">
        <v>1550</v>
      </c>
      <c r="H152" s="69" t="s">
        <v>1565</v>
      </c>
      <c r="I152" s="7" t="s">
        <v>1552</v>
      </c>
      <c r="J152" s="7" t="s">
        <v>1561</v>
      </c>
      <c r="K152" s="16" t="b">
        <v>0</v>
      </c>
      <c r="L152" s="7" t="b">
        <v>1</v>
      </c>
      <c r="N152" s="72"/>
    </row>
    <row r="153">
      <c r="B153" s="7" t="s">
        <v>211</v>
      </c>
      <c r="C153" s="7" t="str">
        <f>IFERROR(VLOOKUP(B153,'Master data'!$A$1:$D$397,2,FALSE),"")</f>
        <v>B001-088</v>
      </c>
      <c r="D153" s="70" t="str">
        <f>VLOOKUP(B153,Sheet3!$B$2:$E$312,3,)</f>
        <v>bahan baku</v>
      </c>
      <c r="E153" s="71">
        <v>7985.0</v>
      </c>
      <c r="F153" s="16" t="str">
        <f>IFERROR(VLOOKUP(B153,'Master data'!$A$1:$D$397,3,FALSE),"")</f>
        <v>GR</v>
      </c>
      <c r="G153" s="7" t="s">
        <v>1550</v>
      </c>
      <c r="H153" s="69" t="s">
        <v>1547</v>
      </c>
      <c r="I153" s="7" t="s">
        <v>1556</v>
      </c>
      <c r="J153" s="7" t="s">
        <v>61</v>
      </c>
      <c r="K153" s="16" t="b">
        <v>0</v>
      </c>
      <c r="L153" s="7" t="b">
        <v>1</v>
      </c>
      <c r="N153" s="72"/>
    </row>
    <row r="154">
      <c r="A154" s="36" t="s">
        <v>1673</v>
      </c>
      <c r="B154" s="7" t="s">
        <v>1674</v>
      </c>
      <c r="C154" s="7" t="str">
        <f>IFERROR(VLOOKUP(B154,'Master data'!$A$1:$D$397,2,FALSE),"")</f>
        <v/>
      </c>
      <c r="D154" s="70" t="s">
        <v>600</v>
      </c>
      <c r="E154" s="71">
        <v>60.0</v>
      </c>
      <c r="F154" s="7" t="s">
        <v>20</v>
      </c>
      <c r="G154" s="7" t="s">
        <v>1563</v>
      </c>
      <c r="H154" s="69" t="s">
        <v>1573</v>
      </c>
      <c r="I154" s="7" t="s">
        <v>1542</v>
      </c>
      <c r="J154" s="7" t="s">
        <v>1561</v>
      </c>
      <c r="K154" s="16" t="b">
        <v>0</v>
      </c>
      <c r="L154" s="7" t="b">
        <v>1</v>
      </c>
      <c r="M154" s="72" t="str">
        <f>IFERROR(VLOOKUP(B154,'Master data'!$A$1:$D$397,4,FALSE),"")</f>
        <v/>
      </c>
    </row>
    <row r="155">
      <c r="B155" s="7" t="s">
        <v>664</v>
      </c>
      <c r="C155" s="7" t="str">
        <f>IFERROR(VLOOKUP(B155,'Master data'!$A$1:$D$397,2,FALSE),"")</f>
        <v>P004-025</v>
      </c>
      <c r="D155" s="70" t="str">
        <f>VLOOKUP(B155,Sheet3!$B$2:$E$312,3,)</f>
        <v>barang jadi &amp; bahan baku</v>
      </c>
      <c r="E155" s="71">
        <v>1465.0</v>
      </c>
      <c r="F155" s="16" t="str">
        <f>IFERROR(VLOOKUP(B155,'Master data'!$A$1:$D$397,3,FALSE),"")</f>
        <v>PRS</v>
      </c>
      <c r="G155" s="7" t="s">
        <v>1550</v>
      </c>
      <c r="H155" s="69" t="s">
        <v>1565</v>
      </c>
      <c r="I155" s="7" t="s">
        <v>1552</v>
      </c>
      <c r="J155" s="7" t="s">
        <v>1561</v>
      </c>
      <c r="K155" s="16" t="b">
        <v>0</v>
      </c>
      <c r="L155" s="7" t="b">
        <v>1</v>
      </c>
    </row>
    <row r="156">
      <c r="B156" s="7" t="s">
        <v>657</v>
      </c>
      <c r="C156" s="7" t="str">
        <f>IFERROR(VLOOKUP(B156,'Master data'!$A$1:$D$397,2,FALSE),"")</f>
        <v>P004-023</v>
      </c>
      <c r="D156" s="70" t="str">
        <f>VLOOKUP(B156,Sheet3!$B$2:$E$312,3,)</f>
        <v>barang jadi &amp; bahan baku</v>
      </c>
      <c r="E156" s="71">
        <v>809.0</v>
      </c>
      <c r="F156" s="16" t="str">
        <f>IFERROR(VLOOKUP(B156,'Master data'!$A$1:$D$397,3,FALSE),"")</f>
        <v>GR</v>
      </c>
      <c r="G156" s="7" t="s">
        <v>1550</v>
      </c>
      <c r="H156" s="69" t="s">
        <v>1565</v>
      </c>
      <c r="I156" s="7" t="s">
        <v>1552</v>
      </c>
      <c r="J156" s="7" t="s">
        <v>1561</v>
      </c>
      <c r="K156" s="16" t="b">
        <v>0</v>
      </c>
      <c r="L156" s="7" t="b">
        <v>1</v>
      </c>
    </row>
    <row r="157">
      <c r="B157" s="7" t="s">
        <v>653</v>
      </c>
      <c r="C157" s="7" t="str">
        <f>IFERROR(VLOOKUP(B157,'Master data'!$A$1:$D$397,2,FALSE),"")</f>
        <v>P004-022</v>
      </c>
      <c r="D157" s="70" t="str">
        <f>VLOOKUP(B157,Sheet3!$B$2:$E$312,3,)</f>
        <v>barang jadi &amp; bahan baku</v>
      </c>
      <c r="E157" s="71">
        <v>122.0</v>
      </c>
      <c r="F157" s="16" t="str">
        <f>IFERROR(VLOOKUP(B157,'Master data'!$A$1:$D$397,3,FALSE),"")</f>
        <v>GR</v>
      </c>
      <c r="G157" s="7" t="s">
        <v>1550</v>
      </c>
      <c r="H157" s="69" t="s">
        <v>1565</v>
      </c>
      <c r="I157" s="7" t="s">
        <v>1552</v>
      </c>
      <c r="J157" s="7" t="s">
        <v>1561</v>
      </c>
      <c r="K157" s="16" t="b">
        <v>0</v>
      </c>
      <c r="L157" s="7" t="b">
        <v>1</v>
      </c>
    </row>
    <row r="158">
      <c r="B158" s="7" t="s">
        <v>33</v>
      </c>
      <c r="C158" s="7" t="str">
        <f>IFERROR(VLOOKUP(B158,'Master data'!$A$1:$D$397,2,FALSE),"")</f>
        <v>B001-008</v>
      </c>
      <c r="D158" s="70" t="str">
        <f>VLOOKUP(B158,Sheet3!$B$2:$E$312,3,)</f>
        <v>bahan baku</v>
      </c>
      <c r="E158" s="64">
        <f>1275/1.56</f>
        <v>817.3076923</v>
      </c>
      <c r="F158" s="16" t="str">
        <f>IFERROR(VLOOKUP(B158,'Master data'!$A$1:$D$397,3,FALSE),"")</f>
        <v>GR</v>
      </c>
      <c r="G158" s="7" t="s">
        <v>1546</v>
      </c>
      <c r="H158" s="69" t="s">
        <v>1569</v>
      </c>
      <c r="I158" s="7" t="s">
        <v>1548</v>
      </c>
      <c r="J158" s="7" t="s">
        <v>1561</v>
      </c>
      <c r="K158" s="16" t="b">
        <v>0</v>
      </c>
      <c r="L158" s="7" t="b">
        <v>1</v>
      </c>
    </row>
    <row r="159">
      <c r="B159" s="7" t="s">
        <v>129</v>
      </c>
      <c r="C159" s="7" t="str">
        <f>IFERROR(VLOOKUP(B159,'Master data'!$A$1:$D$397,2,FALSE),"")</f>
        <v>B001-056</v>
      </c>
      <c r="D159" s="70" t="str">
        <f>VLOOKUP(B159,Sheet3!$B$2:$E$312,3,)</f>
        <v>bahan baku</v>
      </c>
      <c r="E159" s="71">
        <v>8.0</v>
      </c>
      <c r="F159" s="16" t="str">
        <f>IFERROR(VLOOKUP(B159,'Master data'!$A$1:$D$397,3,FALSE),"")</f>
        <v>ML</v>
      </c>
      <c r="G159" s="7" t="s">
        <v>1546</v>
      </c>
      <c r="H159" s="69" t="s">
        <v>1569</v>
      </c>
      <c r="I159" s="7" t="s">
        <v>1548</v>
      </c>
      <c r="J159" s="7" t="s">
        <v>1561</v>
      </c>
      <c r="K159" s="16" t="b">
        <v>0</v>
      </c>
      <c r="L159" s="7" t="b">
        <v>1</v>
      </c>
    </row>
    <row r="160">
      <c r="B160" s="7" t="s">
        <v>211</v>
      </c>
      <c r="C160" s="7" t="str">
        <f>IFERROR(VLOOKUP(B160,'Master data'!$A$1:$D$397,2,FALSE),"")</f>
        <v>B001-088</v>
      </c>
      <c r="D160" s="70" t="str">
        <f>VLOOKUP(B160,Sheet3!$B$2:$E$312,3,)</f>
        <v>bahan baku</v>
      </c>
      <c r="E160" s="71">
        <v>2710.0</v>
      </c>
      <c r="F160" s="16" t="str">
        <f>IFERROR(VLOOKUP(B160,'Master data'!$A$1:$D$397,3,FALSE),"")</f>
        <v>GR</v>
      </c>
      <c r="G160" s="7" t="s">
        <v>1550</v>
      </c>
      <c r="H160" s="69" t="s">
        <v>1555</v>
      </c>
      <c r="I160" s="7" t="s">
        <v>1556</v>
      </c>
      <c r="J160" s="7" t="s">
        <v>61</v>
      </c>
      <c r="K160" s="16" t="b">
        <v>0</v>
      </c>
      <c r="L160" s="7" t="b">
        <v>1</v>
      </c>
    </row>
    <row r="161">
      <c r="B161" s="7" t="s">
        <v>502</v>
      </c>
      <c r="C161" s="7" t="str">
        <f>IFERROR(VLOOKUP(B161,'Master data'!$A$1:$D$397,2,FALSE),"")</f>
        <v>S001-002</v>
      </c>
      <c r="D161" s="70" t="str">
        <f>VLOOKUP(B161,Sheet3!$B$2:$E$312,3,)</f>
        <v>barang jadi</v>
      </c>
      <c r="E161" s="71">
        <v>1.0</v>
      </c>
      <c r="F161" s="16" t="str">
        <f>IFERROR(VLOOKUP(B161,'Master data'!$A$1:$D$397,3,FALSE),"")</f>
        <v>PCS</v>
      </c>
      <c r="G161" s="7" t="s">
        <v>1550</v>
      </c>
      <c r="H161" s="69" t="s">
        <v>1569</v>
      </c>
      <c r="I161" s="7" t="s">
        <v>1548</v>
      </c>
      <c r="J161" s="7" t="s">
        <v>1561</v>
      </c>
      <c r="K161" s="16" t="b">
        <v>0</v>
      </c>
      <c r="L161" s="7" t="b">
        <v>1</v>
      </c>
    </row>
    <row r="162">
      <c r="A162" s="36" t="s">
        <v>1678</v>
      </c>
      <c r="B162" s="7" t="s">
        <v>36</v>
      </c>
      <c r="C162" s="7" t="str">
        <f>IFERROR(VLOOKUP(B162,'Master data'!$A$1:$D$397,2,FALSE),"")</f>
        <v>B001-009</v>
      </c>
      <c r="D162" s="70" t="str">
        <f>VLOOKUP(B162,Sheet3!$B$2:$E$312,3,)</f>
        <v>bahan baku</v>
      </c>
      <c r="E162" s="71">
        <v>13.0</v>
      </c>
      <c r="F162" s="16" t="str">
        <f>IFERROR(VLOOKUP(B162,'Master data'!$A$1:$D$397,3,FALSE),"")</f>
        <v>GR</v>
      </c>
      <c r="G162" s="7" t="s">
        <v>1557</v>
      </c>
      <c r="H162" s="69" t="s">
        <v>1679</v>
      </c>
      <c r="I162" s="7" t="s">
        <v>1552</v>
      </c>
      <c r="J162" s="7" t="s">
        <v>1558</v>
      </c>
      <c r="K162" s="16" t="b">
        <v>0</v>
      </c>
      <c r="L162" s="7" t="b">
        <v>1</v>
      </c>
    </row>
    <row r="163">
      <c r="B163" s="7" t="s">
        <v>135</v>
      </c>
      <c r="C163" s="7" t="str">
        <f>IFERROR(VLOOKUP(B163,'Master data'!$A$1:$D$397,2,FALSE),"")</f>
        <v>B001-058</v>
      </c>
      <c r="D163" s="70" t="str">
        <f>VLOOKUP(B163,Sheet3!$B$2:$E$312,3,)</f>
        <v>bahan baku</v>
      </c>
      <c r="E163" s="71">
        <v>133.0</v>
      </c>
      <c r="F163" s="16" t="str">
        <f>IFERROR(VLOOKUP(B163,'Master data'!$A$1:$D$397,3,FALSE),"")</f>
        <v>GR</v>
      </c>
      <c r="G163" s="7" t="s">
        <v>1563</v>
      </c>
      <c r="H163" s="69" t="s">
        <v>1573</v>
      </c>
      <c r="I163" s="7" t="s">
        <v>1542</v>
      </c>
      <c r="J163" s="7" t="s">
        <v>1561</v>
      </c>
      <c r="K163" s="16" t="b">
        <v>0</v>
      </c>
      <c r="L163" s="7" t="b">
        <v>1</v>
      </c>
    </row>
    <row r="164">
      <c r="B164" s="7" t="s">
        <v>28</v>
      </c>
      <c r="C164" s="7" t="str">
        <f>IFERROR(VLOOKUP(B164,'Master data'!$A$1:$D$397,2,FALSE),"")</f>
        <v>B001-006</v>
      </c>
      <c r="D164" s="70" t="str">
        <f>VLOOKUP(B164,Sheet3!$B$2:$E$312,3,)</f>
        <v>bahan baku</v>
      </c>
      <c r="E164" s="71">
        <v>9.0</v>
      </c>
      <c r="F164" s="16" t="str">
        <f>IFERROR(VLOOKUP(B164,'Master data'!$A$1:$D$397,3,FALSE),"")</f>
        <v>GR</v>
      </c>
      <c r="G164" s="7" t="s">
        <v>1540</v>
      </c>
      <c r="H164" s="69" t="s">
        <v>1573</v>
      </c>
      <c r="I164" s="7" t="s">
        <v>1542</v>
      </c>
      <c r="J164" s="7" t="s">
        <v>61</v>
      </c>
      <c r="K164" s="16" t="b">
        <v>0</v>
      </c>
      <c r="L164" s="7" t="b">
        <v>1</v>
      </c>
    </row>
    <row r="165">
      <c r="B165" s="7" t="s">
        <v>636</v>
      </c>
      <c r="C165" s="7" t="str">
        <f>IFERROR(VLOOKUP(B165,'Master data'!$A$1:$D$397,2,FALSE),"")</f>
        <v>P004-015</v>
      </c>
      <c r="D165" s="70" t="str">
        <f>VLOOKUP(B165,Sheet3!$B$2:$E$312,3,)</f>
        <v>barang jadi &amp; bahan baku</v>
      </c>
      <c r="E165" s="71">
        <v>128.0</v>
      </c>
      <c r="F165" s="16" t="str">
        <f>IFERROR(VLOOKUP(B165,'Master data'!$A$1:$D$397,3,FALSE),"")</f>
        <v>PRS</v>
      </c>
      <c r="G165" s="7" t="s">
        <v>1563</v>
      </c>
      <c r="H165" s="69" t="s">
        <v>1584</v>
      </c>
      <c r="I165" s="7" t="s">
        <v>1548</v>
      </c>
      <c r="J165" s="7" t="s">
        <v>1561</v>
      </c>
      <c r="K165" s="16" t="b">
        <v>0</v>
      </c>
      <c r="L165" s="7" t="b">
        <v>1</v>
      </c>
    </row>
    <row r="166">
      <c r="B166" s="7" t="s">
        <v>664</v>
      </c>
      <c r="C166" s="7" t="str">
        <f>IFERROR(VLOOKUP(B166,'Master data'!$A$1:$D$397,2,FALSE),"")</f>
        <v>P004-025</v>
      </c>
      <c r="D166" s="70" t="str">
        <f>VLOOKUP(B166,Sheet3!$B$2:$E$312,3,)</f>
        <v>barang jadi &amp; bahan baku</v>
      </c>
      <c r="E166" s="71">
        <v>44.0</v>
      </c>
      <c r="F166" s="16" t="str">
        <f>IFERROR(VLOOKUP(B166,'Master data'!$A$1:$D$397,3,FALSE),"")</f>
        <v>PRS</v>
      </c>
      <c r="G166" s="7" t="s">
        <v>1550</v>
      </c>
      <c r="H166" s="69" t="s">
        <v>1565</v>
      </c>
      <c r="I166" s="7" t="s">
        <v>1552</v>
      </c>
      <c r="J166" s="7" t="s">
        <v>1561</v>
      </c>
      <c r="K166" s="16" t="b">
        <v>0</v>
      </c>
      <c r="L166" s="7" t="b">
        <v>1</v>
      </c>
    </row>
    <row r="167">
      <c r="B167" s="7" t="s">
        <v>657</v>
      </c>
      <c r="C167" s="7" t="str">
        <f>IFERROR(VLOOKUP(B167,'Master data'!$A$1:$D$397,2,FALSE),"")</f>
        <v>P004-023</v>
      </c>
      <c r="D167" s="70" t="str">
        <f>VLOOKUP(B167,Sheet3!$B$2:$E$312,3,)</f>
        <v>barang jadi &amp; bahan baku</v>
      </c>
      <c r="E167" s="71">
        <v>373.0</v>
      </c>
      <c r="F167" s="16" t="str">
        <f>IFERROR(VLOOKUP(B167,'Master data'!$A$1:$D$397,3,FALSE),"")</f>
        <v>GR</v>
      </c>
      <c r="G167" s="7" t="s">
        <v>1550</v>
      </c>
      <c r="H167" s="69" t="s">
        <v>1565</v>
      </c>
      <c r="I167" s="7" t="s">
        <v>1552</v>
      </c>
      <c r="J167" s="7" t="s">
        <v>1561</v>
      </c>
      <c r="K167" s="16" t="b">
        <v>0</v>
      </c>
      <c r="L167" s="7" t="b">
        <v>1</v>
      </c>
    </row>
    <row r="168">
      <c r="B168" s="7" t="s">
        <v>653</v>
      </c>
      <c r="C168" s="7" t="str">
        <f>IFERROR(VLOOKUP(B168,'Master data'!$A$1:$D$397,2,FALSE),"")</f>
        <v>P004-022</v>
      </c>
      <c r="D168" s="70" t="str">
        <f>VLOOKUP(B168,Sheet3!$B$2:$E$312,3,)</f>
        <v>barang jadi &amp; bahan baku</v>
      </c>
      <c r="E168" s="71">
        <v>236.0</v>
      </c>
      <c r="F168" s="16" t="str">
        <f>IFERROR(VLOOKUP(B168,'Master data'!$A$1:$D$397,3,FALSE),"")</f>
        <v>GR</v>
      </c>
      <c r="G168" s="7" t="s">
        <v>1550</v>
      </c>
      <c r="H168" s="69" t="s">
        <v>1565</v>
      </c>
      <c r="I168" s="7" t="s">
        <v>1552</v>
      </c>
      <c r="J168" s="7" t="s">
        <v>1561</v>
      </c>
      <c r="K168" s="16" t="b">
        <v>0</v>
      </c>
      <c r="L168" s="7" t="b">
        <v>1</v>
      </c>
    </row>
    <row r="169">
      <c r="B169" s="7" t="s">
        <v>33</v>
      </c>
      <c r="C169" s="7" t="str">
        <f>IFERROR(VLOOKUP(B169,'Master data'!$A$1:$D$397,2,FALSE),"")</f>
        <v>B001-008</v>
      </c>
      <c r="D169" s="70" t="str">
        <f>VLOOKUP(B169,Sheet3!$B$2:$E$312,3,)</f>
        <v>bahan baku</v>
      </c>
      <c r="E169" s="64">
        <f>712</f>
        <v>712</v>
      </c>
      <c r="F169" s="16" t="str">
        <f>IFERROR(VLOOKUP(B169,'Master data'!$A$1:$D$397,3,FALSE),"")</f>
        <v>GR</v>
      </c>
      <c r="G169" s="7" t="s">
        <v>1546</v>
      </c>
      <c r="H169" s="69" t="s">
        <v>1569</v>
      </c>
      <c r="I169" s="7" t="s">
        <v>1548</v>
      </c>
      <c r="J169" s="7" t="s">
        <v>1561</v>
      </c>
      <c r="K169" s="16" t="b">
        <v>0</v>
      </c>
      <c r="L169" s="7" t="b">
        <v>1</v>
      </c>
    </row>
    <row r="170">
      <c r="B170" s="7" t="s">
        <v>129</v>
      </c>
      <c r="C170" s="7" t="str">
        <f>IFERROR(VLOOKUP(B170,'Master data'!$A$1:$D$397,2,FALSE),"")</f>
        <v>B001-056</v>
      </c>
      <c r="D170" s="70" t="str">
        <f>VLOOKUP(B170,Sheet3!$B$2:$E$312,3,)</f>
        <v>bahan baku</v>
      </c>
      <c r="E170" s="71">
        <v>7.0</v>
      </c>
      <c r="F170" s="16" t="str">
        <f>IFERROR(VLOOKUP(B170,'Master data'!$A$1:$D$397,3,FALSE),"")</f>
        <v>ML</v>
      </c>
      <c r="G170" s="7" t="s">
        <v>1546</v>
      </c>
      <c r="H170" s="69" t="s">
        <v>1569</v>
      </c>
      <c r="I170" s="7" t="s">
        <v>1548</v>
      </c>
      <c r="J170" s="7" t="s">
        <v>1561</v>
      </c>
      <c r="K170" s="16" t="b">
        <v>0</v>
      </c>
      <c r="L170" s="7" t="b">
        <v>1</v>
      </c>
    </row>
    <row r="171">
      <c r="B171" s="7" t="s">
        <v>211</v>
      </c>
      <c r="C171" s="7" t="str">
        <f>IFERROR(VLOOKUP(B171,'Master data'!$A$1:$D$397,2,FALSE),"")</f>
        <v>B001-088</v>
      </c>
      <c r="D171" s="70" t="str">
        <f>VLOOKUP(B171,Sheet3!$B$2:$E$312,3,)</f>
        <v>bahan baku</v>
      </c>
      <c r="E171" s="71">
        <v>2970.0</v>
      </c>
      <c r="F171" s="16" t="str">
        <f>IFERROR(VLOOKUP(B171,'Master data'!$A$1:$D$397,3,FALSE),"")</f>
        <v>GR</v>
      </c>
      <c r="G171" s="7" t="s">
        <v>1550</v>
      </c>
      <c r="H171" s="69" t="s">
        <v>1555</v>
      </c>
      <c r="I171" s="7" t="s">
        <v>1556</v>
      </c>
      <c r="J171" s="7" t="s">
        <v>61</v>
      </c>
      <c r="K171" s="16" t="b">
        <v>0</v>
      </c>
      <c r="L171" s="7" t="b">
        <v>1</v>
      </c>
    </row>
    <row r="172">
      <c r="B172" s="7" t="s">
        <v>139</v>
      </c>
      <c r="C172" s="7" t="str">
        <f>IFERROR(VLOOKUP(B172,'Master data'!$A$1:$D$397,2,FALSE),"")</f>
        <v>B001-061</v>
      </c>
      <c r="D172" s="70" t="str">
        <f>VLOOKUP(B172,Sheet3!$B$2:$E$312,3,)</f>
        <v>bahan baku</v>
      </c>
      <c r="E172" s="71">
        <v>44.0</v>
      </c>
      <c r="F172" s="16" t="str">
        <f>IFERROR(VLOOKUP(B172,'Master data'!$A$1:$D$397,3,FALSE),"")</f>
        <v>GR</v>
      </c>
      <c r="G172" s="7" t="s">
        <v>1577</v>
      </c>
      <c r="H172" s="69" t="s">
        <v>1541</v>
      </c>
      <c r="I172" s="7" t="s">
        <v>1542</v>
      </c>
      <c r="J172" s="7" t="s">
        <v>1561</v>
      </c>
      <c r="K172" s="16" t="b">
        <v>0</v>
      </c>
      <c r="L172" s="7" t="b">
        <v>1</v>
      </c>
    </row>
    <row r="173">
      <c r="A173" s="99" t="s">
        <v>1687</v>
      </c>
      <c r="B173" s="7" t="s">
        <v>86</v>
      </c>
      <c r="C173" s="7" t="str">
        <f>IFERROR(VLOOKUP(B173,'Master data'!$A$1:$D$397,2,FALSE),"")</f>
        <v>B001-036</v>
      </c>
      <c r="D173" s="70" t="str">
        <f>VLOOKUP(B173,Sheet3!$B$2:$E$312,3,)</f>
        <v>bahan baku</v>
      </c>
      <c r="E173" s="71">
        <v>100.0</v>
      </c>
      <c r="F173" s="16" t="str">
        <f>IFERROR(VLOOKUP(B173,'Master data'!$A$1:$D$397,3,FALSE),"")</f>
        <v>GR</v>
      </c>
      <c r="G173" s="7" t="s">
        <v>1540</v>
      </c>
      <c r="H173" s="69" t="s">
        <v>1679</v>
      </c>
      <c r="I173" s="7" t="s">
        <v>1552</v>
      </c>
      <c r="J173" s="7" t="s">
        <v>61</v>
      </c>
      <c r="K173" s="16" t="b">
        <v>0</v>
      </c>
      <c r="L173" s="7" t="b">
        <v>1</v>
      </c>
    </row>
    <row r="174">
      <c r="B174" s="7" t="s">
        <v>28</v>
      </c>
      <c r="C174" s="7" t="str">
        <f>IFERROR(VLOOKUP(B174,'Master data'!$A$1:$D$397,2,FALSE),"")</f>
        <v>B001-006</v>
      </c>
      <c r="D174" s="70" t="str">
        <f>VLOOKUP(B174,Sheet3!$B$2:$E$312,3,)</f>
        <v>bahan baku</v>
      </c>
      <c r="E174" s="71">
        <v>34.0</v>
      </c>
      <c r="F174" s="16" t="str">
        <f>IFERROR(VLOOKUP(B174,'Master data'!$A$1:$D$397,3,FALSE),"")</f>
        <v>GR</v>
      </c>
      <c r="G174" s="7" t="s">
        <v>1540</v>
      </c>
      <c r="H174" s="69" t="s">
        <v>1584</v>
      </c>
      <c r="I174" s="7" t="s">
        <v>1542</v>
      </c>
      <c r="J174" s="7" t="s">
        <v>61</v>
      </c>
      <c r="K174" s="16" t="b">
        <v>0</v>
      </c>
      <c r="L174" s="7" t="b">
        <v>1</v>
      </c>
    </row>
    <row r="175">
      <c r="B175" s="7" t="s">
        <v>221</v>
      </c>
      <c r="C175" s="7" t="str">
        <f>IFERROR(VLOOKUP(B175,'Master data'!$A$1:$D$397,2,FALSE),"")</f>
        <v>B001-098</v>
      </c>
      <c r="D175" s="70" t="str">
        <f>VLOOKUP(B175,Sheet3!$B$2:$E$312,3,)</f>
        <v>bahan baku</v>
      </c>
      <c r="E175" s="71">
        <v>23.0</v>
      </c>
      <c r="F175" s="16" t="str">
        <f>IFERROR(VLOOKUP(B175,'Master data'!$A$1:$D$397,3,FALSE),"")</f>
        <v>GR</v>
      </c>
      <c r="G175" s="7" t="s">
        <v>1577</v>
      </c>
      <c r="H175" s="69" t="s">
        <v>1541</v>
      </c>
      <c r="I175" s="7" t="s">
        <v>1542</v>
      </c>
      <c r="J175" s="7" t="s">
        <v>1561</v>
      </c>
      <c r="K175" s="16" t="b">
        <v>0</v>
      </c>
      <c r="L175" s="7" t="b">
        <v>1</v>
      </c>
    </row>
    <row r="176">
      <c r="B176" s="7" t="s">
        <v>132</v>
      </c>
      <c r="C176" s="7" t="str">
        <f>IFERROR(VLOOKUP(B176,'Master data'!$A$1:$D$397,2,FALSE),"")</f>
        <v>B001-057</v>
      </c>
      <c r="D176" s="70" t="str">
        <f>VLOOKUP(B176,Sheet3!$B$2:$E$312,3,)</f>
        <v>bahan baku</v>
      </c>
      <c r="E176" s="71">
        <v>48.0</v>
      </c>
      <c r="F176" s="16" t="str">
        <f>IFERROR(VLOOKUP(B176,'Master data'!$A$1:$D$397,3,FALSE),"")</f>
        <v>GR</v>
      </c>
      <c r="G176" s="7" t="s">
        <v>1563</v>
      </c>
      <c r="H176" s="69" t="s">
        <v>1541</v>
      </c>
      <c r="I176" s="7" t="s">
        <v>1542</v>
      </c>
      <c r="J176" s="7" t="s">
        <v>1561</v>
      </c>
      <c r="K176" s="16" t="b">
        <v>0</v>
      </c>
      <c r="L176" s="7" t="b">
        <v>1</v>
      </c>
    </row>
    <row r="177">
      <c r="B177" s="7" t="s">
        <v>653</v>
      </c>
      <c r="C177" s="7" t="str">
        <f>IFERROR(VLOOKUP(B177,'Master data'!$A$1:$D$397,2,FALSE),"")</f>
        <v>P004-022</v>
      </c>
      <c r="D177" s="70" t="str">
        <f>VLOOKUP(B177,Sheet3!$B$2:$E$312,3,)</f>
        <v>barang jadi &amp; bahan baku</v>
      </c>
      <c r="E177" s="71">
        <v>348.0</v>
      </c>
      <c r="F177" s="16" t="str">
        <f>IFERROR(VLOOKUP(B177,'Master data'!$A$1:$D$397,3,FALSE),"")</f>
        <v>GR</v>
      </c>
      <c r="G177" s="7" t="s">
        <v>1550</v>
      </c>
      <c r="H177" s="69" t="s">
        <v>1565</v>
      </c>
      <c r="I177" s="7" t="s">
        <v>1552</v>
      </c>
      <c r="J177" s="7" t="s">
        <v>1561</v>
      </c>
      <c r="K177" s="16" t="b">
        <v>0</v>
      </c>
      <c r="L177" s="7" t="b">
        <v>1</v>
      </c>
    </row>
    <row r="178">
      <c r="B178" s="7" t="s">
        <v>657</v>
      </c>
      <c r="C178" s="7" t="str">
        <f>IFERROR(VLOOKUP(B178,'Master data'!$A$1:$D$397,2,FALSE),"")</f>
        <v>P004-023</v>
      </c>
      <c r="D178" s="70" t="str">
        <f>VLOOKUP(B178,Sheet3!$B$2:$E$312,3,)</f>
        <v>barang jadi &amp; bahan baku</v>
      </c>
      <c r="E178" s="71">
        <v>365.0</v>
      </c>
      <c r="F178" s="16" t="str">
        <f>IFERROR(VLOOKUP(B178,'Master data'!$A$1:$D$397,3,FALSE),"")</f>
        <v>GR</v>
      </c>
      <c r="G178" s="7" t="s">
        <v>1550</v>
      </c>
      <c r="H178" s="69" t="s">
        <v>1565</v>
      </c>
      <c r="I178" s="7" t="s">
        <v>1552</v>
      </c>
      <c r="J178" s="7" t="s">
        <v>1561</v>
      </c>
      <c r="K178" s="16" t="b">
        <v>0</v>
      </c>
      <c r="L178" s="7" t="b">
        <v>1</v>
      </c>
    </row>
    <row r="179">
      <c r="B179" s="7" t="s">
        <v>664</v>
      </c>
      <c r="C179" s="7" t="str">
        <f>IFERROR(VLOOKUP(B179,'Master data'!$A$1:$D$397,2,FALSE),"")</f>
        <v>P004-025</v>
      </c>
      <c r="D179" s="70" t="str">
        <f>VLOOKUP(B179,Sheet3!$B$2:$E$312,3,)</f>
        <v>barang jadi &amp; bahan baku</v>
      </c>
      <c r="E179" s="71">
        <v>1181.0</v>
      </c>
      <c r="F179" s="16" t="str">
        <f>IFERROR(VLOOKUP(B179,'Master data'!$A$1:$D$397,3,FALSE),"")</f>
        <v>PRS</v>
      </c>
      <c r="G179" s="7" t="s">
        <v>1550</v>
      </c>
      <c r="H179" s="69" t="s">
        <v>1565</v>
      </c>
      <c r="I179" s="7" t="s">
        <v>1552</v>
      </c>
      <c r="J179" s="7" t="s">
        <v>1561</v>
      </c>
      <c r="K179" s="16" t="b">
        <v>0</v>
      </c>
      <c r="L179" s="7" t="b">
        <v>1</v>
      </c>
    </row>
    <row r="180">
      <c r="B180" s="7" t="s">
        <v>211</v>
      </c>
      <c r="C180" s="7" t="str">
        <f>IFERROR(VLOOKUP(B180,'Master data'!$A$1:$D$397,2,FALSE),"")</f>
        <v>B001-088</v>
      </c>
      <c r="D180" s="70" t="str">
        <f>VLOOKUP(B180,Sheet3!$B$2:$E$312,3,)</f>
        <v>bahan baku</v>
      </c>
      <c r="E180" s="71">
        <v>3903.0</v>
      </c>
      <c r="F180" s="16" t="str">
        <f>IFERROR(VLOOKUP(B180,'Master data'!$A$1:$D$397,3,FALSE),"")</f>
        <v>GR</v>
      </c>
      <c r="G180" s="7" t="s">
        <v>1550</v>
      </c>
      <c r="H180" s="69" t="s">
        <v>1555</v>
      </c>
      <c r="I180" s="7" t="s">
        <v>1556</v>
      </c>
      <c r="J180" s="7" t="s">
        <v>61</v>
      </c>
      <c r="K180" s="16" t="b">
        <v>0</v>
      </c>
      <c r="L180" s="7" t="b">
        <v>1</v>
      </c>
    </row>
    <row r="181">
      <c r="B181" s="7" t="s">
        <v>33</v>
      </c>
      <c r="C181" s="7" t="str">
        <f>IFERROR(VLOOKUP(B181,'Master data'!$A$1:$D$397,2,FALSE),"")</f>
        <v>B001-008</v>
      </c>
      <c r="D181" s="70" t="str">
        <f>VLOOKUP(B181,Sheet3!$B$2:$E$312,3,)</f>
        <v>bahan baku</v>
      </c>
      <c r="E181" s="71">
        <v>564.0</v>
      </c>
      <c r="F181" s="16" t="str">
        <f>IFERROR(VLOOKUP(B181,'Master data'!$A$1:$D$397,3,FALSE),"")</f>
        <v>GR</v>
      </c>
      <c r="G181" s="7" t="s">
        <v>1546</v>
      </c>
      <c r="H181" s="69" t="s">
        <v>1569</v>
      </c>
      <c r="I181" s="7" t="s">
        <v>1548</v>
      </c>
      <c r="J181" s="7" t="s">
        <v>1561</v>
      </c>
      <c r="K181" s="16" t="b">
        <v>0</v>
      </c>
      <c r="L181" s="7" t="b">
        <v>1</v>
      </c>
    </row>
    <row r="182">
      <c r="B182" s="7" t="s">
        <v>129</v>
      </c>
      <c r="C182" s="7" t="str">
        <f>IFERROR(VLOOKUP(B182,'Master data'!$A$1:$D$397,2,FALSE),"")</f>
        <v>B001-056</v>
      </c>
      <c r="D182" s="70" t="str">
        <f>VLOOKUP(B182,Sheet3!$B$2:$E$312,3,)</f>
        <v>bahan baku</v>
      </c>
      <c r="E182" s="71">
        <v>5.0</v>
      </c>
      <c r="F182" s="16" t="str">
        <f>IFERROR(VLOOKUP(B182,'Master data'!$A$1:$D$397,3,FALSE),"")</f>
        <v>ML</v>
      </c>
      <c r="G182" s="7" t="s">
        <v>1546</v>
      </c>
      <c r="H182" s="69" t="s">
        <v>1569</v>
      </c>
      <c r="I182" s="7" t="s">
        <v>1548</v>
      </c>
      <c r="J182" s="7" t="s">
        <v>1561</v>
      </c>
      <c r="K182" s="16" t="b">
        <v>0</v>
      </c>
      <c r="L182" s="7" t="b">
        <v>1</v>
      </c>
    </row>
    <row r="183">
      <c r="A183" s="36" t="s">
        <v>1693</v>
      </c>
      <c r="B183" s="7" t="s">
        <v>148</v>
      </c>
      <c r="C183" s="7" t="str">
        <f>IFERROR(VLOOKUP(B183,'Master data'!$A$1:$D$397,2,FALSE),"")</f>
        <v>B001-064</v>
      </c>
      <c r="D183" s="70" t="str">
        <f>VLOOKUP(B183,Sheet3!$B$2:$E$312,3,)</f>
        <v>bahan baku</v>
      </c>
      <c r="E183" s="71">
        <v>32.0</v>
      </c>
      <c r="F183" s="16" t="str">
        <f>IFERROR(VLOOKUP(B183,'Master data'!$A$1:$D$397,3,FALSE),"")</f>
        <v>GR</v>
      </c>
      <c r="G183" s="7" t="s">
        <v>1540</v>
      </c>
      <c r="H183" s="69" t="s">
        <v>1573</v>
      </c>
      <c r="I183" s="7" t="s">
        <v>1542</v>
      </c>
      <c r="J183" s="7" t="s">
        <v>61</v>
      </c>
      <c r="K183" s="16" t="b">
        <v>0</v>
      </c>
      <c r="L183" s="7" t="b">
        <v>1</v>
      </c>
    </row>
    <row r="184">
      <c r="B184" s="7" t="s">
        <v>28</v>
      </c>
      <c r="C184" s="7" t="str">
        <f>IFERROR(VLOOKUP(B184,'Master data'!$A$1:$D$397,2,FALSE),"")</f>
        <v>B001-006</v>
      </c>
      <c r="D184" s="70" t="str">
        <f>VLOOKUP(B184,Sheet3!$B$2:$E$312,3,)</f>
        <v>bahan baku</v>
      </c>
      <c r="E184" s="71">
        <v>8.0</v>
      </c>
      <c r="F184" s="16" t="str">
        <f>IFERROR(VLOOKUP(B184,'Master data'!$A$1:$D$397,3,FALSE),"")</f>
        <v>GR</v>
      </c>
      <c r="G184" s="7" t="s">
        <v>1540</v>
      </c>
      <c r="H184" s="69" t="s">
        <v>1573</v>
      </c>
      <c r="I184" s="7" t="s">
        <v>1542</v>
      </c>
      <c r="J184" s="7" t="s">
        <v>61</v>
      </c>
      <c r="K184" s="16" t="b">
        <v>0</v>
      </c>
      <c r="L184" s="7" t="b">
        <v>1</v>
      </c>
    </row>
    <row r="185">
      <c r="B185" s="7" t="s">
        <v>33</v>
      </c>
      <c r="C185" s="7" t="str">
        <f>IFERROR(VLOOKUP(B185,'Master data'!$A$1:$D$397,2,FALSE),"")</f>
        <v>B001-008</v>
      </c>
      <c r="D185" s="70" t="str">
        <f>VLOOKUP(B185,Sheet3!$B$2:$E$312,3,)</f>
        <v>bahan baku</v>
      </c>
      <c r="E185" s="71">
        <v>559.0</v>
      </c>
      <c r="F185" s="16" t="str">
        <f>IFERROR(VLOOKUP(B185,'Master data'!$A$1:$D$397,3,FALSE),"")</f>
        <v>GR</v>
      </c>
      <c r="G185" s="7" t="s">
        <v>1546</v>
      </c>
      <c r="H185" s="69" t="s">
        <v>1569</v>
      </c>
      <c r="I185" s="7" t="s">
        <v>1548</v>
      </c>
      <c r="J185" s="7" t="s">
        <v>1561</v>
      </c>
      <c r="K185" s="16" t="b">
        <v>0</v>
      </c>
      <c r="L185" s="7" t="b">
        <v>1</v>
      </c>
    </row>
    <row r="186">
      <c r="B186" s="7" t="s">
        <v>129</v>
      </c>
      <c r="C186" s="7" t="str">
        <f>IFERROR(VLOOKUP(B186,'Master data'!$A$1:$D$397,2,FALSE),"")</f>
        <v>B001-056</v>
      </c>
      <c r="D186" s="70" t="str">
        <f>VLOOKUP(B186,Sheet3!$B$2:$E$312,3,)</f>
        <v>bahan baku</v>
      </c>
      <c r="E186" s="71">
        <v>6.0</v>
      </c>
      <c r="F186" s="16" t="str">
        <f>IFERROR(VLOOKUP(B186,'Master data'!$A$1:$D$397,3,FALSE),"")</f>
        <v>ML</v>
      </c>
      <c r="G186" s="7" t="s">
        <v>1546</v>
      </c>
      <c r="H186" s="69" t="s">
        <v>1569</v>
      </c>
      <c r="I186" s="7" t="s">
        <v>1548</v>
      </c>
      <c r="J186" s="7" t="s">
        <v>1561</v>
      </c>
      <c r="K186" s="16" t="b">
        <v>0</v>
      </c>
      <c r="L186" s="7" t="b">
        <v>1</v>
      </c>
    </row>
    <row r="187">
      <c r="B187" s="7" t="s">
        <v>653</v>
      </c>
      <c r="C187" s="7" t="str">
        <f>IFERROR(VLOOKUP(B187,'Master data'!$A$1:$D$397,2,FALSE),"")</f>
        <v>P004-022</v>
      </c>
      <c r="D187" s="70" t="str">
        <f>VLOOKUP(B187,Sheet3!$B$2:$E$312,3,)</f>
        <v>barang jadi &amp; bahan baku</v>
      </c>
      <c r="E187" s="71">
        <v>141.0</v>
      </c>
      <c r="F187" s="16" t="str">
        <f>IFERROR(VLOOKUP(B187,'Master data'!$A$1:$D$397,3,FALSE),"")</f>
        <v>GR</v>
      </c>
      <c r="G187" s="7" t="s">
        <v>1550</v>
      </c>
      <c r="H187" s="69" t="s">
        <v>1565</v>
      </c>
      <c r="I187" s="7" t="s">
        <v>1552</v>
      </c>
      <c r="J187" s="7" t="s">
        <v>1561</v>
      </c>
      <c r="K187" s="16" t="b">
        <v>0</v>
      </c>
      <c r="L187" s="7" t="b">
        <v>1</v>
      </c>
    </row>
    <row r="188">
      <c r="B188" s="7" t="s">
        <v>657</v>
      </c>
      <c r="C188" s="7" t="str">
        <f>IFERROR(VLOOKUP(B188,'Master data'!$A$1:$D$397,2,FALSE),"")</f>
        <v>P004-023</v>
      </c>
      <c r="D188" s="70" t="str">
        <f>VLOOKUP(B188,Sheet3!$B$2:$E$312,3,)</f>
        <v>barang jadi &amp; bahan baku</v>
      </c>
      <c r="E188" s="71">
        <v>552.0</v>
      </c>
      <c r="F188" s="16" t="str">
        <f>IFERROR(VLOOKUP(B188,'Master data'!$A$1:$D$397,3,FALSE),"")</f>
        <v>GR</v>
      </c>
      <c r="G188" s="7" t="s">
        <v>1550</v>
      </c>
      <c r="H188" s="69" t="s">
        <v>1565</v>
      </c>
      <c r="I188" s="7" t="s">
        <v>1552</v>
      </c>
      <c r="J188" s="7" t="s">
        <v>1561</v>
      </c>
      <c r="K188" s="16" t="b">
        <v>0</v>
      </c>
      <c r="L188" s="7" t="b">
        <v>1</v>
      </c>
    </row>
    <row r="189">
      <c r="A189" s="36" t="s">
        <v>1697</v>
      </c>
      <c r="B189" s="7" t="s">
        <v>28</v>
      </c>
      <c r="C189" s="7" t="str">
        <f>IFERROR(VLOOKUP(B189,'Master data'!$A$1:$D$397,2,FALSE),"")</f>
        <v>B001-006</v>
      </c>
      <c r="D189" s="70" t="str">
        <f>VLOOKUP(B189,Sheet3!$B$2:$E$312,3,)</f>
        <v>bahan baku</v>
      </c>
      <c r="E189" s="71">
        <v>17.0</v>
      </c>
      <c r="F189" s="16" t="str">
        <f>IFERROR(VLOOKUP(B189,'Master data'!$A$1:$D$397,3,FALSE),"")</f>
        <v>GR</v>
      </c>
      <c r="G189" s="7" t="s">
        <v>1540</v>
      </c>
      <c r="H189" s="69" t="s">
        <v>1573</v>
      </c>
      <c r="I189" s="7" t="s">
        <v>1542</v>
      </c>
      <c r="J189" s="7" t="s">
        <v>61</v>
      </c>
      <c r="K189" s="16" t="b">
        <v>0</v>
      </c>
      <c r="L189" s="7" t="b">
        <v>1</v>
      </c>
    </row>
    <row r="190">
      <c r="B190" s="7" t="s">
        <v>33</v>
      </c>
      <c r="C190" s="7" t="str">
        <f>IFERROR(VLOOKUP(B190,'Master data'!$A$1:$D$397,2,FALSE),"")</f>
        <v>B001-008</v>
      </c>
      <c r="D190" s="70" t="str">
        <f>VLOOKUP(B190,Sheet3!$B$2:$E$312,3,)</f>
        <v>bahan baku</v>
      </c>
      <c r="E190" s="71" t="s">
        <v>1699</v>
      </c>
      <c r="F190" s="16" t="str">
        <f>IFERROR(VLOOKUP(B190,'Master data'!$A$1:$D$397,3,FALSE),"")</f>
        <v>GR</v>
      </c>
      <c r="G190" s="7" t="s">
        <v>1616</v>
      </c>
      <c r="H190" s="69" t="s">
        <v>1569</v>
      </c>
      <c r="I190" s="7" t="s">
        <v>1548</v>
      </c>
      <c r="J190" s="7" t="s">
        <v>1561</v>
      </c>
      <c r="K190" s="16" t="b">
        <v>0</v>
      </c>
      <c r="L190" s="7" t="b">
        <v>1</v>
      </c>
    </row>
    <row r="191">
      <c r="B191" s="7" t="s">
        <v>129</v>
      </c>
      <c r="C191" s="7" t="str">
        <f>IFERROR(VLOOKUP(B191,'Master data'!$A$1:$D$397,2,FALSE),"")</f>
        <v>B001-056</v>
      </c>
      <c r="D191" s="70" t="str">
        <f>VLOOKUP(B191,Sheet3!$B$2:$E$312,3,)</f>
        <v>bahan baku</v>
      </c>
      <c r="E191" s="71" t="s">
        <v>1700</v>
      </c>
      <c r="F191" s="16" t="str">
        <f>IFERROR(VLOOKUP(B191,'Master data'!$A$1:$D$397,3,FALSE),"")</f>
        <v>ML</v>
      </c>
      <c r="G191" s="7" t="s">
        <v>1616</v>
      </c>
      <c r="H191" s="69" t="s">
        <v>1569</v>
      </c>
      <c r="I191" s="7" t="s">
        <v>1548</v>
      </c>
      <c r="J191" s="7" t="s">
        <v>1561</v>
      </c>
      <c r="K191" s="16" t="b">
        <v>0</v>
      </c>
      <c r="L191" s="7" t="b">
        <v>1</v>
      </c>
    </row>
    <row r="192">
      <c r="B192" s="7" t="s">
        <v>148</v>
      </c>
      <c r="C192" s="7" t="str">
        <f>IFERROR(VLOOKUP(B192,'Master data'!$A$1:$D$397,2,FALSE),"")</f>
        <v>B001-064</v>
      </c>
      <c r="D192" s="70" t="str">
        <f>VLOOKUP(B192,Sheet3!$B$2:$E$312,3,)</f>
        <v>bahan baku</v>
      </c>
      <c r="E192" s="71">
        <v>23.0</v>
      </c>
      <c r="F192" s="16" t="str">
        <f>IFERROR(VLOOKUP(B192,'Master data'!$A$1:$D$397,3,FALSE),"")</f>
        <v>GR</v>
      </c>
      <c r="G192" s="7" t="s">
        <v>1540</v>
      </c>
      <c r="H192" s="69" t="s">
        <v>1573</v>
      </c>
      <c r="I192" s="7" t="s">
        <v>1542</v>
      </c>
      <c r="J192" s="7" t="s">
        <v>61</v>
      </c>
      <c r="K192" s="16" t="b">
        <v>0</v>
      </c>
      <c r="L192" s="7" t="b">
        <v>1</v>
      </c>
    </row>
    <row r="193">
      <c r="B193" s="7" t="s">
        <v>211</v>
      </c>
      <c r="C193" s="7" t="str">
        <f>IFERROR(VLOOKUP(B193,'Master data'!$A$1:$D$397,2,FALSE),"")</f>
        <v>B001-088</v>
      </c>
      <c r="D193" s="70" t="str">
        <f>VLOOKUP(B193,Sheet3!$B$2:$E$312,3,)</f>
        <v>bahan baku</v>
      </c>
      <c r="E193" s="71">
        <v>3315.0</v>
      </c>
      <c r="F193" s="16" t="str">
        <f>IFERROR(VLOOKUP(B193,'Master data'!$A$1:$D$397,3,FALSE),"")</f>
        <v>GR</v>
      </c>
      <c r="G193" s="7" t="s">
        <v>1554</v>
      </c>
      <c r="H193" s="69" t="s">
        <v>1702</v>
      </c>
      <c r="I193" s="7" t="s">
        <v>1556</v>
      </c>
      <c r="J193" s="7" t="s">
        <v>61</v>
      </c>
      <c r="K193" s="16" t="b">
        <v>0</v>
      </c>
      <c r="L193" s="7" t="b">
        <v>1</v>
      </c>
    </row>
    <row r="194">
      <c r="B194" s="7" t="s">
        <v>657</v>
      </c>
      <c r="C194" s="7" t="str">
        <f>IFERROR(VLOOKUP(B194,'Master data'!$A$1:$D$397,2,FALSE),"")</f>
        <v>P004-023</v>
      </c>
      <c r="D194" s="70" t="str">
        <f>VLOOKUP(B194,Sheet3!$B$2:$E$312,3,)</f>
        <v>barang jadi &amp; bahan baku</v>
      </c>
      <c r="E194" s="71">
        <v>336.0</v>
      </c>
      <c r="F194" s="16" t="str">
        <f>IFERROR(VLOOKUP(B194,'Master data'!$A$1:$D$397,3,FALSE),"")</f>
        <v>GR</v>
      </c>
      <c r="G194" s="7" t="s">
        <v>1550</v>
      </c>
      <c r="H194" s="69" t="s">
        <v>1565</v>
      </c>
      <c r="I194" s="7" t="s">
        <v>1552</v>
      </c>
      <c r="J194" s="7" t="s">
        <v>1561</v>
      </c>
      <c r="K194" s="16" t="b">
        <v>0</v>
      </c>
      <c r="L194" s="7" t="b">
        <v>1</v>
      </c>
    </row>
    <row r="195">
      <c r="B195" s="7" t="s">
        <v>653</v>
      </c>
      <c r="C195" s="7" t="str">
        <f>IFERROR(VLOOKUP(B195,'Master data'!$A$1:$D$397,2,FALSE),"")</f>
        <v>P004-022</v>
      </c>
      <c r="D195" s="70" t="str">
        <f>VLOOKUP(B195,Sheet3!$B$2:$E$312,3,)</f>
        <v>barang jadi &amp; bahan baku</v>
      </c>
      <c r="E195" s="71">
        <v>413.0</v>
      </c>
      <c r="F195" s="16" t="str">
        <f>IFERROR(VLOOKUP(B195,'Master data'!$A$1:$D$397,3,FALSE),"")</f>
        <v>GR</v>
      </c>
      <c r="G195" s="7" t="s">
        <v>1550</v>
      </c>
      <c r="H195" s="69" t="s">
        <v>1565</v>
      </c>
      <c r="I195" s="7" t="s">
        <v>1552</v>
      </c>
      <c r="J195" s="7" t="s">
        <v>1561</v>
      </c>
      <c r="K195" s="16" t="b">
        <v>0</v>
      </c>
      <c r="L195" s="7" t="b">
        <v>1</v>
      </c>
    </row>
    <row r="196">
      <c r="A196" s="36" t="s">
        <v>1704</v>
      </c>
      <c r="B196" s="7" t="s">
        <v>298</v>
      </c>
      <c r="C196" s="7" t="str">
        <f>IFERROR(VLOOKUP(B196,'Master data'!$A$1:$D$397,2,FALSE),"")</f>
        <v>B001-125</v>
      </c>
      <c r="D196" s="70" t="str">
        <f>VLOOKUP(B196,Sheet3!$B$2:$E$312,3,)</f>
        <v>bahan baku</v>
      </c>
      <c r="E196" s="71">
        <v>52.0</v>
      </c>
      <c r="F196" s="16" t="str">
        <f>IFERROR(VLOOKUP(B196,'Master data'!$A$1:$D$397,3,FALSE),"")</f>
        <v>GR</v>
      </c>
      <c r="G196" s="7" t="s">
        <v>1577</v>
      </c>
      <c r="H196" s="69" t="s">
        <v>1573</v>
      </c>
      <c r="I196" s="7" t="s">
        <v>1542</v>
      </c>
      <c r="J196" s="7" t="s">
        <v>1561</v>
      </c>
      <c r="K196" s="16" t="b">
        <v>0</v>
      </c>
      <c r="L196" s="7" t="b">
        <v>1</v>
      </c>
    </row>
    <row r="197">
      <c r="B197" s="7" t="s">
        <v>28</v>
      </c>
      <c r="C197" s="7" t="str">
        <f>IFERROR(VLOOKUP(B197,'Master data'!$A$1:$D$397,2,FALSE),"")</f>
        <v>B001-006</v>
      </c>
      <c r="D197" s="70" t="str">
        <f>VLOOKUP(B197,Sheet3!$B$2:$E$312,3,)</f>
        <v>bahan baku</v>
      </c>
      <c r="E197" s="71">
        <v>12.0</v>
      </c>
      <c r="F197" s="16" t="str">
        <f>IFERROR(VLOOKUP(B197,'Master data'!$A$1:$D$397,3,FALSE),"")</f>
        <v>GR</v>
      </c>
      <c r="G197" s="7" t="s">
        <v>1540</v>
      </c>
      <c r="I197" s="7" t="s">
        <v>1542</v>
      </c>
      <c r="J197" s="7" t="s">
        <v>61</v>
      </c>
      <c r="K197" s="16" t="b">
        <v>0</v>
      </c>
      <c r="L197" s="7" t="b">
        <v>1</v>
      </c>
    </row>
    <row r="198">
      <c r="B198" s="7" t="s">
        <v>148</v>
      </c>
      <c r="C198" s="7" t="str">
        <f>IFERROR(VLOOKUP(B198,'Master data'!$A$1:$D$397,2,FALSE),"")</f>
        <v>B001-064</v>
      </c>
      <c r="D198" s="70" t="str">
        <f>VLOOKUP(B198,Sheet3!$B$2:$E$312,3,)</f>
        <v>bahan baku</v>
      </c>
      <c r="E198" s="71">
        <v>38.0</v>
      </c>
      <c r="F198" s="16" t="str">
        <f>IFERROR(VLOOKUP(B198,'Master data'!$A$1:$D$397,3,FALSE),"")</f>
        <v>GR</v>
      </c>
      <c r="G198" s="7" t="s">
        <v>1540</v>
      </c>
      <c r="I198" s="7" t="s">
        <v>1542</v>
      </c>
      <c r="J198" s="7" t="s">
        <v>61</v>
      </c>
      <c r="K198" s="16" t="b">
        <v>0</v>
      </c>
      <c r="L198" s="7" t="b">
        <v>1</v>
      </c>
    </row>
    <row r="199">
      <c r="B199" s="7" t="s">
        <v>664</v>
      </c>
      <c r="C199" s="7" t="str">
        <f>IFERROR(VLOOKUP(B199,'Master data'!$A$1:$D$397,2,FALSE),"")</f>
        <v>P004-025</v>
      </c>
      <c r="D199" s="70" t="str">
        <f>VLOOKUP(B199,Sheet3!$B$2:$E$312,3,)</f>
        <v>barang jadi &amp; bahan baku</v>
      </c>
      <c r="E199" s="71">
        <v>100.0</v>
      </c>
      <c r="F199" s="16" t="str">
        <f>IFERROR(VLOOKUP(B199,'Master data'!$A$1:$D$397,3,FALSE),"")</f>
        <v>PRS</v>
      </c>
      <c r="G199" s="7" t="s">
        <v>1563</v>
      </c>
      <c r="H199" s="69" t="s">
        <v>1679</v>
      </c>
      <c r="I199" s="7" t="s">
        <v>1552</v>
      </c>
      <c r="J199" s="7" t="s">
        <v>1561</v>
      </c>
      <c r="K199" s="16" t="b">
        <v>0</v>
      </c>
      <c r="L199" s="7" t="b">
        <v>1</v>
      </c>
    </row>
    <row r="200">
      <c r="B200" s="7" t="s">
        <v>211</v>
      </c>
      <c r="C200" s="7" t="str">
        <f>IFERROR(VLOOKUP(B200,'Master data'!$A$1:$D$397,2,FALSE),"")</f>
        <v>B001-088</v>
      </c>
      <c r="D200" s="70" t="s">
        <v>19</v>
      </c>
      <c r="E200" s="71">
        <v>6400.0</v>
      </c>
      <c r="F200" s="7" t="s">
        <v>20</v>
      </c>
      <c r="G200" s="7" t="s">
        <v>1554</v>
      </c>
      <c r="H200" s="69" t="s">
        <v>1702</v>
      </c>
      <c r="I200" s="7" t="s">
        <v>1556</v>
      </c>
      <c r="J200" s="7" t="s">
        <v>61</v>
      </c>
      <c r="K200" s="16" t="b">
        <v>0</v>
      </c>
      <c r="L200" s="7" t="b">
        <v>1</v>
      </c>
    </row>
    <row r="201">
      <c r="A201" s="36" t="s">
        <v>1705</v>
      </c>
      <c r="B201" s="7" t="s">
        <v>211</v>
      </c>
      <c r="C201" s="7" t="str">
        <f>IFERROR(VLOOKUP(B201,'Master data'!$A$1:$D$397,2,FALSE),"")</f>
        <v>B001-088</v>
      </c>
      <c r="D201" s="70" t="str">
        <f>VLOOKUP(B201,Sheet3!$B$2:$E$312,3,)</f>
        <v>bahan baku</v>
      </c>
      <c r="E201" s="71">
        <v>4120.0</v>
      </c>
      <c r="F201" s="16" t="str">
        <f>IFERROR(VLOOKUP(B201,'Master data'!$A$1:$D$397,3,FALSE),"")</f>
        <v>GR</v>
      </c>
      <c r="G201" s="7" t="s">
        <v>1707</v>
      </c>
      <c r="H201" s="69" t="s">
        <v>1702</v>
      </c>
      <c r="I201" s="7" t="s">
        <v>1556</v>
      </c>
      <c r="J201" s="7" t="s">
        <v>61</v>
      </c>
      <c r="K201" s="16" t="b">
        <v>0</v>
      </c>
      <c r="L201" s="7" t="b">
        <v>1</v>
      </c>
    </row>
    <row r="202">
      <c r="B202" s="7" t="s">
        <v>653</v>
      </c>
      <c r="C202" s="7" t="str">
        <f>IFERROR(VLOOKUP(B202,'Master data'!$A$1:$D$397,2,FALSE),"")</f>
        <v>P004-022</v>
      </c>
      <c r="D202" s="70" t="str">
        <f>VLOOKUP(B202,Sheet3!$B$2:$E$312,3,)</f>
        <v>barang jadi &amp; bahan baku</v>
      </c>
      <c r="E202" s="71">
        <v>971.0</v>
      </c>
      <c r="F202" s="16" t="str">
        <f>IFERROR(VLOOKUP(B202,'Master data'!$A$1:$D$397,3,FALSE),"")</f>
        <v>GR</v>
      </c>
      <c r="G202" s="7" t="s">
        <v>1563</v>
      </c>
      <c r="H202" s="69" t="s">
        <v>1679</v>
      </c>
      <c r="I202" s="7" t="s">
        <v>1552</v>
      </c>
      <c r="J202" s="7" t="s">
        <v>1561</v>
      </c>
      <c r="K202" s="16" t="b">
        <v>0</v>
      </c>
      <c r="L202" s="7" t="b">
        <v>1</v>
      </c>
    </row>
    <row r="203">
      <c r="B203" s="7" t="s">
        <v>657</v>
      </c>
      <c r="C203" s="7" t="str">
        <f>IFERROR(VLOOKUP(B203,'Master data'!$A$1:$D$397,2,FALSE),"")</f>
        <v>P004-023</v>
      </c>
      <c r="D203" s="70" t="str">
        <f>VLOOKUP(B203,Sheet3!$B$2:$E$312,3,)</f>
        <v>barang jadi &amp; bahan baku</v>
      </c>
      <c r="E203" s="71">
        <v>1928.0</v>
      </c>
      <c r="F203" s="16" t="str">
        <f>IFERROR(VLOOKUP(B203,'Master data'!$A$1:$D$397,3,FALSE),"")</f>
        <v>GR</v>
      </c>
      <c r="G203" s="7" t="s">
        <v>1563</v>
      </c>
      <c r="H203" s="69" t="s">
        <v>1679</v>
      </c>
      <c r="I203" s="7" t="s">
        <v>1552</v>
      </c>
      <c r="J203" s="7" t="s">
        <v>1561</v>
      </c>
      <c r="K203" s="16" t="b">
        <v>0</v>
      </c>
      <c r="L203" s="7" t="b">
        <v>1</v>
      </c>
    </row>
    <row r="204">
      <c r="B204" s="7" t="s">
        <v>28</v>
      </c>
      <c r="C204" s="7" t="str">
        <f>IFERROR(VLOOKUP(B204,'Master data'!$A$1:$D$397,2,FALSE),"")</f>
        <v>B001-006</v>
      </c>
      <c r="D204" s="70" t="str">
        <f>VLOOKUP(B204,Sheet3!$B$2:$E$312,3,)</f>
        <v>bahan baku</v>
      </c>
      <c r="E204" s="71">
        <v>12.0</v>
      </c>
      <c r="F204" s="16" t="str">
        <f>IFERROR(VLOOKUP(B204,'Master data'!$A$1:$D$397,3,FALSE),"")</f>
        <v>GR</v>
      </c>
      <c r="G204" s="7" t="s">
        <v>1540</v>
      </c>
      <c r="H204" s="69" t="s">
        <v>1573</v>
      </c>
      <c r="I204" s="7" t="s">
        <v>1542</v>
      </c>
      <c r="J204" s="7" t="s">
        <v>61</v>
      </c>
      <c r="K204" s="16" t="b">
        <v>0</v>
      </c>
      <c r="L204" s="7" t="b">
        <v>1</v>
      </c>
    </row>
    <row r="205">
      <c r="B205" s="7" t="s">
        <v>298</v>
      </c>
      <c r="C205" s="7" t="str">
        <f>IFERROR(VLOOKUP(B205,'Master data'!$A$1:$D$397,2,FALSE),"")</f>
        <v>B001-125</v>
      </c>
      <c r="D205" s="70" t="str">
        <f>VLOOKUP(B205,Sheet3!$B$2:$E$312,3,)</f>
        <v>bahan baku</v>
      </c>
      <c r="E205" s="71">
        <v>41.0</v>
      </c>
      <c r="F205" s="16" t="str">
        <f>IFERROR(VLOOKUP(B205,'Master data'!$A$1:$D$397,3,FALSE),"")</f>
        <v>GR</v>
      </c>
      <c r="G205" s="7" t="s">
        <v>1577</v>
      </c>
      <c r="H205" s="69" t="s">
        <v>1573</v>
      </c>
      <c r="I205" s="7" t="s">
        <v>1542</v>
      </c>
      <c r="J205" s="7" t="s">
        <v>1561</v>
      </c>
      <c r="K205" s="16" t="b">
        <v>0</v>
      </c>
      <c r="L205" s="7" t="b">
        <v>1</v>
      </c>
    </row>
    <row r="206">
      <c r="B206" s="7" t="s">
        <v>33</v>
      </c>
      <c r="C206" s="7" t="str">
        <f>IFERROR(VLOOKUP(B206,'Master data'!$A$1:$D$397,2,FALSE),"")</f>
        <v>B001-008</v>
      </c>
      <c r="D206" s="70" t="str">
        <f>VLOOKUP(B206,Sheet3!$B$2:$E$312,3,)</f>
        <v>bahan baku</v>
      </c>
      <c r="E206" s="71" t="s">
        <v>1709</v>
      </c>
      <c r="F206" s="16" t="str">
        <f>IFERROR(VLOOKUP(B206,'Master data'!$A$1:$D$397,3,FALSE),"")</f>
        <v>GR</v>
      </c>
      <c r="G206" s="7" t="s">
        <v>1616</v>
      </c>
      <c r="H206" s="69" t="s">
        <v>1637</v>
      </c>
      <c r="I206" s="7" t="s">
        <v>1548</v>
      </c>
      <c r="J206" s="7" t="s">
        <v>1561</v>
      </c>
      <c r="K206" s="16" t="b">
        <v>0</v>
      </c>
      <c r="L206" s="7" t="b">
        <v>1</v>
      </c>
    </row>
    <row r="207">
      <c r="B207" s="7" t="s">
        <v>129</v>
      </c>
      <c r="C207" s="7" t="str">
        <f>IFERROR(VLOOKUP(B207,'Master data'!$A$1:$D$397,2,FALSE),"")</f>
        <v>B001-056</v>
      </c>
      <c r="D207" s="70" t="str">
        <f>VLOOKUP(B207,Sheet3!$B$2:$E$312,3,)</f>
        <v>bahan baku</v>
      </c>
      <c r="E207" s="71" t="s">
        <v>1710</v>
      </c>
      <c r="F207" s="16" t="str">
        <f>IFERROR(VLOOKUP(B207,'Master data'!$A$1:$D$397,3,FALSE),"")</f>
        <v>ML</v>
      </c>
      <c r="G207" s="7" t="s">
        <v>1616</v>
      </c>
      <c r="H207" s="69" t="s">
        <v>1637</v>
      </c>
      <c r="I207" s="7" t="s">
        <v>1548</v>
      </c>
      <c r="J207" s="7" t="s">
        <v>1561</v>
      </c>
      <c r="K207" s="16" t="b">
        <v>0</v>
      </c>
      <c r="L207" s="7" t="b">
        <v>1</v>
      </c>
    </row>
    <row r="208">
      <c r="A208" s="36" t="s">
        <v>1711</v>
      </c>
      <c r="B208" s="7" t="s">
        <v>86</v>
      </c>
      <c r="C208" s="7" t="str">
        <f>IFERROR(VLOOKUP(B208,'Master data'!$A$1:$D$397,2,FALSE),"")</f>
        <v>B001-036</v>
      </c>
      <c r="D208" s="70" t="str">
        <f>VLOOKUP(B208,Sheet3!$B$2:$E$312,3,)</f>
        <v>bahan baku</v>
      </c>
      <c r="E208" s="71">
        <v>7.0</v>
      </c>
      <c r="F208" s="16" t="str">
        <f>IFERROR(VLOOKUP(B208,'Master data'!$A$1:$D$397,3,FALSE),"")</f>
        <v>GR</v>
      </c>
      <c r="G208" s="7" t="s">
        <v>1606</v>
      </c>
      <c r="H208" s="69" t="s">
        <v>1541</v>
      </c>
      <c r="I208" s="7" t="s">
        <v>1542</v>
      </c>
      <c r="J208" s="7" t="s">
        <v>61</v>
      </c>
      <c r="K208" s="16" t="b">
        <v>0</v>
      </c>
      <c r="L208" s="7" t="b">
        <v>1</v>
      </c>
    </row>
    <row r="209">
      <c r="B209" s="7" t="s">
        <v>148</v>
      </c>
      <c r="C209" s="7" t="str">
        <f>IFERROR(VLOOKUP(B209,'Master data'!$A$1:$D$397,2,FALSE),"")</f>
        <v>B001-064</v>
      </c>
      <c r="D209" s="70" t="str">
        <f>VLOOKUP(B209,Sheet3!$B$2:$E$312,3,)</f>
        <v>bahan baku</v>
      </c>
      <c r="E209" s="71">
        <v>10.0</v>
      </c>
      <c r="F209" s="16" t="str">
        <f>IFERROR(VLOOKUP(B209,'Master data'!$A$1:$D$397,3,FALSE),"")</f>
        <v>GR</v>
      </c>
      <c r="G209" s="7" t="s">
        <v>1540</v>
      </c>
      <c r="H209" s="69" t="s">
        <v>1541</v>
      </c>
      <c r="I209" s="7" t="s">
        <v>1542</v>
      </c>
      <c r="J209" s="7" t="s">
        <v>61</v>
      </c>
      <c r="K209" s="16" t="b">
        <v>0</v>
      </c>
      <c r="L209" s="7" t="b">
        <v>1</v>
      </c>
    </row>
    <row r="210">
      <c r="B210" s="7" t="s">
        <v>298</v>
      </c>
      <c r="C210" s="7" t="str">
        <f>IFERROR(VLOOKUP(B210,'Master data'!$A$1:$D$397,2,FALSE),"")</f>
        <v>B001-125</v>
      </c>
      <c r="D210" s="70" t="str">
        <f>VLOOKUP(B210,Sheet3!$B$2:$E$312,3,)</f>
        <v>bahan baku</v>
      </c>
      <c r="E210" s="71">
        <v>110.0</v>
      </c>
      <c r="F210" s="16" t="str">
        <f>IFERROR(VLOOKUP(B210,'Master data'!$A$1:$D$397,3,FALSE),"")</f>
        <v>GR</v>
      </c>
      <c r="G210" s="7" t="s">
        <v>1577</v>
      </c>
      <c r="H210" s="69" t="s">
        <v>1573</v>
      </c>
      <c r="I210" s="7" t="s">
        <v>1542</v>
      </c>
      <c r="J210" s="7" t="s">
        <v>1561</v>
      </c>
      <c r="K210" s="16" t="b">
        <v>0</v>
      </c>
      <c r="L210" s="7" t="b">
        <v>1</v>
      </c>
    </row>
    <row r="211">
      <c r="B211" s="7" t="s">
        <v>28</v>
      </c>
      <c r="C211" s="7" t="str">
        <f>IFERROR(VLOOKUP(B211,'Master data'!$A$1:$D$397,2,FALSE),"")</f>
        <v>B001-006</v>
      </c>
      <c r="D211" s="70" t="str">
        <f>VLOOKUP(B211,Sheet3!$B$2:$E$312,3,)</f>
        <v>bahan baku</v>
      </c>
      <c r="E211" s="71">
        <v>13.0</v>
      </c>
      <c r="F211" s="16" t="str">
        <f>IFERROR(VLOOKUP(B211,'Master data'!$A$1:$D$397,3,FALSE),"")</f>
        <v>GR</v>
      </c>
      <c r="G211" s="7" t="s">
        <v>1540</v>
      </c>
      <c r="H211" s="69" t="s">
        <v>1573</v>
      </c>
      <c r="I211" s="7" t="s">
        <v>1542</v>
      </c>
      <c r="J211" s="7" t="s">
        <v>61</v>
      </c>
      <c r="K211" s="16" t="b">
        <v>0</v>
      </c>
      <c r="L211" s="7" t="b">
        <v>1</v>
      </c>
    </row>
    <row r="212">
      <c r="B212" s="7" t="s">
        <v>33</v>
      </c>
      <c r="C212" s="7" t="str">
        <f>IFERROR(VLOOKUP(B212,'Master data'!$A$1:$D$397,2,FALSE),"")</f>
        <v>B001-008</v>
      </c>
      <c r="D212" s="70" t="s">
        <v>19</v>
      </c>
      <c r="E212" s="71" t="s">
        <v>1712</v>
      </c>
      <c r="F212" s="7" t="s">
        <v>20</v>
      </c>
      <c r="G212" s="7" t="s">
        <v>1713</v>
      </c>
      <c r="H212" s="69" t="s">
        <v>1551</v>
      </c>
      <c r="I212" s="7" t="s">
        <v>1548</v>
      </c>
      <c r="J212" s="7" t="s">
        <v>1561</v>
      </c>
      <c r="K212" s="16" t="b">
        <v>0</v>
      </c>
      <c r="L212" s="7" t="b">
        <v>1</v>
      </c>
    </row>
    <row r="213">
      <c r="B213" s="7" t="s">
        <v>129</v>
      </c>
      <c r="C213" s="7" t="str">
        <f>IFERROR(VLOOKUP(B213,'Master data'!$A$1:$D$397,2,FALSE),"")</f>
        <v>B001-056</v>
      </c>
      <c r="D213" s="70" t="s">
        <v>19</v>
      </c>
      <c r="E213" s="71" t="s">
        <v>1714</v>
      </c>
      <c r="F213" s="7" t="s">
        <v>78</v>
      </c>
      <c r="G213" s="7" t="s">
        <v>1713</v>
      </c>
      <c r="H213" s="69" t="s">
        <v>1551</v>
      </c>
      <c r="I213" s="7" t="s">
        <v>1548</v>
      </c>
      <c r="J213" s="7" t="s">
        <v>1561</v>
      </c>
      <c r="K213" s="16" t="b">
        <v>0</v>
      </c>
      <c r="L213" s="7" t="b">
        <v>1</v>
      </c>
    </row>
    <row r="214">
      <c r="B214" s="7" t="s">
        <v>870</v>
      </c>
      <c r="C214" s="10" t="s">
        <v>871</v>
      </c>
      <c r="D214" s="70" t="s">
        <v>19</v>
      </c>
      <c r="E214" s="71" t="s">
        <v>1715</v>
      </c>
      <c r="F214" s="7" t="s">
        <v>20</v>
      </c>
      <c r="G214" s="7" t="s">
        <v>1713</v>
      </c>
      <c r="H214" s="69" t="s">
        <v>1551</v>
      </c>
      <c r="I214" s="7" t="s">
        <v>1548</v>
      </c>
      <c r="J214" s="7" t="s">
        <v>1561</v>
      </c>
      <c r="K214" s="16" t="b">
        <v>0</v>
      </c>
      <c r="L214" s="7" t="b">
        <v>1</v>
      </c>
    </row>
    <row r="215">
      <c r="B215" s="7" t="s">
        <v>867</v>
      </c>
      <c r="C215" s="10" t="s">
        <v>868</v>
      </c>
      <c r="D215" s="70" t="s">
        <v>19</v>
      </c>
      <c r="E215" s="71" t="s">
        <v>1716</v>
      </c>
      <c r="F215" s="7" t="s">
        <v>20</v>
      </c>
      <c r="G215" s="7" t="s">
        <v>1713</v>
      </c>
      <c r="H215" s="69" t="s">
        <v>1551</v>
      </c>
      <c r="I215" s="7" t="s">
        <v>1548</v>
      </c>
      <c r="J215" s="7" t="s">
        <v>1561</v>
      </c>
      <c r="K215" s="16" t="b">
        <v>0</v>
      </c>
      <c r="L215" s="7" t="b">
        <v>1</v>
      </c>
    </row>
    <row r="216">
      <c r="B216" s="7" t="s">
        <v>33</v>
      </c>
      <c r="C216" s="7" t="str">
        <f>IFERROR(VLOOKUP(B216,'Master data'!$A$1:$D$397,2,FALSE),"")</f>
        <v>B001-008</v>
      </c>
      <c r="D216" s="70" t="str">
        <f>VLOOKUP(B216,Sheet3!$B$2:$E$312,3,)</f>
        <v>bahan baku</v>
      </c>
      <c r="E216" s="71" t="s">
        <v>1717</v>
      </c>
      <c r="F216" s="16" t="str">
        <f>IFERROR(VLOOKUP(B216,'Master data'!$A$1:$D$397,3,FALSE),"")</f>
        <v>GR</v>
      </c>
      <c r="G216" s="7" t="s">
        <v>1718</v>
      </c>
      <c r="H216" s="69" t="s">
        <v>1569</v>
      </c>
      <c r="I216" s="7" t="s">
        <v>1548</v>
      </c>
      <c r="J216" s="7" t="s">
        <v>1561</v>
      </c>
      <c r="K216" s="16" t="b">
        <v>0</v>
      </c>
      <c r="L216" s="7" t="b">
        <v>1</v>
      </c>
    </row>
    <row r="217">
      <c r="B217" s="7" t="s">
        <v>129</v>
      </c>
      <c r="C217" s="7" t="str">
        <f>IFERROR(VLOOKUP(B217,'Master data'!$A$1:$D$397,2,FALSE),"")</f>
        <v>B001-056</v>
      </c>
      <c r="D217" s="70" t="str">
        <f>VLOOKUP(B217,Sheet3!$B$2:$E$312,3,)</f>
        <v>bahan baku</v>
      </c>
      <c r="E217" s="71" t="s">
        <v>1719</v>
      </c>
      <c r="F217" s="16" t="str">
        <f>IFERROR(VLOOKUP(B217,'Master data'!$A$1:$D$397,3,FALSE),"")</f>
        <v>ML</v>
      </c>
      <c r="G217" s="7" t="s">
        <v>1546</v>
      </c>
      <c r="H217" s="69" t="s">
        <v>1569</v>
      </c>
      <c r="I217" s="7" t="s">
        <v>1548</v>
      </c>
      <c r="J217" s="7" t="s">
        <v>1561</v>
      </c>
      <c r="K217" s="16" t="b">
        <v>0</v>
      </c>
      <c r="L217" s="7" t="b">
        <v>1</v>
      </c>
    </row>
    <row r="218">
      <c r="B218" s="7" t="s">
        <v>653</v>
      </c>
      <c r="C218" s="7" t="str">
        <f>IFERROR(VLOOKUP(B218,'Master data'!$A$1:$D$397,2,FALSE),"")</f>
        <v>P004-022</v>
      </c>
      <c r="D218" s="70" t="str">
        <f>VLOOKUP(B218,Sheet3!$B$2:$E$312,3,)</f>
        <v>barang jadi &amp; bahan baku</v>
      </c>
      <c r="E218" s="71">
        <v>26.0</v>
      </c>
      <c r="F218" s="16" t="str">
        <f>IFERROR(VLOOKUP(B218,'Master data'!$A$1:$D$397,3,FALSE),"")</f>
        <v>GR</v>
      </c>
      <c r="G218" s="7" t="s">
        <v>1550</v>
      </c>
      <c r="H218" s="69" t="s">
        <v>1565</v>
      </c>
      <c r="I218" s="7" t="s">
        <v>1552</v>
      </c>
      <c r="J218" s="7" t="s">
        <v>1561</v>
      </c>
      <c r="K218" s="16" t="b">
        <v>0</v>
      </c>
      <c r="L218" s="7" t="b">
        <v>1</v>
      </c>
    </row>
    <row r="219">
      <c r="B219" s="7" t="s">
        <v>657</v>
      </c>
      <c r="C219" s="7" t="str">
        <f>IFERROR(VLOOKUP(B219,'Master data'!$A$1:$D$397,2,FALSE),"")</f>
        <v>P004-023</v>
      </c>
      <c r="D219" s="70" t="str">
        <f>VLOOKUP(B219,Sheet3!$B$2:$E$312,3,)</f>
        <v>barang jadi &amp; bahan baku</v>
      </c>
      <c r="E219" s="71">
        <v>26.0</v>
      </c>
      <c r="F219" s="16" t="str">
        <f>IFERROR(VLOOKUP(B219,'Master data'!$A$1:$D$397,3,FALSE),"")</f>
        <v>GR</v>
      </c>
      <c r="G219" s="7" t="s">
        <v>1550</v>
      </c>
      <c r="H219" s="69" t="s">
        <v>1565</v>
      </c>
      <c r="I219" s="7" t="s">
        <v>1552</v>
      </c>
      <c r="J219" s="7" t="s">
        <v>1561</v>
      </c>
      <c r="K219" s="16" t="b">
        <v>0</v>
      </c>
      <c r="L219" s="7" t="b">
        <v>1</v>
      </c>
    </row>
    <row r="220">
      <c r="B220" s="7" t="s">
        <v>148</v>
      </c>
      <c r="C220" s="7" t="str">
        <f>IFERROR(VLOOKUP(B220,'Master data'!$A$1:$D$397,2,FALSE),"")</f>
        <v>B001-064</v>
      </c>
      <c r="D220" s="70" t="str">
        <f>VLOOKUP(B220,Sheet3!$B$2:$E$312,3,)</f>
        <v>bahan baku</v>
      </c>
      <c r="E220" s="71">
        <v>65.0</v>
      </c>
      <c r="F220" s="16" t="str">
        <f>IFERROR(VLOOKUP(B220,'Master data'!$A$1:$D$397,3,FALSE),"")</f>
        <v>GR</v>
      </c>
      <c r="G220" s="7" t="s">
        <v>1540</v>
      </c>
      <c r="H220" s="69" t="s">
        <v>1573</v>
      </c>
      <c r="I220" s="7" t="s">
        <v>1542</v>
      </c>
      <c r="J220" s="7" t="s">
        <v>61</v>
      </c>
      <c r="K220" s="16" t="b">
        <v>0</v>
      </c>
      <c r="L220" s="7" t="b">
        <v>1</v>
      </c>
    </row>
    <row r="221">
      <c r="B221" s="7" t="s">
        <v>211</v>
      </c>
      <c r="C221" s="7" t="str">
        <f>IFERROR(VLOOKUP(B221,'Master data'!$A$1:$D$397,2,FALSE),"")</f>
        <v>B001-088</v>
      </c>
      <c r="D221" s="70" t="str">
        <f>VLOOKUP(B221,Sheet3!$B$2:$E$312,3,)</f>
        <v>bahan baku</v>
      </c>
      <c r="E221" s="71">
        <v>3410.0</v>
      </c>
      <c r="F221" s="16" t="str">
        <f>IFERROR(VLOOKUP(B221,'Master data'!$A$1:$D$397,3,FALSE),"")</f>
        <v>GR</v>
      </c>
      <c r="G221" s="7" t="s">
        <v>1707</v>
      </c>
      <c r="H221" s="69" t="s">
        <v>1547</v>
      </c>
      <c r="I221" s="7" t="s">
        <v>1556</v>
      </c>
      <c r="J221" s="7" t="s">
        <v>61</v>
      </c>
      <c r="K221" s="16" t="b">
        <v>0</v>
      </c>
      <c r="L221" s="7" t="b">
        <v>1</v>
      </c>
    </row>
    <row r="222">
      <c r="A222" s="36" t="s">
        <v>1724</v>
      </c>
      <c r="B222" s="7" t="s">
        <v>663</v>
      </c>
      <c r="C222" s="7" t="str">
        <f>IFERROR(VLOOKUP(B222,'Master data'!$A$1:$D$397,2,FALSE),"")</f>
        <v>P004-045</v>
      </c>
      <c r="D222" s="70" t="str">
        <f>VLOOKUP(B222,Sheet3!$B$2:$E$312,3,)</f>
        <v>barang jadi &amp; bahan baku</v>
      </c>
      <c r="E222" s="71">
        <v>140.0</v>
      </c>
      <c r="F222" s="16" t="str">
        <f>IFERROR(VLOOKUP(B222,'Master data'!$A$1:$D$397,3,FALSE),"")</f>
        <v>PRS</v>
      </c>
      <c r="G222" s="7" t="s">
        <v>1563</v>
      </c>
      <c r="H222" s="69" t="s">
        <v>1592</v>
      </c>
      <c r="I222" s="7" t="s">
        <v>1552</v>
      </c>
      <c r="J222" s="7" t="s">
        <v>1561</v>
      </c>
      <c r="K222" s="16" t="b">
        <v>0</v>
      </c>
      <c r="L222" s="7" t="b">
        <v>1</v>
      </c>
    </row>
    <row r="223">
      <c r="B223" s="7" t="s">
        <v>76</v>
      </c>
      <c r="C223" s="7" t="str">
        <f>IFERROR(VLOOKUP(B223,'Master data'!$A$1:$D$397,2,FALSE),"")</f>
        <v>B001-032</v>
      </c>
      <c r="D223" s="70" t="str">
        <f>VLOOKUP(B223,Sheet3!$B$2:$E$312,3,)</f>
        <v>bahan baku</v>
      </c>
      <c r="E223" s="71">
        <v>80.0</v>
      </c>
      <c r="F223" s="16" t="str">
        <f>IFERROR(VLOOKUP(B223,'Master data'!$A$1:$D$397,3,FALSE),"")</f>
        <v>ML</v>
      </c>
      <c r="G223" s="7" t="s">
        <v>1563</v>
      </c>
      <c r="H223" s="69" t="s">
        <v>1592</v>
      </c>
      <c r="I223" s="7" t="s">
        <v>1552</v>
      </c>
      <c r="J223" s="7" t="s">
        <v>1561</v>
      </c>
      <c r="K223" s="16" t="b">
        <v>0</v>
      </c>
      <c r="L223" s="7" t="b">
        <v>1</v>
      </c>
    </row>
    <row r="224">
      <c r="B224" s="7" t="s">
        <v>892</v>
      </c>
      <c r="C224" s="7" t="str">
        <f>IFERROR(VLOOKUP(B224,'Master data'!$A$1:$D$397,2,FALSE),"")</f>
        <v>B001-150</v>
      </c>
      <c r="D224" s="70" t="s">
        <v>19</v>
      </c>
      <c r="E224" s="71">
        <v>338.0</v>
      </c>
      <c r="F224" s="16" t="str">
        <f>IFERROR(VLOOKUP(B224,'Master data'!$A$1:$D$397,3,FALSE),"")</f>
        <v>GR</v>
      </c>
      <c r="G224" s="7" t="s">
        <v>1577</v>
      </c>
      <c r="H224" s="69" t="s">
        <v>1573</v>
      </c>
      <c r="I224" s="7" t="s">
        <v>1542</v>
      </c>
      <c r="J224" s="7" t="s">
        <v>1561</v>
      </c>
      <c r="K224" s="16" t="b">
        <v>0</v>
      </c>
      <c r="L224" s="7" t="b">
        <v>1</v>
      </c>
    </row>
    <row r="225">
      <c r="B225" s="7" t="s">
        <v>28</v>
      </c>
      <c r="C225" s="7" t="str">
        <f>IFERROR(VLOOKUP(B225,'Master data'!$A$1:$D$397,2,FALSE),"")</f>
        <v>B001-006</v>
      </c>
      <c r="D225" s="70" t="str">
        <f>VLOOKUP(B225,Sheet3!$B$2:$E$312,3,)</f>
        <v>bahan baku</v>
      </c>
      <c r="E225" s="71">
        <v>20.0</v>
      </c>
      <c r="F225" s="16" t="str">
        <f>IFERROR(VLOOKUP(B225,'Master data'!$A$1:$D$397,3,FALSE),"")</f>
        <v>GR</v>
      </c>
      <c r="G225" s="7" t="s">
        <v>1729</v>
      </c>
      <c r="H225" s="69" t="s">
        <v>1573</v>
      </c>
      <c r="I225" s="7" t="s">
        <v>1542</v>
      </c>
      <c r="J225" s="7" t="s">
        <v>61</v>
      </c>
      <c r="K225" s="16" t="b">
        <v>0</v>
      </c>
      <c r="L225" s="7" t="b">
        <v>1</v>
      </c>
    </row>
    <row r="226">
      <c r="B226" s="7" t="s">
        <v>148</v>
      </c>
      <c r="C226" s="7" t="str">
        <f>IFERROR(VLOOKUP(B226,'Master data'!$A$1:$D$397,2,FALSE),"")</f>
        <v>B001-064</v>
      </c>
      <c r="D226" s="70" t="str">
        <f>VLOOKUP(B226,Sheet3!$B$2:$E$312,3,)</f>
        <v>bahan baku</v>
      </c>
      <c r="E226" s="71">
        <v>112.0</v>
      </c>
      <c r="F226" s="16" t="str">
        <f>IFERROR(VLOOKUP(B226,'Master data'!$A$1:$D$397,3,FALSE),"")</f>
        <v>GR</v>
      </c>
      <c r="G226" s="7" t="s">
        <v>1729</v>
      </c>
      <c r="H226" s="69" t="s">
        <v>1573</v>
      </c>
      <c r="I226" s="7" t="s">
        <v>1542</v>
      </c>
      <c r="J226" s="7" t="s">
        <v>61</v>
      </c>
      <c r="K226" s="16" t="b">
        <v>0</v>
      </c>
      <c r="L226" s="7" t="b">
        <v>1</v>
      </c>
    </row>
    <row r="227">
      <c r="B227" s="7" t="s">
        <v>23</v>
      </c>
      <c r="C227" s="7" t="str">
        <f>IFERROR(VLOOKUP(B227,'Master data'!$A$1:$D$397,2,FALSE),"")</f>
        <v>B001-004</v>
      </c>
      <c r="D227" s="70" t="str">
        <f>VLOOKUP(B227,Sheet3!$B$2:$E$312,3,)</f>
        <v>bahan baku</v>
      </c>
      <c r="E227" s="71">
        <v>1.0</v>
      </c>
      <c r="F227" s="16" t="str">
        <f>IFERROR(VLOOKUP(B227,'Master data'!$A$1:$D$397,3,FALSE),"")</f>
        <v>PCS</v>
      </c>
      <c r="G227" s="7" t="s">
        <v>1730</v>
      </c>
      <c r="H227" s="69" t="s">
        <v>1569</v>
      </c>
      <c r="I227" s="7" t="s">
        <v>1548</v>
      </c>
      <c r="J227" s="7" t="s">
        <v>1561</v>
      </c>
      <c r="K227" s="16" t="b">
        <v>0</v>
      </c>
      <c r="L227" s="7" t="b">
        <v>1</v>
      </c>
    </row>
    <row r="228">
      <c r="B228" s="7" t="s">
        <v>657</v>
      </c>
      <c r="C228" s="7" t="str">
        <f>IFERROR(VLOOKUP(B228,'Master data'!$A$1:$D$397,2,FALSE),"")</f>
        <v>P004-023</v>
      </c>
      <c r="D228" s="70" t="str">
        <f>VLOOKUP(B228,Sheet3!$B$2:$E$312,3,)</f>
        <v>barang jadi &amp; bahan baku</v>
      </c>
      <c r="E228" s="71">
        <v>162.0</v>
      </c>
      <c r="F228" s="16" t="str">
        <f>IFERROR(VLOOKUP(B228,'Master data'!$A$1:$D$397,3,FALSE),"")</f>
        <v>GR</v>
      </c>
      <c r="G228" s="7" t="s">
        <v>1731</v>
      </c>
      <c r="H228" s="69" t="s">
        <v>1565</v>
      </c>
      <c r="I228" s="7" t="s">
        <v>1552</v>
      </c>
      <c r="J228" s="7" t="s">
        <v>1561</v>
      </c>
      <c r="K228" s="16" t="b">
        <v>0</v>
      </c>
      <c r="L228" s="7" t="b">
        <v>1</v>
      </c>
    </row>
    <row r="229">
      <c r="B229" s="7" t="s">
        <v>653</v>
      </c>
      <c r="C229" s="7" t="str">
        <f>IFERROR(VLOOKUP(B229,'Master data'!$A$1:$D$397,2,FALSE),"")</f>
        <v>P004-022</v>
      </c>
      <c r="D229" s="70" t="str">
        <f>VLOOKUP(B229,Sheet3!$B$2:$E$312,3,)</f>
        <v>barang jadi &amp; bahan baku</v>
      </c>
      <c r="E229" s="71">
        <v>109.0</v>
      </c>
      <c r="F229" s="16" t="str">
        <f>IFERROR(VLOOKUP(B229,'Master data'!$A$1:$D$397,3,FALSE),"")</f>
        <v>GR</v>
      </c>
      <c r="G229" s="7" t="s">
        <v>1731</v>
      </c>
      <c r="H229" s="69" t="s">
        <v>1565</v>
      </c>
      <c r="I229" s="7" t="s">
        <v>1552</v>
      </c>
      <c r="J229" s="7" t="s">
        <v>1561</v>
      </c>
      <c r="K229" s="16" t="b">
        <v>0</v>
      </c>
      <c r="L229" s="7" t="b">
        <v>1</v>
      </c>
    </row>
    <row r="230">
      <c r="B230" s="7" t="s">
        <v>664</v>
      </c>
      <c r="C230" s="7" t="str">
        <f>IFERROR(VLOOKUP(B230,'Master data'!$A$1:$D$397,2,FALSE),"")</f>
        <v>P004-025</v>
      </c>
      <c r="D230" s="70" t="str">
        <f>VLOOKUP(B230,Sheet3!$B$2:$E$312,3,)</f>
        <v>barang jadi &amp; bahan baku</v>
      </c>
      <c r="E230" s="71">
        <v>825.0</v>
      </c>
      <c r="F230" s="16" t="str">
        <f>IFERROR(VLOOKUP(B230,'Master data'!$A$1:$D$397,3,FALSE),"")</f>
        <v>PRS</v>
      </c>
      <c r="G230" s="7" t="s">
        <v>1731</v>
      </c>
      <c r="H230" s="69" t="s">
        <v>1565</v>
      </c>
      <c r="I230" s="7" t="s">
        <v>1552</v>
      </c>
      <c r="J230" s="7" t="s">
        <v>1561</v>
      </c>
      <c r="K230" s="16" t="b">
        <v>0</v>
      </c>
      <c r="L230" s="7" t="b">
        <v>1</v>
      </c>
    </row>
    <row r="231">
      <c r="B231" s="7" t="s">
        <v>211</v>
      </c>
      <c r="C231" s="7" t="str">
        <f>IFERROR(VLOOKUP(B231,'Master data'!$A$1:$D$397,2,FALSE),"")</f>
        <v>B001-088</v>
      </c>
      <c r="D231" s="70" t="str">
        <f>VLOOKUP(B231,Sheet3!$B$2:$E$312,3,)</f>
        <v>bahan baku</v>
      </c>
      <c r="E231" s="71">
        <v>3480.0</v>
      </c>
      <c r="F231" s="16" t="str">
        <f>IFERROR(VLOOKUP(B231,'Master data'!$A$1:$D$397,3,FALSE),"")</f>
        <v>GR</v>
      </c>
      <c r="G231" s="7" t="s">
        <v>1731</v>
      </c>
      <c r="H231" s="69" t="s">
        <v>1547</v>
      </c>
      <c r="I231" s="7" t="s">
        <v>1556</v>
      </c>
      <c r="J231" s="7" t="s">
        <v>61</v>
      </c>
      <c r="K231" s="16" t="b">
        <v>0</v>
      </c>
      <c r="L231" s="7" t="b">
        <v>1</v>
      </c>
    </row>
    <row r="232">
      <c r="A232" s="36" t="s">
        <v>1732</v>
      </c>
      <c r="B232" s="7" t="s">
        <v>672</v>
      </c>
      <c r="C232" s="7" t="str">
        <f>IFERROR(VLOOKUP(B232,'Master data'!$A$1:$D$397,2,FALSE),"")</f>
        <v>P004-028</v>
      </c>
      <c r="D232" s="70" t="str">
        <f>VLOOKUP(B232,Sheet3!$B$2:$E$312,3,)</f>
        <v>barang jadi &amp; bahan baku</v>
      </c>
      <c r="E232" s="71">
        <v>292.0</v>
      </c>
      <c r="F232" s="16" t="str">
        <f>IFERROR(VLOOKUP(B232,'Master data'!$A$1:$D$397,3,FALSE),"")</f>
        <v>PRS</v>
      </c>
      <c r="G232" s="7" t="s">
        <v>1560</v>
      </c>
      <c r="H232" s="69" t="s">
        <v>1573</v>
      </c>
      <c r="I232" s="7" t="s">
        <v>1542</v>
      </c>
      <c r="J232" s="7" t="s">
        <v>1561</v>
      </c>
      <c r="K232" s="16" t="b">
        <v>0</v>
      </c>
      <c r="L232" s="7" t="b">
        <v>1</v>
      </c>
    </row>
    <row r="233">
      <c r="B233" s="7" t="s">
        <v>28</v>
      </c>
      <c r="C233" s="7" t="str">
        <f>IFERROR(VLOOKUP(B233,'Master data'!$A$1:$D$397,2,FALSE),"")</f>
        <v>B001-006</v>
      </c>
      <c r="D233" s="70" t="str">
        <f>VLOOKUP(B233,Sheet3!$B$2:$E$312,3,)</f>
        <v>bahan baku</v>
      </c>
      <c r="E233" s="71">
        <v>9.0</v>
      </c>
      <c r="F233" s="16" t="str">
        <f>IFERROR(VLOOKUP(B233,'Master data'!$A$1:$D$397,3,FALSE),"")</f>
        <v>GR</v>
      </c>
      <c r="G233" s="7" t="s">
        <v>1540</v>
      </c>
      <c r="H233" s="69" t="s">
        <v>1573</v>
      </c>
      <c r="I233" s="7" t="s">
        <v>1542</v>
      </c>
      <c r="J233" s="7" t="s">
        <v>61</v>
      </c>
      <c r="K233" s="16" t="b">
        <v>0</v>
      </c>
      <c r="L233" s="7" t="b">
        <v>1</v>
      </c>
    </row>
    <row r="234">
      <c r="B234" s="7" t="s">
        <v>36</v>
      </c>
      <c r="C234" s="7" t="str">
        <f>IFERROR(VLOOKUP(B234,'Master data'!$A$1:$D$397,2,FALSE),"")</f>
        <v>B001-009</v>
      </c>
      <c r="D234" s="70" t="str">
        <f>VLOOKUP(B234,Sheet3!$B$2:$E$312,3,)</f>
        <v>bahan baku</v>
      </c>
      <c r="E234" s="71">
        <v>15.0</v>
      </c>
      <c r="F234" s="16" t="str">
        <f>IFERROR(VLOOKUP(B234,'Master data'!$A$1:$D$397,3,FALSE),"")</f>
        <v>GR</v>
      </c>
      <c r="G234" s="7" t="s">
        <v>1557</v>
      </c>
      <c r="H234" s="69" t="s">
        <v>1551</v>
      </c>
      <c r="I234" s="7" t="s">
        <v>1552</v>
      </c>
      <c r="J234" s="7" t="s">
        <v>1558</v>
      </c>
      <c r="K234" s="16" t="b">
        <v>0</v>
      </c>
      <c r="L234" s="7" t="b">
        <v>1</v>
      </c>
    </row>
    <row r="235">
      <c r="B235" s="7" t="s">
        <v>28</v>
      </c>
      <c r="C235" s="7" t="str">
        <f>IFERROR(VLOOKUP(B235,'Master data'!$A$1:$D$397,2,FALSE),"")</f>
        <v>B001-006</v>
      </c>
      <c r="D235" s="70" t="str">
        <f>VLOOKUP(B235,Sheet3!$B$2:$E$312,3,)</f>
        <v>bahan baku</v>
      </c>
      <c r="E235" s="71">
        <v>24.0</v>
      </c>
      <c r="F235" s="16" t="str">
        <f>IFERROR(VLOOKUP(B235,'Master data'!$A$1:$D$397,3,FALSE),"")</f>
        <v>GR</v>
      </c>
      <c r="G235" s="7" t="s">
        <v>1540</v>
      </c>
      <c r="H235" s="69" t="s">
        <v>1573</v>
      </c>
      <c r="I235" s="7" t="s">
        <v>1542</v>
      </c>
      <c r="J235" s="7" t="s">
        <v>61</v>
      </c>
      <c r="K235" s="16" t="b">
        <v>0</v>
      </c>
      <c r="L235" s="7" t="b">
        <v>1</v>
      </c>
    </row>
    <row r="236">
      <c r="B236" s="7" t="s">
        <v>211</v>
      </c>
      <c r="C236" s="7" t="str">
        <f>IFERROR(VLOOKUP(B236,'Master data'!$A$1:$D$397,2,FALSE),"")</f>
        <v>B001-088</v>
      </c>
      <c r="D236" s="70" t="str">
        <f>VLOOKUP(B236,Sheet3!$B$2:$E$312,3,)</f>
        <v>bahan baku</v>
      </c>
      <c r="E236" s="71">
        <v>3170.0</v>
      </c>
      <c r="F236" s="16" t="str">
        <f>IFERROR(VLOOKUP(B236,'Master data'!$A$1:$D$397,3,FALSE),"")</f>
        <v>GR</v>
      </c>
      <c r="G236" s="7" t="s">
        <v>1554</v>
      </c>
      <c r="H236" s="69" t="s">
        <v>1555</v>
      </c>
      <c r="I236" s="7" t="s">
        <v>1556</v>
      </c>
      <c r="J236" s="7" t="s">
        <v>61</v>
      </c>
      <c r="K236" s="16" t="b">
        <v>0</v>
      </c>
      <c r="L236" s="7" t="b">
        <v>1</v>
      </c>
    </row>
    <row r="237">
      <c r="B237" s="7" t="s">
        <v>33</v>
      </c>
      <c r="C237" s="7" t="str">
        <f>IFERROR(VLOOKUP(B237,'Master data'!$A$1:$D$397,2,FALSE),"")</f>
        <v>B001-008</v>
      </c>
      <c r="D237" s="70" t="str">
        <f>VLOOKUP(B237,Sheet3!$B$2:$E$312,3,)</f>
        <v>bahan baku</v>
      </c>
      <c r="E237" s="71">
        <f>460/1.56</f>
        <v>294.8717949</v>
      </c>
      <c r="F237" s="16" t="str">
        <f>IFERROR(VLOOKUP(B237,'Master data'!$A$1:$D$397,3,FALSE),"")</f>
        <v>GR</v>
      </c>
      <c r="G237" s="7" t="s">
        <v>1718</v>
      </c>
      <c r="H237" s="69" t="s">
        <v>1569</v>
      </c>
      <c r="I237" s="7" t="s">
        <v>1548</v>
      </c>
      <c r="J237" s="7" t="s">
        <v>1561</v>
      </c>
      <c r="K237" s="16" t="b">
        <v>0</v>
      </c>
      <c r="L237" s="7" t="b">
        <v>1</v>
      </c>
    </row>
    <row r="238">
      <c r="B238" s="7" t="s">
        <v>129</v>
      </c>
      <c r="C238" s="7" t="str">
        <f>IFERROR(VLOOKUP(B238,'Master data'!$A$1:$D$397,2,FALSE),"")</f>
        <v>B001-056</v>
      </c>
      <c r="D238" s="70" t="str">
        <f>VLOOKUP(B238,Sheet3!$B$2:$E$312,3,)</f>
        <v>bahan baku</v>
      </c>
      <c r="E238" s="71">
        <v>2.0</v>
      </c>
      <c r="F238" s="16" t="str">
        <f>IFERROR(VLOOKUP(B238,'Master data'!$A$1:$D$397,3,FALSE),"")</f>
        <v>ML</v>
      </c>
      <c r="G238" s="7" t="s">
        <v>1546</v>
      </c>
      <c r="H238" s="69" t="s">
        <v>1569</v>
      </c>
      <c r="I238" s="7" t="s">
        <v>1548</v>
      </c>
      <c r="J238" s="7" t="s">
        <v>1561</v>
      </c>
      <c r="K238" s="16" t="b">
        <v>0</v>
      </c>
      <c r="L238" s="7" t="b">
        <v>1</v>
      </c>
    </row>
    <row r="239">
      <c r="B239" s="7" t="s">
        <v>643</v>
      </c>
      <c r="C239" s="7" t="str">
        <f>IFERROR(VLOOKUP(B239,'Master data'!$A$1:$D$397,2,FALSE),"")</f>
        <v>P004-018</v>
      </c>
      <c r="D239" s="70" t="str">
        <f>VLOOKUP(B239,Sheet3!$B$2:$E$312,3,)</f>
        <v>barang jadi &amp; bahan baku</v>
      </c>
      <c r="E239" s="71">
        <v>274.0</v>
      </c>
      <c r="F239" s="16" t="str">
        <f>IFERROR(VLOOKUP(B239,'Master data'!$A$1:$D$397,3,FALSE),"")</f>
        <v>PCS</v>
      </c>
      <c r="G239" s="7" t="s">
        <v>1737</v>
      </c>
      <c r="H239" s="69" t="s">
        <v>1569</v>
      </c>
      <c r="I239" s="7" t="s">
        <v>1548</v>
      </c>
      <c r="J239" s="7" t="s">
        <v>1561</v>
      </c>
      <c r="K239" s="16" t="b">
        <v>0</v>
      </c>
      <c r="L239" s="7" t="b">
        <v>1</v>
      </c>
    </row>
    <row r="240">
      <c r="B240" s="7" t="s">
        <v>653</v>
      </c>
      <c r="C240" s="7" t="str">
        <f>IFERROR(VLOOKUP(B240,'Master data'!$A$1:$D$397,2,FALSE),"")</f>
        <v>P004-022</v>
      </c>
      <c r="D240" s="70" t="str">
        <f>VLOOKUP(B240,Sheet3!$B$2:$E$312,3,)</f>
        <v>barang jadi &amp; bahan baku</v>
      </c>
      <c r="E240" s="71">
        <v>660.0</v>
      </c>
      <c r="F240" s="16" t="str">
        <f>IFERROR(VLOOKUP(B240,'Master data'!$A$1:$D$397,3,FALSE),"")</f>
        <v>GR</v>
      </c>
      <c r="G240" s="7" t="s">
        <v>1550</v>
      </c>
      <c r="H240" s="69" t="s">
        <v>1592</v>
      </c>
      <c r="I240" s="7" t="s">
        <v>1552</v>
      </c>
      <c r="J240" s="7" t="s">
        <v>1561</v>
      </c>
      <c r="K240" s="16" t="b">
        <v>0</v>
      </c>
      <c r="L240" s="7" t="b">
        <v>1</v>
      </c>
    </row>
    <row r="241">
      <c r="B241" s="7" t="s">
        <v>660</v>
      </c>
      <c r="C241" s="7" t="str">
        <f>IFERROR(VLOOKUP(B241,'Master data'!$A$1:$D$397,2,FALSE),"")</f>
        <v>P004-024</v>
      </c>
      <c r="D241" s="70" t="str">
        <f>VLOOKUP(B241,Sheet3!$B$2:$E$312,3,)</f>
        <v>barang jadi &amp; bahan baku</v>
      </c>
      <c r="E241" s="71">
        <v>254.0</v>
      </c>
      <c r="F241" s="16" t="str">
        <f>IFERROR(VLOOKUP(B241,'Master data'!$A$1:$D$397,3,FALSE),"")</f>
        <v>ML</v>
      </c>
      <c r="G241" s="7" t="s">
        <v>1550</v>
      </c>
      <c r="H241" s="69" t="s">
        <v>1592</v>
      </c>
      <c r="I241" s="7" t="s">
        <v>1552</v>
      </c>
      <c r="J241" s="7" t="s">
        <v>1561</v>
      </c>
      <c r="K241" s="16" t="b">
        <v>0</v>
      </c>
      <c r="L241" s="7" t="b">
        <v>1</v>
      </c>
    </row>
    <row r="242">
      <c r="B242" s="7" t="s">
        <v>664</v>
      </c>
      <c r="C242" s="7" t="str">
        <f>IFERROR(VLOOKUP(B242,'Master data'!$A$1:$D$397,2,FALSE),"")</f>
        <v>P004-025</v>
      </c>
      <c r="D242" s="70" t="str">
        <f>VLOOKUP(B242,Sheet3!$B$2:$E$312,3,)</f>
        <v>barang jadi &amp; bahan baku</v>
      </c>
      <c r="E242" s="71">
        <v>25.0</v>
      </c>
      <c r="F242" s="16" t="str">
        <f>IFERROR(VLOOKUP(B242,'Master data'!$A$1:$D$397,3,FALSE),"")</f>
        <v>PRS</v>
      </c>
      <c r="G242" s="7" t="s">
        <v>1550</v>
      </c>
      <c r="H242" s="69" t="s">
        <v>1592</v>
      </c>
      <c r="I242" s="7" t="s">
        <v>1552</v>
      </c>
      <c r="J242" s="7" t="s">
        <v>1561</v>
      </c>
      <c r="K242" s="16" t="b">
        <v>0</v>
      </c>
      <c r="L242" s="7" t="b">
        <v>1</v>
      </c>
    </row>
    <row r="243">
      <c r="A243" s="36" t="s">
        <v>1740</v>
      </c>
      <c r="B243" s="7" t="s">
        <v>298</v>
      </c>
      <c r="C243" s="7" t="str">
        <f>IFERROR(VLOOKUP(B243,'Master data'!$A$1:$D$397,2,FALSE),"")</f>
        <v>B001-125</v>
      </c>
      <c r="D243" s="70" t="str">
        <f>VLOOKUP(B243,Sheet3!$B$2:$E$312,3,)</f>
        <v>bahan baku</v>
      </c>
      <c r="E243" s="71">
        <v>42.0</v>
      </c>
      <c r="F243" s="16" t="str">
        <f>IFERROR(VLOOKUP(B243,'Master data'!$A$1:$D$397,3,FALSE),"")</f>
        <v>GR</v>
      </c>
      <c r="G243" s="7" t="s">
        <v>1741</v>
      </c>
      <c r="H243" s="69" t="s">
        <v>1541</v>
      </c>
      <c r="I243" s="7" t="s">
        <v>1542</v>
      </c>
      <c r="J243" s="7" t="s">
        <v>61</v>
      </c>
      <c r="K243" s="16" t="b">
        <v>0</v>
      </c>
      <c r="L243" s="7" t="b">
        <v>1</v>
      </c>
    </row>
    <row r="244">
      <c r="B244" s="7" t="s">
        <v>221</v>
      </c>
      <c r="C244" s="7" t="str">
        <f>IFERROR(VLOOKUP(B244,'Master data'!$A$1:$D$397,2,FALSE),"")</f>
        <v>B001-098</v>
      </c>
      <c r="D244" s="70" t="str">
        <f>VLOOKUP(B244,Sheet3!$B$2:$E$312,3,)</f>
        <v>bahan baku</v>
      </c>
      <c r="E244" s="71">
        <v>45.0</v>
      </c>
      <c r="F244" s="16" t="str">
        <f>IFERROR(VLOOKUP(B244,'Master data'!$A$1:$D$397,3,FALSE),"")</f>
        <v>GR</v>
      </c>
      <c r="G244" s="7" t="s">
        <v>1577</v>
      </c>
      <c r="H244" s="69" t="s">
        <v>1541</v>
      </c>
      <c r="I244" s="7" t="s">
        <v>1542</v>
      </c>
      <c r="J244" s="7" t="s">
        <v>1561</v>
      </c>
      <c r="K244" s="16" t="b">
        <v>0</v>
      </c>
      <c r="L244" s="7" t="b">
        <v>1</v>
      </c>
    </row>
    <row r="245">
      <c r="B245" s="7" t="s">
        <v>148</v>
      </c>
      <c r="C245" s="7" t="str">
        <f>IFERROR(VLOOKUP(B245,'Master data'!$A$1:$D$397,2,FALSE),"")</f>
        <v>B001-064</v>
      </c>
      <c r="D245" s="70" t="str">
        <f>VLOOKUP(B245,Sheet3!$B$2:$E$312,3,)</f>
        <v>bahan baku</v>
      </c>
      <c r="E245" s="71">
        <v>42.0</v>
      </c>
      <c r="F245" s="16" t="str">
        <f>IFERROR(VLOOKUP(B245,'Master data'!$A$1:$D$397,3,FALSE),"")</f>
        <v>GR</v>
      </c>
      <c r="G245" s="7" t="s">
        <v>1540</v>
      </c>
      <c r="H245" s="69" t="s">
        <v>1573</v>
      </c>
      <c r="I245" s="7" t="s">
        <v>1542</v>
      </c>
      <c r="J245" s="7" t="s">
        <v>61</v>
      </c>
      <c r="K245" s="16" t="b">
        <v>0</v>
      </c>
      <c r="L245" s="7" t="b">
        <v>1</v>
      </c>
    </row>
    <row r="246">
      <c r="B246" s="7" t="s">
        <v>28</v>
      </c>
      <c r="C246" s="7" t="str">
        <f>IFERROR(VLOOKUP(B246,'Master data'!$A$1:$D$397,2,FALSE),"")</f>
        <v>B001-006</v>
      </c>
      <c r="D246" s="70" t="str">
        <f>VLOOKUP(B246,Sheet3!$B$2:$E$312,3,)</f>
        <v>bahan baku</v>
      </c>
      <c r="E246" s="71">
        <v>7.0</v>
      </c>
      <c r="F246" s="16" t="str">
        <f>IFERROR(VLOOKUP(B246,'Master data'!$A$1:$D$397,3,FALSE),"")</f>
        <v>GR</v>
      </c>
      <c r="G246" s="7" t="s">
        <v>1540</v>
      </c>
      <c r="H246" s="69" t="s">
        <v>1573</v>
      </c>
      <c r="I246" s="7" t="s">
        <v>1542</v>
      </c>
      <c r="J246" s="7" t="s">
        <v>61</v>
      </c>
      <c r="K246" s="16" t="b">
        <v>0</v>
      </c>
      <c r="L246" s="7" t="b">
        <v>1</v>
      </c>
    </row>
    <row r="247">
      <c r="B247" s="7" t="s">
        <v>148</v>
      </c>
      <c r="C247" s="7" t="str">
        <f>IFERROR(VLOOKUP(B247,'Master data'!$A$1:$D$397,2,FALSE),"")</f>
        <v>B001-064</v>
      </c>
      <c r="D247" s="70" t="str">
        <f>VLOOKUP(B247,Sheet3!$B$2:$E$312,3,)</f>
        <v>bahan baku</v>
      </c>
      <c r="E247" s="71">
        <v>112.0</v>
      </c>
      <c r="F247" s="16" t="str">
        <f>IFERROR(VLOOKUP(B247,'Master data'!$A$1:$D$397,3,FALSE),"")</f>
        <v>GR</v>
      </c>
      <c r="G247" s="7" t="s">
        <v>1540</v>
      </c>
      <c r="H247" s="69" t="s">
        <v>1744</v>
      </c>
      <c r="I247" s="7" t="s">
        <v>1542</v>
      </c>
      <c r="J247" s="7" t="s">
        <v>61</v>
      </c>
      <c r="K247" s="16" t="b">
        <v>0</v>
      </c>
      <c r="L247" s="7" t="b">
        <v>1</v>
      </c>
    </row>
    <row r="248">
      <c r="B248" s="7" t="s">
        <v>653</v>
      </c>
      <c r="C248" s="7" t="str">
        <f>IFERROR(VLOOKUP(B248,'Master data'!$A$1:$D$397,2,FALSE),"")</f>
        <v>P004-022</v>
      </c>
      <c r="D248" s="70" t="str">
        <f>VLOOKUP(B248,Sheet3!$B$2:$E$312,3,)</f>
        <v>barang jadi &amp; bahan baku</v>
      </c>
      <c r="E248" s="71">
        <v>155.0</v>
      </c>
      <c r="F248" s="16" t="str">
        <f>IFERROR(VLOOKUP(B248,'Master data'!$A$1:$D$397,3,FALSE),"")</f>
        <v>GR</v>
      </c>
      <c r="G248" s="7" t="s">
        <v>1550</v>
      </c>
      <c r="H248" s="69" t="s">
        <v>1592</v>
      </c>
      <c r="I248" s="7" t="s">
        <v>1552</v>
      </c>
      <c r="J248" s="7" t="s">
        <v>1561</v>
      </c>
      <c r="K248" s="16" t="b">
        <v>0</v>
      </c>
      <c r="L248" s="7" t="b">
        <v>1</v>
      </c>
    </row>
    <row r="249">
      <c r="B249" s="7" t="s">
        <v>657</v>
      </c>
      <c r="C249" s="7" t="str">
        <f>IFERROR(VLOOKUP(B249,'Master data'!$A$1:$D$397,2,FALSE),"")</f>
        <v>P004-023</v>
      </c>
      <c r="D249" s="70" t="str">
        <f>VLOOKUP(B249,Sheet3!$B$2:$E$312,3,)</f>
        <v>barang jadi &amp; bahan baku</v>
      </c>
      <c r="E249" s="71">
        <v>412.0</v>
      </c>
      <c r="F249" s="16" t="str">
        <f>IFERROR(VLOOKUP(B249,'Master data'!$A$1:$D$397,3,FALSE),"")</f>
        <v>GR</v>
      </c>
      <c r="G249" s="7" t="s">
        <v>1550</v>
      </c>
      <c r="H249" s="69" t="s">
        <v>1592</v>
      </c>
      <c r="I249" s="7" t="s">
        <v>1552</v>
      </c>
      <c r="J249" s="7" t="s">
        <v>1561</v>
      </c>
      <c r="K249" s="16" t="b">
        <v>0</v>
      </c>
      <c r="L249" s="7" t="b">
        <v>1</v>
      </c>
    </row>
    <row r="250">
      <c r="B250" s="7" t="s">
        <v>660</v>
      </c>
      <c r="C250" s="7" t="str">
        <f>IFERROR(VLOOKUP(B250,'Master data'!$A$1:$D$397,2,FALSE),"")</f>
        <v>P004-024</v>
      </c>
      <c r="D250" s="70" t="str">
        <f>VLOOKUP(B250,Sheet3!$B$2:$E$312,3,)</f>
        <v>barang jadi &amp; bahan baku</v>
      </c>
      <c r="E250" s="71">
        <v>379.0</v>
      </c>
      <c r="F250" s="16" t="str">
        <f>IFERROR(VLOOKUP(B250,'Master data'!$A$1:$D$397,3,FALSE),"")</f>
        <v>ML</v>
      </c>
      <c r="G250" s="7" t="s">
        <v>1550</v>
      </c>
      <c r="H250" s="69" t="s">
        <v>1592</v>
      </c>
      <c r="I250" s="7" t="s">
        <v>1552</v>
      </c>
      <c r="J250" s="7" t="s">
        <v>1561</v>
      </c>
      <c r="K250" s="16" t="b">
        <v>0</v>
      </c>
      <c r="L250" s="7" t="b">
        <v>1</v>
      </c>
    </row>
    <row r="251">
      <c r="A251" s="36" t="s">
        <v>1746</v>
      </c>
      <c r="B251" s="7" t="s">
        <v>211</v>
      </c>
      <c r="C251" s="7" t="str">
        <f>IFERROR(VLOOKUP(B251,'Master data'!$A$1:$D$397,2,FALSE),"")</f>
        <v>B001-088</v>
      </c>
      <c r="D251" s="70" t="str">
        <f>VLOOKUP(B251,Sheet3!$B$2:$E$312,3,)</f>
        <v>bahan baku</v>
      </c>
      <c r="E251" s="71">
        <v>4270.0</v>
      </c>
      <c r="F251" s="16" t="str">
        <f>IFERROR(VLOOKUP(B251,'Master data'!$A$1:$D$397,3,FALSE),"")</f>
        <v>GR</v>
      </c>
      <c r="G251" s="7" t="s">
        <v>1707</v>
      </c>
      <c r="H251" s="69" t="s">
        <v>1555</v>
      </c>
      <c r="I251" s="7" t="s">
        <v>1556</v>
      </c>
      <c r="J251" s="7" t="s">
        <v>61</v>
      </c>
      <c r="K251" s="16" t="b">
        <v>0</v>
      </c>
      <c r="L251" s="7" t="b">
        <v>1</v>
      </c>
    </row>
    <row r="252">
      <c r="B252" s="7" t="s">
        <v>28</v>
      </c>
      <c r="C252" s="7" t="str">
        <f>IFERROR(VLOOKUP(B252,'Master data'!$A$1:$D$397,2,FALSE),"")</f>
        <v>B001-006</v>
      </c>
      <c r="D252" s="70" t="str">
        <f>VLOOKUP(B252,Sheet3!$B$2:$E$312,3,)</f>
        <v>bahan baku</v>
      </c>
      <c r="E252" s="71">
        <v>12.0</v>
      </c>
      <c r="F252" s="16" t="str">
        <f>IFERROR(VLOOKUP(B252,'Master data'!$A$1:$D$397,3,FALSE),"")</f>
        <v>GR</v>
      </c>
      <c r="G252" s="7" t="s">
        <v>1540</v>
      </c>
      <c r="H252" s="69" t="s">
        <v>1573</v>
      </c>
      <c r="I252" s="7" t="s">
        <v>1542</v>
      </c>
      <c r="J252" s="7" t="s">
        <v>61</v>
      </c>
      <c r="K252" s="16" t="b">
        <v>0</v>
      </c>
      <c r="L252" s="7" t="b">
        <v>1</v>
      </c>
    </row>
    <row r="253">
      <c r="B253" s="7" t="s">
        <v>65</v>
      </c>
      <c r="C253" s="7" t="str">
        <f>IFERROR(VLOOKUP(B253,'Master data'!$A$1:$D$397,2,FALSE),"")</f>
        <v>B001-023</v>
      </c>
      <c r="D253" s="70" t="str">
        <f>VLOOKUP(B253,Sheet3!$B$2:$E$312,3,)</f>
        <v>bahan baku</v>
      </c>
      <c r="E253" s="71">
        <v>81.0</v>
      </c>
      <c r="F253" s="16" t="str">
        <f>IFERROR(VLOOKUP(B253,'Master data'!$A$1:$D$397,3,FALSE),"")</f>
        <v>GR</v>
      </c>
      <c r="G253" s="7" t="s">
        <v>1563</v>
      </c>
      <c r="H253" s="69" t="s">
        <v>1573</v>
      </c>
      <c r="I253" s="7" t="s">
        <v>1542</v>
      </c>
      <c r="J253" s="7" t="s">
        <v>1561</v>
      </c>
      <c r="K253" s="16" t="b">
        <v>0</v>
      </c>
      <c r="L253" s="7" t="b">
        <v>1</v>
      </c>
    </row>
    <row r="254">
      <c r="B254" s="7" t="s">
        <v>86</v>
      </c>
      <c r="C254" s="7" t="str">
        <f>IFERROR(VLOOKUP(B254,'Master data'!$A$1:$D$397,2,FALSE),"")</f>
        <v>B001-036</v>
      </c>
      <c r="D254" s="70" t="str">
        <f>VLOOKUP(B254,Sheet3!$B$2:$E$312,3,)</f>
        <v>bahan baku</v>
      </c>
      <c r="E254" s="71">
        <v>8.0</v>
      </c>
      <c r="F254" s="16" t="str">
        <f>IFERROR(VLOOKUP(B254,'Master data'!$A$1:$D$397,3,FALSE),"")</f>
        <v>GR</v>
      </c>
      <c r="G254" s="7" t="s">
        <v>1606</v>
      </c>
      <c r="H254" s="69" t="s">
        <v>1592</v>
      </c>
      <c r="I254" s="7" t="s">
        <v>1552</v>
      </c>
      <c r="J254" s="7" t="s">
        <v>1561</v>
      </c>
      <c r="K254" s="16" t="b">
        <v>0</v>
      </c>
      <c r="L254" s="7" t="b">
        <v>1</v>
      </c>
    </row>
    <row r="255">
      <c r="B255" s="7" t="s">
        <v>28</v>
      </c>
      <c r="C255" s="7" t="str">
        <f>IFERROR(VLOOKUP(B255,'Master data'!$A$1:$D$397,2,FALSE),"")</f>
        <v>B001-006</v>
      </c>
      <c r="D255" s="70" t="str">
        <f>VLOOKUP(B255,Sheet3!$B$2:$E$312,3,)</f>
        <v>bahan baku</v>
      </c>
      <c r="E255" s="71">
        <v>16.0</v>
      </c>
      <c r="F255" s="16" t="str">
        <f>IFERROR(VLOOKUP(B255,'Master data'!$A$1:$D$397,3,FALSE),"")</f>
        <v>GR</v>
      </c>
      <c r="G255" s="7" t="s">
        <v>1540</v>
      </c>
      <c r="H255" s="69" t="s">
        <v>1573</v>
      </c>
      <c r="I255" s="7" t="s">
        <v>1542</v>
      </c>
      <c r="J255" s="7" t="s">
        <v>61</v>
      </c>
      <c r="K255" s="16" t="b">
        <v>0</v>
      </c>
      <c r="L255" s="7" t="b">
        <v>1</v>
      </c>
    </row>
    <row r="256">
      <c r="B256" s="7" t="s">
        <v>148</v>
      </c>
      <c r="C256" s="7" t="str">
        <f>IFERROR(VLOOKUP(B256,'Master data'!$A$1:$D$397,2,FALSE),"")</f>
        <v>B001-064</v>
      </c>
      <c r="D256" s="70" t="str">
        <f>VLOOKUP(B256,Sheet3!$B$2:$E$312,3,)</f>
        <v>bahan baku</v>
      </c>
      <c r="E256" s="71">
        <v>51.0</v>
      </c>
      <c r="F256" s="16" t="str">
        <f>IFERROR(VLOOKUP(B256,'Master data'!$A$1:$D$397,3,FALSE),"")</f>
        <v>GR</v>
      </c>
      <c r="G256" s="7" t="s">
        <v>1540</v>
      </c>
      <c r="H256" s="69" t="s">
        <v>1573</v>
      </c>
      <c r="I256" s="7" t="s">
        <v>1542</v>
      </c>
      <c r="J256" s="7" t="s">
        <v>61</v>
      </c>
      <c r="K256" s="16" t="b">
        <v>0</v>
      </c>
      <c r="L256" s="7" t="b">
        <v>1</v>
      </c>
    </row>
    <row r="257">
      <c r="B257" s="7" t="s">
        <v>664</v>
      </c>
      <c r="C257" s="7" t="str">
        <f>IFERROR(VLOOKUP(B257,'Master data'!$A$1:$D$397,2,FALSE),"")</f>
        <v>P004-025</v>
      </c>
      <c r="D257" s="70" t="str">
        <f>VLOOKUP(B257,Sheet3!$B$2:$E$312,3,)</f>
        <v>barang jadi &amp; bahan baku</v>
      </c>
      <c r="E257" s="71">
        <v>432.0</v>
      </c>
      <c r="F257" s="16" t="str">
        <f>IFERROR(VLOOKUP(B257,'Master data'!$A$1:$D$397,3,FALSE),"")</f>
        <v>PRS</v>
      </c>
      <c r="G257" s="7" t="s">
        <v>1550</v>
      </c>
      <c r="H257" s="69" t="s">
        <v>1592</v>
      </c>
      <c r="I257" s="7" t="s">
        <v>1552</v>
      </c>
      <c r="J257" s="7" t="s">
        <v>1561</v>
      </c>
      <c r="K257" s="16" t="b">
        <v>0</v>
      </c>
      <c r="L257" s="7" t="b">
        <v>1</v>
      </c>
    </row>
    <row r="258">
      <c r="B258" s="7" t="s">
        <v>660</v>
      </c>
      <c r="C258" s="7" t="str">
        <f>IFERROR(VLOOKUP(B258,'Master data'!$A$1:$D$397,2,FALSE),"")</f>
        <v>P004-024</v>
      </c>
      <c r="D258" s="70" t="str">
        <f>VLOOKUP(B258,Sheet3!$B$2:$E$312,3,)</f>
        <v>barang jadi &amp; bahan baku</v>
      </c>
      <c r="E258" s="71">
        <v>487.0</v>
      </c>
      <c r="F258" s="16" t="str">
        <f>IFERROR(VLOOKUP(B258,'Master data'!$A$1:$D$397,3,FALSE),"")</f>
        <v>ML</v>
      </c>
      <c r="G258" s="7" t="s">
        <v>1550</v>
      </c>
      <c r="H258" s="69" t="s">
        <v>1592</v>
      </c>
      <c r="I258" s="7" t="s">
        <v>1552</v>
      </c>
      <c r="J258" s="7" t="s">
        <v>1561</v>
      </c>
      <c r="K258" s="16" t="b">
        <v>0</v>
      </c>
      <c r="L258" s="7" t="b">
        <v>1</v>
      </c>
    </row>
    <row r="259">
      <c r="B259" s="7" t="s">
        <v>211</v>
      </c>
      <c r="C259" s="7" t="str">
        <f>IFERROR(VLOOKUP(B259,'Master data'!$A$1:$D$397,2,FALSE),"")</f>
        <v>B001-088</v>
      </c>
      <c r="D259" s="70" t="str">
        <f>VLOOKUP(B259,Sheet3!$B$2:$E$312,3,)</f>
        <v>bahan baku</v>
      </c>
      <c r="E259" s="71">
        <v>3345.0</v>
      </c>
      <c r="F259" s="16" t="str">
        <f>IFERROR(VLOOKUP(B259,'Master data'!$A$1:$D$397,3,FALSE),"")</f>
        <v>GR</v>
      </c>
      <c r="G259" s="7" t="s">
        <v>1707</v>
      </c>
      <c r="H259" s="69" t="s">
        <v>1547</v>
      </c>
      <c r="I259" s="7" t="s">
        <v>1556</v>
      </c>
      <c r="J259" s="7" t="s">
        <v>61</v>
      </c>
      <c r="K259" s="16" t="b">
        <v>0</v>
      </c>
      <c r="L259" s="7" t="b">
        <v>1</v>
      </c>
    </row>
    <row r="260">
      <c r="A260" s="36" t="s">
        <v>1750</v>
      </c>
      <c r="B260" s="7" t="s">
        <v>132</v>
      </c>
      <c r="C260" s="7" t="str">
        <f>IFERROR(VLOOKUP(B260,'Master data'!$A$1:$D$397,2,FALSE),"")</f>
        <v>B001-057</v>
      </c>
      <c r="D260" s="70" t="str">
        <f>VLOOKUP(B260,Sheet3!$B$2:$E$312,3,)</f>
        <v>bahan baku</v>
      </c>
      <c r="E260" s="71">
        <v>86.0</v>
      </c>
      <c r="F260" s="16" t="str">
        <f>IFERROR(VLOOKUP(B260,'Master data'!$A$1:$D$397,3,FALSE),"")</f>
        <v>GR</v>
      </c>
      <c r="G260" s="7" t="s">
        <v>1563</v>
      </c>
      <c r="H260" s="69" t="s">
        <v>1751</v>
      </c>
      <c r="I260" s="7" t="s">
        <v>1542</v>
      </c>
      <c r="J260" s="7" t="s">
        <v>1561</v>
      </c>
      <c r="K260" s="16" t="b">
        <v>0</v>
      </c>
      <c r="L260" s="7" t="b">
        <v>1</v>
      </c>
    </row>
    <row r="261">
      <c r="B261" s="7" t="s">
        <v>28</v>
      </c>
      <c r="C261" s="7" t="str">
        <f>IFERROR(VLOOKUP(B261,'Master data'!$A$1:$D$397,2,FALSE),"")</f>
        <v>B001-006</v>
      </c>
      <c r="D261" s="70" t="str">
        <f>VLOOKUP(B261,Sheet3!$B$2:$E$312,3,)</f>
        <v>bahan baku</v>
      </c>
      <c r="E261" s="71">
        <v>14.0</v>
      </c>
      <c r="F261" s="16" t="str">
        <f>IFERROR(VLOOKUP(B261,'Master data'!$A$1:$D$397,3,FALSE),"")</f>
        <v>GR</v>
      </c>
      <c r="G261" s="7" t="s">
        <v>1540</v>
      </c>
      <c r="H261" s="69" t="s">
        <v>1573</v>
      </c>
      <c r="I261" s="7" t="s">
        <v>1542</v>
      </c>
      <c r="J261" s="7" t="s">
        <v>61</v>
      </c>
      <c r="K261" s="16" t="b">
        <v>0</v>
      </c>
      <c r="L261" s="7" t="b">
        <v>1</v>
      </c>
    </row>
    <row r="262">
      <c r="B262" s="7" t="s">
        <v>86</v>
      </c>
      <c r="C262" s="7" t="str">
        <f>IFERROR(VLOOKUP(B262,'Master data'!$A$1:$D$397,2,FALSE),"")</f>
        <v>B001-036</v>
      </c>
      <c r="D262" s="70" t="str">
        <f>VLOOKUP(B262,Sheet3!$B$2:$E$312,3,)</f>
        <v>bahan baku</v>
      </c>
      <c r="E262" s="71">
        <v>9.0</v>
      </c>
      <c r="F262" s="16" t="str">
        <f>IFERROR(VLOOKUP(B262,'Master data'!$A$1:$D$397,3,FALSE),"")</f>
        <v>GR</v>
      </c>
      <c r="G262" s="7" t="s">
        <v>1606</v>
      </c>
      <c r="H262" s="69" t="s">
        <v>1592</v>
      </c>
      <c r="I262" s="7" t="s">
        <v>1552</v>
      </c>
      <c r="J262" s="7" t="s">
        <v>1561</v>
      </c>
      <c r="K262" s="16" t="b">
        <v>0</v>
      </c>
      <c r="L262" s="7" t="b">
        <v>1</v>
      </c>
    </row>
    <row r="263">
      <c r="B263" s="7" t="s">
        <v>379</v>
      </c>
      <c r="C263" s="7" t="str">
        <f>IFERROR(VLOOKUP(B263,'Master data'!$A$1:$D$397,2,FALSE),"")</f>
        <v>B001-038</v>
      </c>
      <c r="D263" s="70" t="s">
        <v>19</v>
      </c>
      <c r="E263" s="71">
        <v>3.0</v>
      </c>
      <c r="F263" s="16" t="str">
        <f>IFERROR(VLOOKUP(B263,'Master data'!$A$1:$D$397,3,FALSE),"")</f>
        <v>PCS</v>
      </c>
      <c r="G263" s="7" t="s">
        <v>1752</v>
      </c>
      <c r="H263" s="69" t="s">
        <v>1541</v>
      </c>
      <c r="I263" s="7" t="s">
        <v>1542</v>
      </c>
      <c r="J263" s="7" t="s">
        <v>1561</v>
      </c>
      <c r="K263" s="16" t="b">
        <v>0</v>
      </c>
      <c r="L263" s="7" t="b">
        <v>1</v>
      </c>
    </row>
    <row r="264">
      <c r="B264" s="7" t="s">
        <v>1257</v>
      </c>
      <c r="C264" s="7" t="str">
        <f>IFERROR(VLOOKUP(B264,'Master data'!$A$1:$D$397,2,FALSE),"")</f>
        <v>P004-043</v>
      </c>
      <c r="D264" s="70" t="s">
        <v>19</v>
      </c>
      <c r="E264" s="71">
        <v>259.0</v>
      </c>
      <c r="F264" s="16" t="str">
        <f>IFERROR(VLOOKUP(B264,'Master data'!$A$1:$D$397,3,FALSE),"")</f>
        <v>PRS</v>
      </c>
      <c r="G264" s="7" t="s">
        <v>1753</v>
      </c>
      <c r="H264" s="69" t="s">
        <v>1541</v>
      </c>
      <c r="I264" s="7" t="s">
        <v>1542</v>
      </c>
      <c r="J264" s="7" t="s">
        <v>1561</v>
      </c>
      <c r="K264" s="16" t="b">
        <v>0</v>
      </c>
      <c r="L264" s="7" t="b">
        <v>1</v>
      </c>
    </row>
    <row r="265">
      <c r="B265" s="7" t="s">
        <v>28</v>
      </c>
      <c r="C265" s="7" t="str">
        <f>IFERROR(VLOOKUP(B265,'Master data'!$A$1:$D$397,2,FALSE),"")</f>
        <v>B001-006</v>
      </c>
      <c r="D265" s="70" t="str">
        <f>VLOOKUP(B265,Sheet3!$B$2:$E$312,3,)</f>
        <v>bahan baku</v>
      </c>
      <c r="E265" s="71">
        <v>8.0</v>
      </c>
      <c r="F265" s="16" t="str">
        <f>IFERROR(VLOOKUP(B265,'Master data'!$A$1:$D$397,3,FALSE),"")</f>
        <v>GR</v>
      </c>
      <c r="G265" s="7" t="s">
        <v>1756</v>
      </c>
      <c r="H265" s="69" t="s">
        <v>1541</v>
      </c>
      <c r="I265" s="7" t="s">
        <v>1542</v>
      </c>
      <c r="J265" s="7" t="s">
        <v>61</v>
      </c>
      <c r="K265" s="16" t="b">
        <v>0</v>
      </c>
      <c r="L265" s="7" t="b">
        <v>1</v>
      </c>
    </row>
    <row r="266">
      <c r="B266" s="7" t="s">
        <v>211</v>
      </c>
      <c r="C266" s="7" t="str">
        <f>IFERROR(VLOOKUP(B266,'Master data'!$A$1:$D$397,2,FALSE),"")</f>
        <v>B001-088</v>
      </c>
      <c r="D266" s="70" t="str">
        <f>VLOOKUP(B266,Sheet3!$B$2:$E$312,3,)</f>
        <v>bahan baku</v>
      </c>
      <c r="E266" s="71">
        <v>4130.0</v>
      </c>
      <c r="F266" s="16" t="str">
        <f>IFERROR(VLOOKUP(B266,'Master data'!$A$1:$D$397,3,FALSE),"")</f>
        <v>GR</v>
      </c>
      <c r="G266" s="7" t="s">
        <v>1707</v>
      </c>
      <c r="H266" s="69" t="s">
        <v>1547</v>
      </c>
      <c r="I266" s="7" t="s">
        <v>1556</v>
      </c>
      <c r="J266" s="7" t="s">
        <v>61</v>
      </c>
      <c r="K266" s="16" t="b">
        <v>0</v>
      </c>
      <c r="L266" s="7" t="b">
        <v>1</v>
      </c>
    </row>
    <row r="267">
      <c r="B267" s="7" t="s">
        <v>664</v>
      </c>
      <c r="C267" s="7" t="str">
        <f>IFERROR(VLOOKUP(B267,'Master data'!$A$1:$D$397,2,FALSE),"")</f>
        <v>P004-025</v>
      </c>
      <c r="D267" s="70" t="str">
        <f>VLOOKUP(B267,Sheet3!$B$2:$E$312,3,)</f>
        <v>barang jadi &amp; bahan baku</v>
      </c>
      <c r="E267" s="71">
        <v>432.0</v>
      </c>
      <c r="F267" s="16" t="str">
        <f>IFERROR(VLOOKUP(B267,'Master data'!$A$1:$D$397,3,FALSE),"")</f>
        <v>PRS</v>
      </c>
      <c r="G267" s="7" t="s">
        <v>1550</v>
      </c>
      <c r="H267" s="69" t="s">
        <v>1679</v>
      </c>
      <c r="I267" s="7" t="s">
        <v>1552</v>
      </c>
      <c r="J267" s="7" t="s">
        <v>1561</v>
      </c>
      <c r="K267" s="16" t="b">
        <v>0</v>
      </c>
      <c r="L267" s="7" t="b">
        <v>1</v>
      </c>
    </row>
    <row r="268">
      <c r="B268" s="7" t="s">
        <v>660</v>
      </c>
      <c r="C268" s="7" t="str">
        <f>IFERROR(VLOOKUP(B268,'Master data'!$A$1:$D$397,2,FALSE),"")</f>
        <v>P004-024</v>
      </c>
      <c r="D268" s="70" t="str">
        <f>VLOOKUP(B268,Sheet3!$B$2:$E$312,3,)</f>
        <v>barang jadi &amp; bahan baku</v>
      </c>
      <c r="E268" s="71">
        <v>1946.0</v>
      </c>
      <c r="F268" s="16" t="str">
        <f>IFERROR(VLOOKUP(B268,'Master data'!$A$1:$D$397,3,FALSE),"")</f>
        <v>ML</v>
      </c>
      <c r="G268" s="7" t="s">
        <v>1550</v>
      </c>
      <c r="H268" s="69" t="s">
        <v>1679</v>
      </c>
      <c r="I268" s="7" t="s">
        <v>1552</v>
      </c>
      <c r="J268" s="7" t="s">
        <v>1561</v>
      </c>
      <c r="K268" s="16" t="b">
        <v>0</v>
      </c>
      <c r="L268" s="7" t="b">
        <v>1</v>
      </c>
    </row>
    <row r="269">
      <c r="A269" s="7" t="s">
        <v>1760</v>
      </c>
      <c r="B269" s="7" t="s">
        <v>132</v>
      </c>
      <c r="C269" s="7" t="str">
        <f>IFERROR(VLOOKUP(B269,'Master data'!$A$1:$D$397,2,FALSE),"")</f>
        <v>B001-057</v>
      </c>
      <c r="D269" s="70" t="str">
        <f>VLOOKUP(B269,Sheet3!$B$2:$E$312,3,)</f>
        <v>bahan baku</v>
      </c>
      <c r="E269" s="71">
        <v>171.0</v>
      </c>
      <c r="F269" s="16" t="str">
        <f>IFERROR(VLOOKUP(B269,'Master data'!$A$1:$D$397,3,FALSE),"")</f>
        <v>GR</v>
      </c>
      <c r="G269" s="7" t="s">
        <v>1563</v>
      </c>
      <c r="H269" s="69" t="s">
        <v>1573</v>
      </c>
      <c r="I269" s="7" t="s">
        <v>1542</v>
      </c>
      <c r="J269" s="7" t="s">
        <v>1561</v>
      </c>
      <c r="K269" s="16" t="b">
        <v>0</v>
      </c>
      <c r="L269" s="7" t="b">
        <v>1</v>
      </c>
    </row>
    <row r="270">
      <c r="A270" s="9"/>
      <c r="B270" s="7" t="s">
        <v>28</v>
      </c>
      <c r="C270" s="7" t="str">
        <f>IFERROR(VLOOKUP(B270,'Master data'!$A$1:$D$397,2,FALSE),"")</f>
        <v>B001-006</v>
      </c>
      <c r="D270" s="70" t="str">
        <f>VLOOKUP(B270,Sheet3!$B$2:$E$312,3,)</f>
        <v>bahan baku</v>
      </c>
      <c r="E270" s="71">
        <f>13+19</f>
        <v>32</v>
      </c>
      <c r="F270" s="16" t="str">
        <f>IFERROR(VLOOKUP(B270,'Master data'!$A$1:$D$397,3,FALSE),"")</f>
        <v>GR</v>
      </c>
      <c r="G270" s="7" t="s">
        <v>1540</v>
      </c>
      <c r="H270" s="69" t="s">
        <v>1573</v>
      </c>
      <c r="I270" s="7" t="s">
        <v>1542</v>
      </c>
      <c r="J270" s="7" t="s">
        <v>61</v>
      </c>
      <c r="K270" s="16" t="b">
        <v>0</v>
      </c>
      <c r="L270" s="7" t="b">
        <v>1</v>
      </c>
    </row>
    <row r="271">
      <c r="A271" s="9"/>
      <c r="B271" s="7" t="s">
        <v>664</v>
      </c>
      <c r="C271" s="7" t="str">
        <f>IFERROR(VLOOKUP(B271,'Master data'!$A$1:$D$397,2,FALSE),"")</f>
        <v>P004-025</v>
      </c>
      <c r="D271" s="70" t="str">
        <f>VLOOKUP(B271,Sheet3!$B$2:$E$312,3,)</f>
        <v>barang jadi &amp; bahan baku</v>
      </c>
      <c r="E271" s="71">
        <v>177.0</v>
      </c>
      <c r="F271" s="16" t="str">
        <f>IFERROR(VLOOKUP(B271,'Master data'!$A$1:$D$397,3,FALSE),"")</f>
        <v>PRS</v>
      </c>
      <c r="G271" s="7" t="s">
        <v>1550</v>
      </c>
      <c r="H271" s="69" t="s">
        <v>1679</v>
      </c>
      <c r="I271" s="7" t="s">
        <v>1552</v>
      </c>
      <c r="J271" s="7" t="s">
        <v>1561</v>
      </c>
      <c r="K271" s="16" t="b">
        <v>0</v>
      </c>
      <c r="L271" s="7" t="b">
        <v>1</v>
      </c>
    </row>
    <row r="272">
      <c r="A272" s="9"/>
      <c r="B272" s="7" t="s">
        <v>28</v>
      </c>
      <c r="C272" s="7" t="str">
        <f>IFERROR(VLOOKUP(B272,'Master data'!$A$1:$D$397,2,FALSE),"")</f>
        <v>B001-006</v>
      </c>
      <c r="D272" s="70" t="str">
        <f>VLOOKUP(B272,Sheet3!$B$2:$E$312,3,)</f>
        <v>bahan baku</v>
      </c>
      <c r="E272" s="71">
        <v>19.0</v>
      </c>
      <c r="F272" s="16" t="str">
        <f>IFERROR(VLOOKUP(B272,'Master data'!$A$1:$D$397,3,FALSE),"")</f>
        <v>GR</v>
      </c>
      <c r="G272" s="7" t="s">
        <v>1729</v>
      </c>
      <c r="H272" s="69" t="s">
        <v>1541</v>
      </c>
      <c r="I272" s="7" t="s">
        <v>1542</v>
      </c>
      <c r="J272" s="7" t="s">
        <v>61</v>
      </c>
      <c r="K272" s="16" t="b">
        <v>0</v>
      </c>
      <c r="L272" s="7" t="b">
        <v>1</v>
      </c>
    </row>
    <row r="273">
      <c r="A273" s="9"/>
      <c r="B273" s="7" t="s">
        <v>148</v>
      </c>
      <c r="C273" s="7" t="str">
        <f>IFERROR(VLOOKUP(B273,'Master data'!$A$1:$D$397,2,FALSE),"")</f>
        <v>B001-064</v>
      </c>
      <c r="D273" s="70" t="str">
        <f>VLOOKUP(B273,Sheet3!$B$2:$E$312,3,)</f>
        <v>bahan baku</v>
      </c>
      <c r="E273" s="71">
        <v>42.0</v>
      </c>
      <c r="F273" s="16" t="str">
        <f>IFERROR(VLOOKUP(B273,'Master data'!$A$1:$D$397,3,FALSE),"")</f>
        <v>GR</v>
      </c>
      <c r="G273" s="7" t="s">
        <v>1540</v>
      </c>
      <c r="H273" s="69" t="s">
        <v>1573</v>
      </c>
      <c r="I273" s="7" t="s">
        <v>1542</v>
      </c>
      <c r="J273" s="7" t="s">
        <v>61</v>
      </c>
      <c r="K273" s="16" t="b">
        <v>0</v>
      </c>
      <c r="L273" s="7" t="b">
        <v>1</v>
      </c>
    </row>
    <row r="274">
      <c r="B274" s="7" t="s">
        <v>211</v>
      </c>
      <c r="C274" s="7" t="str">
        <f>IFERROR(VLOOKUP(B274,'Master data'!$A$1:$D$397,2,FALSE),"")</f>
        <v>B001-088</v>
      </c>
      <c r="D274" s="70" t="str">
        <f>VLOOKUP(B274,Sheet3!$B$2:$E$312,3,)</f>
        <v>bahan baku</v>
      </c>
      <c r="E274" s="71">
        <v>3845.0</v>
      </c>
      <c r="F274" s="16" t="str">
        <f>IFERROR(VLOOKUP(B274,'Master data'!$A$1:$D$397,3,FALSE),"")</f>
        <v>GR</v>
      </c>
      <c r="G274" s="7" t="s">
        <v>1707</v>
      </c>
      <c r="H274" s="69" t="s">
        <v>1547</v>
      </c>
      <c r="I274" s="7" t="s">
        <v>1556</v>
      </c>
      <c r="J274" s="7" t="s">
        <v>61</v>
      </c>
      <c r="K274" s="16" t="b">
        <v>0</v>
      </c>
      <c r="L274" s="7" t="b">
        <v>1</v>
      </c>
    </row>
    <row r="275">
      <c r="A275" s="7" t="s">
        <v>1762</v>
      </c>
      <c r="B275" s="7" t="s">
        <v>211</v>
      </c>
      <c r="C275" s="7" t="str">
        <f>IFERROR(VLOOKUP(B275,'Master data'!$A$1:$D$397,2,FALSE),"")</f>
        <v>B001-088</v>
      </c>
      <c r="D275" s="70" t="str">
        <f>VLOOKUP(B275,Sheet3!$B$2:$E$312,3,)</f>
        <v>bahan baku</v>
      </c>
      <c r="E275" s="71">
        <v>3395.0</v>
      </c>
      <c r="F275" s="16" t="str">
        <f>IFERROR(VLOOKUP(B275,'Master data'!$A$1:$D$397,3,FALSE),"")</f>
        <v>GR</v>
      </c>
      <c r="G275" s="7" t="s">
        <v>1707</v>
      </c>
      <c r="H275" s="69" t="s">
        <v>1702</v>
      </c>
      <c r="I275" s="7" t="s">
        <v>1556</v>
      </c>
      <c r="J275" s="7" t="s">
        <v>61</v>
      </c>
      <c r="K275" s="16" t="b">
        <v>0</v>
      </c>
      <c r="L275" s="7" t="b">
        <v>1</v>
      </c>
    </row>
    <row r="276">
      <c r="A276" s="9"/>
      <c r="B276" s="7" t="s">
        <v>33</v>
      </c>
      <c r="C276" s="7" t="str">
        <f>IFERROR(VLOOKUP(B276,'Master data'!$A$1:$D$397,2,FALSE),"")</f>
        <v>B001-008</v>
      </c>
      <c r="D276" s="70" t="str">
        <f>VLOOKUP(B276,Sheet3!$B$2:$E$312,3,)</f>
        <v>bahan baku</v>
      </c>
      <c r="E276" s="71">
        <v>202.0</v>
      </c>
      <c r="F276" s="16" t="str">
        <f>IFERROR(VLOOKUP(B276,'Master data'!$A$1:$D$397,3,FALSE),"")</f>
        <v>GR</v>
      </c>
      <c r="G276" s="7" t="s">
        <v>1763</v>
      </c>
      <c r="H276" s="69" t="s">
        <v>1637</v>
      </c>
      <c r="I276" s="7" t="s">
        <v>1548</v>
      </c>
      <c r="J276" s="7" t="s">
        <v>1561</v>
      </c>
      <c r="K276" s="16" t="b">
        <v>0</v>
      </c>
      <c r="L276" s="7" t="b">
        <v>1</v>
      </c>
    </row>
    <row r="277">
      <c r="A277" s="9"/>
      <c r="B277" s="7" t="s">
        <v>129</v>
      </c>
      <c r="C277" s="7" t="str">
        <f>IFERROR(VLOOKUP(B277,'Master data'!$A$1:$D$397,2,FALSE),"")</f>
        <v>B001-056</v>
      </c>
      <c r="D277" s="70" t="str">
        <f>VLOOKUP(B277,Sheet3!$B$2:$E$312,3,)</f>
        <v>bahan baku</v>
      </c>
      <c r="E277" s="71">
        <v>2.0</v>
      </c>
      <c r="F277" s="16" t="str">
        <f>IFERROR(VLOOKUP(B277,'Master data'!$A$1:$D$397,3,FALSE),"")</f>
        <v>ML</v>
      </c>
      <c r="G277" s="7" t="s">
        <v>1763</v>
      </c>
      <c r="H277" s="69" t="s">
        <v>1637</v>
      </c>
      <c r="I277" s="7" t="s">
        <v>1548</v>
      </c>
      <c r="J277" s="7" t="s">
        <v>1561</v>
      </c>
      <c r="K277" s="16" t="b">
        <v>0</v>
      </c>
      <c r="L277" s="7" t="b">
        <v>1</v>
      </c>
    </row>
    <row r="278">
      <c r="A278" s="9"/>
      <c r="B278" s="7" t="s">
        <v>28</v>
      </c>
      <c r="C278" s="7" t="str">
        <f>IFERROR(VLOOKUP(B278,'Master data'!$A$1:$D$397,2,FALSE),"")</f>
        <v>B001-006</v>
      </c>
      <c r="D278" s="70" t="str">
        <f>VLOOKUP(B278,Sheet3!$B$2:$E$312,3,)</f>
        <v>bahan baku</v>
      </c>
      <c r="E278" s="71">
        <v>19.0</v>
      </c>
      <c r="F278" s="16" t="str">
        <f>IFERROR(VLOOKUP(B278,'Master data'!$A$1:$D$397,3,FALSE),"")</f>
        <v>GR</v>
      </c>
      <c r="G278" s="7" t="s">
        <v>1540</v>
      </c>
      <c r="H278" s="69" t="s">
        <v>1541</v>
      </c>
      <c r="I278" s="7" t="s">
        <v>1542</v>
      </c>
      <c r="J278" s="7" t="s">
        <v>61</v>
      </c>
      <c r="K278" s="16" t="b">
        <v>0</v>
      </c>
      <c r="L278" s="7" t="b">
        <v>1</v>
      </c>
    </row>
    <row r="279">
      <c r="A279" s="7" t="s">
        <v>1765</v>
      </c>
      <c r="B279" s="7" t="s">
        <v>536</v>
      </c>
      <c r="C279" s="7" t="str">
        <f>IFERROR(VLOOKUP(B279,'Master data'!$A$1:$D$397,2,FALSE),"")</f>
        <v>B001-050</v>
      </c>
      <c r="D279" s="70" t="str">
        <f>VLOOKUP(B279,Sheet3!$B$2:$E$312,3,)</f>
        <v>bahan baku</v>
      </c>
      <c r="E279" s="71">
        <v>53.0</v>
      </c>
      <c r="F279" s="16" t="str">
        <f>IFERROR(VLOOKUP(B279,'Master data'!$A$1:$D$397,3,FALSE),"")</f>
        <v>GR</v>
      </c>
      <c r="G279" s="7" t="s">
        <v>1082</v>
      </c>
      <c r="H279" s="69" t="s">
        <v>1767</v>
      </c>
      <c r="I279" s="7" t="s">
        <v>1552</v>
      </c>
      <c r="J279" s="7" t="s">
        <v>1561</v>
      </c>
      <c r="K279" s="16" t="b">
        <v>0</v>
      </c>
      <c r="L279" s="7" t="b">
        <v>1</v>
      </c>
    </row>
    <row r="280">
      <c r="A280" s="9"/>
      <c r="B280" s="7" t="s">
        <v>211</v>
      </c>
      <c r="C280" s="7" t="str">
        <f>IFERROR(VLOOKUP(B280,'Master data'!$A$1:$D$397,2,FALSE),"")</f>
        <v>B001-088</v>
      </c>
      <c r="D280" s="70" t="str">
        <f>VLOOKUP(B280,Sheet3!$B$2:$E$312,3,)</f>
        <v>bahan baku</v>
      </c>
      <c r="E280" s="71">
        <v>1925.0</v>
      </c>
      <c r="F280" s="16" t="str">
        <f>IFERROR(VLOOKUP(B280,'Master data'!$A$1:$D$397,3,FALSE),"")</f>
        <v>GR</v>
      </c>
      <c r="G280" s="7" t="s">
        <v>1771</v>
      </c>
      <c r="H280" s="69" t="s">
        <v>1702</v>
      </c>
      <c r="I280" s="7" t="s">
        <v>1556</v>
      </c>
      <c r="J280" s="7" t="s">
        <v>61</v>
      </c>
      <c r="K280" s="16" t="b">
        <v>0</v>
      </c>
      <c r="L280" s="7" t="b">
        <v>1</v>
      </c>
    </row>
    <row r="281">
      <c r="A281" s="9"/>
      <c r="B281" s="7" t="s">
        <v>28</v>
      </c>
      <c r="C281" s="7" t="str">
        <f>IFERROR(VLOOKUP(B281,'Master data'!$A$1:$D$397,2,FALSE),"")</f>
        <v>B001-006</v>
      </c>
      <c r="D281" s="70" t="str">
        <f>VLOOKUP(B281,Sheet3!$B$2:$E$312,3,)</f>
        <v>bahan baku</v>
      </c>
      <c r="E281" s="71">
        <v>11.0</v>
      </c>
      <c r="F281" s="16" t="str">
        <f>IFERROR(VLOOKUP(B281,'Master data'!$A$1:$D$397,3,FALSE),"")</f>
        <v>GR</v>
      </c>
      <c r="G281" s="7" t="s">
        <v>1729</v>
      </c>
      <c r="H281" s="69" t="s">
        <v>1541</v>
      </c>
      <c r="I281" s="7" t="s">
        <v>1542</v>
      </c>
      <c r="J281" s="7" t="s">
        <v>61</v>
      </c>
      <c r="K281" s="16" t="b">
        <v>0</v>
      </c>
      <c r="L281" s="7" t="b">
        <v>1</v>
      </c>
    </row>
    <row r="282">
      <c r="A282" s="9"/>
      <c r="B282" s="7" t="s">
        <v>653</v>
      </c>
      <c r="C282" s="7" t="str">
        <f>IFERROR(VLOOKUP(B282,'Master data'!$A$1:$D$397,2,FALSE),"")</f>
        <v>P004-022</v>
      </c>
      <c r="D282" s="70" t="str">
        <f>VLOOKUP(B282,Sheet3!$B$2:$E$312,3,)</f>
        <v>barang jadi &amp; bahan baku</v>
      </c>
      <c r="E282" s="71">
        <v>67.0</v>
      </c>
      <c r="F282" s="16" t="str">
        <f>IFERROR(VLOOKUP(B282,'Master data'!$A$1:$D$397,3,FALSE),"")</f>
        <v>GR</v>
      </c>
      <c r="G282" s="7" t="s">
        <v>1550</v>
      </c>
      <c r="H282" s="69" t="s">
        <v>1679</v>
      </c>
      <c r="I282" s="7" t="s">
        <v>1552</v>
      </c>
      <c r="J282" s="7" t="s">
        <v>1561</v>
      </c>
      <c r="K282" s="16" t="b">
        <v>0</v>
      </c>
      <c r="L282" s="7" t="b">
        <v>1</v>
      </c>
    </row>
    <row r="283">
      <c r="A283" s="9"/>
      <c r="B283" s="7" t="s">
        <v>657</v>
      </c>
      <c r="C283" s="7" t="str">
        <f>IFERROR(VLOOKUP(B283,'Master data'!$A$1:$D$397,2,FALSE),"")</f>
        <v>P004-023</v>
      </c>
      <c r="D283" s="70" t="str">
        <f>VLOOKUP(B283,Sheet3!$B$2:$E$312,3,)</f>
        <v>barang jadi &amp; bahan baku</v>
      </c>
      <c r="E283" s="71">
        <v>182.0</v>
      </c>
      <c r="F283" s="16" t="str">
        <f>IFERROR(VLOOKUP(B283,'Master data'!$A$1:$D$397,3,FALSE),"")</f>
        <v>GR</v>
      </c>
      <c r="G283" s="7" t="s">
        <v>1550</v>
      </c>
      <c r="H283" s="69" t="s">
        <v>1679</v>
      </c>
      <c r="I283" s="7" t="s">
        <v>1552</v>
      </c>
      <c r="J283" s="7" t="s">
        <v>1561</v>
      </c>
      <c r="K283" s="16" t="b">
        <v>0</v>
      </c>
      <c r="L283" s="7" t="b">
        <v>1</v>
      </c>
    </row>
    <row r="284">
      <c r="A284" s="9"/>
      <c r="B284" s="16"/>
      <c r="C284" s="7" t="str">
        <f>IFERROR(VLOOKUP(B284,'Master data'!$A$1:$D$397,2,FALSE),"")</f>
        <v/>
      </c>
      <c r="D284" s="70" t="str">
        <f>VLOOKUP(B284,Sheet3!$B$2:$E$312,3,)</f>
        <v>#N/A</v>
      </c>
      <c r="E284" s="64"/>
      <c r="F284" s="16" t="str">
        <f>IFERROR(VLOOKUP(B284,'Master data'!$A$1:$D$397,3,FALSE),"")</f>
        <v/>
      </c>
      <c r="H284" s="65"/>
      <c r="I284" s="16"/>
      <c r="J284" s="16"/>
      <c r="K284" s="16" t="b">
        <v>0</v>
      </c>
      <c r="L284" s="16" t="b">
        <v>0</v>
      </c>
    </row>
    <row r="285">
      <c r="A285" s="9"/>
      <c r="B285" s="16"/>
      <c r="C285" s="7" t="str">
        <f>IFERROR(VLOOKUP(B285,'Master data'!$A$1:$D$397,2,FALSE),"")</f>
        <v/>
      </c>
      <c r="D285" s="70" t="str">
        <f>VLOOKUP(B285,Sheet3!$B$2:$E$312,3,)</f>
        <v>#N/A</v>
      </c>
      <c r="E285" s="64"/>
      <c r="F285" s="16" t="str">
        <f>IFERROR(VLOOKUP(B285,'Master data'!$A$1:$D$397,3,FALSE),"")</f>
        <v/>
      </c>
      <c r="H285" s="65"/>
      <c r="I285" s="16"/>
      <c r="J285" s="16"/>
      <c r="K285" s="16" t="b">
        <v>0</v>
      </c>
      <c r="L285" s="16" t="b">
        <v>0</v>
      </c>
    </row>
    <row r="286">
      <c r="A286" s="9"/>
      <c r="B286" s="16"/>
      <c r="C286" s="7" t="str">
        <f>IFERROR(VLOOKUP(B286,'Master data'!$A$1:$D$397,2,FALSE),"")</f>
        <v/>
      </c>
      <c r="D286" s="70" t="str">
        <f>VLOOKUP(B286,Sheet3!$B$2:$E$312,3,)</f>
        <v>#N/A</v>
      </c>
      <c r="E286" s="64"/>
      <c r="F286" s="16" t="str">
        <f>IFERROR(VLOOKUP(B286,'Master data'!$A$1:$D$397,3,FALSE),"")</f>
        <v/>
      </c>
      <c r="H286" s="65"/>
      <c r="I286" s="16"/>
      <c r="J286" s="16"/>
      <c r="K286" s="16" t="b">
        <v>0</v>
      </c>
      <c r="L286" s="16" t="b">
        <v>0</v>
      </c>
    </row>
    <row r="287">
      <c r="A287" s="9"/>
      <c r="B287" s="16"/>
      <c r="C287" s="7" t="str">
        <f>IFERROR(VLOOKUP(B287,'Master data'!$A$1:$D$397,2,FALSE),"")</f>
        <v/>
      </c>
      <c r="D287" s="70" t="str">
        <f>VLOOKUP(B287,Sheet3!$B$2:$E$312,3,)</f>
        <v>#N/A</v>
      </c>
      <c r="E287" s="64"/>
      <c r="F287" s="16" t="str">
        <f>IFERROR(VLOOKUP(B287,'Master data'!$A$1:$D$397,3,FALSE),"")</f>
        <v/>
      </c>
      <c r="H287" s="65"/>
      <c r="I287" s="16"/>
      <c r="J287" s="16"/>
      <c r="K287" s="16" t="b">
        <v>0</v>
      </c>
      <c r="L287" s="16" t="b">
        <v>0</v>
      </c>
    </row>
    <row r="288">
      <c r="A288" s="9"/>
      <c r="B288" s="16"/>
      <c r="C288" s="7" t="str">
        <f>IFERROR(VLOOKUP(B288,'Master data'!$A$1:$D$397,2,FALSE),"")</f>
        <v/>
      </c>
      <c r="D288" s="70" t="str">
        <f>VLOOKUP(B288,Sheet3!$B$2:$E$312,3,)</f>
        <v>#N/A</v>
      </c>
      <c r="E288" s="64"/>
      <c r="F288" s="16" t="str">
        <f>IFERROR(VLOOKUP(B288,'Master data'!$A$1:$D$397,3,FALSE),"")</f>
        <v/>
      </c>
      <c r="H288" s="65"/>
      <c r="I288" s="16"/>
      <c r="J288" s="16"/>
      <c r="K288" s="16" t="b">
        <v>0</v>
      </c>
      <c r="L288" s="16" t="b">
        <v>0</v>
      </c>
    </row>
    <row r="289">
      <c r="A289" s="9"/>
      <c r="B289" s="16"/>
      <c r="C289" s="7" t="str">
        <f>IFERROR(VLOOKUP(B289,'Master data'!$A$1:$D$397,2,FALSE),"")</f>
        <v/>
      </c>
      <c r="D289" s="70" t="str">
        <f>VLOOKUP(B289,Sheet3!$B$2:$E$312,3,)</f>
        <v>#N/A</v>
      </c>
      <c r="E289" s="64"/>
      <c r="F289" s="16" t="str">
        <f>IFERROR(VLOOKUP(B289,'Master data'!$A$1:$D$397,3,FALSE),"")</f>
        <v/>
      </c>
      <c r="H289" s="65"/>
      <c r="I289" s="16"/>
      <c r="J289" s="16"/>
      <c r="K289" s="16" t="b">
        <v>0</v>
      </c>
      <c r="L289" s="16" t="b">
        <v>0</v>
      </c>
    </row>
    <row r="290">
      <c r="A290" s="9"/>
      <c r="B290" s="16"/>
      <c r="C290" s="7" t="str">
        <f>IFERROR(VLOOKUP(B290,'Master data'!$A$1:$D$397,2,FALSE),"")</f>
        <v/>
      </c>
      <c r="D290" s="70" t="str">
        <f>VLOOKUP(B290,Sheet3!$B$2:$E$312,3,)</f>
        <v>#N/A</v>
      </c>
      <c r="E290" s="64"/>
      <c r="F290" s="16" t="str">
        <f>IFERROR(VLOOKUP(B290,'Master data'!$A$1:$D$397,3,FALSE),"")</f>
        <v/>
      </c>
      <c r="H290" s="65"/>
      <c r="I290" s="16"/>
      <c r="J290" s="16"/>
      <c r="K290" s="16" t="b">
        <v>0</v>
      </c>
      <c r="L290" s="16" t="b">
        <v>0</v>
      </c>
    </row>
    <row r="291">
      <c r="A291" s="9"/>
      <c r="B291" s="16"/>
      <c r="C291" s="7" t="str">
        <f>IFERROR(VLOOKUP(B291,'Master data'!$A$1:$D$397,2,FALSE),"")</f>
        <v/>
      </c>
      <c r="D291" s="70" t="str">
        <f>VLOOKUP(B291,Sheet3!$B$2:$E$312,3,)</f>
        <v>#N/A</v>
      </c>
      <c r="E291" s="64"/>
      <c r="F291" s="16" t="str">
        <f>IFERROR(VLOOKUP(B291,'Master data'!$A$1:$D$397,3,FALSE),"")</f>
        <v/>
      </c>
      <c r="H291" s="65"/>
      <c r="I291" s="16"/>
      <c r="J291" s="16"/>
      <c r="K291" s="16" t="b">
        <v>0</v>
      </c>
      <c r="L291" s="16" t="b">
        <v>0</v>
      </c>
    </row>
    <row r="292">
      <c r="A292" s="9"/>
      <c r="B292" s="16"/>
      <c r="C292" s="7" t="str">
        <f>IFERROR(VLOOKUP(B292,'Master data'!$A$1:$D$397,2,FALSE),"")</f>
        <v/>
      </c>
      <c r="D292" s="70" t="str">
        <f>VLOOKUP(B292,Sheet3!$B$2:$E$312,3,)</f>
        <v>#N/A</v>
      </c>
      <c r="E292" s="64"/>
      <c r="F292" s="16" t="str">
        <f>IFERROR(VLOOKUP(B292,'Master data'!$A$1:$D$397,3,FALSE),"")</f>
        <v/>
      </c>
      <c r="H292" s="65"/>
      <c r="I292" s="16"/>
      <c r="J292" s="16"/>
      <c r="K292" s="16" t="b">
        <v>0</v>
      </c>
      <c r="L292" s="16" t="b">
        <v>0</v>
      </c>
    </row>
    <row r="293">
      <c r="A293" s="9"/>
      <c r="B293" s="16"/>
      <c r="C293" s="7" t="str">
        <f>IFERROR(VLOOKUP(B293,'Master data'!$A$1:$D$397,2,FALSE),"")</f>
        <v/>
      </c>
      <c r="D293" s="70" t="str">
        <f>VLOOKUP(B293,Sheet3!$B$2:$E$312,3,)</f>
        <v>#N/A</v>
      </c>
      <c r="E293" s="64"/>
      <c r="F293" s="16" t="str">
        <f>IFERROR(VLOOKUP(B293,'Master data'!$A$1:$D$397,3,FALSE),"")</f>
        <v/>
      </c>
      <c r="H293" s="65"/>
      <c r="I293" s="16"/>
      <c r="J293" s="16"/>
      <c r="K293" s="16" t="b">
        <v>0</v>
      </c>
      <c r="L293" s="16" t="b">
        <v>0</v>
      </c>
    </row>
    <row r="294">
      <c r="A294" s="9"/>
      <c r="B294" s="16"/>
      <c r="C294" s="7" t="str">
        <f>IFERROR(VLOOKUP(B294,'Master data'!$A$1:$D$397,2,FALSE),"")</f>
        <v/>
      </c>
      <c r="D294" s="70" t="str">
        <f>VLOOKUP(B294,Sheet3!$B$2:$E$312,3,)</f>
        <v>#N/A</v>
      </c>
      <c r="E294" s="64"/>
      <c r="F294" s="16" t="str">
        <f>IFERROR(VLOOKUP(B294,'Master data'!$A$1:$D$397,3,FALSE),"")</f>
        <v/>
      </c>
      <c r="H294" s="65"/>
      <c r="I294" s="16"/>
      <c r="J294" s="16"/>
      <c r="K294" s="16" t="b">
        <v>0</v>
      </c>
      <c r="L294" s="16" t="b">
        <v>0</v>
      </c>
    </row>
    <row r="295">
      <c r="A295" s="9"/>
      <c r="B295" s="16"/>
      <c r="C295" s="7" t="str">
        <f>IFERROR(VLOOKUP(B295,'Master data'!$A$1:$D$397,2,FALSE),"")</f>
        <v/>
      </c>
      <c r="D295" s="70" t="str">
        <f>VLOOKUP(B295,Sheet3!$B$2:$E$312,3,)</f>
        <v>#N/A</v>
      </c>
      <c r="E295" s="64"/>
      <c r="F295" s="16" t="str">
        <f>IFERROR(VLOOKUP(B295,'Master data'!$A$1:$D$397,3,FALSE),"")</f>
        <v/>
      </c>
      <c r="H295" s="65"/>
      <c r="I295" s="16"/>
      <c r="J295" s="16"/>
      <c r="K295" s="16" t="b">
        <v>0</v>
      </c>
      <c r="L295" s="16" t="b">
        <v>0</v>
      </c>
    </row>
    <row r="296">
      <c r="A296" s="9"/>
      <c r="B296" s="16"/>
      <c r="C296" s="7" t="str">
        <f>IFERROR(VLOOKUP(B296,'Master data'!$A$1:$D$397,2,FALSE),"")</f>
        <v/>
      </c>
      <c r="D296" s="70" t="str">
        <f>VLOOKUP(B296,Sheet3!$B$2:$E$312,3,)</f>
        <v>#N/A</v>
      </c>
      <c r="E296" s="64"/>
      <c r="F296" s="16" t="str">
        <f>IFERROR(VLOOKUP(B296,'Master data'!$A$1:$D$397,3,FALSE),"")</f>
        <v/>
      </c>
      <c r="H296" s="65"/>
      <c r="I296" s="16"/>
      <c r="J296" s="16"/>
      <c r="K296" s="16" t="b">
        <v>0</v>
      </c>
      <c r="L296" s="16" t="b">
        <v>0</v>
      </c>
    </row>
    <row r="297">
      <c r="A297" s="9"/>
      <c r="B297" s="16"/>
      <c r="C297" s="7" t="str">
        <f>IFERROR(VLOOKUP(B297,'Master data'!$A$1:$D$397,2,FALSE),"")</f>
        <v/>
      </c>
      <c r="D297" s="70" t="str">
        <f>VLOOKUP(B297,Sheet3!$B$2:$E$312,3,)</f>
        <v>#N/A</v>
      </c>
      <c r="E297" s="64"/>
      <c r="F297" s="16" t="str">
        <f>IFERROR(VLOOKUP(B297,'Master data'!$A$1:$D$397,3,FALSE),"")</f>
        <v/>
      </c>
      <c r="H297" s="65"/>
      <c r="I297" s="16"/>
      <c r="J297" s="16"/>
      <c r="K297" s="16" t="b">
        <v>0</v>
      </c>
      <c r="L297" s="16" t="b">
        <v>0</v>
      </c>
    </row>
    <row r="298">
      <c r="A298" s="9"/>
      <c r="B298" s="16"/>
      <c r="C298" s="7" t="str">
        <f>IFERROR(VLOOKUP(B298,'Master data'!$A$1:$D$397,2,FALSE),"")</f>
        <v/>
      </c>
      <c r="D298" s="70" t="str">
        <f>VLOOKUP(B298,Sheet3!$B$2:$E$312,3,)</f>
        <v>#N/A</v>
      </c>
      <c r="E298" s="64"/>
      <c r="F298" s="16" t="str">
        <f>IFERROR(VLOOKUP(B298,'Master data'!$A$1:$D$397,3,FALSE),"")</f>
        <v/>
      </c>
      <c r="H298" s="65"/>
      <c r="I298" s="16"/>
      <c r="J298" s="16"/>
      <c r="K298" s="16" t="b">
        <v>0</v>
      </c>
      <c r="L298" s="16" t="b">
        <v>0</v>
      </c>
    </row>
    <row r="299">
      <c r="A299" s="9"/>
      <c r="B299" s="16"/>
      <c r="C299" s="7" t="str">
        <f>IFERROR(VLOOKUP(B299,'Master data'!$A$1:$D$397,2,FALSE),"")</f>
        <v/>
      </c>
      <c r="D299" s="70" t="str">
        <f>VLOOKUP(B299,Sheet3!$B$2:$E$312,3,)</f>
        <v>#N/A</v>
      </c>
      <c r="E299" s="64"/>
      <c r="F299" s="16" t="str">
        <f>IFERROR(VLOOKUP(B299,'Master data'!$A$1:$D$397,3,FALSE),"")</f>
        <v/>
      </c>
      <c r="H299" s="65"/>
      <c r="I299" s="16"/>
      <c r="J299" s="16"/>
      <c r="K299" s="16" t="b">
        <v>0</v>
      </c>
      <c r="L299" s="16" t="b">
        <v>0</v>
      </c>
    </row>
    <row r="300">
      <c r="A300" s="9"/>
      <c r="B300" s="16"/>
      <c r="C300" s="7" t="str">
        <f>IFERROR(VLOOKUP(B300,'Master data'!$A$1:$D$397,2,FALSE),"")</f>
        <v/>
      </c>
      <c r="D300" s="70" t="str">
        <f>VLOOKUP(B300,Sheet3!$B$2:$E$312,3,)</f>
        <v>#N/A</v>
      </c>
      <c r="E300" s="64"/>
      <c r="F300" s="16" t="str">
        <f>IFERROR(VLOOKUP(B300,'Master data'!$A$1:$D$397,3,FALSE),"")</f>
        <v/>
      </c>
      <c r="H300" s="65"/>
      <c r="I300" s="16"/>
      <c r="J300" s="16"/>
      <c r="K300" s="16" t="b">
        <v>0</v>
      </c>
      <c r="L300" s="16" t="b">
        <v>0</v>
      </c>
    </row>
    <row r="301">
      <c r="A301" s="9"/>
      <c r="B301" s="16"/>
      <c r="C301" s="7" t="str">
        <f>IFERROR(VLOOKUP(B301,'Master data'!$A$1:$D$397,2,FALSE),"")</f>
        <v/>
      </c>
      <c r="D301" s="70" t="str">
        <f>VLOOKUP(B301,Sheet3!$B$2:$E$312,3,)</f>
        <v>#N/A</v>
      </c>
      <c r="E301" s="64"/>
      <c r="F301" s="16" t="str">
        <f>IFERROR(VLOOKUP(B301,'Master data'!$A$1:$D$397,3,FALSE),"")</f>
        <v/>
      </c>
      <c r="H301" s="65"/>
      <c r="I301" s="16"/>
      <c r="J301" s="16"/>
      <c r="K301" s="16" t="b">
        <v>0</v>
      </c>
      <c r="L301" s="16" t="b">
        <v>0</v>
      </c>
    </row>
    <row r="302">
      <c r="A302" s="9"/>
      <c r="B302" s="16"/>
      <c r="C302" s="7" t="str">
        <f>IFERROR(VLOOKUP(B302,'Master data'!$A$1:$D$397,2,FALSE),"")</f>
        <v/>
      </c>
      <c r="D302" s="70" t="str">
        <f>VLOOKUP(B302,Sheet3!$B$2:$E$312,3,)</f>
        <v>#N/A</v>
      </c>
      <c r="E302" s="64"/>
      <c r="F302" s="16" t="str">
        <f>IFERROR(VLOOKUP(B302,'Master data'!$A$1:$D$397,3,FALSE),"")</f>
        <v/>
      </c>
      <c r="H302" s="65"/>
      <c r="I302" s="16"/>
      <c r="J302" s="16"/>
      <c r="K302" s="16" t="b">
        <v>0</v>
      </c>
      <c r="L302" s="16" t="b">
        <v>0</v>
      </c>
    </row>
    <row r="303">
      <c r="A303" s="9"/>
      <c r="B303" s="16"/>
      <c r="C303" s="7" t="str">
        <f>IFERROR(VLOOKUP(B303,'Master data'!$A$1:$D$397,2,FALSE),"")</f>
        <v/>
      </c>
      <c r="D303" s="70" t="str">
        <f>VLOOKUP(B303,Sheet3!$B$2:$E$312,3,)</f>
        <v>#N/A</v>
      </c>
      <c r="E303" s="64"/>
      <c r="F303" s="16" t="str">
        <f>IFERROR(VLOOKUP(B303,'Master data'!$A$1:$D$397,3,FALSE),"")</f>
        <v/>
      </c>
      <c r="H303" s="65"/>
      <c r="I303" s="16"/>
      <c r="J303" s="16"/>
      <c r="K303" s="16" t="b">
        <v>0</v>
      </c>
      <c r="L303" s="16" t="b">
        <v>0</v>
      </c>
    </row>
    <row r="304">
      <c r="A304" s="9"/>
      <c r="B304" s="16"/>
      <c r="C304" s="7" t="str">
        <f>IFERROR(VLOOKUP(B304,'Master data'!$A$1:$D$397,2,FALSE),"")</f>
        <v/>
      </c>
      <c r="D304" s="70" t="str">
        <f>VLOOKUP(B304,Sheet3!$B$2:$E$312,3,)</f>
        <v>#N/A</v>
      </c>
      <c r="E304" s="64"/>
      <c r="F304" s="16" t="str">
        <f>IFERROR(VLOOKUP(B304,'Master data'!$A$1:$D$397,3,FALSE),"")</f>
        <v/>
      </c>
      <c r="H304" s="65"/>
      <c r="I304" s="16"/>
      <c r="J304" s="16"/>
      <c r="K304" s="16" t="b">
        <v>0</v>
      </c>
      <c r="L304" s="16" t="b">
        <v>0</v>
      </c>
    </row>
    <row r="305">
      <c r="A305" s="9"/>
      <c r="B305" s="16"/>
      <c r="C305" s="7" t="str">
        <f>IFERROR(VLOOKUP(B305,'Master data'!$A$1:$D$397,2,FALSE),"")</f>
        <v/>
      </c>
      <c r="D305" s="70" t="str">
        <f>VLOOKUP(B305,Sheet3!$B$2:$E$312,3,)</f>
        <v>#N/A</v>
      </c>
      <c r="E305" s="64"/>
      <c r="F305" s="16" t="str">
        <f>IFERROR(VLOOKUP(B305,'Master data'!$A$1:$D$397,3,FALSE),"")</f>
        <v/>
      </c>
      <c r="H305" s="65"/>
      <c r="I305" s="16"/>
      <c r="J305" s="16"/>
      <c r="K305" s="16" t="b">
        <v>0</v>
      </c>
      <c r="L305" s="16" t="b">
        <v>0</v>
      </c>
    </row>
    <row r="306">
      <c r="A306" s="9"/>
      <c r="B306" s="16"/>
      <c r="C306" s="7" t="str">
        <f>IFERROR(VLOOKUP(B306,'Master data'!$A$1:$D$397,2,FALSE),"")</f>
        <v/>
      </c>
      <c r="D306" s="70" t="str">
        <f>VLOOKUP(B306,Sheet3!$B$2:$E$312,3,)</f>
        <v>#N/A</v>
      </c>
      <c r="E306" s="64"/>
      <c r="F306" s="16" t="str">
        <f>IFERROR(VLOOKUP(B306,'Master data'!$A$1:$D$397,3,FALSE),"")</f>
        <v/>
      </c>
      <c r="H306" s="65"/>
      <c r="I306" s="16"/>
      <c r="J306" s="16"/>
      <c r="K306" s="16" t="b">
        <v>0</v>
      </c>
      <c r="L306" s="16" t="b">
        <v>0</v>
      </c>
    </row>
    <row r="307">
      <c r="A307" s="9"/>
      <c r="B307" s="16"/>
      <c r="C307" s="7" t="str">
        <f>IFERROR(VLOOKUP(B307,'Master data'!$A$1:$D$397,2,FALSE),"")</f>
        <v/>
      </c>
      <c r="D307" s="70" t="str">
        <f>VLOOKUP(B307,Sheet3!$B$2:$E$312,3,)</f>
        <v>#N/A</v>
      </c>
      <c r="E307" s="64"/>
      <c r="F307" s="16" t="str">
        <f>IFERROR(VLOOKUP(B307,'Master data'!$A$1:$D$397,3,FALSE),"")</f>
        <v/>
      </c>
      <c r="H307" s="65"/>
      <c r="I307" s="16"/>
      <c r="J307" s="16"/>
      <c r="K307" s="16" t="b">
        <v>0</v>
      </c>
      <c r="L307" s="16" t="b">
        <v>0</v>
      </c>
    </row>
    <row r="308">
      <c r="A308" s="9"/>
      <c r="B308" s="16"/>
      <c r="C308" s="7" t="str">
        <f>IFERROR(VLOOKUP(B308,'Master data'!$A$1:$D$397,2,FALSE),"")</f>
        <v/>
      </c>
      <c r="D308" s="70" t="str">
        <f>VLOOKUP(B308,Sheet3!$B$2:$E$312,3,)</f>
        <v>#N/A</v>
      </c>
      <c r="E308" s="64"/>
      <c r="F308" s="16" t="str">
        <f>IFERROR(VLOOKUP(B308,'Master data'!$A$1:$D$397,3,FALSE),"")</f>
        <v/>
      </c>
      <c r="H308" s="65"/>
      <c r="I308" s="16"/>
      <c r="J308" s="16"/>
      <c r="K308" s="16" t="b">
        <v>0</v>
      </c>
      <c r="L308" s="16" t="b">
        <v>0</v>
      </c>
    </row>
    <row r="309">
      <c r="A309" s="9"/>
      <c r="B309" s="16"/>
      <c r="C309" s="7" t="str">
        <f>IFERROR(VLOOKUP(B309,'Master data'!$A$1:$D$397,2,FALSE),"")</f>
        <v/>
      </c>
      <c r="D309" s="70" t="str">
        <f>VLOOKUP(B309,Sheet3!$B$2:$E$312,3,)</f>
        <v>#N/A</v>
      </c>
      <c r="E309" s="64"/>
      <c r="F309" s="16" t="str">
        <f>IFERROR(VLOOKUP(B309,'Master data'!$A$1:$D$397,3,FALSE),"")</f>
        <v/>
      </c>
      <c r="H309" s="65"/>
      <c r="I309" s="16"/>
      <c r="J309" s="16"/>
      <c r="K309" s="16" t="b">
        <v>0</v>
      </c>
      <c r="L309" s="16" t="b">
        <v>0</v>
      </c>
    </row>
    <row r="310">
      <c r="A310" s="9"/>
      <c r="B310" s="16"/>
      <c r="C310" s="7" t="str">
        <f>IFERROR(VLOOKUP(B310,'Master data'!$A$1:$D$397,2,FALSE),"")</f>
        <v/>
      </c>
      <c r="D310" s="70" t="str">
        <f>VLOOKUP(B310,Sheet3!$B$2:$E$312,3,)</f>
        <v>#N/A</v>
      </c>
      <c r="E310" s="64"/>
      <c r="F310" s="16" t="str">
        <f>IFERROR(VLOOKUP(B310,'Master data'!$A$1:$D$397,3,FALSE),"")</f>
        <v/>
      </c>
      <c r="H310" s="65"/>
      <c r="I310" s="16"/>
      <c r="J310" s="16"/>
      <c r="K310" s="16" t="b">
        <v>0</v>
      </c>
      <c r="L310" s="16" t="b">
        <v>0</v>
      </c>
    </row>
    <row r="311">
      <c r="A311" s="9"/>
      <c r="B311" s="16"/>
      <c r="C311" s="7" t="str">
        <f>IFERROR(VLOOKUP(B311,'Master data'!$A$1:$D$397,2,FALSE),"")</f>
        <v/>
      </c>
      <c r="D311" s="70" t="str">
        <f>VLOOKUP(B311,Sheet3!$B$2:$E$312,3,)</f>
        <v>#N/A</v>
      </c>
      <c r="E311" s="64"/>
      <c r="F311" s="16" t="str">
        <f>IFERROR(VLOOKUP(B311,'Master data'!$A$1:$D$397,3,FALSE),"")</f>
        <v/>
      </c>
      <c r="H311" s="65"/>
      <c r="I311" s="16"/>
      <c r="J311" s="16"/>
      <c r="K311" s="16" t="b">
        <v>0</v>
      </c>
      <c r="L311" s="16" t="b">
        <v>0</v>
      </c>
    </row>
    <row r="312">
      <c r="A312" s="9"/>
      <c r="B312" s="16"/>
      <c r="C312" s="7" t="str">
        <f>IFERROR(VLOOKUP(B312,'Master data'!$A$1:$D$397,2,FALSE),"")</f>
        <v/>
      </c>
      <c r="D312" s="70" t="str">
        <f>VLOOKUP(B312,Sheet3!$B$2:$E$312,3,)</f>
        <v>#N/A</v>
      </c>
      <c r="E312" s="64"/>
      <c r="F312" s="16" t="str">
        <f>IFERROR(VLOOKUP(B312,'Master data'!$A$1:$D$397,3,FALSE),"")</f>
        <v/>
      </c>
      <c r="H312" s="65"/>
      <c r="I312" s="16"/>
      <c r="J312" s="16"/>
      <c r="K312" s="16" t="b">
        <v>0</v>
      </c>
      <c r="L312" s="16" t="b">
        <v>0</v>
      </c>
    </row>
    <row r="313">
      <c r="A313" s="9"/>
      <c r="B313" s="16"/>
      <c r="C313" s="7" t="str">
        <f>IFERROR(VLOOKUP(B313,'Master data'!$A$1:$D$397,2,FALSE),"")</f>
        <v/>
      </c>
      <c r="D313" s="70" t="str">
        <f>VLOOKUP(B313,Sheet3!$B$2:$E$312,3,)</f>
        <v>#N/A</v>
      </c>
      <c r="E313" s="64"/>
      <c r="F313" s="16" t="str">
        <f>IFERROR(VLOOKUP(B313,'Master data'!$A$1:$D$397,3,FALSE),"")</f>
        <v/>
      </c>
      <c r="H313" s="65"/>
      <c r="I313" s="16"/>
      <c r="J313" s="16"/>
      <c r="K313" s="16" t="b">
        <v>0</v>
      </c>
      <c r="L313" s="16" t="b">
        <v>0</v>
      </c>
    </row>
    <row r="314">
      <c r="A314" s="9"/>
      <c r="B314" s="16"/>
      <c r="C314" s="7" t="str">
        <f>IFERROR(VLOOKUP(B314,'Master data'!$A$1:$D$397,2,FALSE),"")</f>
        <v/>
      </c>
      <c r="D314" s="70" t="str">
        <f>VLOOKUP(B314,Sheet3!$B$2:$E$312,3,)</f>
        <v>#N/A</v>
      </c>
      <c r="E314" s="64"/>
      <c r="F314" s="16" t="str">
        <f>IFERROR(VLOOKUP(B314,'Master data'!$A$1:$D$397,3,FALSE),"")</f>
        <v/>
      </c>
      <c r="H314" s="65"/>
      <c r="I314" s="16"/>
      <c r="J314" s="16"/>
      <c r="K314" s="16" t="b">
        <v>0</v>
      </c>
      <c r="L314" s="16" t="b">
        <v>0</v>
      </c>
    </row>
    <row r="315">
      <c r="A315" s="9"/>
      <c r="B315" s="16"/>
      <c r="C315" s="7" t="str">
        <f>IFERROR(VLOOKUP(B315,'Master data'!$A$1:$D$397,2,FALSE),"")</f>
        <v/>
      </c>
      <c r="D315" s="70" t="str">
        <f>VLOOKUP(B315,Sheet3!$B$2:$E$312,3,)</f>
        <v>#N/A</v>
      </c>
      <c r="E315" s="64"/>
      <c r="F315" s="16" t="str">
        <f>IFERROR(VLOOKUP(B315,'Master data'!$A$1:$D$397,3,FALSE),"")</f>
        <v/>
      </c>
      <c r="H315" s="65"/>
      <c r="I315" s="16"/>
      <c r="J315" s="16"/>
      <c r="K315" s="16" t="b">
        <v>0</v>
      </c>
      <c r="L315" s="16" t="b">
        <v>0</v>
      </c>
    </row>
    <row r="316">
      <c r="A316" s="9"/>
      <c r="B316" s="16"/>
      <c r="C316" s="7" t="str">
        <f>IFERROR(VLOOKUP(B316,'Master data'!$A$1:$D$397,2,FALSE),"")</f>
        <v/>
      </c>
      <c r="D316" s="70" t="str">
        <f>VLOOKUP(B316,Sheet3!$B$2:$E$312,3,)</f>
        <v>#N/A</v>
      </c>
      <c r="E316" s="64"/>
      <c r="F316" s="16" t="str">
        <f>IFERROR(VLOOKUP(B316,'Master data'!$A$1:$D$397,3,FALSE),"")</f>
        <v/>
      </c>
      <c r="H316" s="65"/>
      <c r="I316" s="16"/>
      <c r="J316" s="16"/>
      <c r="K316" s="16" t="b">
        <v>0</v>
      </c>
      <c r="L316" s="16" t="b">
        <v>0</v>
      </c>
    </row>
    <row r="317">
      <c r="A317" s="9"/>
      <c r="B317" s="16"/>
      <c r="C317" s="7" t="str">
        <f>IFERROR(VLOOKUP(B317,'Master data'!$A$1:$D$397,2,FALSE),"")</f>
        <v/>
      </c>
      <c r="D317" s="70" t="str">
        <f>VLOOKUP(B317,Sheet3!$B$2:$E$312,3,)</f>
        <v>#N/A</v>
      </c>
      <c r="E317" s="64"/>
      <c r="F317" s="16" t="str">
        <f>IFERROR(VLOOKUP(B317,'Master data'!$A$1:$D$397,3,FALSE),"")</f>
        <v/>
      </c>
      <c r="H317" s="65"/>
      <c r="I317" s="16"/>
      <c r="J317" s="16"/>
      <c r="K317" s="16" t="b">
        <v>0</v>
      </c>
      <c r="L317" s="16" t="b">
        <v>0</v>
      </c>
    </row>
    <row r="318">
      <c r="A318" s="9"/>
      <c r="B318" s="16"/>
      <c r="C318" s="7" t="str">
        <f>IFERROR(VLOOKUP(B318,'Master data'!$A$1:$D$397,2,FALSE),"")</f>
        <v/>
      </c>
      <c r="D318" s="70" t="str">
        <f>VLOOKUP(B318,Sheet3!$B$2:$E$312,3,)</f>
        <v>#N/A</v>
      </c>
      <c r="E318" s="64"/>
      <c r="F318" s="16" t="str">
        <f>IFERROR(VLOOKUP(B318,'Master data'!$A$1:$D$397,3,FALSE),"")</f>
        <v/>
      </c>
      <c r="H318" s="65"/>
      <c r="I318" s="16"/>
      <c r="J318" s="16"/>
      <c r="K318" s="16" t="b">
        <v>0</v>
      </c>
      <c r="L318" s="16" t="b">
        <v>0</v>
      </c>
    </row>
    <row r="319">
      <c r="A319" s="9"/>
      <c r="B319" s="16"/>
      <c r="C319" s="7" t="str">
        <f>IFERROR(VLOOKUP(B319,'Master data'!$A$1:$D$397,2,FALSE),"")</f>
        <v/>
      </c>
      <c r="D319" s="70" t="str">
        <f>VLOOKUP(B319,Sheet3!$B$2:$E$312,3,)</f>
        <v>#N/A</v>
      </c>
      <c r="E319" s="64"/>
      <c r="F319" s="16" t="str">
        <f>IFERROR(VLOOKUP(B319,'Master data'!$A$1:$D$397,3,FALSE),"")</f>
        <v/>
      </c>
      <c r="H319" s="65"/>
      <c r="I319" s="16"/>
      <c r="J319" s="16"/>
      <c r="K319" s="16" t="b">
        <v>0</v>
      </c>
      <c r="L319" s="16" t="b">
        <v>0</v>
      </c>
    </row>
    <row r="320">
      <c r="A320" s="9"/>
      <c r="B320" s="16"/>
      <c r="C320" s="7" t="str">
        <f>IFERROR(VLOOKUP(B320,'Master data'!$A$1:$D$397,2,FALSE),"")</f>
        <v/>
      </c>
      <c r="D320" s="70" t="str">
        <f>VLOOKUP(B320,Sheet3!$B$2:$E$312,3,)</f>
        <v>#N/A</v>
      </c>
      <c r="E320" s="64"/>
      <c r="F320" s="16" t="str">
        <f>IFERROR(VLOOKUP(B320,'Master data'!$A$1:$D$397,3,FALSE),"")</f>
        <v/>
      </c>
      <c r="H320" s="65"/>
      <c r="I320" s="16"/>
      <c r="J320" s="16"/>
      <c r="K320" s="16" t="b">
        <v>0</v>
      </c>
      <c r="L320" s="16" t="b">
        <v>0</v>
      </c>
    </row>
    <row r="321">
      <c r="A321" s="9"/>
      <c r="B321" s="16"/>
      <c r="C321" s="7" t="str">
        <f>IFERROR(VLOOKUP(B321,'Master data'!$A$1:$D$397,2,FALSE),"")</f>
        <v/>
      </c>
      <c r="D321" s="70" t="str">
        <f>VLOOKUP(B321,Sheet3!$B$2:$E$312,3,)</f>
        <v>#N/A</v>
      </c>
      <c r="E321" s="64"/>
      <c r="F321" s="16" t="str">
        <f>IFERROR(VLOOKUP(B321,'Master data'!$A$1:$D$397,3,FALSE),"")</f>
        <v/>
      </c>
      <c r="H321" s="65"/>
      <c r="I321" s="16"/>
      <c r="J321" s="16"/>
      <c r="K321" s="16" t="b">
        <v>0</v>
      </c>
      <c r="L321" s="16" t="b">
        <v>0</v>
      </c>
    </row>
    <row r="322">
      <c r="A322" s="9"/>
      <c r="B322" s="16"/>
      <c r="C322" s="7" t="str">
        <f>IFERROR(VLOOKUP(B322,'Master data'!$A$1:$D$397,2,FALSE),"")</f>
        <v/>
      </c>
      <c r="D322" s="70" t="str">
        <f>VLOOKUP(B322,Sheet3!$B$2:$E$312,3,)</f>
        <v>#N/A</v>
      </c>
      <c r="E322" s="64"/>
      <c r="F322" s="16" t="str">
        <f>IFERROR(VLOOKUP(B322,'Master data'!$A$1:$D$397,3,FALSE),"")</f>
        <v/>
      </c>
      <c r="H322" s="65"/>
      <c r="I322" s="16"/>
      <c r="J322" s="16"/>
      <c r="K322" s="16" t="b">
        <v>0</v>
      </c>
      <c r="L322" s="16" t="b">
        <v>0</v>
      </c>
    </row>
    <row r="323">
      <c r="A323" s="9"/>
      <c r="B323" s="16"/>
      <c r="C323" s="7" t="str">
        <f>IFERROR(VLOOKUP(B323,'Master data'!$A$1:$D$397,2,FALSE),"")</f>
        <v/>
      </c>
      <c r="D323" s="70" t="str">
        <f>VLOOKUP(B323,Sheet3!$B$2:$E$312,3,)</f>
        <v>#N/A</v>
      </c>
      <c r="E323" s="64"/>
      <c r="F323" s="16" t="str">
        <f>IFERROR(VLOOKUP(B323,'Master data'!$A$1:$D$397,3,FALSE),"")</f>
        <v/>
      </c>
      <c r="H323" s="65"/>
      <c r="I323" s="16"/>
      <c r="J323" s="16"/>
      <c r="K323" s="16" t="b">
        <v>0</v>
      </c>
      <c r="L323" s="16" t="b">
        <v>0</v>
      </c>
    </row>
    <row r="324">
      <c r="A324" s="9"/>
      <c r="B324" s="16"/>
      <c r="C324" s="7" t="str">
        <f>IFERROR(VLOOKUP(B324,'Master data'!$A$1:$D$397,2,FALSE),"")</f>
        <v/>
      </c>
      <c r="D324" s="70" t="str">
        <f>VLOOKUP(B324,Sheet3!$B$2:$E$312,3,)</f>
        <v>#N/A</v>
      </c>
      <c r="E324" s="64"/>
      <c r="F324" s="16" t="str">
        <f>IFERROR(VLOOKUP(B324,'Master data'!$A$1:$D$397,3,FALSE),"")</f>
        <v/>
      </c>
      <c r="H324" s="65"/>
      <c r="I324" s="16"/>
      <c r="J324" s="16"/>
      <c r="K324" s="16" t="b">
        <v>0</v>
      </c>
      <c r="L324" s="16" t="b">
        <v>0</v>
      </c>
    </row>
    <row r="325">
      <c r="A325" s="9"/>
      <c r="B325" s="16"/>
      <c r="C325" s="7" t="str">
        <f>IFERROR(VLOOKUP(B325,'Master data'!$A$1:$D$397,2,FALSE),"")</f>
        <v/>
      </c>
      <c r="D325" s="70" t="str">
        <f>VLOOKUP(B325,Sheet3!$B$2:$E$312,3,)</f>
        <v>#N/A</v>
      </c>
      <c r="E325" s="64"/>
      <c r="F325" s="16" t="str">
        <f>IFERROR(VLOOKUP(B325,'Master data'!$A$1:$D$397,3,FALSE),"")</f>
        <v/>
      </c>
      <c r="H325" s="65"/>
      <c r="I325" s="16"/>
      <c r="J325" s="16"/>
      <c r="K325" s="16" t="b">
        <v>0</v>
      </c>
      <c r="L325" s="16" t="b">
        <v>0</v>
      </c>
    </row>
    <row r="326">
      <c r="A326" s="9"/>
      <c r="B326" s="16"/>
      <c r="C326" s="7" t="str">
        <f>IFERROR(VLOOKUP(B326,'Master data'!$A$1:$D$397,2,FALSE),"")</f>
        <v/>
      </c>
      <c r="D326" s="70" t="str">
        <f>VLOOKUP(B326,Sheet3!$B$2:$E$312,3,)</f>
        <v>#N/A</v>
      </c>
      <c r="E326" s="64"/>
      <c r="F326" s="16" t="str">
        <f>IFERROR(VLOOKUP(B326,'Master data'!$A$1:$D$397,3,FALSE),"")</f>
        <v/>
      </c>
      <c r="H326" s="65"/>
      <c r="I326" s="16"/>
      <c r="J326" s="16"/>
      <c r="K326" s="16" t="b">
        <v>0</v>
      </c>
      <c r="L326" s="16" t="b">
        <v>0</v>
      </c>
    </row>
    <row r="327">
      <c r="A327" s="9"/>
      <c r="B327" s="16"/>
      <c r="C327" s="7" t="str">
        <f>IFERROR(VLOOKUP(B327,'Master data'!$A$1:$D$397,2,FALSE),"")</f>
        <v/>
      </c>
      <c r="D327" s="70" t="str">
        <f>VLOOKUP(B327,Sheet3!$B$2:$E$312,3,)</f>
        <v>#N/A</v>
      </c>
      <c r="E327" s="64"/>
      <c r="F327" s="16" t="str">
        <f>IFERROR(VLOOKUP(B327,'Master data'!$A$1:$D$397,3,FALSE),"")</f>
        <v/>
      </c>
      <c r="H327" s="65"/>
      <c r="I327" s="16"/>
      <c r="J327" s="16"/>
      <c r="K327" s="16" t="b">
        <v>0</v>
      </c>
      <c r="L327" s="16" t="b">
        <v>0</v>
      </c>
    </row>
    <row r="328">
      <c r="A328" s="9"/>
      <c r="B328" s="16"/>
      <c r="C328" s="7" t="str">
        <f>IFERROR(VLOOKUP(B328,'Master data'!$A$1:$D$397,2,FALSE),"")</f>
        <v/>
      </c>
      <c r="D328" s="70" t="str">
        <f>VLOOKUP(B328,Sheet3!$B$2:$E$312,3,)</f>
        <v>#N/A</v>
      </c>
      <c r="E328" s="64"/>
      <c r="F328" s="16" t="str">
        <f>IFERROR(VLOOKUP(B328,'Master data'!$A$1:$D$397,3,FALSE),"")</f>
        <v/>
      </c>
      <c r="H328" s="65"/>
      <c r="I328" s="16"/>
      <c r="J328" s="16"/>
      <c r="K328" s="16" t="b">
        <v>0</v>
      </c>
      <c r="L328" s="16" t="b">
        <v>0</v>
      </c>
    </row>
    <row r="329">
      <c r="A329" s="9"/>
      <c r="B329" s="16"/>
      <c r="C329" s="7" t="str">
        <f>IFERROR(VLOOKUP(B329,'Master data'!$A$1:$D$397,2,FALSE),"")</f>
        <v/>
      </c>
      <c r="D329" s="70" t="str">
        <f>VLOOKUP(B329,Sheet3!$B$2:$E$312,3,)</f>
        <v>#N/A</v>
      </c>
      <c r="E329" s="64"/>
      <c r="F329" s="16" t="str">
        <f>IFERROR(VLOOKUP(B329,'Master data'!$A$1:$D$397,3,FALSE),"")</f>
        <v/>
      </c>
      <c r="H329" s="65"/>
      <c r="I329" s="16"/>
      <c r="J329" s="16"/>
      <c r="K329" s="16" t="b">
        <v>0</v>
      </c>
      <c r="L329" s="16" t="b">
        <v>0</v>
      </c>
    </row>
    <row r="330">
      <c r="A330" s="9"/>
      <c r="B330" s="16"/>
      <c r="C330" s="7" t="str">
        <f>IFERROR(VLOOKUP(B330,'Master data'!$A$1:$D$397,2,FALSE),"")</f>
        <v/>
      </c>
      <c r="D330" s="70" t="str">
        <f>VLOOKUP(B330,Sheet3!$B$2:$E$312,3,)</f>
        <v>#N/A</v>
      </c>
      <c r="E330" s="64"/>
      <c r="F330" s="16" t="str">
        <f>IFERROR(VLOOKUP(B330,'Master data'!$A$1:$D$397,3,FALSE),"")</f>
        <v/>
      </c>
      <c r="H330" s="65"/>
      <c r="I330" s="16"/>
      <c r="J330" s="16"/>
      <c r="K330" s="16" t="b">
        <v>0</v>
      </c>
      <c r="L330" s="16" t="b">
        <v>0</v>
      </c>
    </row>
    <row r="331">
      <c r="A331" s="9"/>
      <c r="B331" s="16"/>
      <c r="C331" s="7" t="str">
        <f>IFERROR(VLOOKUP(B331,'Master data'!$A$1:$D$397,2,FALSE),"")</f>
        <v/>
      </c>
      <c r="D331" s="70" t="str">
        <f>VLOOKUP(B331,Sheet3!$B$2:$E$312,3,)</f>
        <v>#N/A</v>
      </c>
      <c r="E331" s="64"/>
      <c r="F331" s="16" t="str">
        <f>IFERROR(VLOOKUP(B331,'Master data'!$A$1:$D$397,3,FALSE),"")</f>
        <v/>
      </c>
      <c r="H331" s="65"/>
      <c r="I331" s="16"/>
      <c r="J331" s="16"/>
      <c r="K331" s="16" t="b">
        <v>0</v>
      </c>
      <c r="L331" s="16" t="b">
        <v>0</v>
      </c>
    </row>
    <row r="332">
      <c r="A332" s="9"/>
      <c r="B332" s="16"/>
      <c r="C332" s="7" t="str">
        <f>IFERROR(VLOOKUP(B332,'Master data'!$A$1:$D$397,2,FALSE),"")</f>
        <v/>
      </c>
      <c r="D332" s="70" t="str">
        <f>VLOOKUP(B332,Sheet3!$B$2:$E$312,3,)</f>
        <v>#N/A</v>
      </c>
      <c r="E332" s="64"/>
      <c r="F332" s="16" t="str">
        <f>IFERROR(VLOOKUP(B332,'Master data'!$A$1:$D$397,3,FALSE),"")</f>
        <v/>
      </c>
      <c r="H332" s="65"/>
      <c r="I332" s="16"/>
      <c r="J332" s="16"/>
      <c r="K332" s="16" t="b">
        <v>0</v>
      </c>
      <c r="L332" s="16" t="b">
        <v>0</v>
      </c>
    </row>
    <row r="333">
      <c r="A333" s="9"/>
      <c r="B333" s="16"/>
      <c r="C333" s="7" t="str">
        <f>IFERROR(VLOOKUP(B333,'Master data'!$A$1:$D$397,2,FALSE),"")</f>
        <v/>
      </c>
      <c r="D333" s="70" t="str">
        <f>VLOOKUP(B333,Sheet3!$B$2:$E$312,3,)</f>
        <v>#N/A</v>
      </c>
      <c r="E333" s="64"/>
      <c r="F333" s="16" t="str">
        <f>IFERROR(VLOOKUP(B333,'Master data'!$A$1:$D$397,3,FALSE),"")</f>
        <v/>
      </c>
      <c r="H333" s="65"/>
      <c r="I333" s="16"/>
      <c r="J333" s="16"/>
      <c r="K333" s="16" t="b">
        <v>0</v>
      </c>
      <c r="L333" s="16" t="b">
        <v>0</v>
      </c>
    </row>
    <row r="334">
      <c r="A334" s="9"/>
      <c r="B334" s="16"/>
      <c r="C334" s="7" t="str">
        <f>IFERROR(VLOOKUP(B334,'Master data'!$A$1:$D$397,2,FALSE),"")</f>
        <v/>
      </c>
      <c r="D334" s="70" t="str">
        <f>VLOOKUP(B334,Sheet3!$B$2:$E$312,3,)</f>
        <v>#N/A</v>
      </c>
      <c r="E334" s="64"/>
      <c r="F334" s="16" t="str">
        <f>IFERROR(VLOOKUP(B334,'Master data'!$A$1:$D$397,3,FALSE),"")</f>
        <v/>
      </c>
      <c r="H334" s="65"/>
      <c r="I334" s="16"/>
      <c r="J334" s="16"/>
      <c r="K334" s="16" t="b">
        <v>0</v>
      </c>
      <c r="L334" s="16" t="b">
        <v>0</v>
      </c>
    </row>
    <row r="335">
      <c r="A335" s="9"/>
      <c r="B335" s="16"/>
      <c r="C335" s="7" t="str">
        <f>IFERROR(VLOOKUP(B335,'Master data'!$A$1:$D$397,2,FALSE),"")</f>
        <v/>
      </c>
      <c r="D335" s="70" t="str">
        <f>VLOOKUP(B335,Sheet3!$B$2:$E$312,3,)</f>
        <v>#N/A</v>
      </c>
      <c r="E335" s="64"/>
      <c r="F335" s="16" t="str">
        <f>IFERROR(VLOOKUP(B335,'Master data'!$A$1:$D$397,3,FALSE),"")</f>
        <v/>
      </c>
      <c r="H335" s="65"/>
      <c r="I335" s="16"/>
      <c r="J335" s="16"/>
      <c r="K335" s="16" t="b">
        <v>0</v>
      </c>
      <c r="L335" s="16" t="b">
        <v>0</v>
      </c>
    </row>
    <row r="336">
      <c r="A336" s="9"/>
      <c r="B336" s="16"/>
      <c r="C336" s="7" t="str">
        <f>IFERROR(VLOOKUP(B336,'Master data'!$A$1:$D$397,2,FALSE),"")</f>
        <v/>
      </c>
      <c r="D336" s="70" t="str">
        <f>VLOOKUP(B336,Sheet3!$B$2:$E$312,3,)</f>
        <v>#N/A</v>
      </c>
      <c r="E336" s="64"/>
      <c r="F336" s="16" t="str">
        <f>IFERROR(VLOOKUP(B336,'Master data'!$A$1:$D$397,3,FALSE),"")</f>
        <v/>
      </c>
      <c r="H336" s="65"/>
      <c r="I336" s="16"/>
      <c r="J336" s="16"/>
      <c r="K336" s="16" t="b">
        <v>0</v>
      </c>
      <c r="L336" s="16" t="b">
        <v>0</v>
      </c>
    </row>
    <row r="337">
      <c r="A337" s="9"/>
      <c r="B337" s="16"/>
      <c r="C337" s="7" t="str">
        <f>IFERROR(VLOOKUP(B337,'Master data'!$A$1:$D$397,2,FALSE),"")</f>
        <v/>
      </c>
      <c r="D337" s="70" t="str">
        <f>VLOOKUP(B337,Sheet3!$B$2:$E$312,3,)</f>
        <v>#N/A</v>
      </c>
      <c r="E337" s="64"/>
      <c r="F337" s="16" t="str">
        <f>IFERROR(VLOOKUP(B337,'Master data'!$A$1:$D$397,3,FALSE),"")</f>
        <v/>
      </c>
      <c r="H337" s="65"/>
      <c r="I337" s="16"/>
      <c r="J337" s="16"/>
      <c r="K337" s="16" t="b">
        <v>0</v>
      </c>
      <c r="L337" s="16" t="b">
        <v>0</v>
      </c>
    </row>
    <row r="338">
      <c r="A338" s="9"/>
      <c r="B338" s="16"/>
      <c r="C338" s="7" t="str">
        <f>IFERROR(VLOOKUP(B338,'Master data'!$A$1:$D$397,2,FALSE),"")</f>
        <v/>
      </c>
      <c r="D338" s="70" t="str">
        <f>VLOOKUP(B338,Sheet3!$B$2:$E$312,3,)</f>
        <v>#N/A</v>
      </c>
      <c r="E338" s="64"/>
      <c r="F338" s="16" t="str">
        <f>IFERROR(VLOOKUP(B338,'Master data'!$A$1:$D$397,3,FALSE),"")</f>
        <v/>
      </c>
      <c r="H338" s="65"/>
      <c r="I338" s="16"/>
      <c r="J338" s="16"/>
      <c r="K338" s="16" t="b">
        <v>0</v>
      </c>
      <c r="L338" s="16" t="b">
        <v>0</v>
      </c>
    </row>
    <row r="339">
      <c r="A339" s="9"/>
      <c r="B339" s="16"/>
      <c r="C339" s="7" t="str">
        <f>IFERROR(VLOOKUP(B339,'Master data'!$A$1:$D$397,2,FALSE),"")</f>
        <v/>
      </c>
      <c r="D339" s="70" t="str">
        <f>VLOOKUP(B339,Sheet3!$B$2:$E$312,3,)</f>
        <v>#N/A</v>
      </c>
      <c r="E339" s="64"/>
      <c r="F339" s="16" t="str">
        <f>IFERROR(VLOOKUP(B339,'Master data'!$A$1:$D$397,3,FALSE),"")</f>
        <v/>
      </c>
      <c r="H339" s="65"/>
      <c r="I339" s="16"/>
      <c r="J339" s="16"/>
      <c r="K339" s="16" t="b">
        <v>0</v>
      </c>
      <c r="L339" s="16" t="b">
        <v>0</v>
      </c>
    </row>
    <row r="340">
      <c r="A340" s="9"/>
      <c r="B340" s="16"/>
      <c r="C340" s="7" t="str">
        <f>IFERROR(VLOOKUP(B340,'Master data'!$A$1:$D$397,2,FALSE),"")</f>
        <v/>
      </c>
      <c r="D340" s="70" t="str">
        <f>VLOOKUP(B340,Sheet3!$B$2:$E$312,3,)</f>
        <v>#N/A</v>
      </c>
      <c r="E340" s="64"/>
      <c r="F340" s="16" t="str">
        <f>IFERROR(VLOOKUP(B340,'Master data'!$A$1:$D$397,3,FALSE),"")</f>
        <v/>
      </c>
      <c r="H340" s="65"/>
      <c r="I340" s="16"/>
      <c r="J340" s="16"/>
      <c r="K340" s="16" t="b">
        <v>0</v>
      </c>
      <c r="L340" s="16" t="b">
        <v>0</v>
      </c>
    </row>
    <row r="341">
      <c r="A341" s="9"/>
      <c r="B341" s="16"/>
      <c r="C341" s="7" t="str">
        <f>IFERROR(VLOOKUP(B341,'Master data'!$A$1:$D$397,2,FALSE),"")</f>
        <v/>
      </c>
      <c r="D341" s="70" t="str">
        <f>VLOOKUP(B341,Sheet3!$B$2:$E$312,3,)</f>
        <v>#N/A</v>
      </c>
      <c r="E341" s="64"/>
      <c r="F341" s="16" t="str">
        <f>IFERROR(VLOOKUP(B341,'Master data'!$A$1:$D$397,3,FALSE),"")</f>
        <v/>
      </c>
      <c r="H341" s="65"/>
      <c r="I341" s="16"/>
      <c r="J341" s="16"/>
      <c r="K341" s="16" t="b">
        <v>0</v>
      </c>
      <c r="L341" s="16" t="b">
        <v>0</v>
      </c>
    </row>
    <row r="342">
      <c r="A342" s="9"/>
      <c r="B342" s="16"/>
      <c r="C342" s="7" t="str">
        <f>IFERROR(VLOOKUP(B342,'Master data'!$A$1:$D$397,2,FALSE),"")</f>
        <v/>
      </c>
      <c r="D342" s="70" t="str">
        <f>VLOOKUP(B342,Sheet3!$B$2:$E$312,3,)</f>
        <v>#N/A</v>
      </c>
      <c r="E342" s="64"/>
      <c r="F342" s="16" t="str">
        <f>IFERROR(VLOOKUP(B342,'Master data'!$A$1:$D$397,3,FALSE),"")</f>
        <v/>
      </c>
      <c r="H342" s="65"/>
      <c r="I342" s="16"/>
      <c r="J342" s="16"/>
      <c r="K342" s="16" t="b">
        <v>0</v>
      </c>
      <c r="L342" s="16" t="b">
        <v>0</v>
      </c>
    </row>
    <row r="343">
      <c r="A343" s="9"/>
      <c r="B343" s="16"/>
      <c r="C343" s="7" t="str">
        <f>IFERROR(VLOOKUP(B343,'Master data'!$A$1:$D$397,2,FALSE),"")</f>
        <v/>
      </c>
      <c r="D343" s="70" t="str">
        <f>VLOOKUP(B343,Sheet3!$B$2:$E$312,3,)</f>
        <v>#N/A</v>
      </c>
      <c r="E343" s="64"/>
      <c r="F343" s="16" t="str">
        <f>IFERROR(VLOOKUP(B343,'Master data'!$A$1:$D$397,3,FALSE),"")</f>
        <v/>
      </c>
      <c r="H343" s="65"/>
      <c r="I343" s="16"/>
      <c r="J343" s="16"/>
      <c r="K343" s="16" t="b">
        <v>0</v>
      </c>
      <c r="L343" s="16" t="b">
        <v>0</v>
      </c>
    </row>
    <row r="344">
      <c r="A344" s="9"/>
      <c r="B344" s="16"/>
      <c r="C344" s="7" t="str">
        <f>IFERROR(VLOOKUP(B344,'Master data'!$A$1:$D$397,2,FALSE),"")</f>
        <v/>
      </c>
      <c r="D344" s="70" t="str">
        <f>VLOOKUP(B344,Sheet3!$B$2:$E$312,3,)</f>
        <v>#N/A</v>
      </c>
      <c r="E344" s="64"/>
      <c r="F344" s="16" t="str">
        <f>IFERROR(VLOOKUP(B344,'Master data'!$A$1:$D$397,3,FALSE),"")</f>
        <v/>
      </c>
      <c r="H344" s="65"/>
      <c r="I344" s="16"/>
      <c r="J344" s="16"/>
      <c r="K344" s="16" t="b">
        <v>0</v>
      </c>
      <c r="L344" s="16" t="b">
        <v>0</v>
      </c>
    </row>
    <row r="345">
      <c r="A345" s="9"/>
      <c r="B345" s="16"/>
      <c r="C345" s="7" t="str">
        <f>IFERROR(VLOOKUP(B345,'Master data'!$A$1:$D$397,2,FALSE),"")</f>
        <v/>
      </c>
      <c r="D345" s="70" t="str">
        <f>VLOOKUP(B345,Sheet3!$B$2:$E$312,3,)</f>
        <v>#N/A</v>
      </c>
      <c r="E345" s="64"/>
      <c r="F345" s="16" t="str">
        <f>IFERROR(VLOOKUP(B345,'Master data'!$A$1:$D$397,3,FALSE),"")</f>
        <v/>
      </c>
      <c r="H345" s="65"/>
      <c r="I345" s="16"/>
      <c r="J345" s="16"/>
      <c r="K345" s="16" t="b">
        <v>0</v>
      </c>
      <c r="L345" s="16" t="b">
        <v>0</v>
      </c>
    </row>
    <row r="346">
      <c r="A346" s="9"/>
      <c r="B346" s="16"/>
      <c r="C346" s="7" t="str">
        <f>IFERROR(VLOOKUP(B346,'Master data'!$A$1:$D$397,2,FALSE),"")</f>
        <v/>
      </c>
      <c r="D346" s="70" t="str">
        <f>VLOOKUP(B346,Sheet3!$B$2:$E$312,3,)</f>
        <v>#N/A</v>
      </c>
      <c r="E346" s="64"/>
      <c r="F346" s="16" t="str">
        <f>IFERROR(VLOOKUP(B346,'Master data'!$A$1:$D$397,3,FALSE),"")</f>
        <v/>
      </c>
      <c r="H346" s="65"/>
      <c r="I346" s="16"/>
      <c r="J346" s="16"/>
      <c r="K346" s="16" t="b">
        <v>0</v>
      </c>
      <c r="L346" s="16" t="b">
        <v>0</v>
      </c>
    </row>
    <row r="347">
      <c r="A347" s="9"/>
      <c r="B347" s="16"/>
      <c r="C347" s="7" t="str">
        <f>IFERROR(VLOOKUP(B347,'Master data'!$A$1:$D$397,2,FALSE),"")</f>
        <v/>
      </c>
      <c r="D347" s="70" t="str">
        <f>VLOOKUP(B347,Sheet3!$B$2:$E$312,3,)</f>
        <v>#N/A</v>
      </c>
      <c r="E347" s="64"/>
      <c r="F347" s="16" t="str">
        <f>IFERROR(VLOOKUP(B347,'Master data'!$A$1:$D$397,3,FALSE),"")</f>
        <v/>
      </c>
      <c r="H347" s="65"/>
      <c r="I347" s="16"/>
      <c r="J347" s="16"/>
      <c r="K347" s="16" t="b">
        <v>0</v>
      </c>
      <c r="L347" s="16" t="b">
        <v>0</v>
      </c>
    </row>
    <row r="348">
      <c r="A348" s="9"/>
      <c r="B348" s="16"/>
      <c r="C348" s="7" t="str">
        <f>IFERROR(VLOOKUP(B348,'Master data'!$A$1:$D$397,2,FALSE),"")</f>
        <v/>
      </c>
      <c r="D348" s="70" t="str">
        <f>VLOOKUP(B348,Sheet3!$B$2:$E$312,3,)</f>
        <v>#N/A</v>
      </c>
      <c r="E348" s="64"/>
      <c r="F348" s="16" t="str">
        <f>IFERROR(VLOOKUP(B348,'Master data'!$A$1:$D$397,3,FALSE),"")</f>
        <v/>
      </c>
      <c r="H348" s="65"/>
      <c r="I348" s="16"/>
      <c r="J348" s="16"/>
      <c r="K348" s="16" t="b">
        <v>0</v>
      </c>
      <c r="L348" s="16" t="b">
        <v>0</v>
      </c>
    </row>
    <row r="349">
      <c r="A349" s="9"/>
      <c r="B349" s="16"/>
      <c r="C349" s="7" t="str">
        <f>IFERROR(VLOOKUP(B349,'Master data'!$A$1:$D$397,2,FALSE),"")</f>
        <v/>
      </c>
      <c r="D349" s="70" t="str">
        <f>VLOOKUP(B349,Sheet3!$B$2:$E$312,3,)</f>
        <v>#N/A</v>
      </c>
      <c r="E349" s="64"/>
      <c r="F349" s="16" t="str">
        <f>IFERROR(VLOOKUP(B349,'Master data'!$A$1:$D$397,3,FALSE),"")</f>
        <v/>
      </c>
      <c r="H349" s="65"/>
      <c r="I349" s="16"/>
      <c r="J349" s="16"/>
      <c r="K349" s="16" t="b">
        <v>0</v>
      </c>
      <c r="L349" s="16" t="b">
        <v>0</v>
      </c>
    </row>
    <row r="350">
      <c r="A350" s="9"/>
      <c r="B350" s="16"/>
      <c r="C350" s="7" t="str">
        <f>IFERROR(VLOOKUP(B350,'Master data'!$A$1:$D$397,2,FALSE),"")</f>
        <v/>
      </c>
      <c r="D350" s="70" t="str">
        <f>VLOOKUP(B350,Sheet3!$B$2:$E$312,3,)</f>
        <v>#N/A</v>
      </c>
      <c r="E350" s="64"/>
      <c r="F350" s="16" t="str">
        <f>IFERROR(VLOOKUP(B350,'Master data'!$A$1:$D$397,3,FALSE),"")</f>
        <v/>
      </c>
      <c r="H350" s="65"/>
      <c r="I350" s="16"/>
      <c r="J350" s="16"/>
      <c r="K350" s="16" t="b">
        <v>0</v>
      </c>
      <c r="L350" s="16" t="b">
        <v>0</v>
      </c>
    </row>
    <row r="351">
      <c r="A351" s="9"/>
      <c r="B351" s="16"/>
      <c r="C351" s="7" t="str">
        <f>IFERROR(VLOOKUP(B351,'Master data'!$A$1:$D$397,2,FALSE),"")</f>
        <v/>
      </c>
      <c r="D351" s="70" t="str">
        <f>VLOOKUP(B351,Sheet3!$B$2:$E$312,3,)</f>
        <v>#N/A</v>
      </c>
      <c r="E351" s="64"/>
      <c r="F351" s="16" t="str">
        <f>IFERROR(VLOOKUP(B351,'Master data'!$A$1:$D$397,3,FALSE),"")</f>
        <v/>
      </c>
      <c r="H351" s="65"/>
      <c r="I351" s="16"/>
      <c r="J351" s="16"/>
      <c r="K351" s="16" t="b">
        <v>0</v>
      </c>
      <c r="L351" s="16" t="b">
        <v>0</v>
      </c>
    </row>
    <row r="352">
      <c r="A352" s="9"/>
      <c r="B352" s="16"/>
      <c r="C352" s="7" t="str">
        <f>IFERROR(VLOOKUP(B352,'Master data'!$A$1:$D$397,2,FALSE),"")</f>
        <v/>
      </c>
      <c r="D352" s="70" t="str">
        <f>VLOOKUP(B352,Sheet3!$B$2:$E$312,3,)</f>
        <v>#N/A</v>
      </c>
      <c r="E352" s="64"/>
      <c r="F352" s="16" t="str">
        <f>IFERROR(VLOOKUP(B352,'Master data'!$A$1:$D$397,3,FALSE),"")</f>
        <v/>
      </c>
      <c r="H352" s="65"/>
      <c r="I352" s="16"/>
      <c r="J352" s="16"/>
      <c r="K352" s="16" t="b">
        <v>0</v>
      </c>
      <c r="L352" s="16" t="b">
        <v>0</v>
      </c>
    </row>
    <row r="353">
      <c r="A353" s="9"/>
      <c r="B353" s="16"/>
      <c r="C353" s="7" t="str">
        <f>IFERROR(VLOOKUP(B353,'Master data'!$A$1:$D$397,2,FALSE),"")</f>
        <v/>
      </c>
      <c r="D353" s="70" t="str">
        <f>VLOOKUP(B353,Sheet3!$B$2:$E$312,3,)</f>
        <v>#N/A</v>
      </c>
      <c r="E353" s="64"/>
      <c r="F353" s="16" t="str">
        <f>IFERROR(VLOOKUP(B353,'Master data'!$A$1:$D$397,3,FALSE),"")</f>
        <v/>
      </c>
      <c r="H353" s="65"/>
      <c r="I353" s="16"/>
      <c r="J353" s="16"/>
      <c r="K353" s="16" t="b">
        <v>0</v>
      </c>
      <c r="L353" s="16" t="b">
        <v>0</v>
      </c>
    </row>
    <row r="354">
      <c r="A354" s="9"/>
      <c r="B354" s="16"/>
      <c r="C354" s="7" t="str">
        <f>IFERROR(VLOOKUP(B354,'Master data'!$A$1:$D$397,2,FALSE),"")</f>
        <v/>
      </c>
      <c r="D354" s="70" t="str">
        <f>VLOOKUP(B354,Sheet3!$B$2:$E$312,3,)</f>
        <v>#N/A</v>
      </c>
      <c r="E354" s="64"/>
      <c r="F354" s="16" t="str">
        <f>IFERROR(VLOOKUP(B354,'Master data'!$A$1:$D$397,3,FALSE),"")</f>
        <v/>
      </c>
      <c r="H354" s="65"/>
      <c r="I354" s="16"/>
      <c r="J354" s="16"/>
      <c r="K354" s="16" t="b">
        <v>0</v>
      </c>
      <c r="L354" s="16" t="b">
        <v>0</v>
      </c>
    </row>
    <row r="355">
      <c r="A355" s="9"/>
      <c r="B355" s="16"/>
      <c r="C355" s="7" t="str">
        <f>IFERROR(VLOOKUP(B355,'Master data'!$A$1:$D$397,2,FALSE),"")</f>
        <v/>
      </c>
      <c r="D355" s="70" t="str">
        <f>VLOOKUP(B355,Sheet3!$B$2:$E$312,3,)</f>
        <v>#N/A</v>
      </c>
      <c r="E355" s="64"/>
      <c r="F355" s="16" t="str">
        <f>IFERROR(VLOOKUP(B355,'Master data'!$A$1:$D$397,3,FALSE),"")</f>
        <v/>
      </c>
      <c r="H355" s="65"/>
      <c r="I355" s="16"/>
      <c r="J355" s="16"/>
      <c r="K355" s="16" t="b">
        <v>0</v>
      </c>
      <c r="L355" s="16" t="b">
        <v>0</v>
      </c>
    </row>
    <row r="356">
      <c r="A356" s="9"/>
      <c r="B356" s="16"/>
      <c r="C356" s="7" t="str">
        <f>IFERROR(VLOOKUP(B356,'Master data'!$A$1:$D$397,2,FALSE),"")</f>
        <v/>
      </c>
      <c r="D356" s="70" t="str">
        <f>VLOOKUP(B356,Sheet3!$B$2:$E$312,3,)</f>
        <v>#N/A</v>
      </c>
      <c r="E356" s="64"/>
      <c r="F356" s="16" t="str">
        <f>IFERROR(VLOOKUP(B356,'Master data'!$A$1:$D$397,3,FALSE),"")</f>
        <v/>
      </c>
      <c r="H356" s="65"/>
      <c r="I356" s="16"/>
      <c r="J356" s="16"/>
      <c r="K356" s="16" t="b">
        <v>0</v>
      </c>
      <c r="L356" s="16" t="b">
        <v>0</v>
      </c>
    </row>
    <row r="357">
      <c r="A357" s="9"/>
      <c r="B357" s="16"/>
      <c r="C357" s="7" t="str">
        <f>IFERROR(VLOOKUP(B357,'Master data'!$A$1:$D$397,2,FALSE),"")</f>
        <v/>
      </c>
      <c r="D357" s="70" t="str">
        <f>VLOOKUP(B357,Sheet3!$B$2:$E$312,3,)</f>
        <v>#N/A</v>
      </c>
      <c r="E357" s="64"/>
      <c r="F357" s="16" t="str">
        <f>IFERROR(VLOOKUP(B357,'Master data'!$A$1:$D$397,3,FALSE),"")</f>
        <v/>
      </c>
      <c r="H357" s="65"/>
      <c r="I357" s="16"/>
      <c r="J357" s="16"/>
      <c r="K357" s="16" t="b">
        <v>0</v>
      </c>
      <c r="L357" s="16" t="b">
        <v>0</v>
      </c>
    </row>
    <row r="358">
      <c r="A358" s="9"/>
      <c r="B358" s="16"/>
      <c r="C358" s="7" t="str">
        <f>IFERROR(VLOOKUP(B358,'Master data'!$A$1:$D$397,2,FALSE),"")</f>
        <v/>
      </c>
      <c r="D358" s="70" t="str">
        <f>VLOOKUP(B358,Sheet3!$B$2:$E$312,3,)</f>
        <v>#N/A</v>
      </c>
      <c r="E358" s="64"/>
      <c r="F358" s="16" t="str">
        <f>IFERROR(VLOOKUP(B358,'Master data'!$A$1:$D$397,3,FALSE),"")</f>
        <v/>
      </c>
      <c r="H358" s="65"/>
      <c r="I358" s="16"/>
      <c r="J358" s="16"/>
      <c r="K358" s="16" t="b">
        <v>0</v>
      </c>
      <c r="L358" s="16" t="b">
        <v>0</v>
      </c>
    </row>
    <row r="359">
      <c r="A359" s="9"/>
      <c r="B359" s="16"/>
      <c r="C359" s="7" t="str">
        <f>IFERROR(VLOOKUP(B359,'Master data'!$A$1:$D$397,2,FALSE),"")</f>
        <v/>
      </c>
      <c r="D359" s="70" t="str">
        <f>VLOOKUP(B359,Sheet3!$B$2:$E$312,3,)</f>
        <v>#N/A</v>
      </c>
      <c r="E359" s="64"/>
      <c r="F359" s="16" t="str">
        <f>IFERROR(VLOOKUP(B359,'Master data'!$A$1:$D$397,3,FALSE),"")</f>
        <v/>
      </c>
      <c r="H359" s="65"/>
      <c r="I359" s="16"/>
      <c r="J359" s="16"/>
      <c r="K359" s="16" t="b">
        <v>0</v>
      </c>
      <c r="L359" s="16" t="b">
        <v>0</v>
      </c>
    </row>
    <row r="360">
      <c r="A360" s="9"/>
      <c r="B360" s="16"/>
      <c r="C360" s="7" t="str">
        <f>IFERROR(VLOOKUP(B360,'Master data'!$A$1:$D$397,2,FALSE),"")</f>
        <v/>
      </c>
      <c r="D360" s="70" t="str">
        <f>VLOOKUP(B360,Sheet3!$B$2:$E$312,3,)</f>
        <v>#N/A</v>
      </c>
      <c r="E360" s="64"/>
      <c r="F360" s="16" t="str">
        <f>IFERROR(VLOOKUP(B360,'Master data'!$A$1:$D$397,3,FALSE),"")</f>
        <v/>
      </c>
      <c r="H360" s="65"/>
      <c r="I360" s="16"/>
      <c r="J360" s="16"/>
      <c r="K360" s="16" t="b">
        <v>0</v>
      </c>
      <c r="L360" s="16" t="b">
        <v>0</v>
      </c>
    </row>
    <row r="361">
      <c r="A361" s="9"/>
      <c r="B361" s="16"/>
      <c r="C361" s="7" t="str">
        <f>IFERROR(VLOOKUP(B361,'Master data'!$A$1:$D$397,2,FALSE),"")</f>
        <v/>
      </c>
      <c r="D361" s="70" t="str">
        <f>VLOOKUP(B361,Sheet3!$B$2:$E$312,3,)</f>
        <v>#N/A</v>
      </c>
      <c r="E361" s="64"/>
      <c r="F361" s="16" t="str">
        <f>IFERROR(VLOOKUP(B361,'Master data'!$A$1:$D$397,3,FALSE),"")</f>
        <v/>
      </c>
      <c r="H361" s="65"/>
      <c r="I361" s="16"/>
      <c r="J361" s="16"/>
      <c r="K361" s="16" t="b">
        <v>0</v>
      </c>
      <c r="L361" s="16" t="b">
        <v>0</v>
      </c>
    </row>
    <row r="362">
      <c r="A362" s="9"/>
      <c r="B362" s="16"/>
      <c r="C362" s="7" t="str">
        <f>IFERROR(VLOOKUP(B362,'Master data'!$A$1:$D$397,2,FALSE),"")</f>
        <v/>
      </c>
      <c r="D362" s="70" t="str">
        <f>VLOOKUP(B362,Sheet3!$B$2:$E$312,3,)</f>
        <v>#N/A</v>
      </c>
      <c r="E362" s="64"/>
      <c r="F362" s="16" t="str">
        <f>IFERROR(VLOOKUP(B362,'Master data'!$A$1:$D$397,3,FALSE),"")</f>
        <v/>
      </c>
      <c r="H362" s="65"/>
      <c r="I362" s="16"/>
      <c r="J362" s="16"/>
      <c r="K362" s="16" t="b">
        <v>0</v>
      </c>
      <c r="L362" s="16" t="b">
        <v>0</v>
      </c>
    </row>
    <row r="363">
      <c r="A363" s="9"/>
      <c r="B363" s="16"/>
      <c r="C363" s="7" t="str">
        <f>IFERROR(VLOOKUP(B363,'Master data'!$A$1:$D$397,2,FALSE),"")</f>
        <v/>
      </c>
      <c r="D363" s="70" t="str">
        <f>VLOOKUP(B363,Sheet3!$B$2:$E$312,3,)</f>
        <v>#N/A</v>
      </c>
      <c r="E363" s="64"/>
      <c r="F363" s="16" t="str">
        <f>IFERROR(VLOOKUP(B363,'Master data'!$A$1:$D$397,3,FALSE),"")</f>
        <v/>
      </c>
      <c r="H363" s="65"/>
      <c r="I363" s="16"/>
      <c r="J363" s="16"/>
      <c r="K363" s="16" t="b">
        <v>0</v>
      </c>
      <c r="L363" s="16" t="b">
        <v>0</v>
      </c>
    </row>
    <row r="364">
      <c r="A364" s="9"/>
      <c r="B364" s="16"/>
      <c r="C364" s="7" t="str">
        <f>IFERROR(VLOOKUP(B364,'Master data'!$A$1:$D$397,2,FALSE),"")</f>
        <v/>
      </c>
      <c r="D364" s="70" t="str">
        <f>VLOOKUP(B364,Sheet3!$B$2:$E$312,3,)</f>
        <v>#N/A</v>
      </c>
      <c r="E364" s="64"/>
      <c r="F364" s="16" t="str">
        <f>IFERROR(VLOOKUP(B364,'Master data'!$A$1:$D$397,3,FALSE),"")</f>
        <v/>
      </c>
      <c r="H364" s="65"/>
      <c r="I364" s="16"/>
      <c r="J364" s="16"/>
      <c r="K364" s="16" t="b">
        <v>0</v>
      </c>
      <c r="L364" s="16" t="b">
        <v>0</v>
      </c>
    </row>
    <row r="365">
      <c r="A365" s="9"/>
      <c r="B365" s="16"/>
      <c r="C365" s="7" t="str">
        <f>IFERROR(VLOOKUP(B365,'Master data'!$A$1:$D$397,2,FALSE),"")</f>
        <v/>
      </c>
      <c r="D365" s="70" t="str">
        <f>VLOOKUP(B365,Sheet3!$B$2:$E$312,3,)</f>
        <v>#N/A</v>
      </c>
      <c r="E365" s="64"/>
      <c r="F365" s="16" t="str">
        <f>IFERROR(VLOOKUP(B365,'Master data'!$A$1:$D$397,3,FALSE),"")</f>
        <v/>
      </c>
      <c r="H365" s="65"/>
      <c r="I365" s="16"/>
      <c r="J365" s="16"/>
      <c r="K365" s="16" t="b">
        <v>0</v>
      </c>
      <c r="L365" s="16" t="b">
        <v>0</v>
      </c>
    </row>
    <row r="366">
      <c r="A366" s="9"/>
      <c r="B366" s="16"/>
      <c r="C366" s="7" t="str">
        <f>IFERROR(VLOOKUP(B366,'Master data'!$A$1:$D$397,2,FALSE),"")</f>
        <v/>
      </c>
      <c r="D366" s="70" t="str">
        <f>VLOOKUP(B366,Sheet3!$B$2:$E$312,3,)</f>
        <v>#N/A</v>
      </c>
      <c r="E366" s="64"/>
      <c r="F366" s="16" t="str">
        <f>IFERROR(VLOOKUP(B366,'Master data'!$A$1:$D$397,3,FALSE),"")</f>
        <v/>
      </c>
      <c r="H366" s="65"/>
      <c r="I366" s="16"/>
      <c r="J366" s="16"/>
      <c r="K366" s="16" t="b">
        <v>0</v>
      </c>
      <c r="L366" s="16" t="b">
        <v>0</v>
      </c>
    </row>
    <row r="367">
      <c r="A367" s="9"/>
      <c r="B367" s="16"/>
      <c r="C367" s="7" t="str">
        <f>IFERROR(VLOOKUP(B367,'Master data'!$A$1:$D$397,2,FALSE),"")</f>
        <v/>
      </c>
      <c r="D367" s="70" t="str">
        <f>VLOOKUP(B367,Sheet3!$B$2:$E$312,3,)</f>
        <v>#N/A</v>
      </c>
      <c r="E367" s="64"/>
      <c r="F367" s="16" t="str">
        <f>IFERROR(VLOOKUP(B367,'Master data'!$A$1:$D$397,3,FALSE),"")</f>
        <v/>
      </c>
      <c r="H367" s="65"/>
      <c r="I367" s="16"/>
      <c r="J367" s="16"/>
      <c r="K367" s="16" t="b">
        <v>0</v>
      </c>
      <c r="L367" s="16" t="b">
        <v>0</v>
      </c>
    </row>
    <row r="368">
      <c r="A368" s="9"/>
      <c r="B368" s="16"/>
      <c r="C368" s="7" t="str">
        <f>IFERROR(VLOOKUP(B368,'Master data'!$A$1:$D$397,2,FALSE),"")</f>
        <v/>
      </c>
      <c r="D368" s="70" t="str">
        <f>VLOOKUP(B368,Sheet3!$B$2:$E$312,3,)</f>
        <v>#N/A</v>
      </c>
      <c r="E368" s="64"/>
      <c r="F368" s="16" t="str">
        <f>IFERROR(VLOOKUP(B368,'Master data'!$A$1:$D$397,3,FALSE),"")</f>
        <v/>
      </c>
      <c r="H368" s="65"/>
      <c r="I368" s="16"/>
      <c r="J368" s="16"/>
      <c r="K368" s="16" t="b">
        <v>0</v>
      </c>
      <c r="L368" s="16" t="b">
        <v>0</v>
      </c>
    </row>
    <row r="369">
      <c r="A369" s="9"/>
      <c r="B369" s="16"/>
      <c r="C369" s="7" t="str">
        <f>IFERROR(VLOOKUP(B369,'Master data'!$A$1:$D$397,2,FALSE),"")</f>
        <v/>
      </c>
      <c r="D369" s="70" t="str">
        <f>VLOOKUP(B369,Sheet3!$B$2:$E$312,3,)</f>
        <v>#N/A</v>
      </c>
      <c r="E369" s="64"/>
      <c r="F369" s="16" t="str">
        <f>IFERROR(VLOOKUP(B369,'Master data'!$A$1:$D$397,3,FALSE),"")</f>
        <v/>
      </c>
      <c r="H369" s="65"/>
      <c r="I369" s="16"/>
      <c r="J369" s="16"/>
      <c r="K369" s="16" t="b">
        <v>0</v>
      </c>
      <c r="L369" s="16" t="b">
        <v>0</v>
      </c>
    </row>
    <row r="370">
      <c r="A370" s="9"/>
      <c r="B370" s="16"/>
      <c r="C370" s="7" t="str">
        <f>IFERROR(VLOOKUP(B370,'Master data'!$A$1:$D$397,2,FALSE),"")</f>
        <v/>
      </c>
      <c r="D370" s="70" t="str">
        <f>VLOOKUP(B370,Sheet3!$B$2:$E$312,3,)</f>
        <v>#N/A</v>
      </c>
      <c r="E370" s="64"/>
      <c r="F370" s="16" t="str">
        <f>IFERROR(VLOOKUP(B370,'Master data'!$A$1:$D$397,3,FALSE),"")</f>
        <v/>
      </c>
      <c r="H370" s="65"/>
      <c r="I370" s="16"/>
      <c r="J370" s="16"/>
      <c r="K370" s="16" t="b">
        <v>0</v>
      </c>
      <c r="L370" s="16" t="b">
        <v>0</v>
      </c>
    </row>
    <row r="371">
      <c r="A371" s="9"/>
      <c r="B371" s="16"/>
      <c r="C371" s="7" t="str">
        <f>IFERROR(VLOOKUP(B371,'Master data'!$A$1:$D$397,2,FALSE),"")</f>
        <v/>
      </c>
      <c r="D371" s="70" t="str">
        <f>VLOOKUP(B371,Sheet3!$B$2:$E$312,3,)</f>
        <v>#N/A</v>
      </c>
      <c r="E371" s="64"/>
      <c r="F371" s="16" t="str">
        <f>IFERROR(VLOOKUP(B371,'Master data'!$A$1:$D$397,3,FALSE),"")</f>
        <v/>
      </c>
      <c r="H371" s="65"/>
      <c r="I371" s="16"/>
      <c r="J371" s="16"/>
      <c r="K371" s="16" t="b">
        <v>0</v>
      </c>
      <c r="L371" s="16" t="b">
        <v>0</v>
      </c>
    </row>
    <row r="372">
      <c r="A372" s="9"/>
      <c r="B372" s="16"/>
      <c r="C372" s="7" t="str">
        <f>IFERROR(VLOOKUP(B372,'Master data'!$A$1:$D$397,2,FALSE),"")</f>
        <v/>
      </c>
      <c r="D372" s="70" t="str">
        <f>VLOOKUP(B372,Sheet3!$B$2:$E$312,3,)</f>
        <v>#N/A</v>
      </c>
      <c r="E372" s="64"/>
      <c r="F372" s="16" t="str">
        <f>IFERROR(VLOOKUP(B372,'Master data'!$A$1:$D$397,3,FALSE),"")</f>
        <v/>
      </c>
      <c r="H372" s="65"/>
      <c r="I372" s="16"/>
      <c r="J372" s="16"/>
      <c r="K372" s="16" t="b">
        <v>0</v>
      </c>
      <c r="L372" s="16" t="b">
        <v>0</v>
      </c>
    </row>
    <row r="373">
      <c r="A373" s="9"/>
      <c r="B373" s="16"/>
      <c r="C373" s="7" t="str">
        <f>IFERROR(VLOOKUP(B373,'Master data'!$A$1:$D$397,2,FALSE),"")</f>
        <v/>
      </c>
      <c r="D373" s="70" t="str">
        <f>VLOOKUP(B373,Sheet3!$B$2:$E$312,3,)</f>
        <v>#N/A</v>
      </c>
      <c r="E373" s="64"/>
      <c r="F373" s="16" t="str">
        <f>IFERROR(VLOOKUP(B373,'Master data'!$A$1:$D$397,3,FALSE),"")</f>
        <v/>
      </c>
      <c r="H373" s="65"/>
      <c r="I373" s="16"/>
      <c r="J373" s="16"/>
      <c r="K373" s="16" t="b">
        <v>0</v>
      </c>
      <c r="L373" s="16" t="b">
        <v>0</v>
      </c>
    </row>
    <row r="374">
      <c r="A374" s="9"/>
      <c r="B374" s="16"/>
      <c r="C374" s="7" t="str">
        <f>IFERROR(VLOOKUP(B374,'Master data'!$A$1:$D$397,2,FALSE),"")</f>
        <v/>
      </c>
      <c r="D374" s="70" t="str">
        <f>VLOOKUP(B374,Sheet3!$B$2:$E$312,3,)</f>
        <v>#N/A</v>
      </c>
      <c r="E374" s="64"/>
      <c r="F374" s="16" t="str">
        <f>IFERROR(VLOOKUP(B374,'Master data'!$A$1:$D$397,3,FALSE),"")</f>
        <v/>
      </c>
      <c r="H374" s="65"/>
      <c r="I374" s="16"/>
      <c r="J374" s="16"/>
      <c r="K374" s="16" t="b">
        <v>0</v>
      </c>
      <c r="L374" s="16" t="b">
        <v>0</v>
      </c>
    </row>
    <row r="375">
      <c r="A375" s="9"/>
      <c r="B375" s="16"/>
      <c r="C375" s="7" t="str">
        <f>IFERROR(VLOOKUP(B375,'Master data'!$A$1:$D$397,2,FALSE),"")</f>
        <v/>
      </c>
      <c r="D375" s="70" t="str">
        <f>VLOOKUP(B375,Sheet3!$B$2:$E$312,3,)</f>
        <v>#N/A</v>
      </c>
      <c r="E375" s="64"/>
      <c r="F375" s="16" t="str">
        <f>IFERROR(VLOOKUP(B375,'Master data'!$A$1:$D$397,3,FALSE),"")</f>
        <v/>
      </c>
      <c r="H375" s="65"/>
      <c r="I375" s="16"/>
      <c r="J375" s="16"/>
      <c r="K375" s="16" t="b">
        <v>0</v>
      </c>
      <c r="L375" s="16" t="b">
        <v>0</v>
      </c>
    </row>
    <row r="376">
      <c r="A376" s="9"/>
      <c r="B376" s="16"/>
      <c r="C376" s="7" t="str">
        <f>IFERROR(VLOOKUP(B376,'Master data'!$A$1:$D$397,2,FALSE),"")</f>
        <v/>
      </c>
      <c r="D376" s="70" t="str">
        <f>VLOOKUP(B376,Sheet3!$B$2:$E$312,3,)</f>
        <v>#N/A</v>
      </c>
      <c r="E376" s="64"/>
      <c r="F376" s="16" t="str">
        <f>IFERROR(VLOOKUP(B376,'Master data'!$A$1:$D$397,3,FALSE),"")</f>
        <v/>
      </c>
      <c r="H376" s="65"/>
      <c r="I376" s="16"/>
      <c r="J376" s="16"/>
      <c r="K376" s="16" t="b">
        <v>0</v>
      </c>
      <c r="L376" s="16" t="b">
        <v>0</v>
      </c>
    </row>
    <row r="377">
      <c r="A377" s="9"/>
      <c r="B377" s="16"/>
      <c r="C377" s="7" t="str">
        <f>IFERROR(VLOOKUP(B377,'Master data'!$A$1:$D$397,2,FALSE),"")</f>
        <v/>
      </c>
      <c r="D377" s="70" t="str">
        <f>VLOOKUP(B377,Sheet3!$B$2:$E$312,3,)</f>
        <v>#N/A</v>
      </c>
      <c r="E377" s="64"/>
      <c r="F377" s="16" t="str">
        <f>IFERROR(VLOOKUP(B377,'Master data'!$A$1:$D$397,3,FALSE),"")</f>
        <v/>
      </c>
      <c r="H377" s="65"/>
      <c r="I377" s="16"/>
      <c r="J377" s="16"/>
      <c r="K377" s="16" t="b">
        <v>0</v>
      </c>
      <c r="L377" s="16" t="b">
        <v>0</v>
      </c>
    </row>
    <row r="378">
      <c r="A378" s="9"/>
      <c r="B378" s="16"/>
      <c r="C378" s="7" t="str">
        <f>IFERROR(VLOOKUP(B378,'Master data'!$A$1:$D$397,2,FALSE),"")</f>
        <v/>
      </c>
      <c r="D378" s="70" t="str">
        <f>VLOOKUP(B378,Sheet3!$B$2:$E$312,3,)</f>
        <v>#N/A</v>
      </c>
      <c r="E378" s="64"/>
      <c r="F378" s="16" t="str">
        <f>IFERROR(VLOOKUP(B378,'Master data'!$A$1:$D$397,3,FALSE),"")</f>
        <v/>
      </c>
      <c r="H378" s="65"/>
      <c r="I378" s="16"/>
      <c r="J378" s="16"/>
      <c r="K378" s="16" t="b">
        <v>0</v>
      </c>
      <c r="L378" s="16" t="b">
        <v>0</v>
      </c>
    </row>
    <row r="379">
      <c r="A379" s="9"/>
      <c r="B379" s="16"/>
      <c r="C379" s="7" t="str">
        <f>IFERROR(VLOOKUP(B379,'Master data'!$A$1:$D$397,2,FALSE),"")</f>
        <v/>
      </c>
      <c r="D379" s="70" t="str">
        <f>VLOOKUP(B379,Sheet3!$B$2:$E$312,3,)</f>
        <v>#N/A</v>
      </c>
      <c r="E379" s="64"/>
      <c r="F379" s="16" t="str">
        <f>IFERROR(VLOOKUP(B379,'Master data'!$A$1:$D$397,3,FALSE),"")</f>
        <v/>
      </c>
      <c r="H379" s="65"/>
      <c r="I379" s="16"/>
      <c r="J379" s="16"/>
      <c r="K379" s="16" t="b">
        <v>0</v>
      </c>
      <c r="L379" s="16" t="b">
        <v>0</v>
      </c>
    </row>
    <row r="380">
      <c r="A380" s="9"/>
      <c r="B380" s="16"/>
      <c r="C380" s="7" t="str">
        <f>IFERROR(VLOOKUP(B380,'Master data'!$A$1:$D$397,2,FALSE),"")</f>
        <v/>
      </c>
      <c r="D380" s="70" t="str">
        <f>VLOOKUP(B380,Sheet3!$B$2:$E$312,3,)</f>
        <v>#N/A</v>
      </c>
      <c r="E380" s="64"/>
      <c r="F380" s="16" t="str">
        <f>IFERROR(VLOOKUP(B380,'Master data'!$A$1:$D$397,3,FALSE),"")</f>
        <v/>
      </c>
      <c r="H380" s="65"/>
      <c r="I380" s="16"/>
      <c r="J380" s="16"/>
      <c r="K380" s="16" t="b">
        <v>0</v>
      </c>
      <c r="L380" s="16" t="b">
        <v>0</v>
      </c>
    </row>
    <row r="381">
      <c r="A381" s="9"/>
      <c r="B381" s="16"/>
      <c r="C381" s="7" t="str">
        <f>IFERROR(VLOOKUP(B381,'Master data'!$A$1:$D$397,2,FALSE),"")</f>
        <v/>
      </c>
      <c r="D381" s="70" t="str">
        <f>VLOOKUP(B381,Sheet3!$B$2:$E$312,3,)</f>
        <v>#N/A</v>
      </c>
      <c r="E381" s="64"/>
      <c r="F381" s="16" t="str">
        <f>IFERROR(VLOOKUP(B381,'Master data'!$A$1:$D$397,3,FALSE),"")</f>
        <v/>
      </c>
      <c r="H381" s="65"/>
      <c r="I381" s="16"/>
      <c r="J381" s="16"/>
      <c r="K381" s="16" t="b">
        <v>0</v>
      </c>
      <c r="L381" s="16" t="b">
        <v>0</v>
      </c>
    </row>
    <row r="382">
      <c r="A382" s="9"/>
      <c r="B382" s="16"/>
      <c r="C382" s="7" t="str">
        <f>IFERROR(VLOOKUP(B382,'Master data'!$A$1:$D$397,2,FALSE),"")</f>
        <v/>
      </c>
      <c r="D382" s="70" t="str">
        <f>VLOOKUP(B382,Sheet3!$B$2:$E$312,3,)</f>
        <v>#N/A</v>
      </c>
      <c r="E382" s="64"/>
      <c r="F382" s="16" t="str">
        <f>IFERROR(VLOOKUP(B382,'Master data'!$A$1:$D$397,3,FALSE),"")</f>
        <v/>
      </c>
      <c r="H382" s="65"/>
      <c r="I382" s="16"/>
      <c r="J382" s="16"/>
      <c r="K382" s="16" t="b">
        <v>0</v>
      </c>
      <c r="L382" s="16" t="b">
        <v>0</v>
      </c>
    </row>
    <row r="383">
      <c r="A383" s="9"/>
      <c r="B383" s="16"/>
      <c r="C383" s="7" t="str">
        <f>IFERROR(VLOOKUP(B383,'Master data'!$A$1:$D$397,2,FALSE),"")</f>
        <v/>
      </c>
      <c r="D383" s="70" t="str">
        <f>VLOOKUP(B383,Sheet3!$B$2:$E$312,3,)</f>
        <v>#N/A</v>
      </c>
      <c r="E383" s="64"/>
      <c r="F383" s="16" t="str">
        <f>IFERROR(VLOOKUP(B383,'Master data'!$A$1:$D$397,3,FALSE),"")</f>
        <v/>
      </c>
      <c r="H383" s="65"/>
      <c r="I383" s="16"/>
      <c r="J383" s="16"/>
      <c r="K383" s="16" t="b">
        <v>0</v>
      </c>
      <c r="L383" s="16" t="b">
        <v>0</v>
      </c>
    </row>
    <row r="384">
      <c r="A384" s="9"/>
      <c r="B384" s="16"/>
      <c r="C384" s="7" t="str">
        <f>IFERROR(VLOOKUP(B384,'Master data'!$A$1:$D$397,2,FALSE),"")</f>
        <v/>
      </c>
      <c r="D384" s="70" t="str">
        <f>VLOOKUP(B384,Sheet3!$B$2:$E$312,3,)</f>
        <v>#N/A</v>
      </c>
      <c r="E384" s="64"/>
      <c r="F384" s="16" t="str">
        <f>IFERROR(VLOOKUP(B384,'Master data'!$A$1:$D$397,3,FALSE),"")</f>
        <v/>
      </c>
      <c r="H384" s="65"/>
      <c r="I384" s="16"/>
      <c r="J384" s="16"/>
      <c r="K384" s="16" t="b">
        <v>0</v>
      </c>
      <c r="L384" s="16" t="b">
        <v>0</v>
      </c>
    </row>
    <row r="385">
      <c r="A385" s="9"/>
      <c r="B385" s="16"/>
      <c r="C385" s="7" t="str">
        <f>IFERROR(VLOOKUP(B385,'Master data'!$A$1:$D$397,2,FALSE),"")</f>
        <v/>
      </c>
      <c r="D385" s="70" t="str">
        <f>VLOOKUP(B385,Sheet3!$B$2:$E$312,3,)</f>
        <v>#N/A</v>
      </c>
      <c r="E385" s="64"/>
      <c r="F385" s="16" t="str">
        <f>IFERROR(VLOOKUP(B385,'Master data'!$A$1:$D$397,3,FALSE),"")</f>
        <v/>
      </c>
      <c r="H385" s="65"/>
      <c r="I385" s="16"/>
      <c r="J385" s="16"/>
      <c r="K385" s="16" t="b">
        <v>0</v>
      </c>
      <c r="L385" s="16" t="b">
        <v>0</v>
      </c>
    </row>
    <row r="386">
      <c r="A386" s="9"/>
      <c r="B386" s="16"/>
      <c r="C386" s="7" t="str">
        <f>IFERROR(VLOOKUP(B386,'Master data'!$A$1:$D$397,2,FALSE),"")</f>
        <v/>
      </c>
      <c r="D386" s="70" t="str">
        <f>VLOOKUP(B386,Sheet3!$B$2:$E$312,3,)</f>
        <v>#N/A</v>
      </c>
      <c r="E386" s="64"/>
      <c r="F386" s="16" t="str">
        <f>IFERROR(VLOOKUP(B386,'Master data'!$A$1:$D$397,3,FALSE),"")</f>
        <v/>
      </c>
      <c r="H386" s="65"/>
      <c r="I386" s="16"/>
      <c r="J386" s="16"/>
      <c r="K386" s="16" t="b">
        <v>0</v>
      </c>
      <c r="L386" s="16" t="b">
        <v>0</v>
      </c>
    </row>
    <row r="387">
      <c r="A387" s="9"/>
      <c r="B387" s="16"/>
      <c r="C387" s="7" t="str">
        <f>IFERROR(VLOOKUP(B387,'Master data'!$A$1:$D$397,2,FALSE),"")</f>
        <v/>
      </c>
      <c r="D387" s="70" t="str">
        <f>VLOOKUP(B387,Sheet3!$B$2:$E$312,3,)</f>
        <v>#N/A</v>
      </c>
      <c r="E387" s="64"/>
      <c r="F387" s="16" t="str">
        <f>IFERROR(VLOOKUP(B387,'Master data'!$A$1:$D$397,3,FALSE),"")</f>
        <v/>
      </c>
      <c r="H387" s="65"/>
      <c r="I387" s="16"/>
      <c r="J387" s="16"/>
      <c r="K387" s="16" t="b">
        <v>0</v>
      </c>
      <c r="L387" s="16" t="b">
        <v>0</v>
      </c>
    </row>
    <row r="388">
      <c r="A388" s="9"/>
      <c r="B388" s="16"/>
      <c r="C388" s="7" t="str">
        <f>IFERROR(VLOOKUP(B388,'Master data'!$A$1:$D$397,2,FALSE),"")</f>
        <v/>
      </c>
      <c r="D388" s="70" t="str">
        <f>VLOOKUP(B388,Sheet3!$B$2:$E$312,3,)</f>
        <v>#N/A</v>
      </c>
      <c r="E388" s="64"/>
      <c r="F388" s="16" t="str">
        <f>IFERROR(VLOOKUP(B388,'Master data'!$A$1:$D$397,3,FALSE),"")</f>
        <v/>
      </c>
      <c r="H388" s="65"/>
      <c r="I388" s="16"/>
      <c r="J388" s="16"/>
      <c r="K388" s="16" t="b">
        <v>0</v>
      </c>
      <c r="L388" s="16" t="b">
        <v>0</v>
      </c>
    </row>
    <row r="389">
      <c r="A389" s="9"/>
      <c r="B389" s="16"/>
      <c r="C389" s="7" t="str">
        <f>IFERROR(VLOOKUP(B389,'Master data'!$A$1:$D$397,2,FALSE),"")</f>
        <v/>
      </c>
      <c r="D389" s="70" t="str">
        <f>VLOOKUP(B389,Sheet3!$B$2:$E$312,3,)</f>
        <v>#N/A</v>
      </c>
      <c r="E389" s="64"/>
      <c r="F389" s="16" t="str">
        <f>IFERROR(VLOOKUP(B389,'Master data'!$A$1:$D$397,3,FALSE),"")</f>
        <v/>
      </c>
      <c r="H389" s="65"/>
      <c r="I389" s="16"/>
      <c r="J389" s="16"/>
      <c r="K389" s="16" t="b">
        <v>0</v>
      </c>
      <c r="L389" s="16" t="b">
        <v>0</v>
      </c>
    </row>
    <row r="390">
      <c r="A390" s="9"/>
      <c r="B390" s="16"/>
      <c r="C390" s="7" t="str">
        <f>IFERROR(VLOOKUP(B390,'Master data'!$A$1:$D$397,2,FALSE),"")</f>
        <v/>
      </c>
      <c r="D390" s="70" t="str">
        <f>VLOOKUP(B390,Sheet3!$B$2:$E$312,3,)</f>
        <v>#N/A</v>
      </c>
      <c r="E390" s="64"/>
      <c r="F390" s="16" t="str">
        <f>IFERROR(VLOOKUP(B390,'Master data'!$A$1:$D$397,3,FALSE),"")</f>
        <v/>
      </c>
      <c r="H390" s="65"/>
      <c r="I390" s="16"/>
      <c r="J390" s="16"/>
      <c r="K390" s="16" t="b">
        <v>0</v>
      </c>
      <c r="L390" s="16" t="b">
        <v>0</v>
      </c>
    </row>
    <row r="391">
      <c r="A391" s="9"/>
      <c r="B391" s="16"/>
      <c r="C391" s="7" t="str">
        <f>IFERROR(VLOOKUP(B391,'Master data'!$A$1:$D$397,2,FALSE),"")</f>
        <v/>
      </c>
      <c r="D391" s="70" t="str">
        <f>VLOOKUP(B391,Sheet3!$B$2:$E$312,3,)</f>
        <v>#N/A</v>
      </c>
      <c r="E391" s="64"/>
      <c r="F391" s="16" t="str">
        <f>IFERROR(VLOOKUP(B391,'Master data'!$A$1:$D$397,3,FALSE),"")</f>
        <v/>
      </c>
      <c r="H391" s="65"/>
      <c r="I391" s="16"/>
      <c r="J391" s="16"/>
      <c r="K391" s="16" t="b">
        <v>0</v>
      </c>
      <c r="L391" s="16" t="b">
        <v>0</v>
      </c>
    </row>
    <row r="392">
      <c r="A392" s="9"/>
      <c r="B392" s="16"/>
      <c r="C392" s="7" t="str">
        <f>IFERROR(VLOOKUP(B392,'Master data'!$A$1:$D$397,2,FALSE),"")</f>
        <v/>
      </c>
      <c r="D392" s="70" t="str">
        <f>VLOOKUP(B392,Sheet3!$B$2:$E$312,3,)</f>
        <v>#N/A</v>
      </c>
      <c r="E392" s="64"/>
      <c r="F392" s="16" t="str">
        <f>IFERROR(VLOOKUP(B392,'Master data'!$A$1:$D$397,3,FALSE),"")</f>
        <v/>
      </c>
      <c r="H392" s="65"/>
      <c r="I392" s="16"/>
      <c r="J392" s="16"/>
      <c r="K392" s="16" t="b">
        <v>0</v>
      </c>
      <c r="L392" s="16" t="b">
        <v>0</v>
      </c>
    </row>
    <row r="393">
      <c r="A393" s="9"/>
      <c r="B393" s="16"/>
      <c r="C393" s="7" t="str">
        <f>IFERROR(VLOOKUP(B393,'Master data'!$A$1:$D$397,2,FALSE),"")</f>
        <v/>
      </c>
      <c r="D393" s="70" t="str">
        <f>VLOOKUP(B393,Sheet3!$B$2:$E$312,3,)</f>
        <v>#N/A</v>
      </c>
      <c r="E393" s="64"/>
      <c r="F393" s="16" t="str">
        <f>IFERROR(VLOOKUP(B393,'Master data'!$A$1:$D$397,3,FALSE),"")</f>
        <v/>
      </c>
      <c r="H393" s="65"/>
      <c r="I393" s="16"/>
      <c r="J393" s="16"/>
      <c r="K393" s="16" t="b">
        <v>0</v>
      </c>
      <c r="L393" s="16" t="b">
        <v>0</v>
      </c>
    </row>
    <row r="394">
      <c r="A394" s="9"/>
      <c r="B394" s="16"/>
      <c r="C394" s="7" t="str">
        <f>IFERROR(VLOOKUP(B394,'Master data'!$A$1:$D$397,2,FALSE),"")</f>
        <v/>
      </c>
      <c r="D394" s="70" t="str">
        <f>VLOOKUP(B394,Sheet3!$B$2:$E$312,3,)</f>
        <v>#N/A</v>
      </c>
      <c r="E394" s="64"/>
      <c r="F394" s="16" t="str">
        <f>IFERROR(VLOOKUP(B394,'Master data'!$A$1:$D$397,3,FALSE),"")</f>
        <v/>
      </c>
      <c r="H394" s="65"/>
      <c r="I394" s="16"/>
      <c r="J394" s="16"/>
      <c r="K394" s="16" t="b">
        <v>0</v>
      </c>
      <c r="L394" s="16" t="b">
        <v>0</v>
      </c>
    </row>
    <row r="395">
      <c r="A395" s="9"/>
      <c r="B395" s="16"/>
      <c r="C395" s="7" t="str">
        <f>IFERROR(VLOOKUP(B395,'Master data'!$A$1:$D$397,2,FALSE),"")</f>
        <v/>
      </c>
      <c r="D395" s="70" t="str">
        <f>VLOOKUP(B395,Sheet3!$B$2:$E$312,3,)</f>
        <v>#N/A</v>
      </c>
      <c r="E395" s="64"/>
      <c r="F395" s="16" t="str">
        <f>IFERROR(VLOOKUP(B395,'Master data'!$A$1:$D$397,3,FALSE),"")</f>
        <v/>
      </c>
      <c r="H395" s="65"/>
      <c r="I395" s="16"/>
      <c r="J395" s="16"/>
      <c r="K395" s="16" t="b">
        <v>0</v>
      </c>
      <c r="L395" s="16" t="b">
        <v>0</v>
      </c>
    </row>
    <row r="396">
      <c r="A396" s="9"/>
      <c r="B396" s="16"/>
      <c r="C396" s="7" t="str">
        <f>IFERROR(VLOOKUP(B396,'Master data'!$A$1:$D$397,2,FALSE),"")</f>
        <v/>
      </c>
      <c r="D396" s="70" t="str">
        <f>VLOOKUP(B396,Sheet3!$B$2:$E$312,3,)</f>
        <v>#N/A</v>
      </c>
      <c r="E396" s="64"/>
      <c r="F396" s="16" t="str">
        <f>IFERROR(VLOOKUP(B396,'Master data'!$A$1:$D$397,3,FALSE),"")</f>
        <v/>
      </c>
      <c r="H396" s="65"/>
      <c r="I396" s="16"/>
      <c r="J396" s="16"/>
      <c r="K396" s="16" t="b">
        <v>0</v>
      </c>
      <c r="L396" s="16" t="b">
        <v>0</v>
      </c>
    </row>
    <row r="397">
      <c r="A397" s="9"/>
      <c r="B397" s="16"/>
      <c r="C397" s="7" t="str">
        <f>IFERROR(VLOOKUP(B397,'Master data'!$A$1:$D$397,2,FALSE),"")</f>
        <v/>
      </c>
      <c r="D397" s="70" t="str">
        <f>VLOOKUP(B397,Sheet3!$B$2:$E$312,3,)</f>
        <v>#N/A</v>
      </c>
      <c r="E397" s="64"/>
      <c r="F397" s="16" t="str">
        <f>IFERROR(VLOOKUP(B397,'Master data'!$A$1:$D$397,3,FALSE),"")</f>
        <v/>
      </c>
      <c r="H397" s="65"/>
      <c r="I397" s="16"/>
      <c r="J397" s="16"/>
      <c r="K397" s="16" t="b">
        <v>0</v>
      </c>
      <c r="L397" s="16" t="b">
        <v>0</v>
      </c>
    </row>
    <row r="398">
      <c r="A398" s="9"/>
      <c r="B398" s="16"/>
      <c r="C398" s="7" t="str">
        <f>IFERROR(VLOOKUP(B398,'Master data'!$A$1:$D$397,2,FALSE),"")</f>
        <v/>
      </c>
      <c r="D398" s="70" t="str">
        <f>VLOOKUP(B398,Sheet3!$B$2:$E$312,3,)</f>
        <v>#N/A</v>
      </c>
      <c r="E398" s="64"/>
      <c r="F398" s="16" t="str">
        <f>IFERROR(VLOOKUP(B398,'Master data'!$A$1:$D$397,3,FALSE),"")</f>
        <v/>
      </c>
      <c r="H398" s="65"/>
      <c r="I398" s="16"/>
      <c r="J398" s="16"/>
      <c r="K398" s="16" t="b">
        <v>0</v>
      </c>
      <c r="L398" s="16" t="b">
        <v>0</v>
      </c>
    </row>
    <row r="399">
      <c r="A399" s="9"/>
      <c r="B399" s="16"/>
      <c r="C399" s="7" t="str">
        <f>IFERROR(VLOOKUP(B399,'Master data'!$A$1:$D$397,2,FALSE),"")</f>
        <v/>
      </c>
      <c r="D399" s="70" t="str">
        <f>VLOOKUP(B399,Sheet3!$B$2:$E$312,3,)</f>
        <v>#N/A</v>
      </c>
      <c r="E399" s="64"/>
      <c r="F399" s="16" t="str">
        <f>IFERROR(VLOOKUP(B399,'Master data'!$A$1:$D$397,3,FALSE),"")</f>
        <v/>
      </c>
      <c r="H399" s="65"/>
      <c r="I399" s="16"/>
      <c r="J399" s="16"/>
      <c r="K399" s="16" t="b">
        <v>0</v>
      </c>
      <c r="L399" s="16" t="b">
        <v>0</v>
      </c>
    </row>
    <row r="400">
      <c r="A400" s="9"/>
      <c r="B400" s="16"/>
      <c r="C400" s="7" t="str">
        <f>IFERROR(VLOOKUP(B400,'Master data'!$A$1:$D$397,2,FALSE),"")</f>
        <v/>
      </c>
      <c r="D400" s="70" t="str">
        <f>VLOOKUP(B400,Sheet3!$B$2:$E$312,3,)</f>
        <v>#N/A</v>
      </c>
      <c r="E400" s="64"/>
      <c r="F400" s="16" t="str">
        <f>IFERROR(VLOOKUP(B400,'Master data'!$A$1:$D$397,3,FALSE),"")</f>
        <v/>
      </c>
      <c r="H400" s="65"/>
      <c r="I400" s="16"/>
      <c r="J400" s="16"/>
      <c r="K400" s="16" t="b">
        <v>0</v>
      </c>
      <c r="L400" s="16" t="b">
        <v>0</v>
      </c>
    </row>
    <row r="401">
      <c r="A401" s="9"/>
      <c r="B401" s="16"/>
      <c r="C401" s="7" t="str">
        <f>IFERROR(VLOOKUP(B401,'Master data'!$A$1:$D$397,2,FALSE),"")</f>
        <v/>
      </c>
      <c r="D401" s="70" t="str">
        <f>VLOOKUP(B401,Sheet3!$B$2:$E$312,3,)</f>
        <v>#N/A</v>
      </c>
      <c r="E401" s="64"/>
      <c r="F401" s="16" t="str">
        <f>IFERROR(VLOOKUP(B401,'Master data'!$A$1:$D$397,3,FALSE),"")</f>
        <v/>
      </c>
      <c r="H401" s="65"/>
      <c r="I401" s="16"/>
      <c r="J401" s="16"/>
      <c r="K401" s="16" t="b">
        <v>0</v>
      </c>
      <c r="L401" s="16" t="b">
        <v>0</v>
      </c>
    </row>
    <row r="402">
      <c r="A402" s="9"/>
      <c r="B402" s="16"/>
      <c r="C402" s="7" t="str">
        <f>IFERROR(VLOOKUP(B402,'Master data'!$A$1:$D$397,2,FALSE),"")</f>
        <v/>
      </c>
      <c r="D402" s="70" t="str">
        <f>VLOOKUP(B402,Sheet3!$B$2:$E$312,3,)</f>
        <v>#N/A</v>
      </c>
      <c r="E402" s="64"/>
      <c r="F402" s="16" t="str">
        <f>IFERROR(VLOOKUP(B402,'Master data'!$A$1:$D$397,3,FALSE),"")</f>
        <v/>
      </c>
      <c r="H402" s="65"/>
      <c r="I402" s="16"/>
      <c r="J402" s="16"/>
      <c r="K402" s="16" t="b">
        <v>0</v>
      </c>
      <c r="L402" s="16" t="b">
        <v>0</v>
      </c>
    </row>
    <row r="403">
      <c r="A403" s="9"/>
      <c r="B403" s="16"/>
      <c r="C403" s="7" t="str">
        <f>IFERROR(VLOOKUP(B403,'Master data'!$A$1:$D$397,2,FALSE),"")</f>
        <v/>
      </c>
      <c r="D403" s="70" t="str">
        <f>VLOOKUP(B403,Sheet3!$B$2:$E$312,3,)</f>
        <v>#N/A</v>
      </c>
      <c r="E403" s="64"/>
      <c r="F403" s="16" t="str">
        <f>IFERROR(VLOOKUP(B403,'Master data'!$A$1:$D$397,3,FALSE),"")</f>
        <v/>
      </c>
      <c r="H403" s="65"/>
      <c r="I403" s="16"/>
      <c r="J403" s="16"/>
      <c r="K403" s="16" t="b">
        <v>0</v>
      </c>
      <c r="L403" s="16" t="b">
        <v>0</v>
      </c>
    </row>
    <row r="404">
      <c r="A404" s="9"/>
      <c r="B404" s="16"/>
      <c r="C404" s="7" t="str">
        <f>IFERROR(VLOOKUP(B404,'Master data'!$A$1:$D$397,2,FALSE),"")</f>
        <v/>
      </c>
      <c r="D404" s="70" t="str">
        <f>VLOOKUP(B404,Sheet3!$B$2:$E$312,3,)</f>
        <v>#N/A</v>
      </c>
      <c r="E404" s="64"/>
      <c r="F404" s="16" t="str">
        <f>IFERROR(VLOOKUP(B404,'Master data'!$A$1:$D$397,3,FALSE),"")</f>
        <v/>
      </c>
      <c r="H404" s="65"/>
      <c r="I404" s="16"/>
      <c r="J404" s="16"/>
      <c r="K404" s="16" t="b">
        <v>0</v>
      </c>
      <c r="L404" s="16" t="b">
        <v>0</v>
      </c>
    </row>
    <row r="405">
      <c r="A405" s="9"/>
      <c r="B405" s="16"/>
      <c r="C405" s="7" t="str">
        <f>IFERROR(VLOOKUP(B405,'Master data'!$A$1:$D$397,2,FALSE),"")</f>
        <v/>
      </c>
      <c r="D405" s="70" t="str">
        <f>VLOOKUP(B405,Sheet3!$B$2:$E$312,3,)</f>
        <v>#N/A</v>
      </c>
      <c r="E405" s="64"/>
      <c r="F405" s="16" t="str">
        <f>IFERROR(VLOOKUP(B405,'Master data'!$A$1:$D$397,3,FALSE),"")</f>
        <v/>
      </c>
      <c r="H405" s="65"/>
      <c r="I405" s="16"/>
      <c r="J405" s="16"/>
      <c r="K405" s="16" t="b">
        <v>0</v>
      </c>
      <c r="L405" s="16" t="b">
        <v>0</v>
      </c>
    </row>
    <row r="406">
      <c r="A406" s="9"/>
      <c r="B406" s="16"/>
      <c r="C406" s="7" t="str">
        <f>IFERROR(VLOOKUP(B406,'Master data'!$A$1:$D$397,2,FALSE),"")</f>
        <v/>
      </c>
      <c r="D406" s="70" t="str">
        <f>VLOOKUP(B406,Sheet3!$B$2:$E$312,3,)</f>
        <v>#N/A</v>
      </c>
      <c r="E406" s="64"/>
      <c r="F406" s="16" t="str">
        <f>IFERROR(VLOOKUP(B406,'Master data'!$A$1:$D$397,3,FALSE),"")</f>
        <v/>
      </c>
      <c r="H406" s="65"/>
      <c r="I406" s="16"/>
      <c r="J406" s="16"/>
      <c r="K406" s="16" t="b">
        <v>0</v>
      </c>
      <c r="L406" s="16" t="b">
        <v>0</v>
      </c>
    </row>
    <row r="407">
      <c r="A407" s="9"/>
      <c r="B407" s="16"/>
      <c r="C407" s="7" t="str">
        <f>IFERROR(VLOOKUP(B407,'Master data'!$A$1:$D$397,2,FALSE),"")</f>
        <v/>
      </c>
      <c r="D407" s="70" t="str">
        <f>VLOOKUP(B407,Sheet3!$B$2:$E$312,3,)</f>
        <v>#N/A</v>
      </c>
      <c r="E407" s="64"/>
      <c r="F407" s="16" t="str">
        <f>IFERROR(VLOOKUP(B407,'Master data'!$A$1:$D$397,3,FALSE),"")</f>
        <v/>
      </c>
      <c r="H407" s="65"/>
      <c r="I407" s="16"/>
      <c r="J407" s="16"/>
      <c r="K407" s="16" t="b">
        <v>0</v>
      </c>
      <c r="L407" s="16" t="b">
        <v>0</v>
      </c>
    </row>
    <row r="408">
      <c r="A408" s="9"/>
      <c r="B408" s="16"/>
      <c r="C408" s="7" t="str">
        <f>IFERROR(VLOOKUP(B408,'Master data'!$A$1:$D$397,2,FALSE),"")</f>
        <v/>
      </c>
      <c r="D408" s="70" t="str">
        <f>VLOOKUP(B408,Sheet3!$B$2:$E$312,3,)</f>
        <v>#N/A</v>
      </c>
      <c r="E408" s="64"/>
      <c r="F408" s="16" t="str">
        <f>IFERROR(VLOOKUP(B408,'Master data'!$A$1:$D$397,3,FALSE),"")</f>
        <v/>
      </c>
      <c r="H408" s="65"/>
      <c r="I408" s="16"/>
      <c r="J408" s="16"/>
      <c r="K408" s="16" t="b">
        <v>0</v>
      </c>
      <c r="L408" s="16" t="b">
        <v>0</v>
      </c>
    </row>
    <row r="409">
      <c r="A409" s="9"/>
      <c r="B409" s="16"/>
      <c r="C409" s="7" t="str">
        <f>IFERROR(VLOOKUP(B409,'Master data'!$A$1:$D$397,2,FALSE),"")</f>
        <v/>
      </c>
      <c r="D409" s="70" t="str">
        <f>VLOOKUP(B409,Sheet3!$B$2:$E$312,3,)</f>
        <v>#N/A</v>
      </c>
      <c r="E409" s="64"/>
      <c r="F409" s="16" t="str">
        <f>IFERROR(VLOOKUP(B409,'Master data'!$A$1:$D$397,3,FALSE),"")</f>
        <v/>
      </c>
      <c r="H409" s="65"/>
      <c r="I409" s="16"/>
      <c r="J409" s="16"/>
      <c r="K409" s="16" t="b">
        <v>0</v>
      </c>
      <c r="L409" s="16" t="b">
        <v>0</v>
      </c>
    </row>
    <row r="410">
      <c r="A410" s="9"/>
      <c r="B410" s="16"/>
      <c r="C410" s="7" t="str">
        <f>IFERROR(VLOOKUP(B410,'Master data'!$A$1:$D$397,2,FALSE),"")</f>
        <v/>
      </c>
      <c r="D410" s="70" t="str">
        <f>VLOOKUP(B410,Sheet3!$B$2:$E$312,3,)</f>
        <v>#N/A</v>
      </c>
      <c r="E410" s="64"/>
      <c r="F410" s="16" t="str">
        <f>IFERROR(VLOOKUP(B410,'Master data'!$A$1:$D$397,3,FALSE),"")</f>
        <v/>
      </c>
      <c r="H410" s="65"/>
      <c r="I410" s="16"/>
      <c r="J410" s="16"/>
      <c r="K410" s="16" t="b">
        <v>0</v>
      </c>
      <c r="L410" s="16" t="b">
        <v>0</v>
      </c>
    </row>
    <row r="411">
      <c r="A411" s="9"/>
      <c r="B411" s="16"/>
      <c r="C411" s="7" t="str">
        <f>IFERROR(VLOOKUP(B411,'Master data'!$A$1:$D$397,2,FALSE),"")</f>
        <v/>
      </c>
      <c r="D411" s="70" t="str">
        <f>VLOOKUP(B411,Sheet3!$B$2:$E$312,3,)</f>
        <v>#N/A</v>
      </c>
      <c r="E411" s="64"/>
      <c r="F411" s="16" t="str">
        <f>IFERROR(VLOOKUP(B411,'Master data'!$A$1:$D$397,3,FALSE),"")</f>
        <v/>
      </c>
      <c r="H411" s="65"/>
      <c r="I411" s="16"/>
      <c r="J411" s="16"/>
      <c r="K411" s="16" t="b">
        <v>0</v>
      </c>
      <c r="L411" s="16" t="b">
        <v>0</v>
      </c>
    </row>
    <row r="412">
      <c r="A412" s="9"/>
      <c r="B412" s="16"/>
      <c r="C412" s="7" t="str">
        <f>IFERROR(VLOOKUP(B412,'Master data'!$A$1:$D$397,2,FALSE),"")</f>
        <v/>
      </c>
      <c r="D412" s="70" t="str">
        <f>VLOOKUP(B412,Sheet3!$B$2:$E$312,3,)</f>
        <v>#N/A</v>
      </c>
      <c r="E412" s="64"/>
      <c r="F412" s="16" t="str">
        <f>IFERROR(VLOOKUP(B412,'Master data'!$A$1:$D$397,3,FALSE),"")</f>
        <v/>
      </c>
      <c r="H412" s="65"/>
      <c r="I412" s="16"/>
      <c r="J412" s="16"/>
      <c r="K412" s="16" t="b">
        <v>0</v>
      </c>
      <c r="L412" s="16" t="b">
        <v>0</v>
      </c>
    </row>
    <row r="413">
      <c r="A413" s="9"/>
      <c r="B413" s="16"/>
      <c r="C413" s="7" t="str">
        <f>IFERROR(VLOOKUP(B413,'Master data'!$A$1:$D$397,2,FALSE),"")</f>
        <v/>
      </c>
      <c r="D413" s="70" t="str">
        <f>VLOOKUP(B413,Sheet3!$B$2:$E$312,3,)</f>
        <v>#N/A</v>
      </c>
      <c r="E413" s="64"/>
      <c r="F413" s="16" t="str">
        <f>IFERROR(VLOOKUP(B413,'Master data'!$A$1:$D$397,3,FALSE),"")</f>
        <v/>
      </c>
      <c r="H413" s="65"/>
      <c r="I413" s="16"/>
      <c r="J413" s="16"/>
      <c r="K413" s="16" t="b">
        <v>0</v>
      </c>
      <c r="L413" s="16" t="b">
        <v>0</v>
      </c>
    </row>
    <row r="414">
      <c r="A414" s="9"/>
      <c r="B414" s="16"/>
      <c r="C414" s="7" t="str">
        <f>IFERROR(VLOOKUP(B414,'Master data'!$A$1:$D$397,2,FALSE),"")</f>
        <v/>
      </c>
      <c r="D414" s="70" t="str">
        <f>VLOOKUP(B414,Sheet3!$B$2:$E$312,3,)</f>
        <v>#N/A</v>
      </c>
      <c r="E414" s="64"/>
      <c r="F414" s="16" t="str">
        <f>IFERROR(VLOOKUP(B414,'Master data'!$A$1:$D$397,3,FALSE),"")</f>
        <v/>
      </c>
      <c r="H414" s="65"/>
      <c r="I414" s="16"/>
      <c r="J414" s="16"/>
      <c r="K414" s="16" t="b">
        <v>0</v>
      </c>
      <c r="L414" s="16" t="b">
        <v>0</v>
      </c>
    </row>
    <row r="415">
      <c r="A415" s="9"/>
      <c r="B415" s="16"/>
      <c r="C415" s="7" t="str">
        <f>IFERROR(VLOOKUP(B415,'Master data'!$A$1:$D$397,2,FALSE),"")</f>
        <v/>
      </c>
      <c r="D415" s="70" t="str">
        <f>VLOOKUP(B415,Sheet3!$B$2:$E$312,3,)</f>
        <v>#N/A</v>
      </c>
      <c r="E415" s="64"/>
      <c r="F415" s="16" t="str">
        <f>IFERROR(VLOOKUP(B415,'Master data'!$A$1:$D$397,3,FALSE),"")</f>
        <v/>
      </c>
      <c r="H415" s="65"/>
      <c r="I415" s="16"/>
      <c r="J415" s="16"/>
      <c r="K415" s="16" t="b">
        <v>0</v>
      </c>
      <c r="L415" s="16" t="b">
        <v>0</v>
      </c>
    </row>
    <row r="416">
      <c r="A416" s="9"/>
      <c r="B416" s="16"/>
      <c r="C416" s="7" t="str">
        <f>IFERROR(VLOOKUP(B416,'Master data'!$A$1:$D$397,2,FALSE),"")</f>
        <v/>
      </c>
      <c r="D416" s="70" t="str">
        <f>VLOOKUP(B416,Sheet3!$B$2:$E$312,3,)</f>
        <v>#N/A</v>
      </c>
      <c r="E416" s="64"/>
      <c r="F416" s="16" t="str">
        <f>IFERROR(VLOOKUP(B416,'Master data'!$A$1:$D$397,3,FALSE),"")</f>
        <v/>
      </c>
      <c r="H416" s="65"/>
      <c r="I416" s="16"/>
      <c r="J416" s="16"/>
      <c r="K416" s="16" t="b">
        <v>0</v>
      </c>
      <c r="L416" s="16" t="b">
        <v>0</v>
      </c>
    </row>
    <row r="417">
      <c r="A417" s="9"/>
      <c r="B417" s="16"/>
      <c r="C417" s="7" t="str">
        <f>IFERROR(VLOOKUP(B417,'Master data'!$A$1:$D$397,2,FALSE),"")</f>
        <v/>
      </c>
      <c r="D417" s="70" t="str">
        <f>VLOOKUP(B417,Sheet3!$B$2:$E$312,3,)</f>
        <v>#N/A</v>
      </c>
      <c r="E417" s="64"/>
      <c r="F417" s="16" t="str">
        <f>IFERROR(VLOOKUP(B417,'Master data'!$A$1:$D$397,3,FALSE),"")</f>
        <v/>
      </c>
      <c r="H417" s="65"/>
      <c r="I417" s="16"/>
      <c r="J417" s="16"/>
      <c r="K417" s="16" t="b">
        <v>0</v>
      </c>
      <c r="L417" s="16" t="b">
        <v>0</v>
      </c>
    </row>
    <row r="418">
      <c r="A418" s="9"/>
      <c r="B418" s="16"/>
      <c r="C418" s="7" t="str">
        <f>IFERROR(VLOOKUP(B418,'Master data'!$A$1:$D$397,2,FALSE),"")</f>
        <v/>
      </c>
      <c r="D418" s="70" t="str">
        <f>VLOOKUP(B418,Sheet3!$B$2:$E$312,3,)</f>
        <v>#N/A</v>
      </c>
      <c r="E418" s="64"/>
      <c r="F418" s="16" t="str">
        <f>IFERROR(VLOOKUP(B418,'Master data'!$A$1:$D$397,3,FALSE),"")</f>
        <v/>
      </c>
      <c r="H418" s="65"/>
      <c r="I418" s="16"/>
      <c r="J418" s="16"/>
      <c r="K418" s="16" t="b">
        <v>0</v>
      </c>
      <c r="L418" s="16" t="b">
        <v>0</v>
      </c>
    </row>
    <row r="419">
      <c r="A419" s="9"/>
      <c r="B419" s="16"/>
      <c r="C419" s="7" t="str">
        <f>IFERROR(VLOOKUP(B419,'Master data'!$A$1:$D$397,2,FALSE),"")</f>
        <v/>
      </c>
      <c r="D419" s="70" t="str">
        <f>VLOOKUP(B419,Sheet3!$B$2:$E$312,3,)</f>
        <v>#N/A</v>
      </c>
      <c r="E419" s="64"/>
      <c r="F419" s="16" t="str">
        <f>IFERROR(VLOOKUP(B419,'Master data'!$A$1:$D$397,3,FALSE),"")</f>
        <v/>
      </c>
      <c r="H419" s="65"/>
      <c r="I419" s="16"/>
      <c r="J419" s="16"/>
      <c r="K419" s="16" t="b">
        <v>0</v>
      </c>
      <c r="L419" s="16" t="b">
        <v>0</v>
      </c>
    </row>
    <row r="420">
      <c r="A420" s="9"/>
      <c r="B420" s="16"/>
      <c r="C420" s="7" t="str">
        <f>IFERROR(VLOOKUP(B420,'Master data'!$A$1:$D$397,2,FALSE),"")</f>
        <v/>
      </c>
      <c r="D420" s="70" t="str">
        <f>VLOOKUP(B420,Sheet3!$B$2:$E$312,3,)</f>
        <v>#N/A</v>
      </c>
      <c r="E420" s="64"/>
      <c r="F420" s="16" t="str">
        <f>IFERROR(VLOOKUP(B420,'Master data'!$A$1:$D$397,3,FALSE),"")</f>
        <v/>
      </c>
      <c r="H420" s="65"/>
      <c r="I420" s="16"/>
      <c r="J420" s="16"/>
      <c r="K420" s="16" t="b">
        <v>0</v>
      </c>
      <c r="L420" s="16" t="b">
        <v>0</v>
      </c>
    </row>
    <row r="421">
      <c r="A421" s="9"/>
      <c r="B421" s="16"/>
      <c r="C421" s="7" t="str">
        <f>IFERROR(VLOOKUP(B421,'Master data'!$A$1:$D$397,2,FALSE),"")</f>
        <v/>
      </c>
      <c r="D421" s="70" t="str">
        <f>VLOOKUP(B421,Sheet3!$B$2:$E$312,3,)</f>
        <v>#N/A</v>
      </c>
      <c r="E421" s="64"/>
      <c r="F421" s="16" t="str">
        <f>IFERROR(VLOOKUP(B421,'Master data'!$A$1:$D$397,3,FALSE),"")</f>
        <v/>
      </c>
      <c r="H421" s="65"/>
      <c r="I421" s="16"/>
      <c r="J421" s="16"/>
      <c r="K421" s="16" t="b">
        <v>0</v>
      </c>
      <c r="L421" s="16" t="b">
        <v>0</v>
      </c>
    </row>
    <row r="422">
      <c r="A422" s="9"/>
      <c r="B422" s="16"/>
      <c r="C422" s="7" t="str">
        <f>IFERROR(VLOOKUP(B422,'Master data'!$A$1:$D$397,2,FALSE),"")</f>
        <v/>
      </c>
      <c r="D422" s="70" t="str">
        <f>VLOOKUP(B422,Sheet3!$B$2:$E$312,3,)</f>
        <v>#N/A</v>
      </c>
      <c r="E422" s="64"/>
      <c r="F422" s="16" t="str">
        <f>IFERROR(VLOOKUP(B422,'Master data'!$A$1:$D$397,3,FALSE),"")</f>
        <v/>
      </c>
      <c r="H422" s="65"/>
      <c r="I422" s="16"/>
      <c r="J422" s="16"/>
      <c r="K422" s="16" t="b">
        <v>0</v>
      </c>
      <c r="L422" s="16" t="b">
        <v>0</v>
      </c>
    </row>
    <row r="423">
      <c r="A423" s="9"/>
      <c r="B423" s="16"/>
      <c r="C423" s="7" t="str">
        <f>IFERROR(VLOOKUP(B423,'Master data'!$A$1:$D$397,2,FALSE),"")</f>
        <v/>
      </c>
      <c r="D423" s="70" t="str">
        <f>VLOOKUP(B423,Sheet3!$B$2:$E$312,3,)</f>
        <v>#N/A</v>
      </c>
      <c r="E423" s="64"/>
      <c r="F423" s="16" t="str">
        <f>IFERROR(VLOOKUP(B423,'Master data'!$A$1:$D$397,3,FALSE),"")</f>
        <v/>
      </c>
      <c r="H423" s="65"/>
      <c r="I423" s="16"/>
      <c r="J423" s="16"/>
      <c r="K423" s="16" t="b">
        <v>0</v>
      </c>
      <c r="L423" s="16" t="b">
        <v>0</v>
      </c>
    </row>
    <row r="424">
      <c r="A424" s="9"/>
      <c r="B424" s="16"/>
      <c r="C424" s="7" t="str">
        <f>IFERROR(VLOOKUP(B424,'Master data'!$A$1:$D$397,2,FALSE),"")</f>
        <v/>
      </c>
      <c r="D424" s="70" t="str">
        <f>VLOOKUP(B424,Sheet3!$B$2:$E$312,3,)</f>
        <v>#N/A</v>
      </c>
      <c r="E424" s="64"/>
      <c r="F424" s="16" t="str">
        <f>IFERROR(VLOOKUP(B424,'Master data'!$A$1:$D$397,3,FALSE),"")</f>
        <v/>
      </c>
      <c r="H424" s="65"/>
      <c r="I424" s="16"/>
      <c r="J424" s="16"/>
      <c r="K424" s="16" t="b">
        <v>0</v>
      </c>
      <c r="L424" s="16" t="b">
        <v>0</v>
      </c>
    </row>
    <row r="425">
      <c r="A425" s="9"/>
      <c r="B425" s="16"/>
      <c r="C425" s="7" t="str">
        <f>IFERROR(VLOOKUP(B425,'Master data'!$A$1:$D$397,2,FALSE),"")</f>
        <v/>
      </c>
      <c r="D425" s="70" t="str">
        <f>VLOOKUP(B425,Sheet3!$B$2:$E$312,3,)</f>
        <v>#N/A</v>
      </c>
      <c r="E425" s="64"/>
      <c r="F425" s="16" t="str">
        <f>IFERROR(VLOOKUP(B425,'Master data'!$A$1:$D$397,3,FALSE),"")</f>
        <v/>
      </c>
      <c r="H425" s="65"/>
      <c r="I425" s="16"/>
      <c r="J425" s="16"/>
      <c r="K425" s="16" t="b">
        <v>0</v>
      </c>
      <c r="L425" s="16" t="b">
        <v>0</v>
      </c>
    </row>
    <row r="426">
      <c r="A426" s="9"/>
      <c r="B426" s="16"/>
      <c r="C426" s="7" t="str">
        <f>IFERROR(VLOOKUP(B426,'Master data'!$A$1:$D$397,2,FALSE),"")</f>
        <v/>
      </c>
      <c r="D426" s="70" t="str">
        <f>VLOOKUP(B426,Sheet3!$B$2:$E$312,3,)</f>
        <v>#N/A</v>
      </c>
      <c r="E426" s="64"/>
      <c r="F426" s="16" t="str">
        <f>IFERROR(VLOOKUP(B426,'Master data'!$A$1:$D$397,3,FALSE),"")</f>
        <v/>
      </c>
      <c r="H426" s="65"/>
      <c r="I426" s="16"/>
      <c r="J426" s="16"/>
      <c r="K426" s="16" t="b">
        <v>0</v>
      </c>
      <c r="L426" s="16" t="b">
        <v>0</v>
      </c>
    </row>
    <row r="427">
      <c r="A427" s="9"/>
      <c r="B427" s="16"/>
      <c r="C427" s="7" t="str">
        <f>IFERROR(VLOOKUP(B427,'Master data'!$A$1:$D$397,2,FALSE),"")</f>
        <v/>
      </c>
      <c r="D427" s="70" t="str">
        <f>VLOOKUP(B427,Sheet3!$B$2:$E$312,3,)</f>
        <v>#N/A</v>
      </c>
      <c r="E427" s="64"/>
      <c r="F427" s="16" t="str">
        <f>IFERROR(VLOOKUP(B427,'Master data'!$A$1:$D$397,3,FALSE),"")</f>
        <v/>
      </c>
      <c r="H427" s="65"/>
      <c r="I427" s="16"/>
      <c r="J427" s="16"/>
      <c r="K427" s="16" t="b">
        <v>0</v>
      </c>
      <c r="L427" s="16" t="b">
        <v>0</v>
      </c>
    </row>
    <row r="428">
      <c r="A428" s="9"/>
      <c r="B428" s="16"/>
      <c r="C428" s="7" t="str">
        <f>IFERROR(VLOOKUP(B428,'Master data'!$A$1:$D$397,2,FALSE),"")</f>
        <v/>
      </c>
      <c r="D428" s="70" t="str">
        <f>VLOOKUP(B428,Sheet3!$B$2:$E$312,3,)</f>
        <v>#N/A</v>
      </c>
      <c r="E428" s="64"/>
      <c r="F428" s="16" t="str">
        <f>IFERROR(VLOOKUP(B428,'Master data'!$A$1:$D$397,3,FALSE),"")</f>
        <v/>
      </c>
      <c r="H428" s="65"/>
      <c r="I428" s="16"/>
      <c r="J428" s="16"/>
      <c r="K428" s="16" t="b">
        <v>0</v>
      </c>
      <c r="L428" s="16" t="b">
        <v>0</v>
      </c>
    </row>
    <row r="429">
      <c r="A429" s="9"/>
      <c r="B429" s="16"/>
      <c r="C429" s="7" t="str">
        <f>IFERROR(VLOOKUP(B429,'Master data'!$A$1:$D$397,2,FALSE),"")</f>
        <v/>
      </c>
      <c r="D429" s="70" t="str">
        <f>VLOOKUP(B429,Sheet3!$B$2:$E$312,3,)</f>
        <v>#N/A</v>
      </c>
      <c r="E429" s="64"/>
      <c r="F429" s="16" t="str">
        <f>IFERROR(VLOOKUP(B429,'Master data'!$A$1:$D$397,3,FALSE),"")</f>
        <v/>
      </c>
      <c r="H429" s="65"/>
      <c r="I429" s="16"/>
      <c r="J429" s="16"/>
      <c r="K429" s="16" t="b">
        <v>0</v>
      </c>
      <c r="L429" s="16" t="b">
        <v>0</v>
      </c>
    </row>
    <row r="430">
      <c r="A430" s="9"/>
      <c r="B430" s="16"/>
      <c r="C430" s="7" t="str">
        <f>IFERROR(VLOOKUP(B430,'Master data'!$A$1:$D$397,2,FALSE),"")</f>
        <v/>
      </c>
      <c r="D430" s="70" t="str">
        <f>VLOOKUP(B430,Sheet3!$B$2:$E$312,3,)</f>
        <v>#N/A</v>
      </c>
      <c r="E430" s="64"/>
      <c r="F430" s="16" t="str">
        <f>IFERROR(VLOOKUP(B430,'Master data'!$A$1:$D$397,3,FALSE),"")</f>
        <v/>
      </c>
      <c r="H430" s="65"/>
      <c r="I430" s="16"/>
      <c r="J430" s="16"/>
      <c r="K430" s="16" t="b">
        <v>0</v>
      </c>
      <c r="L430" s="16" t="b">
        <v>0</v>
      </c>
    </row>
    <row r="431">
      <c r="A431" s="9"/>
      <c r="B431" s="16"/>
      <c r="C431" s="7" t="str">
        <f>IFERROR(VLOOKUP(B431,'Master data'!$A$1:$D$397,2,FALSE),"")</f>
        <v/>
      </c>
      <c r="D431" s="70" t="str">
        <f>VLOOKUP(B431,Sheet3!$B$2:$E$312,3,)</f>
        <v>#N/A</v>
      </c>
      <c r="E431" s="64"/>
      <c r="F431" s="16" t="str">
        <f>IFERROR(VLOOKUP(B431,'Master data'!$A$1:$D$397,3,FALSE),"")</f>
        <v/>
      </c>
      <c r="H431" s="65"/>
      <c r="I431" s="16"/>
      <c r="J431" s="16"/>
      <c r="K431" s="16" t="b">
        <v>0</v>
      </c>
      <c r="L431" s="16" t="b">
        <v>0</v>
      </c>
    </row>
    <row r="432">
      <c r="A432" s="9"/>
      <c r="B432" s="16"/>
      <c r="C432" s="7" t="str">
        <f>IFERROR(VLOOKUP(B432,'Master data'!$A$1:$D$397,2,FALSE),"")</f>
        <v/>
      </c>
      <c r="D432" s="70" t="str">
        <f>VLOOKUP(B432,Sheet3!$B$2:$E$312,3,)</f>
        <v>#N/A</v>
      </c>
      <c r="E432" s="64"/>
      <c r="F432" s="16" t="str">
        <f>IFERROR(VLOOKUP(B432,'Master data'!$A$1:$D$397,3,FALSE),"")</f>
        <v/>
      </c>
      <c r="H432" s="65"/>
      <c r="I432" s="16"/>
      <c r="J432" s="16"/>
      <c r="K432" s="16" t="b">
        <v>0</v>
      </c>
      <c r="L432" s="16" t="b">
        <v>0</v>
      </c>
    </row>
    <row r="433">
      <c r="A433" s="9"/>
      <c r="B433" s="16"/>
      <c r="C433" s="7" t="str">
        <f>IFERROR(VLOOKUP(B433,'Master data'!$A$1:$D$397,2,FALSE),"")</f>
        <v/>
      </c>
      <c r="D433" s="70" t="str">
        <f>VLOOKUP(B433,Sheet3!$B$2:$E$312,3,)</f>
        <v>#N/A</v>
      </c>
      <c r="E433" s="64"/>
      <c r="F433" s="16" t="str">
        <f>IFERROR(VLOOKUP(B433,'Master data'!$A$1:$D$397,3,FALSE),"")</f>
        <v/>
      </c>
      <c r="H433" s="65"/>
      <c r="I433" s="16"/>
      <c r="J433" s="16"/>
      <c r="K433" s="16" t="b">
        <v>0</v>
      </c>
      <c r="L433" s="16" t="b">
        <v>0</v>
      </c>
    </row>
    <row r="434">
      <c r="A434" s="9"/>
      <c r="B434" s="16"/>
      <c r="C434" s="7" t="str">
        <f>IFERROR(VLOOKUP(B434,'Master data'!$A$1:$D$397,2,FALSE),"")</f>
        <v/>
      </c>
      <c r="D434" s="70" t="str">
        <f>VLOOKUP(B434,Sheet3!$B$2:$E$312,3,)</f>
        <v>#N/A</v>
      </c>
      <c r="E434" s="64"/>
      <c r="F434" s="16" t="str">
        <f>IFERROR(VLOOKUP(B434,'Master data'!$A$1:$D$397,3,FALSE),"")</f>
        <v/>
      </c>
      <c r="H434" s="65"/>
      <c r="I434" s="16"/>
      <c r="J434" s="16"/>
      <c r="K434" s="16" t="b">
        <v>0</v>
      </c>
      <c r="L434" s="16" t="b">
        <v>0</v>
      </c>
    </row>
    <row r="435">
      <c r="A435" s="9"/>
      <c r="B435" s="16"/>
      <c r="C435" s="7" t="str">
        <f>IFERROR(VLOOKUP(B435,'Master data'!$A$1:$D$397,2,FALSE),"")</f>
        <v/>
      </c>
      <c r="D435" s="70" t="str">
        <f>VLOOKUP(B435,Sheet3!$B$2:$E$312,3,)</f>
        <v>#N/A</v>
      </c>
      <c r="E435" s="64"/>
      <c r="F435" s="16" t="str">
        <f>IFERROR(VLOOKUP(B435,'Master data'!$A$1:$D$397,3,FALSE),"")</f>
        <v/>
      </c>
      <c r="H435" s="65"/>
      <c r="I435" s="16"/>
      <c r="J435" s="16"/>
      <c r="K435" s="16" t="b">
        <v>0</v>
      </c>
      <c r="L435" s="16" t="b">
        <v>0</v>
      </c>
    </row>
    <row r="436">
      <c r="A436" s="9"/>
      <c r="B436" s="16"/>
      <c r="C436" s="7" t="str">
        <f>IFERROR(VLOOKUP(B436,'Master data'!$A$1:$D$397,2,FALSE),"")</f>
        <v/>
      </c>
      <c r="D436" s="70" t="str">
        <f>VLOOKUP(B436,Sheet3!$B$2:$E$312,3,)</f>
        <v>#N/A</v>
      </c>
      <c r="E436" s="64"/>
      <c r="F436" s="16" t="str">
        <f>IFERROR(VLOOKUP(B436,'Master data'!$A$1:$D$397,3,FALSE),"")</f>
        <v/>
      </c>
      <c r="H436" s="65"/>
      <c r="I436" s="16"/>
      <c r="J436" s="16"/>
      <c r="K436" s="16" t="b">
        <v>0</v>
      </c>
      <c r="L436" s="16" t="b">
        <v>0</v>
      </c>
    </row>
    <row r="437">
      <c r="A437" s="9"/>
      <c r="B437" s="16"/>
      <c r="C437" s="7" t="str">
        <f>IFERROR(VLOOKUP(B437,'Master data'!$A$1:$D$397,2,FALSE),"")</f>
        <v/>
      </c>
      <c r="D437" s="70" t="str">
        <f>VLOOKUP(B437,Sheet3!$B$2:$E$312,3,)</f>
        <v>#N/A</v>
      </c>
      <c r="E437" s="64"/>
      <c r="F437" s="16" t="str">
        <f>IFERROR(VLOOKUP(B437,'Master data'!$A$1:$D$397,3,FALSE),"")</f>
        <v/>
      </c>
      <c r="H437" s="65"/>
      <c r="I437" s="16"/>
      <c r="J437" s="16"/>
      <c r="K437" s="16" t="b">
        <v>0</v>
      </c>
      <c r="L437" s="16" t="b">
        <v>0</v>
      </c>
    </row>
    <row r="438">
      <c r="A438" s="9"/>
      <c r="B438" s="16"/>
      <c r="C438" s="7" t="str">
        <f>IFERROR(VLOOKUP(B438,'Master data'!$A$1:$D$397,2,FALSE),"")</f>
        <v/>
      </c>
      <c r="D438" s="70" t="str">
        <f>VLOOKUP(B438,Sheet3!$B$2:$E$312,3,)</f>
        <v>#N/A</v>
      </c>
      <c r="E438" s="64"/>
      <c r="F438" s="16" t="str">
        <f>IFERROR(VLOOKUP(B438,'Master data'!$A$1:$D$397,3,FALSE),"")</f>
        <v/>
      </c>
      <c r="H438" s="65"/>
      <c r="I438" s="16"/>
      <c r="J438" s="16"/>
      <c r="K438" s="16" t="b">
        <v>0</v>
      </c>
      <c r="L438" s="16" t="b">
        <v>0</v>
      </c>
    </row>
    <row r="439">
      <c r="A439" s="9"/>
      <c r="B439" s="16"/>
      <c r="C439" s="7" t="str">
        <f>IFERROR(VLOOKUP(B439,'Master data'!$A$1:$D$397,2,FALSE),"")</f>
        <v/>
      </c>
      <c r="D439" s="70" t="str">
        <f>VLOOKUP(B439,Sheet3!$B$2:$E$312,3,)</f>
        <v>#N/A</v>
      </c>
      <c r="E439" s="64"/>
      <c r="F439" s="16" t="str">
        <f>IFERROR(VLOOKUP(B439,'Master data'!$A$1:$D$397,3,FALSE),"")</f>
        <v/>
      </c>
      <c r="H439" s="65"/>
      <c r="I439" s="16"/>
      <c r="J439" s="16"/>
      <c r="K439" s="16" t="b">
        <v>0</v>
      </c>
      <c r="L439" s="16" t="b">
        <v>0</v>
      </c>
    </row>
    <row r="440">
      <c r="A440" s="9"/>
      <c r="B440" s="16"/>
      <c r="C440" s="7" t="str">
        <f>IFERROR(VLOOKUP(B440,'Master data'!$A$1:$D$397,2,FALSE),"")</f>
        <v/>
      </c>
      <c r="D440" s="70" t="str">
        <f>VLOOKUP(B440,Sheet3!$B$2:$E$312,3,)</f>
        <v>#N/A</v>
      </c>
      <c r="E440" s="64"/>
      <c r="F440" s="16" t="str">
        <f>IFERROR(VLOOKUP(B440,'Master data'!$A$1:$D$397,3,FALSE),"")</f>
        <v/>
      </c>
      <c r="H440" s="65"/>
      <c r="I440" s="16"/>
      <c r="J440" s="16"/>
      <c r="K440" s="16" t="b">
        <v>0</v>
      </c>
      <c r="L440" s="16" t="b">
        <v>0</v>
      </c>
    </row>
    <row r="441">
      <c r="A441" s="9"/>
      <c r="B441" s="16"/>
      <c r="C441" s="7" t="str">
        <f>IFERROR(VLOOKUP(B441,'Master data'!$A$1:$D$397,2,FALSE),"")</f>
        <v/>
      </c>
      <c r="D441" s="70" t="str">
        <f>VLOOKUP(B441,Sheet3!$B$2:$E$312,3,)</f>
        <v>#N/A</v>
      </c>
      <c r="E441" s="64"/>
      <c r="F441" s="16" t="str">
        <f>IFERROR(VLOOKUP(B441,'Master data'!$A$1:$D$397,3,FALSE),"")</f>
        <v/>
      </c>
      <c r="H441" s="65"/>
      <c r="I441" s="16"/>
      <c r="J441" s="16"/>
      <c r="K441" s="16" t="b">
        <v>0</v>
      </c>
      <c r="L441" s="16" t="b">
        <v>0</v>
      </c>
    </row>
    <row r="442">
      <c r="A442" s="9"/>
      <c r="B442" s="16"/>
      <c r="C442" s="7" t="str">
        <f>IFERROR(VLOOKUP(B442,'Master data'!$A$1:$D$397,2,FALSE),"")</f>
        <v/>
      </c>
      <c r="D442" s="70" t="str">
        <f>VLOOKUP(B442,Sheet3!$B$2:$E$312,3,)</f>
        <v>#N/A</v>
      </c>
      <c r="E442" s="64"/>
      <c r="F442" s="16" t="str">
        <f>IFERROR(VLOOKUP(B442,'Master data'!$A$1:$D$397,3,FALSE),"")</f>
        <v/>
      </c>
      <c r="H442" s="65"/>
      <c r="I442" s="16"/>
      <c r="J442" s="16"/>
      <c r="K442" s="16" t="b">
        <v>0</v>
      </c>
      <c r="L442" s="16" t="b">
        <v>0</v>
      </c>
    </row>
    <row r="443">
      <c r="A443" s="9"/>
      <c r="B443" s="16"/>
      <c r="C443" s="7" t="str">
        <f>IFERROR(VLOOKUP(B443,'Master data'!$A$1:$D$397,2,FALSE),"")</f>
        <v/>
      </c>
      <c r="D443" s="70" t="str">
        <f>VLOOKUP(B443,Sheet3!$B$2:$E$312,3,)</f>
        <v>#N/A</v>
      </c>
      <c r="E443" s="64"/>
      <c r="F443" s="16" t="str">
        <f>IFERROR(VLOOKUP(B443,'Master data'!$A$1:$D$397,3,FALSE),"")</f>
        <v/>
      </c>
      <c r="H443" s="65"/>
      <c r="I443" s="16"/>
      <c r="J443" s="16"/>
      <c r="K443" s="16" t="b">
        <v>0</v>
      </c>
      <c r="L443" s="16" t="b">
        <v>0</v>
      </c>
    </row>
    <row r="444">
      <c r="A444" s="9"/>
      <c r="B444" s="16"/>
      <c r="C444" s="7" t="str">
        <f>IFERROR(VLOOKUP(B444,'Master data'!$A$1:$D$397,2,FALSE),"")</f>
        <v/>
      </c>
      <c r="D444" s="70" t="str">
        <f>VLOOKUP(B444,Sheet3!$B$2:$E$312,3,)</f>
        <v>#N/A</v>
      </c>
      <c r="E444" s="64"/>
      <c r="F444" s="16" t="str">
        <f>IFERROR(VLOOKUP(B444,'Master data'!$A$1:$D$397,3,FALSE),"")</f>
        <v/>
      </c>
      <c r="H444" s="65"/>
      <c r="I444" s="16"/>
      <c r="J444" s="16"/>
      <c r="K444" s="16" t="b">
        <v>0</v>
      </c>
      <c r="L444" s="16" t="b">
        <v>0</v>
      </c>
    </row>
    <row r="445">
      <c r="A445" s="9"/>
      <c r="B445" s="16"/>
      <c r="C445" s="7" t="str">
        <f>IFERROR(VLOOKUP(B445,'Master data'!$A$1:$D$397,2,FALSE),"")</f>
        <v/>
      </c>
      <c r="D445" s="70" t="str">
        <f>VLOOKUP(B445,Sheet3!$B$2:$E$312,3,)</f>
        <v>#N/A</v>
      </c>
      <c r="E445" s="64"/>
      <c r="F445" s="16" t="str">
        <f>IFERROR(VLOOKUP(B445,'Master data'!$A$1:$D$397,3,FALSE),"")</f>
        <v/>
      </c>
      <c r="H445" s="65"/>
      <c r="I445" s="16"/>
      <c r="J445" s="16"/>
      <c r="K445" s="16" t="b">
        <v>0</v>
      </c>
      <c r="L445" s="16" t="b">
        <v>0</v>
      </c>
    </row>
    <row r="446">
      <c r="A446" s="9"/>
      <c r="B446" s="16"/>
      <c r="C446" s="7" t="str">
        <f>IFERROR(VLOOKUP(B446,'Master data'!$A$1:$D$397,2,FALSE),"")</f>
        <v/>
      </c>
      <c r="D446" s="70" t="str">
        <f>VLOOKUP(B446,Sheet3!$B$2:$E$312,3,)</f>
        <v>#N/A</v>
      </c>
      <c r="E446" s="64"/>
      <c r="F446" s="16" t="str">
        <f>IFERROR(VLOOKUP(B446,'Master data'!$A$1:$D$397,3,FALSE),"")</f>
        <v/>
      </c>
      <c r="H446" s="65"/>
      <c r="I446" s="16"/>
      <c r="J446" s="16"/>
      <c r="K446" s="16" t="b">
        <v>0</v>
      </c>
      <c r="L446" s="16" t="b">
        <v>0</v>
      </c>
    </row>
    <row r="447">
      <c r="A447" s="9"/>
      <c r="B447" s="16"/>
      <c r="C447" s="7" t="str">
        <f>IFERROR(VLOOKUP(B447,'Master data'!$A$1:$D$397,2,FALSE),"")</f>
        <v/>
      </c>
      <c r="D447" s="70" t="str">
        <f>VLOOKUP(B447,Sheet3!$B$2:$E$312,3,)</f>
        <v>#N/A</v>
      </c>
      <c r="E447" s="64"/>
      <c r="F447" s="16" t="str">
        <f>IFERROR(VLOOKUP(B447,'Master data'!$A$1:$D$397,3,FALSE),"")</f>
        <v/>
      </c>
      <c r="H447" s="65"/>
      <c r="I447" s="16"/>
      <c r="J447" s="16"/>
      <c r="K447" s="16" t="b">
        <v>0</v>
      </c>
      <c r="L447" s="16" t="b">
        <v>0</v>
      </c>
    </row>
    <row r="448">
      <c r="A448" s="9"/>
      <c r="B448" s="16"/>
      <c r="C448" s="7" t="str">
        <f>IFERROR(VLOOKUP(B448,'Master data'!$A$1:$D$397,2,FALSE),"")</f>
        <v/>
      </c>
      <c r="D448" s="70" t="str">
        <f>VLOOKUP(B448,Sheet3!$B$2:$E$312,3,)</f>
        <v>#N/A</v>
      </c>
      <c r="E448" s="64"/>
      <c r="F448" s="16" t="str">
        <f>IFERROR(VLOOKUP(B448,'Master data'!$A$1:$D$397,3,FALSE),"")</f>
        <v/>
      </c>
      <c r="H448" s="65"/>
      <c r="I448" s="16"/>
      <c r="J448" s="16"/>
      <c r="K448" s="16" t="b">
        <v>0</v>
      </c>
      <c r="L448" s="16" t="b">
        <v>0</v>
      </c>
    </row>
    <row r="449">
      <c r="A449" s="9"/>
      <c r="B449" s="16"/>
      <c r="C449" s="7" t="str">
        <f>IFERROR(VLOOKUP(B449,'Master data'!$A$1:$D$397,2,FALSE),"")</f>
        <v/>
      </c>
      <c r="D449" s="70" t="str">
        <f>VLOOKUP(B449,Sheet3!$B$2:$E$312,3,)</f>
        <v>#N/A</v>
      </c>
      <c r="E449" s="64"/>
      <c r="F449" s="16" t="str">
        <f>IFERROR(VLOOKUP(B449,'Master data'!$A$1:$D$397,3,FALSE),"")</f>
        <v/>
      </c>
      <c r="H449" s="65"/>
      <c r="I449" s="16"/>
      <c r="J449" s="16"/>
      <c r="K449" s="16" t="b">
        <v>0</v>
      </c>
      <c r="L449" s="16" t="b">
        <v>0</v>
      </c>
    </row>
    <row r="450">
      <c r="A450" s="9"/>
      <c r="B450" s="16"/>
      <c r="C450" s="7" t="str">
        <f>IFERROR(VLOOKUP(B450,'Master data'!$A$1:$D$397,2,FALSE),"")</f>
        <v/>
      </c>
      <c r="D450" s="70" t="str">
        <f>VLOOKUP(B450,Sheet3!$B$2:$E$312,3,)</f>
        <v>#N/A</v>
      </c>
      <c r="E450" s="64"/>
      <c r="F450" s="16" t="str">
        <f>IFERROR(VLOOKUP(B450,'Master data'!$A$1:$D$397,3,FALSE),"")</f>
        <v/>
      </c>
      <c r="H450" s="65"/>
      <c r="I450" s="16"/>
      <c r="J450" s="16"/>
      <c r="K450" s="16" t="b">
        <v>0</v>
      </c>
      <c r="L450" s="16" t="b">
        <v>0</v>
      </c>
    </row>
    <row r="451">
      <c r="A451" s="9"/>
      <c r="B451" s="16"/>
      <c r="C451" s="7" t="str">
        <f>IFERROR(VLOOKUP(B451,'Master data'!$A$1:$D$397,2,FALSE),"")</f>
        <v/>
      </c>
      <c r="D451" s="70" t="str">
        <f>VLOOKUP(B451,Sheet3!$B$2:$E$312,3,)</f>
        <v>#N/A</v>
      </c>
      <c r="E451" s="64"/>
      <c r="F451" s="16" t="str">
        <f>IFERROR(VLOOKUP(B451,'Master data'!$A$1:$D$397,3,FALSE),"")</f>
        <v/>
      </c>
      <c r="H451" s="65"/>
      <c r="I451" s="16"/>
      <c r="J451" s="16"/>
      <c r="K451" s="16" t="b">
        <v>0</v>
      </c>
      <c r="L451" s="16" t="b">
        <v>0</v>
      </c>
    </row>
    <row r="452">
      <c r="A452" s="9"/>
      <c r="B452" s="16"/>
      <c r="C452" s="7" t="str">
        <f>IFERROR(VLOOKUP(B452,'Master data'!$A$1:$D$397,2,FALSE),"")</f>
        <v/>
      </c>
      <c r="D452" s="70" t="str">
        <f>VLOOKUP(B452,Sheet3!$B$2:$E$312,3,)</f>
        <v>#N/A</v>
      </c>
      <c r="E452" s="64"/>
      <c r="F452" s="16" t="str">
        <f>IFERROR(VLOOKUP(B452,'Master data'!$A$1:$D$397,3,FALSE),"")</f>
        <v/>
      </c>
      <c r="H452" s="65"/>
      <c r="I452" s="16"/>
      <c r="J452" s="16"/>
      <c r="K452" s="16" t="b">
        <v>0</v>
      </c>
      <c r="L452" s="16" t="b">
        <v>0</v>
      </c>
    </row>
    <row r="453">
      <c r="A453" s="9"/>
      <c r="B453" s="16"/>
      <c r="C453" s="7" t="str">
        <f>IFERROR(VLOOKUP(B453,'Master data'!$A$1:$D$397,2,FALSE),"")</f>
        <v/>
      </c>
      <c r="D453" s="70" t="str">
        <f>VLOOKUP(B453,Sheet3!$B$2:$E$312,3,)</f>
        <v>#N/A</v>
      </c>
      <c r="E453" s="64"/>
      <c r="F453" s="16" t="str">
        <f>IFERROR(VLOOKUP(B453,'Master data'!$A$1:$D$397,3,FALSE),"")</f>
        <v/>
      </c>
      <c r="H453" s="65"/>
      <c r="I453" s="16"/>
      <c r="J453" s="16"/>
      <c r="K453" s="16" t="b">
        <v>0</v>
      </c>
      <c r="L453" s="16" t="b">
        <v>0</v>
      </c>
    </row>
    <row r="454">
      <c r="A454" s="9"/>
      <c r="B454" s="16"/>
      <c r="C454" s="7" t="str">
        <f>IFERROR(VLOOKUP(B454,'Master data'!$A$1:$D$397,2,FALSE),"")</f>
        <v/>
      </c>
      <c r="D454" s="70" t="str">
        <f>VLOOKUP(B454,Sheet3!$B$2:$E$312,3,)</f>
        <v>#N/A</v>
      </c>
      <c r="E454" s="64"/>
      <c r="F454" s="16" t="str">
        <f>IFERROR(VLOOKUP(B454,'Master data'!$A$1:$D$397,3,FALSE),"")</f>
        <v/>
      </c>
      <c r="H454" s="65"/>
      <c r="I454" s="16"/>
      <c r="J454" s="16"/>
      <c r="K454" s="16" t="b">
        <v>0</v>
      </c>
      <c r="L454" s="16" t="b">
        <v>0</v>
      </c>
    </row>
    <row r="455">
      <c r="A455" s="9"/>
      <c r="B455" s="16"/>
      <c r="C455" s="7" t="str">
        <f>IFERROR(VLOOKUP(B455,'Master data'!$A$1:$D$397,2,FALSE),"")</f>
        <v/>
      </c>
      <c r="D455" s="70" t="str">
        <f>VLOOKUP(B455,Sheet3!$B$2:$E$312,3,)</f>
        <v>#N/A</v>
      </c>
      <c r="E455" s="64"/>
      <c r="F455" s="16" t="str">
        <f>IFERROR(VLOOKUP(B455,'Master data'!$A$1:$D$397,3,FALSE),"")</f>
        <v/>
      </c>
      <c r="H455" s="65"/>
      <c r="I455" s="16"/>
      <c r="J455" s="16"/>
      <c r="K455" s="16" t="b">
        <v>0</v>
      </c>
      <c r="L455" s="16" t="b">
        <v>0</v>
      </c>
    </row>
    <row r="456">
      <c r="A456" s="9"/>
      <c r="B456" s="16"/>
      <c r="C456" s="7" t="str">
        <f>IFERROR(VLOOKUP(B456,'Master data'!$A$1:$D$397,2,FALSE),"")</f>
        <v/>
      </c>
      <c r="D456" s="70" t="str">
        <f>VLOOKUP(B456,Sheet3!$B$2:$E$312,3,)</f>
        <v>#N/A</v>
      </c>
      <c r="E456" s="64"/>
      <c r="F456" s="16" t="str">
        <f>IFERROR(VLOOKUP(B456,'Master data'!$A$1:$D$397,3,FALSE),"")</f>
        <v/>
      </c>
      <c r="H456" s="65"/>
      <c r="I456" s="16"/>
      <c r="J456" s="16"/>
      <c r="K456" s="16" t="b">
        <v>0</v>
      </c>
      <c r="L456" s="16" t="b">
        <v>0</v>
      </c>
    </row>
    <row r="457">
      <c r="A457" s="9"/>
      <c r="B457" s="16"/>
      <c r="C457" s="7" t="str">
        <f>IFERROR(VLOOKUP(B457,'Master data'!$A$1:$D$397,2,FALSE),"")</f>
        <v/>
      </c>
      <c r="D457" s="70" t="str">
        <f>VLOOKUP(B457,Sheet3!$B$2:$E$312,3,)</f>
        <v>#N/A</v>
      </c>
      <c r="E457" s="64"/>
      <c r="F457" s="16" t="str">
        <f>IFERROR(VLOOKUP(B457,'Master data'!$A$1:$D$397,3,FALSE),"")</f>
        <v/>
      </c>
      <c r="H457" s="65"/>
      <c r="I457" s="16"/>
      <c r="J457" s="16"/>
      <c r="K457" s="16" t="b">
        <v>0</v>
      </c>
      <c r="L457" s="16" t="b">
        <v>0</v>
      </c>
    </row>
    <row r="458">
      <c r="A458" s="9"/>
      <c r="B458" s="16"/>
      <c r="C458" s="7" t="str">
        <f>IFERROR(VLOOKUP(B458,'Master data'!$A$1:$D$397,2,FALSE),"")</f>
        <v/>
      </c>
      <c r="D458" s="70" t="str">
        <f>VLOOKUP(B458,Sheet3!$B$2:$E$312,3,)</f>
        <v>#N/A</v>
      </c>
      <c r="E458" s="64"/>
      <c r="F458" s="16" t="str">
        <f>IFERROR(VLOOKUP(B458,'Master data'!$A$1:$D$397,3,FALSE),"")</f>
        <v/>
      </c>
      <c r="H458" s="65"/>
      <c r="I458" s="16"/>
      <c r="J458" s="16"/>
      <c r="K458" s="16" t="b">
        <v>0</v>
      </c>
      <c r="L458" s="16" t="b">
        <v>0</v>
      </c>
    </row>
    <row r="459">
      <c r="A459" s="9"/>
      <c r="B459" s="16"/>
      <c r="C459" s="7" t="str">
        <f>IFERROR(VLOOKUP(B459,'Master data'!$A$1:$D$397,2,FALSE),"")</f>
        <v/>
      </c>
      <c r="D459" s="70" t="str">
        <f>VLOOKUP(B459,Sheet3!$B$2:$E$312,3,)</f>
        <v>#N/A</v>
      </c>
      <c r="E459" s="64"/>
      <c r="F459" s="16" t="str">
        <f>IFERROR(VLOOKUP(B459,'Master data'!$A$1:$D$397,3,FALSE),"")</f>
        <v/>
      </c>
      <c r="H459" s="65"/>
      <c r="I459" s="16"/>
      <c r="J459" s="16"/>
      <c r="K459" s="16" t="b">
        <v>0</v>
      </c>
      <c r="L459" s="16" t="b">
        <v>0</v>
      </c>
    </row>
    <row r="460">
      <c r="A460" s="9"/>
      <c r="B460" s="16"/>
      <c r="C460" s="7" t="str">
        <f>IFERROR(VLOOKUP(B460,'Master data'!$A$1:$D$397,2,FALSE),"")</f>
        <v/>
      </c>
      <c r="D460" s="70" t="str">
        <f>VLOOKUP(B460,Sheet3!$B$2:$E$312,3,)</f>
        <v>#N/A</v>
      </c>
      <c r="E460" s="64"/>
      <c r="F460" s="16" t="str">
        <f>IFERROR(VLOOKUP(B460,'Master data'!$A$1:$D$397,3,FALSE),"")</f>
        <v/>
      </c>
      <c r="H460" s="65"/>
      <c r="I460" s="16"/>
      <c r="J460" s="16"/>
      <c r="K460" s="16" t="b">
        <v>0</v>
      </c>
      <c r="L460" s="16" t="b">
        <v>0</v>
      </c>
    </row>
    <row r="461">
      <c r="A461" s="9"/>
      <c r="B461" s="16"/>
      <c r="C461" s="7" t="str">
        <f>IFERROR(VLOOKUP(B461,'Master data'!$A$1:$D$397,2,FALSE),"")</f>
        <v/>
      </c>
      <c r="D461" s="70" t="str">
        <f>VLOOKUP(B461,Sheet3!$B$2:$E$312,3,)</f>
        <v>#N/A</v>
      </c>
      <c r="E461" s="64"/>
      <c r="F461" s="16" t="str">
        <f>IFERROR(VLOOKUP(B461,'Master data'!$A$1:$D$397,3,FALSE),"")</f>
        <v/>
      </c>
      <c r="H461" s="65"/>
      <c r="I461" s="16"/>
      <c r="J461" s="16"/>
      <c r="K461" s="16" t="b">
        <v>0</v>
      </c>
      <c r="L461" s="16" t="b">
        <v>0</v>
      </c>
    </row>
    <row r="462">
      <c r="A462" s="9"/>
      <c r="B462" s="16"/>
      <c r="C462" s="7" t="str">
        <f>IFERROR(VLOOKUP(B462,'Master data'!$A$1:$D$397,2,FALSE),"")</f>
        <v/>
      </c>
      <c r="D462" s="70" t="str">
        <f>VLOOKUP(B462,Sheet3!$B$2:$E$312,3,)</f>
        <v>#N/A</v>
      </c>
      <c r="E462" s="64"/>
      <c r="F462" s="16" t="str">
        <f>IFERROR(VLOOKUP(B462,'Master data'!$A$1:$D$397,3,FALSE),"")</f>
        <v/>
      </c>
      <c r="H462" s="65"/>
      <c r="I462" s="16"/>
      <c r="J462" s="16"/>
      <c r="K462" s="16" t="b">
        <v>0</v>
      </c>
      <c r="L462" s="16" t="b">
        <v>0</v>
      </c>
    </row>
    <row r="463">
      <c r="A463" s="9"/>
      <c r="B463" s="16"/>
      <c r="C463" s="7" t="str">
        <f>IFERROR(VLOOKUP(B463,'Master data'!$A$1:$D$397,2,FALSE),"")</f>
        <v/>
      </c>
      <c r="D463" s="70" t="str">
        <f>VLOOKUP(B463,Sheet3!$B$2:$E$312,3,)</f>
        <v>#N/A</v>
      </c>
      <c r="E463" s="64"/>
      <c r="F463" s="16" t="str">
        <f>IFERROR(VLOOKUP(B463,'Master data'!$A$1:$D$397,3,FALSE),"")</f>
        <v/>
      </c>
      <c r="H463" s="65"/>
      <c r="I463" s="16"/>
      <c r="J463" s="16"/>
      <c r="K463" s="16" t="b">
        <v>0</v>
      </c>
      <c r="L463" s="16" t="b">
        <v>0</v>
      </c>
    </row>
    <row r="464">
      <c r="A464" s="9"/>
      <c r="B464" s="16"/>
      <c r="C464" s="7" t="str">
        <f>IFERROR(VLOOKUP(B464,'Master data'!$A$1:$D$397,2,FALSE),"")</f>
        <v/>
      </c>
      <c r="D464" s="70" t="str">
        <f>VLOOKUP(B464,Sheet3!$B$2:$E$312,3,)</f>
        <v>#N/A</v>
      </c>
      <c r="E464" s="64"/>
      <c r="F464" s="16" t="str">
        <f>IFERROR(VLOOKUP(B464,'Master data'!$A$1:$D$397,3,FALSE),"")</f>
        <v/>
      </c>
      <c r="H464" s="65"/>
      <c r="I464" s="16"/>
      <c r="J464" s="16"/>
      <c r="K464" s="16" t="b">
        <v>0</v>
      </c>
      <c r="L464" s="16" t="b">
        <v>0</v>
      </c>
    </row>
    <row r="465">
      <c r="A465" s="9"/>
      <c r="B465" s="16"/>
      <c r="C465" s="7" t="str">
        <f>IFERROR(VLOOKUP(B465,'Master data'!$A$1:$D$397,2,FALSE),"")</f>
        <v/>
      </c>
      <c r="D465" s="70" t="str">
        <f>VLOOKUP(B465,Sheet3!$B$2:$E$312,3,)</f>
        <v>#N/A</v>
      </c>
      <c r="E465" s="64"/>
      <c r="F465" s="16" t="str">
        <f>IFERROR(VLOOKUP(B465,'Master data'!$A$1:$D$397,3,FALSE),"")</f>
        <v/>
      </c>
      <c r="H465" s="65"/>
      <c r="I465" s="16"/>
      <c r="J465" s="16"/>
      <c r="K465" s="16" t="b">
        <v>0</v>
      </c>
      <c r="L465" s="16" t="b">
        <v>0</v>
      </c>
    </row>
    <row r="466">
      <c r="A466" s="9"/>
      <c r="B466" s="16"/>
      <c r="C466" s="7" t="str">
        <f>IFERROR(VLOOKUP(B466,'Master data'!$A$1:$D$397,2,FALSE),"")</f>
        <v/>
      </c>
      <c r="D466" s="70" t="str">
        <f>VLOOKUP(B466,Sheet3!$B$2:$E$312,3,)</f>
        <v>#N/A</v>
      </c>
      <c r="E466" s="64"/>
      <c r="F466" s="16" t="str">
        <f>IFERROR(VLOOKUP(B466,'Master data'!$A$1:$D$397,3,FALSE),"")</f>
        <v/>
      </c>
      <c r="H466" s="65"/>
      <c r="I466" s="16"/>
      <c r="J466" s="16"/>
      <c r="K466" s="16" t="b">
        <v>0</v>
      </c>
      <c r="L466" s="16" t="b">
        <v>0</v>
      </c>
    </row>
    <row r="467">
      <c r="A467" s="9"/>
      <c r="B467" s="16"/>
      <c r="C467" s="7" t="str">
        <f>IFERROR(VLOOKUP(B467,'Master data'!$A$1:$D$397,2,FALSE),"")</f>
        <v/>
      </c>
      <c r="D467" s="70" t="str">
        <f>VLOOKUP(B467,Sheet3!$B$2:$E$312,3,)</f>
        <v>#N/A</v>
      </c>
      <c r="E467" s="64"/>
      <c r="F467" s="16" t="str">
        <f>IFERROR(VLOOKUP(B467,'Master data'!$A$1:$D$397,3,FALSE),"")</f>
        <v/>
      </c>
      <c r="H467" s="65"/>
      <c r="I467" s="16"/>
      <c r="J467" s="16"/>
      <c r="K467" s="16" t="b">
        <v>0</v>
      </c>
      <c r="L467" s="16" t="b">
        <v>0</v>
      </c>
    </row>
    <row r="468">
      <c r="A468" s="9"/>
      <c r="B468" s="16"/>
      <c r="C468" s="7" t="str">
        <f>IFERROR(VLOOKUP(B468,'Master data'!$A$1:$D$397,2,FALSE),"")</f>
        <v/>
      </c>
      <c r="D468" s="70" t="str">
        <f>VLOOKUP(B468,Sheet3!$B$2:$E$312,3,)</f>
        <v>#N/A</v>
      </c>
      <c r="E468" s="64"/>
      <c r="F468" s="16" t="str">
        <f>IFERROR(VLOOKUP(B468,'Master data'!$A$1:$D$397,3,FALSE),"")</f>
        <v/>
      </c>
      <c r="H468" s="65"/>
      <c r="I468" s="16"/>
      <c r="J468" s="16"/>
      <c r="K468" s="16" t="b">
        <v>0</v>
      </c>
      <c r="L468" s="16" t="b">
        <v>0</v>
      </c>
    </row>
    <row r="469">
      <c r="A469" s="9"/>
      <c r="B469" s="16"/>
      <c r="C469" s="7" t="str">
        <f>IFERROR(VLOOKUP(B469,'Master data'!$A$1:$D$397,2,FALSE),"")</f>
        <v/>
      </c>
      <c r="D469" s="70" t="str">
        <f>VLOOKUP(B469,Sheet3!$B$2:$E$312,3,)</f>
        <v>#N/A</v>
      </c>
      <c r="E469" s="64"/>
      <c r="F469" s="16" t="str">
        <f>IFERROR(VLOOKUP(B469,'Master data'!$A$1:$D$397,3,FALSE),"")</f>
        <v/>
      </c>
      <c r="H469" s="65"/>
      <c r="I469" s="16"/>
      <c r="J469" s="16"/>
      <c r="K469" s="16" t="b">
        <v>0</v>
      </c>
      <c r="L469" s="16" t="b">
        <v>0</v>
      </c>
    </row>
    <row r="470">
      <c r="A470" s="9"/>
      <c r="B470" s="16"/>
      <c r="C470" s="7" t="str">
        <f>IFERROR(VLOOKUP(B470,'Master data'!$A$1:$D$397,2,FALSE),"")</f>
        <v/>
      </c>
      <c r="D470" s="70" t="str">
        <f>VLOOKUP(B470,Sheet3!$B$2:$E$312,3,)</f>
        <v>#N/A</v>
      </c>
      <c r="E470" s="64"/>
      <c r="F470" s="16" t="str">
        <f>IFERROR(VLOOKUP(B470,'Master data'!$A$1:$D$397,3,FALSE),"")</f>
        <v/>
      </c>
      <c r="H470" s="65"/>
      <c r="I470" s="16"/>
      <c r="J470" s="16"/>
      <c r="K470" s="16" t="b">
        <v>0</v>
      </c>
      <c r="L470" s="16" t="b">
        <v>0</v>
      </c>
    </row>
    <row r="471">
      <c r="A471" s="9"/>
      <c r="B471" s="16"/>
      <c r="C471" s="7" t="str">
        <f>IFERROR(VLOOKUP(B471,'Master data'!$A$1:$D$397,2,FALSE),"")</f>
        <v/>
      </c>
      <c r="D471" s="70" t="str">
        <f>VLOOKUP(B471,Sheet3!$B$2:$E$312,3,)</f>
        <v>#N/A</v>
      </c>
      <c r="E471" s="64"/>
      <c r="F471" s="16" t="str">
        <f>IFERROR(VLOOKUP(B471,'Master data'!$A$1:$D$397,3,FALSE),"")</f>
        <v/>
      </c>
      <c r="H471" s="65"/>
      <c r="I471" s="16"/>
      <c r="J471" s="16"/>
      <c r="K471" s="16" t="b">
        <v>0</v>
      </c>
      <c r="L471" s="16" t="b">
        <v>0</v>
      </c>
    </row>
    <row r="472">
      <c r="A472" s="9"/>
      <c r="B472" s="16"/>
      <c r="C472" s="7" t="str">
        <f>IFERROR(VLOOKUP(B472,'Master data'!$A$1:$D$397,2,FALSE),"")</f>
        <v/>
      </c>
      <c r="D472" s="70" t="str">
        <f>VLOOKUP(B472,Sheet3!$B$2:$E$312,3,)</f>
        <v>#N/A</v>
      </c>
      <c r="E472" s="64"/>
      <c r="F472" s="16" t="str">
        <f>IFERROR(VLOOKUP(B472,'Master data'!$A$1:$D$397,3,FALSE),"")</f>
        <v/>
      </c>
      <c r="H472" s="65"/>
      <c r="I472" s="16"/>
      <c r="J472" s="16"/>
      <c r="K472" s="16" t="b">
        <v>0</v>
      </c>
      <c r="L472" s="16" t="b">
        <v>0</v>
      </c>
    </row>
    <row r="473">
      <c r="A473" s="9"/>
      <c r="B473" s="16"/>
      <c r="C473" s="7" t="str">
        <f>IFERROR(VLOOKUP(B473,'Master data'!$A$1:$D$397,2,FALSE),"")</f>
        <v/>
      </c>
      <c r="D473" s="70" t="str">
        <f>VLOOKUP(B473,Sheet3!$B$2:$E$312,3,)</f>
        <v>#N/A</v>
      </c>
      <c r="E473" s="64"/>
      <c r="F473" s="16" t="str">
        <f>IFERROR(VLOOKUP(B473,'Master data'!$A$1:$D$397,3,FALSE),"")</f>
        <v/>
      </c>
      <c r="H473" s="65"/>
      <c r="I473" s="16"/>
      <c r="J473" s="16"/>
      <c r="K473" s="16" t="b">
        <v>0</v>
      </c>
      <c r="L473" s="16" t="b">
        <v>0</v>
      </c>
    </row>
    <row r="474">
      <c r="A474" s="9"/>
      <c r="B474" s="16"/>
      <c r="C474" s="7" t="str">
        <f>IFERROR(VLOOKUP(B474,'Master data'!$A$1:$D$397,2,FALSE),"")</f>
        <v/>
      </c>
      <c r="D474" s="70" t="str">
        <f>VLOOKUP(B474,Sheet3!$B$2:$E$312,3,)</f>
        <v>#N/A</v>
      </c>
      <c r="E474" s="64"/>
      <c r="F474" s="16" t="str">
        <f>IFERROR(VLOOKUP(B474,'Master data'!$A$1:$D$397,3,FALSE),"")</f>
        <v/>
      </c>
      <c r="H474" s="65"/>
      <c r="I474" s="16"/>
      <c r="J474" s="16"/>
      <c r="K474" s="16" t="b">
        <v>0</v>
      </c>
      <c r="L474" s="16" t="b">
        <v>0</v>
      </c>
    </row>
    <row r="475">
      <c r="A475" s="9"/>
      <c r="B475" s="16"/>
      <c r="C475" s="7" t="str">
        <f>IFERROR(VLOOKUP(B475,'Master data'!$A$1:$D$397,2,FALSE),"")</f>
        <v/>
      </c>
      <c r="D475" s="70" t="str">
        <f>VLOOKUP(B475,Sheet3!$B$2:$E$312,3,)</f>
        <v>#N/A</v>
      </c>
      <c r="E475" s="64"/>
      <c r="F475" s="16" t="str">
        <f>IFERROR(VLOOKUP(B475,'Master data'!$A$1:$D$397,3,FALSE),"")</f>
        <v/>
      </c>
      <c r="H475" s="65"/>
      <c r="I475" s="16"/>
      <c r="J475" s="16"/>
      <c r="K475" s="16" t="b">
        <v>0</v>
      </c>
      <c r="L475" s="16" t="b">
        <v>0</v>
      </c>
    </row>
    <row r="476">
      <c r="A476" s="9"/>
      <c r="B476" s="16"/>
      <c r="C476" s="7" t="str">
        <f>IFERROR(VLOOKUP(B476,'Master data'!$A$1:$D$397,2,FALSE),"")</f>
        <v/>
      </c>
      <c r="D476" s="70" t="str">
        <f>VLOOKUP(B476,Sheet3!$B$2:$E$312,3,)</f>
        <v>#N/A</v>
      </c>
      <c r="E476" s="64"/>
      <c r="F476" s="16" t="str">
        <f>IFERROR(VLOOKUP(B476,'Master data'!$A$1:$D$397,3,FALSE),"")</f>
        <v/>
      </c>
      <c r="H476" s="65"/>
      <c r="I476" s="16"/>
      <c r="J476" s="16"/>
      <c r="K476" s="16" t="b">
        <v>0</v>
      </c>
      <c r="L476" s="16" t="b">
        <v>0</v>
      </c>
    </row>
    <row r="477">
      <c r="A477" s="9"/>
      <c r="B477" s="16"/>
      <c r="C477" s="7" t="str">
        <f>IFERROR(VLOOKUP(B477,'Master data'!$A$1:$D$397,2,FALSE),"")</f>
        <v/>
      </c>
      <c r="D477" s="70" t="str">
        <f>VLOOKUP(B477,Sheet3!$B$2:$E$312,3,)</f>
        <v>#N/A</v>
      </c>
      <c r="E477" s="64"/>
      <c r="F477" s="16" t="str">
        <f>IFERROR(VLOOKUP(B477,'Master data'!$A$1:$D$397,3,FALSE),"")</f>
        <v/>
      </c>
      <c r="H477" s="65"/>
      <c r="I477" s="16"/>
      <c r="J477" s="16"/>
      <c r="K477" s="16" t="b">
        <v>0</v>
      </c>
      <c r="L477" s="16" t="b">
        <v>0</v>
      </c>
    </row>
    <row r="478">
      <c r="A478" s="9"/>
      <c r="B478" s="16"/>
      <c r="C478" s="7" t="str">
        <f>IFERROR(VLOOKUP(B478,'Master data'!$A$1:$D$397,2,FALSE),"")</f>
        <v/>
      </c>
      <c r="D478" s="70" t="str">
        <f>VLOOKUP(B478,Sheet3!$B$2:$E$312,3,)</f>
        <v>#N/A</v>
      </c>
      <c r="E478" s="64"/>
      <c r="F478" s="16" t="str">
        <f>IFERROR(VLOOKUP(B478,'Master data'!$A$1:$D$397,3,FALSE),"")</f>
        <v/>
      </c>
      <c r="H478" s="65"/>
      <c r="I478" s="16"/>
      <c r="J478" s="16"/>
      <c r="K478" s="16" t="b">
        <v>0</v>
      </c>
      <c r="L478" s="16" t="b">
        <v>0</v>
      </c>
    </row>
    <row r="479">
      <c r="A479" s="9"/>
      <c r="B479" s="16"/>
      <c r="C479" s="7" t="str">
        <f>IFERROR(VLOOKUP(B479,'Master data'!$A$1:$D$397,2,FALSE),"")</f>
        <v/>
      </c>
      <c r="D479" s="70" t="str">
        <f>VLOOKUP(B479,Sheet3!$B$2:$E$312,3,)</f>
        <v>#N/A</v>
      </c>
      <c r="E479" s="64"/>
      <c r="F479" s="16" t="str">
        <f>IFERROR(VLOOKUP(B479,'Master data'!$A$1:$D$397,3,FALSE),"")</f>
        <v/>
      </c>
      <c r="H479" s="65"/>
      <c r="I479" s="16"/>
      <c r="J479" s="16"/>
      <c r="K479" s="16" t="b">
        <v>0</v>
      </c>
      <c r="L479" s="16" t="b">
        <v>0</v>
      </c>
    </row>
    <row r="480">
      <c r="A480" s="9"/>
      <c r="B480" s="16"/>
      <c r="C480" s="7" t="str">
        <f>IFERROR(VLOOKUP(B480,'Master data'!$A$1:$D$397,2,FALSE),"")</f>
        <v/>
      </c>
      <c r="D480" s="70" t="str">
        <f>VLOOKUP(B480,Sheet3!$B$2:$E$312,3,)</f>
        <v>#N/A</v>
      </c>
      <c r="E480" s="64"/>
      <c r="F480" s="16" t="str">
        <f>IFERROR(VLOOKUP(B480,'Master data'!$A$1:$D$397,3,FALSE),"")</f>
        <v/>
      </c>
      <c r="H480" s="65"/>
      <c r="I480" s="16"/>
      <c r="J480" s="16"/>
      <c r="K480" s="16" t="b">
        <v>0</v>
      </c>
      <c r="L480" s="16" t="b">
        <v>0</v>
      </c>
    </row>
    <row r="481">
      <c r="A481" s="9"/>
      <c r="B481" s="16"/>
      <c r="C481" s="7" t="str">
        <f>IFERROR(VLOOKUP(B481,'Master data'!$A$1:$D$397,2,FALSE),"")</f>
        <v/>
      </c>
      <c r="D481" s="70" t="str">
        <f>VLOOKUP(B481,Sheet3!$B$2:$E$312,3,)</f>
        <v>#N/A</v>
      </c>
      <c r="E481" s="64"/>
      <c r="F481" s="16" t="str">
        <f>IFERROR(VLOOKUP(B481,'Master data'!$A$1:$D$397,3,FALSE),"")</f>
        <v/>
      </c>
      <c r="H481" s="65"/>
      <c r="I481" s="16"/>
      <c r="J481" s="16"/>
      <c r="K481" s="16" t="b">
        <v>0</v>
      </c>
      <c r="L481" s="16" t="b">
        <v>0</v>
      </c>
    </row>
    <row r="482">
      <c r="A482" s="9"/>
      <c r="B482" s="16"/>
      <c r="C482" s="7" t="str">
        <f>IFERROR(VLOOKUP(B482,'Master data'!$A$1:$D$397,2,FALSE),"")</f>
        <v/>
      </c>
      <c r="D482" s="70" t="str">
        <f>VLOOKUP(B482,Sheet3!$B$2:$E$312,3,)</f>
        <v>#N/A</v>
      </c>
      <c r="E482" s="64"/>
      <c r="F482" s="16" t="str">
        <f>IFERROR(VLOOKUP(B482,'Master data'!$A$1:$D$397,3,FALSE),"")</f>
        <v/>
      </c>
      <c r="H482" s="65"/>
      <c r="I482" s="16"/>
      <c r="J482" s="16"/>
      <c r="K482" s="16" t="b">
        <v>0</v>
      </c>
      <c r="L482" s="16" t="b">
        <v>0</v>
      </c>
    </row>
    <row r="483">
      <c r="A483" s="9"/>
      <c r="B483" s="16"/>
      <c r="C483" s="7" t="str">
        <f>IFERROR(VLOOKUP(B483,'Master data'!$A$1:$D$397,2,FALSE),"")</f>
        <v/>
      </c>
      <c r="D483" s="70" t="str">
        <f>VLOOKUP(B483,Sheet3!$B$2:$E$312,3,)</f>
        <v>#N/A</v>
      </c>
      <c r="E483" s="64"/>
      <c r="F483" s="16" t="str">
        <f>IFERROR(VLOOKUP(B483,'Master data'!$A$1:$D$397,3,FALSE),"")</f>
        <v/>
      </c>
      <c r="H483" s="65"/>
      <c r="I483" s="16"/>
      <c r="J483" s="16"/>
      <c r="K483" s="16" t="b">
        <v>0</v>
      </c>
      <c r="L483" s="16" t="b">
        <v>0</v>
      </c>
    </row>
    <row r="484">
      <c r="A484" s="9"/>
      <c r="B484" s="16"/>
      <c r="C484" s="7" t="str">
        <f>IFERROR(VLOOKUP(B484,'Master data'!$A$1:$D$397,2,FALSE),"")</f>
        <v/>
      </c>
      <c r="D484" s="70" t="str">
        <f>VLOOKUP(B484,Sheet3!$B$2:$E$312,3,)</f>
        <v>#N/A</v>
      </c>
      <c r="E484" s="64"/>
      <c r="F484" s="16" t="str">
        <f>IFERROR(VLOOKUP(B484,'Master data'!$A$1:$D$397,3,FALSE),"")</f>
        <v/>
      </c>
      <c r="H484" s="65"/>
      <c r="I484" s="16"/>
      <c r="J484" s="16"/>
      <c r="K484" s="16" t="b">
        <v>0</v>
      </c>
      <c r="L484" s="16" t="b">
        <v>0</v>
      </c>
    </row>
    <row r="485">
      <c r="A485" s="9"/>
      <c r="B485" s="16"/>
      <c r="C485" s="7" t="str">
        <f>IFERROR(VLOOKUP(B485,'Master data'!$A$1:$D$397,2,FALSE),"")</f>
        <v/>
      </c>
      <c r="D485" s="70" t="str">
        <f>VLOOKUP(B485,Sheet3!$B$2:$E$312,3,)</f>
        <v>#N/A</v>
      </c>
      <c r="E485" s="64"/>
      <c r="F485" s="16" t="str">
        <f>IFERROR(VLOOKUP(B485,'Master data'!$A$1:$D$397,3,FALSE),"")</f>
        <v/>
      </c>
      <c r="H485" s="65"/>
      <c r="I485" s="16"/>
      <c r="J485" s="16"/>
      <c r="K485" s="16" t="b">
        <v>0</v>
      </c>
      <c r="L485" s="16" t="b">
        <v>0</v>
      </c>
    </row>
    <row r="486">
      <c r="A486" s="9"/>
      <c r="B486" s="16"/>
      <c r="C486" s="7" t="str">
        <f>IFERROR(VLOOKUP(B486,'Master data'!$A$1:$D$397,2,FALSE),"")</f>
        <v/>
      </c>
      <c r="D486" s="70" t="str">
        <f>VLOOKUP(B486,Sheet3!$B$2:$E$312,3,)</f>
        <v>#N/A</v>
      </c>
      <c r="E486" s="64"/>
      <c r="F486" s="16" t="str">
        <f>IFERROR(VLOOKUP(B486,'Master data'!$A$1:$D$397,3,FALSE),"")</f>
        <v/>
      </c>
      <c r="H486" s="65"/>
      <c r="I486" s="16"/>
      <c r="J486" s="16"/>
      <c r="K486" s="16" t="b">
        <v>0</v>
      </c>
      <c r="L486" s="16" t="b">
        <v>0</v>
      </c>
    </row>
    <row r="487">
      <c r="A487" s="9"/>
      <c r="B487" s="16"/>
      <c r="C487" s="7" t="str">
        <f>IFERROR(VLOOKUP(B487,'Master data'!$A$1:$D$397,2,FALSE),"")</f>
        <v/>
      </c>
      <c r="D487" s="70" t="str">
        <f>VLOOKUP(B487,Sheet3!$B$2:$E$312,3,)</f>
        <v>#N/A</v>
      </c>
      <c r="E487" s="64"/>
      <c r="F487" s="16" t="str">
        <f>IFERROR(VLOOKUP(B487,'Master data'!$A$1:$D$397,3,FALSE),"")</f>
        <v/>
      </c>
      <c r="H487" s="65"/>
      <c r="I487" s="16"/>
      <c r="J487" s="16"/>
      <c r="K487" s="16" t="b">
        <v>0</v>
      </c>
      <c r="L487" s="16" t="b">
        <v>0</v>
      </c>
    </row>
    <row r="488">
      <c r="A488" s="9"/>
      <c r="B488" s="16"/>
      <c r="C488" s="7" t="str">
        <f>IFERROR(VLOOKUP(B488,'Master data'!$A$1:$D$397,2,FALSE),"")</f>
        <v/>
      </c>
      <c r="D488" s="70" t="str">
        <f>VLOOKUP(B488,Sheet3!$B$2:$E$312,3,)</f>
        <v>#N/A</v>
      </c>
      <c r="E488" s="64"/>
      <c r="F488" s="16" t="str">
        <f>IFERROR(VLOOKUP(B488,'Master data'!$A$1:$D$397,3,FALSE),"")</f>
        <v/>
      </c>
      <c r="H488" s="65"/>
      <c r="I488" s="16"/>
      <c r="J488" s="16"/>
      <c r="K488" s="16" t="b">
        <v>0</v>
      </c>
      <c r="L488" s="16" t="b">
        <v>0</v>
      </c>
    </row>
    <row r="489">
      <c r="A489" s="9"/>
      <c r="B489" s="16"/>
      <c r="C489" s="7" t="str">
        <f>IFERROR(VLOOKUP(B489,'Master data'!$A$1:$D$397,2,FALSE),"")</f>
        <v/>
      </c>
      <c r="D489" s="70" t="str">
        <f>VLOOKUP(B489,Sheet3!$B$2:$E$312,3,)</f>
        <v>#N/A</v>
      </c>
      <c r="E489" s="64"/>
      <c r="F489" s="16" t="str">
        <f>IFERROR(VLOOKUP(B489,'Master data'!$A$1:$D$397,3,FALSE),"")</f>
        <v/>
      </c>
      <c r="H489" s="65"/>
      <c r="I489" s="16"/>
      <c r="J489" s="16"/>
      <c r="K489" s="16" t="b">
        <v>0</v>
      </c>
      <c r="L489" s="16" t="b">
        <v>0</v>
      </c>
    </row>
    <row r="490">
      <c r="A490" s="9"/>
      <c r="B490" s="16"/>
      <c r="C490" s="7" t="str">
        <f>IFERROR(VLOOKUP(B490,'Master data'!$A$1:$D$397,2,FALSE),"")</f>
        <v/>
      </c>
      <c r="D490" s="70" t="str">
        <f>VLOOKUP(B490,Sheet3!$B$2:$E$312,3,)</f>
        <v>#N/A</v>
      </c>
      <c r="E490" s="64"/>
      <c r="F490" s="16" t="str">
        <f>IFERROR(VLOOKUP(B490,'Master data'!$A$1:$D$397,3,FALSE),"")</f>
        <v/>
      </c>
      <c r="H490" s="65"/>
      <c r="I490" s="16"/>
      <c r="J490" s="16"/>
      <c r="K490" s="16" t="b">
        <v>0</v>
      </c>
      <c r="L490" s="16" t="b">
        <v>0</v>
      </c>
    </row>
    <row r="491">
      <c r="A491" s="9"/>
      <c r="B491" s="16"/>
      <c r="C491" s="7" t="str">
        <f>IFERROR(VLOOKUP(B491,'Master data'!$A$1:$D$397,2,FALSE),"")</f>
        <v/>
      </c>
      <c r="D491" s="70" t="str">
        <f>VLOOKUP(B491,Sheet3!$B$2:$E$312,3,)</f>
        <v>#N/A</v>
      </c>
      <c r="E491" s="64"/>
      <c r="F491" s="16" t="str">
        <f>IFERROR(VLOOKUP(B491,'Master data'!$A$1:$D$397,3,FALSE),"")</f>
        <v/>
      </c>
      <c r="H491" s="65"/>
      <c r="I491" s="16"/>
      <c r="J491" s="16"/>
      <c r="K491" s="16" t="b">
        <v>0</v>
      </c>
      <c r="L491" s="16" t="b">
        <v>0</v>
      </c>
    </row>
    <row r="492">
      <c r="A492" s="9"/>
      <c r="B492" s="16"/>
      <c r="C492" s="7" t="str">
        <f>IFERROR(VLOOKUP(B492,'Master data'!$A$1:$D$397,2,FALSE),"")</f>
        <v/>
      </c>
      <c r="D492" s="70" t="str">
        <f>VLOOKUP(B492,Sheet3!$B$2:$E$312,3,)</f>
        <v>#N/A</v>
      </c>
      <c r="E492" s="64"/>
      <c r="F492" s="16" t="str">
        <f>IFERROR(VLOOKUP(B492,'Master data'!$A$1:$D$397,3,FALSE),"")</f>
        <v/>
      </c>
      <c r="H492" s="65"/>
      <c r="I492" s="16"/>
      <c r="J492" s="16"/>
      <c r="K492" s="16" t="b">
        <v>0</v>
      </c>
      <c r="L492" s="16" t="b">
        <v>0</v>
      </c>
    </row>
    <row r="493">
      <c r="A493" s="9"/>
      <c r="B493" s="16"/>
      <c r="C493" s="7" t="str">
        <f>IFERROR(VLOOKUP(B493,'Master data'!$A$1:$D$397,2,FALSE),"")</f>
        <v/>
      </c>
      <c r="D493" s="70" t="str">
        <f>VLOOKUP(B493,Sheet3!$B$2:$E$312,3,)</f>
        <v>#N/A</v>
      </c>
      <c r="E493" s="64"/>
      <c r="F493" s="16" t="str">
        <f>IFERROR(VLOOKUP(B493,'Master data'!$A$1:$D$397,3,FALSE),"")</f>
        <v/>
      </c>
      <c r="H493" s="65"/>
      <c r="I493" s="16"/>
      <c r="J493" s="16"/>
      <c r="K493" s="16" t="b">
        <v>0</v>
      </c>
      <c r="L493" s="16" t="b">
        <v>0</v>
      </c>
    </row>
    <row r="494">
      <c r="A494" s="9"/>
      <c r="B494" s="16"/>
      <c r="C494" s="7" t="str">
        <f>IFERROR(VLOOKUP(B494,'Master data'!$A$1:$D$397,2,FALSE),"")</f>
        <v/>
      </c>
      <c r="D494" s="70" t="str">
        <f>VLOOKUP(B494,Sheet3!$B$2:$E$312,3,)</f>
        <v>#N/A</v>
      </c>
      <c r="E494" s="64"/>
      <c r="F494" s="16" t="str">
        <f>IFERROR(VLOOKUP(B494,'Master data'!$A$1:$D$397,3,FALSE),"")</f>
        <v/>
      </c>
      <c r="H494" s="65"/>
      <c r="I494" s="16"/>
      <c r="J494" s="16"/>
      <c r="K494" s="16" t="b">
        <v>0</v>
      </c>
      <c r="L494" s="16" t="b">
        <v>0</v>
      </c>
    </row>
    <row r="495">
      <c r="A495" s="9"/>
      <c r="B495" s="16"/>
      <c r="C495" s="7" t="str">
        <f>IFERROR(VLOOKUP(B495,'Master data'!$A$1:$D$397,2,FALSE),"")</f>
        <v/>
      </c>
      <c r="D495" s="70" t="str">
        <f>VLOOKUP(B495,Sheet3!$B$2:$E$312,3,)</f>
        <v>#N/A</v>
      </c>
      <c r="E495" s="64"/>
      <c r="F495" s="16" t="str">
        <f>IFERROR(VLOOKUP(B495,'Master data'!$A$1:$D$397,3,FALSE),"")</f>
        <v/>
      </c>
      <c r="H495" s="65"/>
      <c r="I495" s="16"/>
      <c r="J495" s="16"/>
      <c r="K495" s="16" t="b">
        <v>0</v>
      </c>
      <c r="L495" s="16" t="b">
        <v>0</v>
      </c>
    </row>
    <row r="496">
      <c r="A496" s="9"/>
      <c r="B496" s="16"/>
      <c r="C496" s="7" t="str">
        <f>IFERROR(VLOOKUP(B496,'Master data'!$A$1:$D$397,2,FALSE),"")</f>
        <v/>
      </c>
      <c r="D496" s="70" t="str">
        <f>VLOOKUP(B496,Sheet3!$B$2:$E$312,3,)</f>
        <v>#N/A</v>
      </c>
      <c r="E496" s="64"/>
      <c r="F496" s="16" t="str">
        <f>IFERROR(VLOOKUP(B496,'Master data'!$A$1:$D$397,3,FALSE),"")</f>
        <v/>
      </c>
      <c r="H496" s="65"/>
      <c r="I496" s="16"/>
      <c r="J496" s="16"/>
      <c r="K496" s="16" t="b">
        <v>0</v>
      </c>
      <c r="L496" s="16" t="b">
        <v>0</v>
      </c>
    </row>
    <row r="497">
      <c r="A497" s="9"/>
      <c r="B497" s="16"/>
      <c r="C497" s="7" t="str">
        <f>IFERROR(VLOOKUP(B497,'Master data'!$A$1:$D$397,2,FALSE),"")</f>
        <v/>
      </c>
      <c r="D497" s="70" t="str">
        <f>VLOOKUP(B497,Sheet3!$B$2:$E$312,3,)</f>
        <v>#N/A</v>
      </c>
      <c r="E497" s="64"/>
      <c r="F497" s="16" t="str">
        <f>IFERROR(VLOOKUP(B497,'Master data'!$A$1:$D$397,3,FALSE),"")</f>
        <v/>
      </c>
      <c r="H497" s="65"/>
      <c r="I497" s="16"/>
      <c r="J497" s="16"/>
      <c r="K497" s="16" t="b">
        <v>0</v>
      </c>
      <c r="L497" s="16" t="b">
        <v>0</v>
      </c>
    </row>
    <row r="498">
      <c r="A498" s="9"/>
      <c r="B498" s="16"/>
      <c r="C498" s="7" t="str">
        <f>IFERROR(VLOOKUP(B498,'Master data'!$A$1:$D$397,2,FALSE),"")</f>
        <v/>
      </c>
      <c r="D498" s="70" t="str">
        <f>VLOOKUP(B498,Sheet3!$B$2:$E$312,3,)</f>
        <v>#N/A</v>
      </c>
      <c r="E498" s="64"/>
      <c r="F498" s="16" t="str">
        <f>IFERROR(VLOOKUP(B498,'Master data'!$A$1:$D$397,3,FALSE),"")</f>
        <v/>
      </c>
      <c r="H498" s="65"/>
      <c r="I498" s="16"/>
      <c r="J498" s="16"/>
      <c r="K498" s="16" t="b">
        <v>0</v>
      </c>
      <c r="L498" s="16" t="b">
        <v>0</v>
      </c>
    </row>
    <row r="499">
      <c r="A499" s="9"/>
      <c r="B499" s="16"/>
      <c r="C499" s="7" t="str">
        <f>IFERROR(VLOOKUP(B499,'Master data'!$A$1:$D$397,2,FALSE),"")</f>
        <v/>
      </c>
      <c r="D499" s="70" t="str">
        <f>VLOOKUP(B499,Sheet3!$B$2:$E$312,3,)</f>
        <v>#N/A</v>
      </c>
      <c r="E499" s="64"/>
      <c r="F499" s="16" t="str">
        <f>IFERROR(VLOOKUP(B499,'Master data'!$A$1:$D$397,3,FALSE),"")</f>
        <v/>
      </c>
      <c r="H499" s="65"/>
      <c r="I499" s="16"/>
      <c r="J499" s="16"/>
      <c r="K499" s="16" t="b">
        <v>0</v>
      </c>
      <c r="L499" s="16" t="b">
        <v>0</v>
      </c>
    </row>
    <row r="500">
      <c r="A500" s="9"/>
      <c r="B500" s="16"/>
      <c r="C500" s="7" t="str">
        <f>IFERROR(VLOOKUP(B500,'Master data'!$A$1:$D$397,2,FALSE),"")</f>
        <v/>
      </c>
      <c r="D500" s="70" t="str">
        <f>VLOOKUP(B500,Sheet3!$B$2:$E$312,3,)</f>
        <v>#N/A</v>
      </c>
      <c r="E500" s="64"/>
      <c r="F500" s="16" t="str">
        <f>IFERROR(VLOOKUP(B500,'Master data'!$A$1:$D$397,3,FALSE),"")</f>
        <v/>
      </c>
      <c r="H500" s="65"/>
      <c r="I500" s="16"/>
      <c r="J500" s="16"/>
      <c r="K500" s="16" t="b">
        <v>0</v>
      </c>
      <c r="L500" s="16" t="b">
        <v>0</v>
      </c>
    </row>
    <row r="501">
      <c r="A501" s="9"/>
      <c r="B501" s="16"/>
      <c r="C501" s="7" t="str">
        <f>IFERROR(VLOOKUP(B501,'Master data'!$A$1:$D$397,2,FALSE),"")</f>
        <v/>
      </c>
      <c r="D501" s="70" t="str">
        <f>VLOOKUP(B501,Sheet3!$B$2:$E$312,3,)</f>
        <v>#N/A</v>
      </c>
      <c r="E501" s="64"/>
      <c r="F501" s="16" t="str">
        <f>IFERROR(VLOOKUP(B501,'Master data'!$A$1:$D$397,3,FALSE),"")</f>
        <v/>
      </c>
      <c r="H501" s="65"/>
      <c r="I501" s="16"/>
      <c r="J501" s="16"/>
      <c r="K501" s="16" t="b">
        <v>0</v>
      </c>
      <c r="L501" s="16" t="b">
        <v>0</v>
      </c>
    </row>
    <row r="502">
      <c r="A502" s="9"/>
      <c r="B502" s="16"/>
      <c r="C502" s="7" t="str">
        <f>IFERROR(VLOOKUP(B502,'Master data'!$A$1:$D$397,2,FALSE),"")</f>
        <v/>
      </c>
      <c r="D502" s="70" t="str">
        <f>VLOOKUP(B502,Sheet3!$B$2:$E$312,3,)</f>
        <v>#N/A</v>
      </c>
      <c r="E502" s="64"/>
      <c r="F502" s="16" t="str">
        <f>IFERROR(VLOOKUP(B502,'Master data'!$A$1:$D$397,3,FALSE),"")</f>
        <v/>
      </c>
      <c r="H502" s="65"/>
      <c r="I502" s="16"/>
      <c r="J502" s="16"/>
      <c r="K502" s="16" t="b">
        <v>0</v>
      </c>
      <c r="L502" s="16" t="b">
        <v>0</v>
      </c>
    </row>
    <row r="503">
      <c r="A503" s="9"/>
      <c r="B503" s="16"/>
      <c r="C503" s="7" t="str">
        <f>IFERROR(VLOOKUP(B503,'Master data'!$A$1:$D$397,2,FALSE),"")</f>
        <v/>
      </c>
      <c r="D503" s="70" t="str">
        <f>VLOOKUP(B503,Sheet3!$B$2:$E$312,3,)</f>
        <v>#N/A</v>
      </c>
      <c r="E503" s="64"/>
      <c r="F503" s="16" t="str">
        <f>IFERROR(VLOOKUP(B503,'Master data'!$A$1:$D$397,3,FALSE),"")</f>
        <v/>
      </c>
      <c r="H503" s="65"/>
      <c r="I503" s="16"/>
      <c r="J503" s="16"/>
      <c r="K503" s="16" t="b">
        <v>0</v>
      </c>
      <c r="L503" s="16" t="b">
        <v>0</v>
      </c>
    </row>
    <row r="504">
      <c r="A504" s="9"/>
      <c r="B504" s="16"/>
      <c r="C504" s="7" t="str">
        <f>IFERROR(VLOOKUP(B504,'Master data'!$A$1:$D$397,2,FALSE),"")</f>
        <v/>
      </c>
      <c r="D504" s="70" t="str">
        <f>VLOOKUP(B504,Sheet3!$B$2:$E$312,3,)</f>
        <v>#N/A</v>
      </c>
      <c r="E504" s="64"/>
      <c r="F504" s="16" t="str">
        <f>IFERROR(VLOOKUP(B504,'Master data'!$A$1:$D$397,3,FALSE),"")</f>
        <v/>
      </c>
      <c r="H504" s="65"/>
      <c r="I504" s="16"/>
      <c r="J504" s="16"/>
      <c r="K504" s="16" t="b">
        <v>0</v>
      </c>
      <c r="L504" s="16" t="b">
        <v>0</v>
      </c>
    </row>
    <row r="505">
      <c r="A505" s="9"/>
      <c r="B505" s="16"/>
      <c r="C505" s="7" t="str">
        <f>IFERROR(VLOOKUP(B505,'Master data'!$A$1:$D$397,2,FALSE),"")</f>
        <v/>
      </c>
      <c r="D505" s="70" t="str">
        <f>VLOOKUP(B505,Sheet3!$B$2:$E$312,3,)</f>
        <v>#N/A</v>
      </c>
      <c r="E505" s="64"/>
      <c r="F505" s="16" t="str">
        <f>IFERROR(VLOOKUP(B505,'Master data'!$A$1:$D$397,3,FALSE),"")</f>
        <v/>
      </c>
      <c r="H505" s="65"/>
      <c r="I505" s="16"/>
      <c r="J505" s="16"/>
      <c r="K505" s="16" t="b">
        <v>0</v>
      </c>
      <c r="L505" s="16" t="b">
        <v>0</v>
      </c>
    </row>
    <row r="506">
      <c r="A506" s="9"/>
      <c r="B506" s="16"/>
      <c r="C506" s="7" t="str">
        <f>IFERROR(VLOOKUP(B506,'Master data'!$A$1:$D$397,2,FALSE),"")</f>
        <v/>
      </c>
      <c r="D506" s="70" t="str">
        <f>VLOOKUP(B506,Sheet3!$B$2:$E$312,3,)</f>
        <v>#N/A</v>
      </c>
      <c r="E506" s="64"/>
      <c r="F506" s="16" t="str">
        <f>IFERROR(VLOOKUP(B506,'Master data'!$A$1:$D$397,3,FALSE),"")</f>
        <v/>
      </c>
      <c r="H506" s="65"/>
      <c r="I506" s="16"/>
      <c r="J506" s="16"/>
      <c r="K506" s="16" t="b">
        <v>0</v>
      </c>
      <c r="L506" s="16" t="b">
        <v>0</v>
      </c>
    </row>
    <row r="507">
      <c r="A507" s="9"/>
      <c r="B507" s="16"/>
      <c r="C507" s="7" t="str">
        <f>IFERROR(VLOOKUP(B507,'Master data'!$A$1:$D$397,2,FALSE),"")</f>
        <v/>
      </c>
      <c r="D507" s="70" t="str">
        <f>VLOOKUP(B507,Sheet3!$B$2:$E$312,3,)</f>
        <v>#N/A</v>
      </c>
      <c r="E507" s="64"/>
      <c r="F507" s="16" t="str">
        <f>IFERROR(VLOOKUP(B507,'Master data'!$A$1:$D$397,3,FALSE),"")</f>
        <v/>
      </c>
      <c r="H507" s="65"/>
      <c r="I507" s="16"/>
      <c r="J507" s="16"/>
      <c r="K507" s="16" t="b">
        <v>0</v>
      </c>
      <c r="L507" s="16" t="b">
        <v>0</v>
      </c>
    </row>
    <row r="508">
      <c r="A508" s="9"/>
      <c r="B508" s="16"/>
      <c r="C508" s="7" t="str">
        <f>IFERROR(VLOOKUP(B508,'Master data'!$A$1:$D$397,2,FALSE),"")</f>
        <v/>
      </c>
      <c r="D508" s="70" t="str">
        <f>VLOOKUP(B508,Sheet3!$B$2:$E$312,3,)</f>
        <v>#N/A</v>
      </c>
      <c r="E508" s="64"/>
      <c r="F508" s="16" t="str">
        <f>IFERROR(VLOOKUP(B508,'Master data'!$A$1:$D$397,3,FALSE),"")</f>
        <v/>
      </c>
      <c r="H508" s="65"/>
      <c r="I508" s="16"/>
      <c r="J508" s="16"/>
      <c r="K508" s="16" t="b">
        <v>0</v>
      </c>
      <c r="L508" s="16" t="b">
        <v>0</v>
      </c>
    </row>
    <row r="509">
      <c r="A509" s="9"/>
      <c r="B509" s="16"/>
      <c r="C509" s="7" t="str">
        <f>IFERROR(VLOOKUP(B509,'Master data'!$A$1:$D$397,2,FALSE),"")</f>
        <v/>
      </c>
      <c r="D509" s="70" t="str">
        <f>VLOOKUP(B509,Sheet3!$B$2:$E$312,3,)</f>
        <v>#N/A</v>
      </c>
      <c r="E509" s="64"/>
      <c r="F509" s="16" t="str">
        <f>IFERROR(VLOOKUP(B509,'Master data'!$A$1:$D$397,3,FALSE),"")</f>
        <v/>
      </c>
      <c r="H509" s="65"/>
      <c r="I509" s="16"/>
      <c r="J509" s="16"/>
      <c r="K509" s="16" t="b">
        <v>0</v>
      </c>
      <c r="L509" s="16" t="b">
        <v>0</v>
      </c>
    </row>
    <row r="510">
      <c r="A510" s="9"/>
      <c r="B510" s="16"/>
      <c r="C510" s="7" t="str">
        <f>IFERROR(VLOOKUP(B510,'Master data'!$A$1:$D$397,2,FALSE),"")</f>
        <v/>
      </c>
      <c r="D510" s="70" t="str">
        <f>VLOOKUP(B510,Sheet3!$B$2:$E$312,3,)</f>
        <v>#N/A</v>
      </c>
      <c r="E510" s="64"/>
      <c r="F510" s="16" t="str">
        <f>IFERROR(VLOOKUP(B510,'Master data'!$A$1:$D$397,3,FALSE),"")</f>
        <v/>
      </c>
      <c r="H510" s="65"/>
      <c r="I510" s="16"/>
      <c r="J510" s="16"/>
      <c r="K510" s="16" t="b">
        <v>0</v>
      </c>
      <c r="L510" s="16" t="b">
        <v>0</v>
      </c>
    </row>
    <row r="511">
      <c r="A511" s="9"/>
      <c r="B511" s="16"/>
      <c r="C511" s="7" t="str">
        <f>IFERROR(VLOOKUP(B511,'Master data'!$A$1:$D$397,2,FALSE),"")</f>
        <v/>
      </c>
      <c r="D511" s="70" t="str">
        <f>VLOOKUP(B511,Sheet3!$B$2:$E$312,3,)</f>
        <v>#N/A</v>
      </c>
      <c r="E511" s="64"/>
      <c r="F511" s="16" t="str">
        <f>IFERROR(VLOOKUP(B511,'Master data'!$A$1:$D$397,3,FALSE),"")</f>
        <v/>
      </c>
      <c r="H511" s="65"/>
      <c r="I511" s="16"/>
      <c r="J511" s="16"/>
      <c r="K511" s="16" t="b">
        <v>0</v>
      </c>
      <c r="L511" s="16" t="b">
        <v>0</v>
      </c>
    </row>
    <row r="512">
      <c r="A512" s="9"/>
      <c r="B512" s="16"/>
      <c r="C512" s="7" t="str">
        <f>IFERROR(VLOOKUP(B512,'Master data'!$A$1:$D$397,2,FALSE),"")</f>
        <v/>
      </c>
      <c r="D512" s="70" t="str">
        <f>VLOOKUP(B512,Sheet3!$B$2:$E$312,3,)</f>
        <v>#N/A</v>
      </c>
      <c r="E512" s="64"/>
      <c r="F512" s="16" t="str">
        <f>IFERROR(VLOOKUP(B512,'Master data'!$A$1:$D$397,3,FALSE),"")</f>
        <v/>
      </c>
      <c r="H512" s="65"/>
      <c r="I512" s="16"/>
      <c r="J512" s="16"/>
      <c r="K512" s="16" t="b">
        <v>0</v>
      </c>
      <c r="L512" s="16" t="b">
        <v>0</v>
      </c>
    </row>
    <row r="513">
      <c r="A513" s="9"/>
      <c r="B513" s="16"/>
      <c r="C513" s="7" t="str">
        <f>IFERROR(VLOOKUP(B513,'Master data'!$A$1:$D$397,2,FALSE),"")</f>
        <v/>
      </c>
      <c r="D513" s="70" t="str">
        <f>VLOOKUP(B513,Sheet3!$B$2:$E$312,3,)</f>
        <v>#N/A</v>
      </c>
      <c r="E513" s="64"/>
      <c r="F513" s="16" t="str">
        <f>IFERROR(VLOOKUP(B513,'Master data'!$A$1:$D$397,3,FALSE),"")</f>
        <v/>
      </c>
      <c r="H513" s="65"/>
      <c r="I513" s="16"/>
      <c r="J513" s="16"/>
      <c r="K513" s="16" t="b">
        <v>0</v>
      </c>
      <c r="L513" s="16" t="b">
        <v>0</v>
      </c>
    </row>
    <row r="514">
      <c r="A514" s="9"/>
      <c r="B514" s="16"/>
      <c r="C514" s="7" t="str">
        <f>IFERROR(VLOOKUP(B514,'Master data'!$A$1:$D$397,2,FALSE),"")</f>
        <v/>
      </c>
      <c r="D514" s="70" t="str">
        <f>VLOOKUP(B514,Sheet3!$B$2:$E$312,3,)</f>
        <v>#N/A</v>
      </c>
      <c r="E514" s="64"/>
      <c r="F514" s="16" t="str">
        <f>IFERROR(VLOOKUP(B514,'Master data'!$A$1:$D$397,3,FALSE),"")</f>
        <v/>
      </c>
      <c r="H514" s="65"/>
      <c r="I514" s="16"/>
      <c r="J514" s="16"/>
      <c r="K514" s="16" t="b">
        <v>0</v>
      </c>
      <c r="L514" s="16" t="b">
        <v>0</v>
      </c>
    </row>
    <row r="515">
      <c r="A515" s="9"/>
      <c r="B515" s="16"/>
      <c r="C515" s="7" t="str">
        <f>IFERROR(VLOOKUP(B515,'Master data'!$A$1:$D$397,2,FALSE),"")</f>
        <v/>
      </c>
      <c r="D515" s="70" t="str">
        <f>VLOOKUP(B515,Sheet3!$B$2:$E$312,3,)</f>
        <v>#N/A</v>
      </c>
      <c r="E515" s="64"/>
      <c r="F515" s="16" t="str">
        <f>IFERROR(VLOOKUP(B515,'Master data'!$A$1:$D$397,3,FALSE),"")</f>
        <v/>
      </c>
      <c r="H515" s="65"/>
      <c r="I515" s="16"/>
      <c r="J515" s="16"/>
      <c r="K515" s="16" t="b">
        <v>0</v>
      </c>
      <c r="L515" s="16" t="b">
        <v>0</v>
      </c>
    </row>
    <row r="516">
      <c r="A516" s="9"/>
      <c r="B516" s="16"/>
      <c r="C516" s="7" t="str">
        <f>IFERROR(VLOOKUP(B516,'Master data'!$A$1:$D$397,2,FALSE),"")</f>
        <v/>
      </c>
      <c r="D516" s="70" t="str">
        <f>VLOOKUP(B516,Sheet3!$B$2:$E$312,3,)</f>
        <v>#N/A</v>
      </c>
      <c r="E516" s="64"/>
      <c r="F516" s="16" t="str">
        <f>IFERROR(VLOOKUP(B516,'Master data'!$A$1:$D$397,3,FALSE),"")</f>
        <v/>
      </c>
      <c r="H516" s="65"/>
      <c r="I516" s="16"/>
      <c r="J516" s="16"/>
      <c r="K516" s="16" t="b">
        <v>0</v>
      </c>
      <c r="L516" s="16" t="b">
        <v>0</v>
      </c>
    </row>
    <row r="517">
      <c r="A517" s="9"/>
      <c r="B517" s="16"/>
      <c r="C517" s="7" t="str">
        <f>IFERROR(VLOOKUP(B517,'Master data'!$A$1:$D$397,2,FALSE),"")</f>
        <v/>
      </c>
      <c r="D517" s="70" t="str">
        <f>VLOOKUP(B517,Sheet3!$B$2:$E$312,3,)</f>
        <v>#N/A</v>
      </c>
      <c r="E517" s="64"/>
      <c r="F517" s="16" t="str">
        <f>IFERROR(VLOOKUP(B517,'Master data'!$A$1:$D$397,3,FALSE),"")</f>
        <v/>
      </c>
      <c r="H517" s="65"/>
      <c r="I517" s="16"/>
      <c r="J517" s="16"/>
      <c r="K517" s="16" t="b">
        <v>0</v>
      </c>
      <c r="L517" s="16" t="b">
        <v>0</v>
      </c>
    </row>
    <row r="518">
      <c r="A518" s="9"/>
      <c r="B518" s="16"/>
      <c r="C518" s="7" t="str">
        <f>IFERROR(VLOOKUP(B518,'Master data'!$A$1:$D$397,2,FALSE),"")</f>
        <v/>
      </c>
      <c r="D518" s="70" t="str">
        <f>VLOOKUP(B518,Sheet3!$B$2:$E$312,3,)</f>
        <v>#N/A</v>
      </c>
      <c r="E518" s="64"/>
      <c r="F518" s="16" t="str">
        <f>IFERROR(VLOOKUP(B518,'Master data'!$A$1:$D$397,3,FALSE),"")</f>
        <v/>
      </c>
      <c r="H518" s="65"/>
      <c r="I518" s="16"/>
      <c r="J518" s="16"/>
      <c r="K518" s="16" t="b">
        <v>0</v>
      </c>
      <c r="L518" s="16" t="b">
        <v>0</v>
      </c>
    </row>
    <row r="519">
      <c r="A519" s="9"/>
      <c r="B519" s="16"/>
      <c r="C519" s="7" t="str">
        <f>IFERROR(VLOOKUP(B519,'Master data'!$A$1:$D$397,2,FALSE),"")</f>
        <v/>
      </c>
      <c r="D519" s="70" t="str">
        <f>VLOOKUP(B519,Sheet3!$B$2:$E$312,3,)</f>
        <v>#N/A</v>
      </c>
      <c r="E519" s="64"/>
      <c r="F519" s="16" t="str">
        <f>IFERROR(VLOOKUP(B519,'Master data'!$A$1:$D$397,3,FALSE),"")</f>
        <v/>
      </c>
      <c r="H519" s="65"/>
      <c r="I519" s="16"/>
      <c r="J519" s="16"/>
      <c r="K519" s="16" t="b">
        <v>0</v>
      </c>
      <c r="L519" s="16" t="b">
        <v>0</v>
      </c>
    </row>
    <row r="520">
      <c r="A520" s="9"/>
      <c r="B520" s="16"/>
      <c r="C520" s="7" t="str">
        <f>IFERROR(VLOOKUP(B520,'Master data'!$A$1:$D$397,2,FALSE),"")</f>
        <v/>
      </c>
      <c r="D520" s="70" t="str">
        <f>VLOOKUP(B520,Sheet3!$B$2:$E$312,3,)</f>
        <v>#N/A</v>
      </c>
      <c r="E520" s="64"/>
      <c r="F520" s="16" t="str">
        <f>IFERROR(VLOOKUP(B520,'Master data'!$A$1:$D$397,3,FALSE),"")</f>
        <v/>
      </c>
      <c r="H520" s="65"/>
      <c r="I520" s="16"/>
      <c r="J520" s="16"/>
      <c r="K520" s="16" t="b">
        <v>0</v>
      </c>
      <c r="L520" s="16" t="b">
        <v>0</v>
      </c>
    </row>
    <row r="521">
      <c r="A521" s="9"/>
      <c r="B521" s="16"/>
      <c r="C521" s="7" t="str">
        <f>IFERROR(VLOOKUP(B521,'Master data'!$A$1:$D$397,2,FALSE),"")</f>
        <v/>
      </c>
      <c r="D521" s="70" t="str">
        <f>VLOOKUP(B521,Sheet3!$B$2:$E$312,3,)</f>
        <v>#N/A</v>
      </c>
      <c r="E521" s="64"/>
      <c r="F521" s="16" t="str">
        <f>IFERROR(VLOOKUP(B521,'Master data'!$A$1:$D$397,3,FALSE),"")</f>
        <v/>
      </c>
      <c r="H521" s="65"/>
      <c r="I521" s="16"/>
      <c r="J521" s="16"/>
      <c r="K521" s="16" t="b">
        <v>0</v>
      </c>
      <c r="L521" s="16" t="b">
        <v>0</v>
      </c>
    </row>
    <row r="522">
      <c r="A522" s="9"/>
      <c r="B522" s="16"/>
      <c r="C522" s="7" t="str">
        <f>IFERROR(VLOOKUP(B522,'Master data'!$A$1:$D$397,2,FALSE),"")</f>
        <v/>
      </c>
      <c r="D522" s="70" t="str">
        <f>VLOOKUP(B522,Sheet3!$B$2:$E$312,3,)</f>
        <v>#N/A</v>
      </c>
      <c r="E522" s="64"/>
      <c r="F522" s="16" t="str">
        <f>IFERROR(VLOOKUP(B522,'Master data'!$A$1:$D$397,3,FALSE),"")</f>
        <v/>
      </c>
      <c r="H522" s="65"/>
      <c r="I522" s="16"/>
      <c r="J522" s="16"/>
      <c r="K522" s="16" t="b">
        <v>0</v>
      </c>
      <c r="L522" s="16" t="b">
        <v>0</v>
      </c>
    </row>
    <row r="523">
      <c r="A523" s="9"/>
      <c r="B523" s="16"/>
      <c r="C523" s="7" t="str">
        <f>IFERROR(VLOOKUP(B523,'Master data'!$A$1:$D$397,2,FALSE),"")</f>
        <v/>
      </c>
      <c r="D523" s="70" t="str">
        <f>VLOOKUP(B523,Sheet3!$B$2:$E$312,3,)</f>
        <v>#N/A</v>
      </c>
      <c r="E523" s="64"/>
      <c r="F523" s="16" t="str">
        <f>IFERROR(VLOOKUP(B523,'Master data'!$A$1:$D$397,3,FALSE),"")</f>
        <v/>
      </c>
      <c r="H523" s="65"/>
      <c r="I523" s="16"/>
      <c r="J523" s="16"/>
      <c r="K523" s="16" t="b">
        <v>0</v>
      </c>
      <c r="L523" s="16" t="b">
        <v>0</v>
      </c>
    </row>
    <row r="524">
      <c r="A524" s="9"/>
      <c r="B524" s="16"/>
      <c r="C524" s="7" t="str">
        <f>IFERROR(VLOOKUP(B524,'Master data'!$A$1:$D$397,2,FALSE),"")</f>
        <v/>
      </c>
      <c r="D524" s="70" t="str">
        <f>VLOOKUP(B524,Sheet3!$B$2:$E$312,3,)</f>
        <v>#N/A</v>
      </c>
      <c r="E524" s="64"/>
      <c r="F524" s="16" t="str">
        <f>IFERROR(VLOOKUP(B524,'Master data'!$A$1:$D$397,3,FALSE),"")</f>
        <v/>
      </c>
      <c r="H524" s="65"/>
      <c r="I524" s="16"/>
      <c r="J524" s="16"/>
      <c r="K524" s="16" t="b">
        <v>0</v>
      </c>
      <c r="L524" s="16" t="b">
        <v>0</v>
      </c>
    </row>
    <row r="525">
      <c r="A525" s="9"/>
      <c r="B525" s="16"/>
      <c r="C525" s="7" t="str">
        <f>IFERROR(VLOOKUP(B525,'Master data'!$A$1:$D$397,2,FALSE),"")</f>
        <v/>
      </c>
      <c r="D525" s="70" t="str">
        <f>VLOOKUP(B525,Sheet3!$B$2:$E$312,3,)</f>
        <v>#N/A</v>
      </c>
      <c r="E525" s="64"/>
      <c r="F525" s="16" t="str">
        <f>IFERROR(VLOOKUP(B525,'Master data'!$A$1:$D$397,3,FALSE),"")</f>
        <v/>
      </c>
      <c r="H525" s="65"/>
      <c r="I525" s="16"/>
      <c r="J525" s="16"/>
      <c r="K525" s="16" t="b">
        <v>0</v>
      </c>
      <c r="L525" s="16" t="b">
        <v>0</v>
      </c>
    </row>
    <row r="526">
      <c r="A526" s="9"/>
      <c r="B526" s="16"/>
      <c r="C526" s="7" t="str">
        <f>IFERROR(VLOOKUP(B526,'Master data'!$A$1:$D$397,2,FALSE),"")</f>
        <v/>
      </c>
      <c r="D526" s="70" t="str">
        <f>VLOOKUP(B526,Sheet3!$B$2:$E$312,3,)</f>
        <v>#N/A</v>
      </c>
      <c r="E526" s="64"/>
      <c r="F526" s="16" t="str">
        <f>IFERROR(VLOOKUP(B526,'Master data'!$A$1:$D$397,3,FALSE),"")</f>
        <v/>
      </c>
      <c r="H526" s="65"/>
      <c r="I526" s="16"/>
      <c r="J526" s="16"/>
      <c r="K526" s="16" t="b">
        <v>0</v>
      </c>
      <c r="L526" s="16" t="b">
        <v>0</v>
      </c>
    </row>
    <row r="527">
      <c r="A527" s="9"/>
      <c r="B527" s="16"/>
      <c r="C527" s="7" t="str">
        <f>IFERROR(VLOOKUP(B527,'Master data'!$A$1:$D$397,2,FALSE),"")</f>
        <v/>
      </c>
      <c r="D527" s="70" t="str">
        <f>VLOOKUP(B527,Sheet3!$B$2:$E$312,3,)</f>
        <v>#N/A</v>
      </c>
      <c r="E527" s="64"/>
      <c r="F527" s="16" t="str">
        <f>IFERROR(VLOOKUP(B527,'Master data'!$A$1:$D$397,3,FALSE),"")</f>
        <v/>
      </c>
      <c r="H527" s="65"/>
      <c r="I527" s="16"/>
      <c r="J527" s="16"/>
      <c r="K527" s="16" t="b">
        <v>0</v>
      </c>
      <c r="L527" s="16" t="b">
        <v>0</v>
      </c>
    </row>
    <row r="528">
      <c r="A528" s="9"/>
      <c r="B528" s="16"/>
      <c r="C528" s="7" t="str">
        <f>IFERROR(VLOOKUP(B528,'Master data'!$A$1:$D$397,2,FALSE),"")</f>
        <v/>
      </c>
      <c r="D528" s="70" t="str">
        <f>VLOOKUP(B528,Sheet3!$B$2:$E$312,3,)</f>
        <v>#N/A</v>
      </c>
      <c r="E528" s="64"/>
      <c r="F528" s="16" t="str">
        <f>IFERROR(VLOOKUP(B528,'Master data'!$A$1:$D$397,3,FALSE),"")</f>
        <v/>
      </c>
      <c r="H528" s="65"/>
      <c r="I528" s="16"/>
      <c r="J528" s="16"/>
      <c r="K528" s="16" t="b">
        <v>0</v>
      </c>
      <c r="L528" s="16" t="b">
        <v>0</v>
      </c>
    </row>
    <row r="529">
      <c r="A529" s="9"/>
      <c r="B529" s="16"/>
      <c r="C529" s="7" t="str">
        <f>IFERROR(VLOOKUP(B529,'Master data'!$A$1:$D$397,2,FALSE),"")</f>
        <v/>
      </c>
      <c r="D529" s="70" t="str">
        <f>VLOOKUP(B529,Sheet3!$B$2:$E$312,3,)</f>
        <v>#N/A</v>
      </c>
      <c r="E529" s="64"/>
      <c r="F529" s="16" t="str">
        <f>IFERROR(VLOOKUP(B529,'Master data'!$A$1:$D$397,3,FALSE),"")</f>
        <v/>
      </c>
      <c r="H529" s="65"/>
      <c r="I529" s="16"/>
      <c r="J529" s="16"/>
      <c r="K529" s="16" t="b">
        <v>0</v>
      </c>
      <c r="L529" s="16" t="b">
        <v>0</v>
      </c>
    </row>
    <row r="530">
      <c r="A530" s="9"/>
      <c r="B530" s="16"/>
      <c r="C530" s="7" t="str">
        <f>IFERROR(VLOOKUP(B530,'Master data'!$A$1:$D$397,2,FALSE),"")</f>
        <v/>
      </c>
      <c r="D530" s="70" t="str">
        <f>VLOOKUP(B530,Sheet3!$B$2:$E$312,3,)</f>
        <v>#N/A</v>
      </c>
      <c r="E530" s="64"/>
      <c r="F530" s="16" t="str">
        <f>IFERROR(VLOOKUP(B530,'Master data'!$A$1:$D$397,3,FALSE),"")</f>
        <v/>
      </c>
      <c r="H530" s="65"/>
      <c r="I530" s="16"/>
      <c r="J530" s="16"/>
      <c r="K530" s="16" t="b">
        <v>0</v>
      </c>
      <c r="L530" s="16" t="b">
        <v>0</v>
      </c>
    </row>
    <row r="531">
      <c r="A531" s="9"/>
      <c r="B531" s="16"/>
      <c r="C531" s="7" t="str">
        <f>IFERROR(VLOOKUP(B531,'Master data'!$A$1:$D$397,2,FALSE),"")</f>
        <v/>
      </c>
      <c r="D531" s="70" t="str">
        <f>VLOOKUP(B531,Sheet3!$B$2:$E$312,3,)</f>
        <v>#N/A</v>
      </c>
      <c r="E531" s="64"/>
      <c r="F531" s="16" t="str">
        <f>IFERROR(VLOOKUP(B531,'Master data'!$A$1:$D$397,3,FALSE),"")</f>
        <v/>
      </c>
      <c r="H531" s="65"/>
      <c r="I531" s="16"/>
      <c r="J531" s="16"/>
      <c r="K531" s="16" t="b">
        <v>0</v>
      </c>
      <c r="L531" s="16" t="b">
        <v>0</v>
      </c>
    </row>
    <row r="532">
      <c r="A532" s="9"/>
      <c r="B532" s="16"/>
      <c r="C532" s="7" t="str">
        <f>IFERROR(VLOOKUP(B532,'Master data'!$A$1:$D$397,2,FALSE),"")</f>
        <v/>
      </c>
      <c r="D532" s="70" t="str">
        <f>VLOOKUP(B532,Sheet3!$B$2:$E$312,3,)</f>
        <v>#N/A</v>
      </c>
      <c r="E532" s="64"/>
      <c r="F532" s="16" t="str">
        <f>IFERROR(VLOOKUP(B532,'Master data'!$A$1:$D$397,3,FALSE),"")</f>
        <v/>
      </c>
      <c r="H532" s="65"/>
      <c r="I532" s="16"/>
      <c r="J532" s="16"/>
      <c r="K532" s="16" t="b">
        <v>0</v>
      </c>
      <c r="L532" s="16" t="b">
        <v>0</v>
      </c>
    </row>
    <row r="533">
      <c r="A533" s="9"/>
      <c r="B533" s="16"/>
      <c r="C533" s="7" t="str">
        <f>IFERROR(VLOOKUP(B533,'Master data'!$A$1:$D$397,2,FALSE),"")</f>
        <v/>
      </c>
      <c r="D533" s="70" t="str">
        <f>VLOOKUP(B533,Sheet3!$B$2:$E$312,3,)</f>
        <v>#N/A</v>
      </c>
      <c r="E533" s="64"/>
      <c r="F533" s="16" t="str">
        <f>IFERROR(VLOOKUP(B533,'Master data'!$A$1:$D$397,3,FALSE),"")</f>
        <v/>
      </c>
      <c r="H533" s="65"/>
      <c r="I533" s="16"/>
      <c r="J533" s="16"/>
      <c r="K533" s="16" t="b">
        <v>0</v>
      </c>
      <c r="L533" s="16" t="b">
        <v>0</v>
      </c>
    </row>
    <row r="534">
      <c r="A534" s="9"/>
      <c r="B534" s="16"/>
      <c r="C534" s="7" t="str">
        <f>IFERROR(VLOOKUP(B534,'Master data'!$A$1:$D$397,2,FALSE),"")</f>
        <v/>
      </c>
      <c r="D534" s="70" t="str">
        <f>VLOOKUP(B534,Sheet3!$B$2:$E$312,3,)</f>
        <v>#N/A</v>
      </c>
      <c r="E534" s="64"/>
      <c r="F534" s="16" t="str">
        <f>IFERROR(VLOOKUP(B534,'Master data'!$A$1:$D$397,3,FALSE),"")</f>
        <v/>
      </c>
      <c r="H534" s="65"/>
      <c r="I534" s="16"/>
      <c r="J534" s="16"/>
      <c r="K534" s="16" t="b">
        <v>0</v>
      </c>
      <c r="L534" s="16" t="b">
        <v>0</v>
      </c>
    </row>
    <row r="535">
      <c r="A535" s="9"/>
      <c r="B535" s="16"/>
      <c r="C535" s="7" t="str">
        <f>IFERROR(VLOOKUP(B535,'Master data'!$A$1:$D$397,2,FALSE),"")</f>
        <v/>
      </c>
      <c r="D535" s="70" t="str">
        <f>VLOOKUP(B535,Sheet3!$B$2:$E$312,3,)</f>
        <v>#N/A</v>
      </c>
      <c r="E535" s="64"/>
      <c r="F535" s="16" t="str">
        <f>IFERROR(VLOOKUP(B535,'Master data'!$A$1:$D$397,3,FALSE),"")</f>
        <v/>
      </c>
      <c r="H535" s="65"/>
      <c r="I535" s="16"/>
      <c r="J535" s="16"/>
      <c r="K535" s="16" t="b">
        <v>0</v>
      </c>
      <c r="L535" s="16" t="b">
        <v>0</v>
      </c>
    </row>
    <row r="536">
      <c r="A536" s="9"/>
      <c r="B536" s="16"/>
      <c r="C536" s="7" t="str">
        <f>IFERROR(VLOOKUP(B536,'Master data'!$A$1:$D$397,2,FALSE),"")</f>
        <v/>
      </c>
      <c r="D536" s="70" t="str">
        <f>VLOOKUP(B536,Sheet3!$B$2:$E$312,3,)</f>
        <v>#N/A</v>
      </c>
      <c r="E536" s="64"/>
      <c r="F536" s="16" t="str">
        <f>IFERROR(VLOOKUP(B536,'Master data'!$A$1:$D$397,3,FALSE),"")</f>
        <v/>
      </c>
      <c r="H536" s="65"/>
      <c r="I536" s="16"/>
      <c r="J536" s="16"/>
      <c r="K536" s="16" t="b">
        <v>0</v>
      </c>
      <c r="L536" s="16" t="b">
        <v>0</v>
      </c>
    </row>
    <row r="537">
      <c r="A537" s="9"/>
      <c r="B537" s="16"/>
      <c r="C537" s="7" t="str">
        <f>IFERROR(VLOOKUP(B537,'Master data'!$A$1:$D$397,2,FALSE),"")</f>
        <v/>
      </c>
      <c r="D537" s="70" t="str">
        <f>VLOOKUP(B537,Sheet3!$B$2:$E$312,3,)</f>
        <v>#N/A</v>
      </c>
      <c r="E537" s="64"/>
      <c r="F537" s="16" t="str">
        <f>IFERROR(VLOOKUP(B537,'Master data'!$A$1:$D$397,3,FALSE),"")</f>
        <v/>
      </c>
      <c r="H537" s="65"/>
      <c r="I537" s="16"/>
      <c r="J537" s="16"/>
      <c r="K537" s="16" t="b">
        <v>0</v>
      </c>
      <c r="L537" s="16" t="b">
        <v>0</v>
      </c>
    </row>
    <row r="538">
      <c r="A538" s="9"/>
      <c r="B538" s="16"/>
      <c r="C538" s="7" t="str">
        <f>IFERROR(VLOOKUP(B538,'Master data'!$A$1:$D$397,2,FALSE),"")</f>
        <v/>
      </c>
      <c r="D538" s="70" t="str">
        <f>VLOOKUP(B538,Sheet3!$B$2:$E$312,3,)</f>
        <v>#N/A</v>
      </c>
      <c r="E538" s="64"/>
      <c r="F538" s="16" t="str">
        <f>IFERROR(VLOOKUP(B538,'Master data'!$A$1:$D$397,3,FALSE),"")</f>
        <v/>
      </c>
      <c r="H538" s="65"/>
      <c r="I538" s="16"/>
      <c r="J538" s="16"/>
      <c r="K538" s="16" t="b">
        <v>0</v>
      </c>
      <c r="L538" s="16" t="b">
        <v>0</v>
      </c>
    </row>
    <row r="539">
      <c r="A539" s="9"/>
      <c r="B539" s="16"/>
      <c r="C539" s="7" t="str">
        <f>IFERROR(VLOOKUP(B539,'Master data'!$A$1:$D$397,2,FALSE),"")</f>
        <v/>
      </c>
      <c r="D539" s="70" t="str">
        <f>VLOOKUP(B539,Sheet3!$B$2:$E$312,3,)</f>
        <v>#N/A</v>
      </c>
      <c r="E539" s="64"/>
      <c r="F539" s="16" t="str">
        <f>IFERROR(VLOOKUP(B539,'Master data'!$A$1:$D$397,3,FALSE),"")</f>
        <v/>
      </c>
      <c r="H539" s="65"/>
      <c r="I539" s="16"/>
      <c r="J539" s="16"/>
      <c r="K539" s="16" t="b">
        <v>0</v>
      </c>
      <c r="L539" s="16" t="b">
        <v>0</v>
      </c>
    </row>
    <row r="540">
      <c r="A540" s="9"/>
      <c r="B540" s="16"/>
      <c r="C540" s="7" t="str">
        <f>IFERROR(VLOOKUP(B540,'Master data'!$A$1:$D$397,2,FALSE),"")</f>
        <v/>
      </c>
      <c r="D540" s="70" t="str">
        <f>VLOOKUP(B540,Sheet3!$B$2:$E$312,3,)</f>
        <v>#N/A</v>
      </c>
      <c r="E540" s="64"/>
      <c r="F540" s="16" t="str">
        <f>IFERROR(VLOOKUP(B540,'Master data'!$A$1:$D$397,3,FALSE),"")</f>
        <v/>
      </c>
      <c r="H540" s="65"/>
      <c r="I540" s="16"/>
      <c r="J540" s="16"/>
      <c r="K540" s="16" t="b">
        <v>0</v>
      </c>
      <c r="L540" s="16" t="b">
        <v>0</v>
      </c>
    </row>
    <row r="541">
      <c r="A541" s="9"/>
      <c r="B541" s="16"/>
      <c r="C541" s="7" t="str">
        <f>IFERROR(VLOOKUP(B541,'Master data'!$A$1:$D$397,2,FALSE),"")</f>
        <v/>
      </c>
      <c r="D541" s="70" t="str">
        <f>VLOOKUP(B541,Sheet3!$B$2:$E$312,3,)</f>
        <v>#N/A</v>
      </c>
      <c r="E541" s="64"/>
      <c r="F541" s="16" t="str">
        <f>IFERROR(VLOOKUP(B541,'Master data'!$A$1:$D$397,3,FALSE),"")</f>
        <v/>
      </c>
      <c r="H541" s="65"/>
      <c r="I541" s="16"/>
      <c r="J541" s="16"/>
      <c r="K541" s="16" t="b">
        <v>0</v>
      </c>
      <c r="L541" s="16" t="b">
        <v>0</v>
      </c>
    </row>
    <row r="542">
      <c r="A542" s="9"/>
      <c r="B542" s="16"/>
      <c r="C542" s="7" t="str">
        <f>IFERROR(VLOOKUP(B542,'Master data'!$A$1:$D$397,2,FALSE),"")</f>
        <v/>
      </c>
      <c r="D542" s="70" t="str">
        <f>VLOOKUP(B542,Sheet3!$B$2:$E$312,3,)</f>
        <v>#N/A</v>
      </c>
      <c r="E542" s="64"/>
      <c r="F542" s="16" t="str">
        <f>IFERROR(VLOOKUP(B542,'Master data'!$A$1:$D$397,3,FALSE),"")</f>
        <v/>
      </c>
      <c r="H542" s="65"/>
      <c r="I542" s="16"/>
      <c r="J542" s="16"/>
      <c r="K542" s="16" t="b">
        <v>0</v>
      </c>
      <c r="L542" s="16" t="b">
        <v>0</v>
      </c>
    </row>
    <row r="543">
      <c r="A543" s="9"/>
      <c r="B543" s="16"/>
      <c r="C543" s="7" t="str">
        <f>IFERROR(VLOOKUP(B543,'Master data'!$A$1:$D$397,2,FALSE),"")</f>
        <v/>
      </c>
      <c r="D543" s="70" t="str">
        <f>VLOOKUP(B543,Sheet3!$B$2:$E$312,3,)</f>
        <v>#N/A</v>
      </c>
      <c r="E543" s="64"/>
      <c r="F543" s="16" t="str">
        <f>IFERROR(VLOOKUP(B543,'Master data'!$A$1:$D$397,3,FALSE),"")</f>
        <v/>
      </c>
      <c r="H543" s="65"/>
      <c r="I543" s="16"/>
      <c r="J543" s="16"/>
      <c r="K543" s="16" t="b">
        <v>0</v>
      </c>
      <c r="L543" s="16" t="b">
        <v>0</v>
      </c>
    </row>
    <row r="544">
      <c r="A544" s="9"/>
      <c r="B544" s="16"/>
      <c r="C544" s="7" t="str">
        <f>IFERROR(VLOOKUP(B544,'Master data'!$A$1:$D$397,2,FALSE),"")</f>
        <v/>
      </c>
      <c r="D544" s="70" t="str">
        <f>VLOOKUP(B544,Sheet3!$B$2:$E$312,3,)</f>
        <v>#N/A</v>
      </c>
      <c r="E544" s="64"/>
      <c r="F544" s="16" t="str">
        <f>IFERROR(VLOOKUP(B544,'Master data'!$A$1:$D$397,3,FALSE),"")</f>
        <v/>
      </c>
      <c r="H544" s="65"/>
      <c r="I544" s="16"/>
      <c r="J544" s="16"/>
      <c r="K544" s="16" t="b">
        <v>0</v>
      </c>
      <c r="L544" s="16" t="b">
        <v>0</v>
      </c>
    </row>
    <row r="545">
      <c r="A545" s="9"/>
      <c r="B545" s="16"/>
      <c r="C545" s="7" t="str">
        <f>IFERROR(VLOOKUP(B545,'Master data'!$A$1:$D$397,2,FALSE),"")</f>
        <v/>
      </c>
      <c r="D545" s="70" t="str">
        <f>VLOOKUP(B545,Sheet3!$B$2:$E$312,3,)</f>
        <v>#N/A</v>
      </c>
      <c r="E545" s="64"/>
      <c r="F545" s="16" t="str">
        <f>IFERROR(VLOOKUP(B545,'Master data'!$A$1:$D$397,3,FALSE),"")</f>
        <v/>
      </c>
      <c r="H545" s="65"/>
      <c r="I545" s="16"/>
      <c r="J545" s="16"/>
      <c r="K545" s="16" t="b">
        <v>0</v>
      </c>
      <c r="L545" s="16" t="b">
        <v>0</v>
      </c>
    </row>
    <row r="546">
      <c r="A546" s="9"/>
      <c r="B546" s="16"/>
      <c r="C546" s="7" t="str">
        <f>IFERROR(VLOOKUP(B546,'Master data'!$A$1:$D$397,2,FALSE),"")</f>
        <v/>
      </c>
      <c r="D546" s="70" t="str">
        <f>VLOOKUP(B546,Sheet3!$B$2:$E$312,3,)</f>
        <v>#N/A</v>
      </c>
      <c r="E546" s="64"/>
      <c r="F546" s="16" t="str">
        <f>IFERROR(VLOOKUP(B546,'Master data'!$A$1:$D$397,3,FALSE),"")</f>
        <v/>
      </c>
      <c r="H546" s="65"/>
      <c r="I546" s="16"/>
      <c r="J546" s="16"/>
      <c r="K546" s="16" t="b">
        <v>0</v>
      </c>
      <c r="L546" s="16" t="b">
        <v>0</v>
      </c>
    </row>
    <row r="547">
      <c r="A547" s="9"/>
      <c r="B547" s="16"/>
      <c r="C547" s="7" t="str">
        <f>IFERROR(VLOOKUP(B547,'Master data'!$A$1:$D$397,2,FALSE),"")</f>
        <v/>
      </c>
      <c r="D547" s="70" t="str">
        <f>VLOOKUP(B547,Sheet3!$B$2:$E$312,3,)</f>
        <v>#N/A</v>
      </c>
      <c r="E547" s="64"/>
      <c r="F547" s="16" t="str">
        <f>IFERROR(VLOOKUP(B547,'Master data'!$A$1:$D$397,3,FALSE),"")</f>
        <v/>
      </c>
      <c r="H547" s="65"/>
      <c r="I547" s="16"/>
      <c r="J547" s="16"/>
      <c r="K547" s="16" t="b">
        <v>0</v>
      </c>
      <c r="L547" s="16" t="b">
        <v>0</v>
      </c>
    </row>
    <row r="548">
      <c r="A548" s="9"/>
      <c r="B548" s="16"/>
      <c r="C548" s="7" t="str">
        <f>IFERROR(VLOOKUP(B548,'Master data'!$A$1:$D$397,2,FALSE),"")</f>
        <v/>
      </c>
      <c r="D548" s="70" t="str">
        <f>VLOOKUP(B548,Sheet3!$B$2:$E$312,3,)</f>
        <v>#N/A</v>
      </c>
      <c r="E548" s="64"/>
      <c r="F548" s="16" t="str">
        <f>IFERROR(VLOOKUP(B548,'Master data'!$A$1:$D$397,3,FALSE),"")</f>
        <v/>
      </c>
      <c r="H548" s="65"/>
      <c r="I548" s="16"/>
      <c r="J548" s="16"/>
      <c r="K548" s="16" t="b">
        <v>0</v>
      </c>
      <c r="L548" s="16" t="b">
        <v>0</v>
      </c>
    </row>
    <row r="549">
      <c r="A549" s="9"/>
      <c r="B549" s="16"/>
      <c r="C549" s="7" t="str">
        <f>IFERROR(VLOOKUP(B549,'Master data'!$A$1:$D$397,2,FALSE),"")</f>
        <v/>
      </c>
      <c r="D549" s="70" t="str">
        <f>VLOOKUP(B549,Sheet3!$B$2:$E$312,3,)</f>
        <v>#N/A</v>
      </c>
      <c r="E549" s="64"/>
      <c r="F549" s="16" t="str">
        <f>IFERROR(VLOOKUP(B549,'Master data'!$A$1:$D$397,3,FALSE),"")</f>
        <v/>
      </c>
      <c r="H549" s="65"/>
      <c r="I549" s="16"/>
      <c r="J549" s="16"/>
      <c r="K549" s="16" t="b">
        <v>0</v>
      </c>
      <c r="L549" s="16" t="b">
        <v>0</v>
      </c>
    </row>
    <row r="550">
      <c r="A550" s="9"/>
      <c r="B550" s="16"/>
      <c r="C550" s="7" t="str">
        <f>IFERROR(VLOOKUP(B550,'Master data'!$A$1:$D$397,2,FALSE),"")</f>
        <v/>
      </c>
      <c r="D550" s="70" t="str">
        <f>VLOOKUP(B550,Sheet3!$B$2:$E$312,3,)</f>
        <v>#N/A</v>
      </c>
      <c r="E550" s="64"/>
      <c r="F550" s="16" t="str">
        <f>IFERROR(VLOOKUP(B550,'Master data'!$A$1:$D$397,3,FALSE),"")</f>
        <v/>
      </c>
      <c r="H550" s="65"/>
      <c r="I550" s="16"/>
      <c r="J550" s="16"/>
      <c r="K550" s="16" t="b">
        <v>0</v>
      </c>
      <c r="L550" s="16" t="b">
        <v>0</v>
      </c>
    </row>
    <row r="551">
      <c r="A551" s="9"/>
      <c r="B551" s="16"/>
      <c r="C551" s="7" t="str">
        <f>IFERROR(VLOOKUP(B551,'Master data'!$A$1:$D$397,2,FALSE),"")</f>
        <v/>
      </c>
      <c r="D551" s="70" t="str">
        <f>VLOOKUP(B551,Sheet3!$B$2:$E$312,3,)</f>
        <v>#N/A</v>
      </c>
      <c r="E551" s="64"/>
      <c r="F551" s="16" t="str">
        <f>IFERROR(VLOOKUP(B551,'Master data'!$A$1:$D$397,3,FALSE),"")</f>
        <v/>
      </c>
      <c r="H551" s="65"/>
      <c r="I551" s="16"/>
      <c r="J551" s="16"/>
      <c r="K551" s="16" t="b">
        <v>0</v>
      </c>
      <c r="L551" s="16" t="b">
        <v>0</v>
      </c>
    </row>
    <row r="552">
      <c r="A552" s="9"/>
      <c r="B552" s="16"/>
      <c r="C552" s="7" t="str">
        <f>IFERROR(VLOOKUP(B552,'Master data'!$A$1:$D$397,2,FALSE),"")</f>
        <v/>
      </c>
      <c r="D552" s="70" t="str">
        <f>VLOOKUP(B552,Sheet3!$B$2:$E$312,3,)</f>
        <v>#N/A</v>
      </c>
      <c r="E552" s="64"/>
      <c r="F552" s="16" t="str">
        <f>IFERROR(VLOOKUP(B552,'Master data'!$A$1:$D$397,3,FALSE),"")</f>
        <v/>
      </c>
      <c r="H552" s="65"/>
      <c r="I552" s="16"/>
      <c r="J552" s="16"/>
      <c r="K552" s="16" t="b">
        <v>0</v>
      </c>
      <c r="L552" s="16" t="b">
        <v>0</v>
      </c>
    </row>
    <row r="553">
      <c r="A553" s="9"/>
      <c r="B553" s="16"/>
      <c r="C553" s="7" t="str">
        <f>IFERROR(VLOOKUP(B553,'Master data'!$A$1:$D$397,2,FALSE),"")</f>
        <v/>
      </c>
      <c r="D553" s="70" t="str">
        <f>VLOOKUP(B553,Sheet3!$B$2:$E$312,3,)</f>
        <v>#N/A</v>
      </c>
      <c r="E553" s="64"/>
      <c r="F553" s="16" t="str">
        <f>IFERROR(VLOOKUP(B553,'Master data'!$A$1:$D$397,3,FALSE),"")</f>
        <v/>
      </c>
      <c r="H553" s="65"/>
      <c r="I553" s="16"/>
      <c r="J553" s="16"/>
      <c r="K553" s="16" t="b">
        <v>0</v>
      </c>
      <c r="L553" s="16" t="b">
        <v>0</v>
      </c>
    </row>
    <row r="554">
      <c r="A554" s="9"/>
      <c r="B554" s="16"/>
      <c r="C554" s="7" t="str">
        <f>IFERROR(VLOOKUP(B554,'Master data'!$A$1:$D$397,2,FALSE),"")</f>
        <v/>
      </c>
      <c r="D554" s="70" t="str">
        <f>VLOOKUP(B554,Sheet3!$B$2:$E$312,3,)</f>
        <v>#N/A</v>
      </c>
      <c r="E554" s="64"/>
      <c r="F554" s="16" t="str">
        <f>IFERROR(VLOOKUP(B554,'Master data'!$A$1:$D$397,3,FALSE),"")</f>
        <v/>
      </c>
      <c r="H554" s="65"/>
      <c r="I554" s="16"/>
      <c r="J554" s="16"/>
      <c r="K554" s="16" t="b">
        <v>0</v>
      </c>
      <c r="L554" s="16" t="b">
        <v>0</v>
      </c>
    </row>
    <row r="555">
      <c r="A555" s="9"/>
      <c r="B555" s="16"/>
      <c r="C555" s="7" t="str">
        <f>IFERROR(VLOOKUP(B555,'Master data'!$A$1:$D$397,2,FALSE),"")</f>
        <v/>
      </c>
      <c r="D555" s="70" t="str">
        <f>VLOOKUP(B555,Sheet3!$B$2:$E$312,3,)</f>
        <v>#N/A</v>
      </c>
      <c r="E555" s="64"/>
      <c r="F555" s="16" t="str">
        <f>IFERROR(VLOOKUP(B555,'Master data'!$A$1:$D$397,3,FALSE),"")</f>
        <v/>
      </c>
      <c r="H555" s="65"/>
      <c r="I555" s="16"/>
      <c r="J555" s="16"/>
      <c r="K555" s="16" t="b">
        <v>0</v>
      </c>
      <c r="L555" s="16" t="b">
        <v>0</v>
      </c>
    </row>
    <row r="556">
      <c r="A556" s="9"/>
      <c r="B556" s="16"/>
      <c r="C556" s="7" t="str">
        <f>IFERROR(VLOOKUP(B556,'Master data'!$A$1:$D$397,2,FALSE),"")</f>
        <v/>
      </c>
      <c r="D556" s="70" t="str">
        <f>VLOOKUP(B556,Sheet3!$B$2:$E$312,3,)</f>
        <v>#N/A</v>
      </c>
      <c r="E556" s="64"/>
      <c r="F556" s="16" t="str">
        <f>IFERROR(VLOOKUP(B556,'Master data'!$A$1:$D$397,3,FALSE),"")</f>
        <v/>
      </c>
      <c r="H556" s="65"/>
      <c r="I556" s="16"/>
      <c r="J556" s="16"/>
      <c r="K556" s="16" t="b">
        <v>0</v>
      </c>
      <c r="L556" s="16" t="b">
        <v>0</v>
      </c>
    </row>
    <row r="557">
      <c r="A557" s="9"/>
      <c r="B557" s="16"/>
      <c r="C557" s="7" t="str">
        <f>IFERROR(VLOOKUP(B557,'Master data'!$A$1:$D$397,2,FALSE),"")</f>
        <v/>
      </c>
      <c r="D557" s="70" t="str">
        <f>VLOOKUP(B557,Sheet3!$B$2:$E$312,3,)</f>
        <v>#N/A</v>
      </c>
      <c r="E557" s="64"/>
      <c r="F557" s="16" t="str">
        <f>IFERROR(VLOOKUP(B557,'Master data'!$A$1:$D$397,3,FALSE),"")</f>
        <v/>
      </c>
      <c r="H557" s="65"/>
      <c r="I557" s="16"/>
      <c r="J557" s="16"/>
      <c r="K557" s="16" t="b">
        <v>0</v>
      </c>
      <c r="L557" s="16" t="b">
        <v>0</v>
      </c>
    </row>
    <row r="558">
      <c r="A558" s="9"/>
      <c r="B558" s="16"/>
      <c r="C558" s="7" t="str">
        <f>IFERROR(VLOOKUP(B558,'Master data'!$A$1:$D$397,2,FALSE),"")</f>
        <v/>
      </c>
      <c r="D558" s="70" t="str">
        <f>VLOOKUP(B558,Sheet3!$B$2:$E$312,3,)</f>
        <v>#N/A</v>
      </c>
      <c r="E558" s="64"/>
      <c r="F558" s="16" t="str">
        <f>IFERROR(VLOOKUP(B558,'Master data'!$A$1:$D$397,3,FALSE),"")</f>
        <v/>
      </c>
      <c r="H558" s="65"/>
      <c r="I558" s="16"/>
      <c r="J558" s="16"/>
      <c r="K558" s="16" t="b">
        <v>0</v>
      </c>
      <c r="L558" s="16" t="b">
        <v>0</v>
      </c>
    </row>
    <row r="559">
      <c r="A559" s="9"/>
      <c r="B559" s="16"/>
      <c r="C559" s="7" t="str">
        <f>IFERROR(VLOOKUP(B559,'Master data'!$A$1:$D$397,2,FALSE),"")</f>
        <v/>
      </c>
      <c r="D559" s="70" t="str">
        <f>VLOOKUP(B559,Sheet3!$B$2:$E$312,3,)</f>
        <v>#N/A</v>
      </c>
      <c r="E559" s="64"/>
      <c r="F559" s="16" t="str">
        <f>IFERROR(VLOOKUP(B559,'Master data'!$A$1:$D$397,3,FALSE),"")</f>
        <v/>
      </c>
      <c r="H559" s="65"/>
      <c r="I559" s="16"/>
      <c r="J559" s="16"/>
      <c r="K559" s="16" t="b">
        <v>0</v>
      </c>
      <c r="L559" s="16" t="b">
        <v>0</v>
      </c>
    </row>
    <row r="560">
      <c r="A560" s="9"/>
      <c r="B560" s="16"/>
      <c r="C560" s="7" t="str">
        <f>IFERROR(VLOOKUP(B560,'Master data'!$A$1:$D$397,2,FALSE),"")</f>
        <v/>
      </c>
      <c r="D560" s="70" t="str">
        <f>VLOOKUP(B560,Sheet3!$B$2:$E$312,3,)</f>
        <v>#N/A</v>
      </c>
      <c r="E560" s="64"/>
      <c r="F560" s="16" t="str">
        <f>IFERROR(VLOOKUP(B560,'Master data'!$A$1:$D$397,3,FALSE),"")</f>
        <v/>
      </c>
      <c r="H560" s="65"/>
      <c r="I560" s="16"/>
      <c r="J560" s="16"/>
      <c r="K560" s="16" t="b">
        <v>0</v>
      </c>
      <c r="L560" s="16" t="b">
        <v>0</v>
      </c>
    </row>
    <row r="561">
      <c r="A561" s="9"/>
      <c r="B561" s="16"/>
      <c r="C561" s="7" t="str">
        <f>IFERROR(VLOOKUP(B561,'Master data'!$A$1:$D$397,2,FALSE),"")</f>
        <v/>
      </c>
      <c r="D561" s="70" t="str">
        <f>VLOOKUP(B561,Sheet3!$B$2:$E$312,3,)</f>
        <v>#N/A</v>
      </c>
      <c r="E561" s="64"/>
      <c r="F561" s="16" t="str">
        <f>IFERROR(VLOOKUP(B561,'Master data'!$A$1:$D$397,3,FALSE),"")</f>
        <v/>
      </c>
      <c r="H561" s="65"/>
      <c r="I561" s="16"/>
      <c r="J561" s="16"/>
      <c r="K561" s="16" t="b">
        <v>0</v>
      </c>
      <c r="L561" s="16" t="b">
        <v>0</v>
      </c>
    </row>
    <row r="562">
      <c r="A562" s="9"/>
      <c r="B562" s="16"/>
      <c r="C562" s="7" t="str">
        <f>IFERROR(VLOOKUP(B562,'Master data'!$A$1:$D$397,2,FALSE),"")</f>
        <v/>
      </c>
      <c r="D562" s="70" t="str">
        <f>VLOOKUP(B562,Sheet3!$B$2:$E$312,3,)</f>
        <v>#N/A</v>
      </c>
      <c r="E562" s="64"/>
      <c r="F562" s="16" t="str">
        <f>IFERROR(VLOOKUP(B562,'Master data'!$A$1:$D$397,3,FALSE),"")</f>
        <v/>
      </c>
      <c r="H562" s="65"/>
      <c r="I562" s="16"/>
      <c r="J562" s="16"/>
      <c r="K562" s="16" t="b">
        <v>0</v>
      </c>
      <c r="L562" s="16" t="b">
        <v>0</v>
      </c>
    </row>
    <row r="563">
      <c r="A563" s="9"/>
      <c r="B563" s="16"/>
      <c r="C563" s="7" t="str">
        <f>IFERROR(VLOOKUP(B563,'Master data'!$A$1:$D$397,2,FALSE),"")</f>
        <v/>
      </c>
      <c r="D563" s="70" t="str">
        <f>VLOOKUP(B563,Sheet3!$B$2:$E$312,3,)</f>
        <v>#N/A</v>
      </c>
      <c r="E563" s="64"/>
      <c r="F563" s="16" t="str">
        <f>IFERROR(VLOOKUP(B563,'Master data'!$A$1:$D$397,3,FALSE),"")</f>
        <v/>
      </c>
      <c r="H563" s="65"/>
      <c r="I563" s="16"/>
      <c r="J563" s="16"/>
      <c r="K563" s="16" t="b">
        <v>0</v>
      </c>
      <c r="L563" s="16" t="b">
        <v>0</v>
      </c>
    </row>
    <row r="564">
      <c r="A564" s="9"/>
      <c r="B564" s="16"/>
      <c r="C564" s="7" t="str">
        <f>IFERROR(VLOOKUP(B564,'Master data'!$A$1:$D$397,2,FALSE),"")</f>
        <v/>
      </c>
      <c r="D564" s="70" t="str">
        <f>VLOOKUP(B564,Sheet3!$B$2:$E$312,3,)</f>
        <v>#N/A</v>
      </c>
      <c r="E564" s="64"/>
      <c r="F564" s="16" t="str">
        <f>IFERROR(VLOOKUP(B564,'Master data'!$A$1:$D$397,3,FALSE),"")</f>
        <v/>
      </c>
      <c r="H564" s="65"/>
      <c r="I564" s="16"/>
      <c r="J564" s="16"/>
      <c r="K564" s="16" t="b">
        <v>0</v>
      </c>
      <c r="L564" s="16" t="b">
        <v>0</v>
      </c>
    </row>
    <row r="565">
      <c r="A565" s="9"/>
      <c r="B565" s="16"/>
      <c r="C565" s="7" t="str">
        <f>IFERROR(VLOOKUP(B565,'Master data'!$A$1:$D$397,2,FALSE),"")</f>
        <v/>
      </c>
      <c r="D565" s="70" t="str">
        <f>VLOOKUP(B565,Sheet3!$B$2:$E$312,3,)</f>
        <v>#N/A</v>
      </c>
      <c r="E565" s="64"/>
      <c r="F565" s="16" t="str">
        <f>IFERROR(VLOOKUP(B565,'Master data'!$A$1:$D$397,3,FALSE),"")</f>
        <v/>
      </c>
      <c r="H565" s="65"/>
      <c r="I565" s="16"/>
      <c r="J565" s="16"/>
      <c r="K565" s="16" t="b">
        <v>0</v>
      </c>
      <c r="L565" s="16" t="b">
        <v>0</v>
      </c>
    </row>
    <row r="566">
      <c r="A566" s="9"/>
      <c r="B566" s="16"/>
      <c r="C566" s="7" t="str">
        <f>IFERROR(VLOOKUP(B566,'Master data'!$A$1:$D$397,2,FALSE),"")</f>
        <v/>
      </c>
      <c r="D566" s="70" t="str">
        <f>VLOOKUP(B566,Sheet3!$B$2:$E$312,3,)</f>
        <v>#N/A</v>
      </c>
      <c r="E566" s="64"/>
      <c r="F566" s="16" t="str">
        <f>IFERROR(VLOOKUP(B566,'Master data'!$A$1:$D$397,3,FALSE),"")</f>
        <v/>
      </c>
      <c r="H566" s="65"/>
      <c r="I566" s="16"/>
      <c r="J566" s="16"/>
      <c r="K566" s="16" t="b">
        <v>0</v>
      </c>
      <c r="L566" s="16" t="b">
        <v>0</v>
      </c>
    </row>
    <row r="567">
      <c r="A567" s="9"/>
      <c r="B567" s="16"/>
      <c r="C567" s="7" t="str">
        <f>IFERROR(VLOOKUP(B567,'Master data'!$A$1:$D$397,2,FALSE),"")</f>
        <v/>
      </c>
      <c r="D567" s="70" t="str">
        <f>VLOOKUP(B567,Sheet3!$B$2:$E$312,3,)</f>
        <v>#N/A</v>
      </c>
      <c r="E567" s="64"/>
      <c r="F567" s="16" t="str">
        <f>IFERROR(VLOOKUP(B567,'Master data'!$A$1:$D$397,3,FALSE),"")</f>
        <v/>
      </c>
      <c r="H567" s="65"/>
      <c r="I567" s="16"/>
      <c r="J567" s="16"/>
      <c r="K567" s="16" t="b">
        <v>0</v>
      </c>
      <c r="L567" s="16" t="b">
        <v>0</v>
      </c>
    </row>
    <row r="568">
      <c r="A568" s="9"/>
      <c r="B568" s="16"/>
      <c r="C568" s="7" t="str">
        <f>IFERROR(VLOOKUP(B568,'Master data'!$A$1:$D$397,2,FALSE),"")</f>
        <v/>
      </c>
      <c r="D568" s="70" t="str">
        <f>VLOOKUP(B568,Sheet3!$B$2:$E$312,3,)</f>
        <v>#N/A</v>
      </c>
      <c r="E568" s="64"/>
      <c r="F568" s="16" t="str">
        <f>IFERROR(VLOOKUP(B568,'Master data'!$A$1:$D$397,3,FALSE),"")</f>
        <v/>
      </c>
      <c r="H568" s="65"/>
      <c r="I568" s="16"/>
      <c r="J568" s="16"/>
      <c r="K568" s="16" t="b">
        <v>0</v>
      </c>
      <c r="L568" s="16" t="b">
        <v>0</v>
      </c>
    </row>
    <row r="569">
      <c r="A569" s="9"/>
      <c r="B569" s="16"/>
      <c r="C569" s="7" t="str">
        <f>IFERROR(VLOOKUP(B569,'Master data'!$A$1:$D$397,2,FALSE),"")</f>
        <v/>
      </c>
      <c r="D569" s="70" t="str">
        <f>VLOOKUP(B569,Sheet3!$B$2:$E$312,3,)</f>
        <v>#N/A</v>
      </c>
      <c r="E569" s="64"/>
      <c r="F569" s="16" t="str">
        <f>IFERROR(VLOOKUP(B569,'Master data'!$A$1:$D$397,3,FALSE),"")</f>
        <v/>
      </c>
      <c r="H569" s="65"/>
      <c r="I569" s="16"/>
      <c r="J569" s="16"/>
      <c r="K569" s="16" t="b">
        <v>0</v>
      </c>
      <c r="L569" s="16" t="b">
        <v>0</v>
      </c>
    </row>
    <row r="570">
      <c r="A570" s="9"/>
      <c r="B570" s="16"/>
      <c r="C570" s="7" t="str">
        <f>IFERROR(VLOOKUP(B570,'Master data'!$A$1:$D$397,2,FALSE),"")</f>
        <v/>
      </c>
      <c r="D570" s="70" t="str">
        <f>VLOOKUP(B570,Sheet3!$B$2:$E$312,3,)</f>
        <v>#N/A</v>
      </c>
      <c r="E570" s="64"/>
      <c r="F570" s="16" t="str">
        <f>IFERROR(VLOOKUP(B570,'Master data'!$A$1:$D$397,3,FALSE),"")</f>
        <v/>
      </c>
      <c r="H570" s="65"/>
      <c r="I570" s="16"/>
      <c r="J570" s="16"/>
      <c r="K570" s="16" t="b">
        <v>0</v>
      </c>
      <c r="L570" s="16" t="b">
        <v>0</v>
      </c>
    </row>
    <row r="571">
      <c r="A571" s="9"/>
      <c r="B571" s="16"/>
      <c r="C571" s="7" t="str">
        <f>IFERROR(VLOOKUP(B571,'Master data'!$A$1:$D$397,2,FALSE),"")</f>
        <v/>
      </c>
      <c r="D571" s="70" t="str">
        <f>VLOOKUP(B571,Sheet3!$B$2:$E$312,3,)</f>
        <v>#N/A</v>
      </c>
      <c r="E571" s="64"/>
      <c r="F571" s="16" t="str">
        <f>IFERROR(VLOOKUP(B571,'Master data'!$A$1:$D$397,3,FALSE),"")</f>
        <v/>
      </c>
      <c r="H571" s="65"/>
      <c r="I571" s="16"/>
      <c r="J571" s="16"/>
      <c r="K571" s="16" t="b">
        <v>0</v>
      </c>
      <c r="L571" s="16" t="b">
        <v>0</v>
      </c>
    </row>
    <row r="572">
      <c r="A572" s="9"/>
      <c r="B572" s="16"/>
      <c r="C572" s="7" t="str">
        <f>IFERROR(VLOOKUP(B572,'Master data'!$A$1:$D$397,2,FALSE),"")</f>
        <v/>
      </c>
      <c r="D572" s="70" t="str">
        <f>VLOOKUP(B572,Sheet3!$B$2:$E$312,3,)</f>
        <v>#N/A</v>
      </c>
      <c r="E572" s="64"/>
      <c r="F572" s="16" t="str">
        <f>IFERROR(VLOOKUP(B572,'Master data'!$A$1:$D$397,3,FALSE),"")</f>
        <v/>
      </c>
      <c r="H572" s="65"/>
      <c r="I572" s="16"/>
      <c r="J572" s="16"/>
      <c r="K572" s="16" t="b">
        <v>0</v>
      </c>
      <c r="L572" s="16" t="b">
        <v>0</v>
      </c>
    </row>
    <row r="573">
      <c r="A573" s="9"/>
      <c r="B573" s="16"/>
      <c r="C573" s="7" t="str">
        <f>IFERROR(VLOOKUP(B573,'Master data'!$A$1:$D$397,2,FALSE),"")</f>
        <v/>
      </c>
      <c r="D573" s="70" t="str">
        <f>VLOOKUP(B573,Sheet3!$B$2:$E$312,3,)</f>
        <v>#N/A</v>
      </c>
      <c r="E573" s="64"/>
      <c r="F573" s="16" t="str">
        <f>IFERROR(VLOOKUP(B573,'Master data'!$A$1:$D$397,3,FALSE),"")</f>
        <v/>
      </c>
      <c r="H573" s="65"/>
      <c r="I573" s="16"/>
      <c r="J573" s="16"/>
      <c r="K573" s="16" t="b">
        <v>0</v>
      </c>
      <c r="L573" s="16" t="b">
        <v>0</v>
      </c>
    </row>
    <row r="574">
      <c r="A574" s="9"/>
      <c r="B574" s="16"/>
      <c r="C574" s="7" t="str">
        <f>IFERROR(VLOOKUP(B574,'Master data'!$A$1:$D$397,2,FALSE),"")</f>
        <v/>
      </c>
      <c r="D574" s="70" t="str">
        <f>VLOOKUP(B574,Sheet3!$B$2:$E$312,3,)</f>
        <v>#N/A</v>
      </c>
      <c r="E574" s="64"/>
      <c r="F574" s="16" t="str">
        <f>IFERROR(VLOOKUP(B574,'Master data'!$A$1:$D$397,3,FALSE),"")</f>
        <v/>
      </c>
      <c r="H574" s="65"/>
      <c r="I574" s="16"/>
      <c r="J574" s="16"/>
      <c r="K574" s="16" t="b">
        <v>0</v>
      </c>
      <c r="L574" s="16" t="b">
        <v>0</v>
      </c>
    </row>
    <row r="575">
      <c r="A575" s="9"/>
      <c r="B575" s="16"/>
      <c r="C575" s="7" t="str">
        <f>IFERROR(VLOOKUP(B575,'Master data'!$A$1:$D$397,2,FALSE),"")</f>
        <v/>
      </c>
      <c r="D575" s="70" t="str">
        <f>VLOOKUP(B575,Sheet3!$B$2:$E$312,3,)</f>
        <v>#N/A</v>
      </c>
      <c r="E575" s="64"/>
      <c r="F575" s="16" t="str">
        <f>IFERROR(VLOOKUP(B575,'Master data'!$A$1:$D$397,3,FALSE),"")</f>
        <v/>
      </c>
      <c r="H575" s="65"/>
      <c r="I575" s="16"/>
      <c r="J575" s="16"/>
      <c r="K575" s="16" t="b">
        <v>0</v>
      </c>
      <c r="L575" s="16" t="b">
        <v>0</v>
      </c>
    </row>
    <row r="576">
      <c r="A576" s="9"/>
      <c r="B576" s="16"/>
      <c r="C576" s="7" t="str">
        <f>IFERROR(VLOOKUP(B576,'Master data'!$A$1:$D$397,2,FALSE),"")</f>
        <v/>
      </c>
      <c r="D576" s="70" t="str">
        <f>VLOOKUP(B576,Sheet3!$B$2:$E$312,3,)</f>
        <v>#N/A</v>
      </c>
      <c r="E576" s="64"/>
      <c r="F576" s="16" t="str">
        <f>IFERROR(VLOOKUP(B576,'Master data'!$A$1:$D$397,3,FALSE),"")</f>
        <v/>
      </c>
      <c r="H576" s="65"/>
      <c r="I576" s="16"/>
      <c r="J576" s="16"/>
      <c r="K576" s="16" t="b">
        <v>0</v>
      </c>
      <c r="L576" s="16" t="b">
        <v>0</v>
      </c>
    </row>
    <row r="577">
      <c r="A577" s="9"/>
      <c r="B577" s="16"/>
      <c r="C577" s="7" t="str">
        <f>IFERROR(VLOOKUP(B577,'Master data'!$A$1:$D$397,2,FALSE),"")</f>
        <v/>
      </c>
      <c r="D577" s="70" t="str">
        <f>VLOOKUP(B577,Sheet3!$B$2:$E$312,3,)</f>
        <v>#N/A</v>
      </c>
      <c r="E577" s="64"/>
      <c r="F577" s="16" t="str">
        <f>IFERROR(VLOOKUP(B577,'Master data'!$A$1:$D$397,3,FALSE),"")</f>
        <v/>
      </c>
      <c r="H577" s="65"/>
      <c r="I577" s="16"/>
      <c r="J577" s="16"/>
      <c r="K577" s="16" t="b">
        <v>0</v>
      </c>
      <c r="L577" s="16" t="b">
        <v>0</v>
      </c>
    </row>
    <row r="578">
      <c r="A578" s="9"/>
      <c r="B578" s="16"/>
      <c r="C578" s="7" t="str">
        <f>IFERROR(VLOOKUP(B578,'Master data'!$A$1:$D$397,2,FALSE),"")</f>
        <v/>
      </c>
      <c r="D578" s="70" t="str">
        <f>VLOOKUP(B578,Sheet3!$B$2:$E$312,3,)</f>
        <v>#N/A</v>
      </c>
      <c r="E578" s="64"/>
      <c r="F578" s="16" t="str">
        <f>IFERROR(VLOOKUP(B578,'Master data'!$A$1:$D$397,3,FALSE),"")</f>
        <v/>
      </c>
      <c r="H578" s="65"/>
      <c r="I578" s="16"/>
      <c r="J578" s="16"/>
      <c r="K578" s="16" t="b">
        <v>0</v>
      </c>
      <c r="L578" s="16" t="b">
        <v>0</v>
      </c>
    </row>
    <row r="579">
      <c r="A579" s="9"/>
      <c r="B579" s="16"/>
      <c r="C579" s="7" t="str">
        <f>IFERROR(VLOOKUP(B579,'Master data'!$A$1:$D$397,2,FALSE),"")</f>
        <v/>
      </c>
      <c r="D579" s="70" t="str">
        <f>VLOOKUP(B579,Sheet3!$B$2:$E$312,3,)</f>
        <v>#N/A</v>
      </c>
      <c r="E579" s="64"/>
      <c r="F579" s="16" t="str">
        <f>IFERROR(VLOOKUP(B579,'Master data'!$A$1:$D$397,3,FALSE),"")</f>
        <v/>
      </c>
      <c r="H579" s="65"/>
      <c r="I579" s="16"/>
      <c r="J579" s="16"/>
      <c r="K579" s="16" t="b">
        <v>0</v>
      </c>
      <c r="L579" s="16" t="b">
        <v>0</v>
      </c>
    </row>
    <row r="580">
      <c r="A580" s="9"/>
      <c r="B580" s="16"/>
      <c r="C580" s="7" t="str">
        <f>IFERROR(VLOOKUP(B580,'Master data'!$A$1:$D$397,2,FALSE),"")</f>
        <v/>
      </c>
      <c r="D580" s="70" t="str">
        <f>VLOOKUP(B580,Sheet3!$B$2:$E$312,3,)</f>
        <v>#N/A</v>
      </c>
      <c r="E580" s="64"/>
      <c r="F580" s="16" t="str">
        <f>IFERROR(VLOOKUP(B580,'Master data'!$A$1:$D$397,3,FALSE),"")</f>
        <v/>
      </c>
      <c r="H580" s="65"/>
      <c r="I580" s="16"/>
      <c r="J580" s="16"/>
      <c r="K580" s="16" t="b">
        <v>0</v>
      </c>
      <c r="L580" s="16" t="b">
        <v>0</v>
      </c>
    </row>
    <row r="581">
      <c r="A581" s="9"/>
      <c r="B581" s="16"/>
      <c r="C581" s="7" t="str">
        <f>IFERROR(VLOOKUP(B581,'Master data'!$A$1:$D$397,2,FALSE),"")</f>
        <v/>
      </c>
      <c r="D581" s="70" t="str">
        <f>VLOOKUP(B581,Sheet3!$B$2:$E$312,3,)</f>
        <v>#N/A</v>
      </c>
      <c r="E581" s="64"/>
      <c r="F581" s="16" t="str">
        <f>IFERROR(VLOOKUP(B581,'Master data'!$A$1:$D$397,3,FALSE),"")</f>
        <v/>
      </c>
      <c r="H581" s="65"/>
      <c r="I581" s="16"/>
      <c r="J581" s="16"/>
      <c r="K581" s="16" t="b">
        <v>0</v>
      </c>
      <c r="L581" s="16" t="b">
        <v>0</v>
      </c>
    </row>
    <row r="582">
      <c r="A582" s="9"/>
      <c r="B582" s="16"/>
      <c r="C582" s="7" t="str">
        <f>IFERROR(VLOOKUP(B582,'Master data'!$A$1:$D$397,2,FALSE),"")</f>
        <v/>
      </c>
      <c r="D582" s="70" t="str">
        <f>VLOOKUP(B582,Sheet3!$B$2:$E$312,3,)</f>
        <v>#N/A</v>
      </c>
      <c r="E582" s="64"/>
      <c r="F582" s="16" t="str">
        <f>IFERROR(VLOOKUP(B582,'Master data'!$A$1:$D$397,3,FALSE),"")</f>
        <v/>
      </c>
      <c r="H582" s="65"/>
      <c r="I582" s="16"/>
      <c r="J582" s="16"/>
      <c r="K582" s="16" t="b">
        <v>0</v>
      </c>
      <c r="L582" s="16" t="b">
        <v>0</v>
      </c>
    </row>
    <row r="583">
      <c r="A583" s="9"/>
      <c r="B583" s="16"/>
      <c r="C583" s="7" t="str">
        <f>IFERROR(VLOOKUP(B583,'Master data'!$A$1:$D$397,2,FALSE),"")</f>
        <v/>
      </c>
      <c r="D583" s="70" t="str">
        <f>VLOOKUP(B583,Sheet3!$B$2:$E$312,3,)</f>
        <v>#N/A</v>
      </c>
      <c r="E583" s="64"/>
      <c r="F583" s="16" t="str">
        <f>IFERROR(VLOOKUP(B583,'Master data'!$A$1:$D$397,3,FALSE),"")</f>
        <v/>
      </c>
      <c r="H583" s="65"/>
      <c r="I583" s="16"/>
      <c r="J583" s="16"/>
      <c r="K583" s="16" t="b">
        <v>0</v>
      </c>
      <c r="L583" s="16" t="b">
        <v>0</v>
      </c>
    </row>
    <row r="584">
      <c r="A584" s="9"/>
      <c r="B584" s="16"/>
      <c r="C584" s="7" t="str">
        <f>IFERROR(VLOOKUP(B584,'Master data'!$A$1:$D$397,2,FALSE),"")</f>
        <v/>
      </c>
      <c r="D584" s="70" t="str">
        <f>VLOOKUP(B584,Sheet3!$B$2:$E$312,3,)</f>
        <v>#N/A</v>
      </c>
      <c r="E584" s="64"/>
      <c r="F584" s="16" t="str">
        <f>IFERROR(VLOOKUP(B584,'Master data'!$A$1:$D$397,3,FALSE),"")</f>
        <v/>
      </c>
      <c r="H584" s="65"/>
      <c r="I584" s="16"/>
      <c r="J584" s="16"/>
      <c r="K584" s="16" t="b">
        <v>0</v>
      </c>
      <c r="L584" s="16" t="b">
        <v>0</v>
      </c>
    </row>
    <row r="585">
      <c r="A585" s="9"/>
      <c r="B585" s="16"/>
      <c r="C585" s="7" t="str">
        <f>IFERROR(VLOOKUP(B585,'Master data'!$A$1:$D$397,2,FALSE),"")</f>
        <v/>
      </c>
      <c r="D585" s="70" t="str">
        <f>VLOOKUP(B585,Sheet3!$B$2:$E$312,3,)</f>
        <v>#N/A</v>
      </c>
      <c r="E585" s="64"/>
      <c r="F585" s="16" t="str">
        <f>IFERROR(VLOOKUP(B585,'Master data'!$A$1:$D$397,3,FALSE),"")</f>
        <v/>
      </c>
      <c r="H585" s="65"/>
      <c r="I585" s="16"/>
      <c r="J585" s="16"/>
      <c r="K585" s="16" t="b">
        <v>0</v>
      </c>
      <c r="L585" s="16" t="b">
        <v>0</v>
      </c>
    </row>
    <row r="586">
      <c r="A586" s="9"/>
      <c r="B586" s="16"/>
      <c r="C586" s="7" t="str">
        <f>IFERROR(VLOOKUP(B586,'Master data'!$A$1:$D$397,2,FALSE),"")</f>
        <v/>
      </c>
      <c r="D586" s="70" t="str">
        <f>VLOOKUP(B586,Sheet3!$B$2:$E$312,3,)</f>
        <v>#N/A</v>
      </c>
      <c r="E586" s="64"/>
      <c r="F586" s="16" t="str">
        <f>IFERROR(VLOOKUP(B586,'Master data'!$A$1:$D$397,3,FALSE),"")</f>
        <v/>
      </c>
      <c r="H586" s="65"/>
      <c r="I586" s="16"/>
      <c r="J586" s="16"/>
      <c r="K586" s="16" t="b">
        <v>0</v>
      </c>
      <c r="L586" s="16" t="b">
        <v>0</v>
      </c>
    </row>
    <row r="587">
      <c r="A587" s="9"/>
      <c r="B587" s="16"/>
      <c r="C587" s="7" t="str">
        <f>IFERROR(VLOOKUP(B587,'Master data'!$A$1:$D$397,2,FALSE),"")</f>
        <v/>
      </c>
      <c r="D587" s="70" t="str">
        <f>VLOOKUP(B587,Sheet3!$B$2:$E$312,3,)</f>
        <v>#N/A</v>
      </c>
      <c r="E587" s="64"/>
      <c r="F587" s="16" t="str">
        <f>IFERROR(VLOOKUP(B587,'Master data'!$A$1:$D$397,3,FALSE),"")</f>
        <v/>
      </c>
      <c r="H587" s="65"/>
      <c r="I587" s="16"/>
      <c r="J587" s="16"/>
      <c r="K587" s="16" t="b">
        <v>0</v>
      </c>
      <c r="L587" s="16" t="b">
        <v>0</v>
      </c>
    </row>
    <row r="588">
      <c r="A588" s="9"/>
      <c r="B588" s="16"/>
      <c r="C588" s="7" t="str">
        <f>IFERROR(VLOOKUP(B588,'Master data'!$A$1:$D$397,2,FALSE),"")</f>
        <v/>
      </c>
      <c r="D588" s="70" t="str">
        <f>VLOOKUP(B588,Sheet3!$B$2:$E$312,3,)</f>
        <v>#N/A</v>
      </c>
      <c r="E588" s="64"/>
      <c r="F588" s="16" t="str">
        <f>IFERROR(VLOOKUP(B588,'Master data'!$A$1:$D$397,3,FALSE),"")</f>
        <v/>
      </c>
      <c r="H588" s="65"/>
      <c r="I588" s="16"/>
      <c r="J588" s="16"/>
      <c r="K588" s="16" t="b">
        <v>0</v>
      </c>
      <c r="L588" s="16" t="b">
        <v>0</v>
      </c>
    </row>
    <row r="589">
      <c r="A589" s="9"/>
      <c r="B589" s="16"/>
      <c r="C589" s="7" t="str">
        <f>IFERROR(VLOOKUP(B589,'Master data'!$A$1:$D$397,2,FALSE),"")</f>
        <v/>
      </c>
      <c r="D589" s="70" t="str">
        <f>VLOOKUP(B589,Sheet3!$B$2:$E$312,3,)</f>
        <v>#N/A</v>
      </c>
      <c r="E589" s="64"/>
      <c r="F589" s="16" t="str">
        <f>IFERROR(VLOOKUP(B589,'Master data'!$A$1:$D$397,3,FALSE),"")</f>
        <v/>
      </c>
      <c r="H589" s="65"/>
      <c r="I589" s="16"/>
      <c r="J589" s="16"/>
      <c r="K589" s="16" t="b">
        <v>0</v>
      </c>
      <c r="L589" s="16" t="b">
        <v>0</v>
      </c>
    </row>
    <row r="590">
      <c r="A590" s="9"/>
      <c r="B590" s="16"/>
      <c r="C590" s="7" t="str">
        <f>IFERROR(VLOOKUP(B590,'Master data'!$A$1:$D$397,2,FALSE),"")</f>
        <v/>
      </c>
      <c r="D590" s="70" t="str">
        <f>VLOOKUP(B590,Sheet3!$B$2:$E$312,3,)</f>
        <v>#N/A</v>
      </c>
      <c r="E590" s="64"/>
      <c r="F590" s="16" t="str">
        <f>IFERROR(VLOOKUP(B590,'Master data'!$A$1:$D$397,3,FALSE),"")</f>
        <v/>
      </c>
      <c r="H590" s="65"/>
      <c r="I590" s="16"/>
      <c r="J590" s="16"/>
      <c r="K590" s="16" t="b">
        <v>0</v>
      </c>
      <c r="L590" s="16" t="b">
        <v>0</v>
      </c>
    </row>
    <row r="591">
      <c r="A591" s="9"/>
      <c r="B591" s="16"/>
      <c r="C591" s="7" t="str">
        <f>IFERROR(VLOOKUP(B591,'Master data'!$A$1:$D$397,2,FALSE),"")</f>
        <v/>
      </c>
      <c r="D591" s="70" t="str">
        <f>VLOOKUP(B591,Sheet3!$B$2:$E$312,3,)</f>
        <v>#N/A</v>
      </c>
      <c r="E591" s="64"/>
      <c r="F591" s="16" t="str">
        <f>IFERROR(VLOOKUP(B591,'Master data'!$A$1:$D$397,3,FALSE),"")</f>
        <v/>
      </c>
      <c r="H591" s="65"/>
      <c r="I591" s="16"/>
      <c r="J591" s="16"/>
      <c r="K591" s="16" t="b">
        <v>0</v>
      </c>
      <c r="L591" s="16" t="b">
        <v>0</v>
      </c>
    </row>
    <row r="592">
      <c r="A592" s="9"/>
      <c r="B592" s="16"/>
      <c r="C592" s="7" t="str">
        <f>IFERROR(VLOOKUP(B592,'Master data'!$A$1:$D$397,2,FALSE),"")</f>
        <v/>
      </c>
      <c r="D592" s="70" t="str">
        <f>VLOOKUP(B592,Sheet3!$B$2:$E$312,3,)</f>
        <v>#N/A</v>
      </c>
      <c r="E592" s="64"/>
      <c r="F592" s="16" t="str">
        <f>IFERROR(VLOOKUP(B592,'Master data'!$A$1:$D$397,3,FALSE),"")</f>
        <v/>
      </c>
      <c r="H592" s="65"/>
      <c r="I592" s="16"/>
      <c r="J592" s="16"/>
      <c r="K592" s="16" t="b">
        <v>0</v>
      </c>
      <c r="L592" s="16" t="b">
        <v>0</v>
      </c>
    </row>
    <row r="593">
      <c r="A593" s="9"/>
      <c r="B593" s="16"/>
      <c r="C593" s="7" t="str">
        <f>IFERROR(VLOOKUP(B593,'Master data'!$A$1:$D$397,2,FALSE),"")</f>
        <v/>
      </c>
      <c r="D593" s="70" t="str">
        <f>VLOOKUP(B593,Sheet3!$B$2:$E$312,3,)</f>
        <v>#N/A</v>
      </c>
      <c r="E593" s="64"/>
      <c r="F593" s="16" t="str">
        <f>IFERROR(VLOOKUP(B593,'Master data'!$A$1:$D$397,3,FALSE),"")</f>
        <v/>
      </c>
      <c r="H593" s="65"/>
      <c r="I593" s="16"/>
      <c r="J593" s="16"/>
      <c r="K593" s="16" t="b">
        <v>0</v>
      </c>
      <c r="L593" s="16" t="b">
        <v>0</v>
      </c>
    </row>
    <row r="594">
      <c r="A594" s="9"/>
      <c r="B594" s="16"/>
      <c r="C594" s="7" t="str">
        <f>IFERROR(VLOOKUP(B594,'Master data'!$A$1:$D$397,2,FALSE),"")</f>
        <v/>
      </c>
      <c r="D594" s="70" t="str">
        <f>VLOOKUP(B594,Sheet3!$B$2:$E$312,3,)</f>
        <v>#N/A</v>
      </c>
      <c r="E594" s="64"/>
      <c r="F594" s="16" t="str">
        <f>IFERROR(VLOOKUP(B594,'Master data'!$A$1:$D$397,3,FALSE),"")</f>
        <v/>
      </c>
      <c r="H594" s="65"/>
      <c r="I594" s="16"/>
      <c r="J594" s="16"/>
      <c r="K594" s="16" t="b">
        <v>0</v>
      </c>
      <c r="L594" s="16" t="b">
        <v>0</v>
      </c>
    </row>
    <row r="595">
      <c r="A595" s="9"/>
      <c r="B595" s="16"/>
      <c r="C595" s="7" t="str">
        <f>IFERROR(VLOOKUP(B595,'Master data'!$A$1:$D$397,2,FALSE),"")</f>
        <v/>
      </c>
      <c r="D595" s="70" t="str">
        <f>VLOOKUP(B595,Sheet3!$B$2:$E$312,3,)</f>
        <v>#N/A</v>
      </c>
      <c r="E595" s="64"/>
      <c r="F595" s="16" t="str">
        <f>IFERROR(VLOOKUP(B595,'Master data'!$A$1:$D$397,3,FALSE),"")</f>
        <v/>
      </c>
      <c r="H595" s="65"/>
      <c r="I595" s="16"/>
      <c r="J595" s="16"/>
      <c r="K595" s="16" t="b">
        <v>0</v>
      </c>
      <c r="L595" s="16" t="b">
        <v>0</v>
      </c>
    </row>
    <row r="596">
      <c r="A596" s="9"/>
      <c r="B596" s="16"/>
      <c r="C596" s="7" t="str">
        <f>IFERROR(VLOOKUP(B596,'Master data'!$A$1:$D$397,2,FALSE),"")</f>
        <v/>
      </c>
      <c r="D596" s="70" t="str">
        <f>VLOOKUP(B596,Sheet3!$B$2:$E$312,3,)</f>
        <v>#N/A</v>
      </c>
      <c r="E596" s="64"/>
      <c r="F596" s="16" t="str">
        <f>IFERROR(VLOOKUP(B596,'Master data'!$A$1:$D$397,3,FALSE),"")</f>
        <v/>
      </c>
      <c r="H596" s="65"/>
      <c r="I596" s="16"/>
      <c r="J596" s="16"/>
      <c r="K596" s="16" t="b">
        <v>0</v>
      </c>
      <c r="L596" s="16" t="b">
        <v>0</v>
      </c>
    </row>
    <row r="597">
      <c r="A597" s="9"/>
      <c r="B597" s="16"/>
      <c r="C597" s="7" t="str">
        <f>IFERROR(VLOOKUP(B597,'Master data'!$A$1:$D$397,2,FALSE),"")</f>
        <v/>
      </c>
      <c r="D597" s="70" t="str">
        <f>VLOOKUP(B597,Sheet3!$B$2:$E$312,3,)</f>
        <v>#N/A</v>
      </c>
      <c r="E597" s="64"/>
      <c r="F597" s="16" t="str">
        <f>IFERROR(VLOOKUP(B597,'Master data'!$A$1:$D$397,3,FALSE),"")</f>
        <v/>
      </c>
      <c r="H597" s="65"/>
      <c r="I597" s="16"/>
      <c r="J597" s="16"/>
      <c r="K597" s="16" t="b">
        <v>0</v>
      </c>
      <c r="L597" s="16" t="b">
        <v>0</v>
      </c>
    </row>
    <row r="598">
      <c r="A598" s="9"/>
      <c r="B598" s="16"/>
      <c r="C598" s="7" t="str">
        <f>IFERROR(VLOOKUP(B598,'Master data'!$A$1:$D$397,2,FALSE),"")</f>
        <v/>
      </c>
      <c r="D598" s="70" t="str">
        <f>VLOOKUP(B598,Sheet3!$B$2:$E$312,3,)</f>
        <v>#N/A</v>
      </c>
      <c r="E598" s="64"/>
      <c r="F598" s="16" t="str">
        <f>IFERROR(VLOOKUP(B598,'Master data'!$A$1:$D$397,3,FALSE),"")</f>
        <v/>
      </c>
      <c r="H598" s="65"/>
      <c r="I598" s="16"/>
      <c r="J598" s="16"/>
      <c r="K598" s="16" t="b">
        <v>0</v>
      </c>
      <c r="L598" s="16" t="b">
        <v>0</v>
      </c>
    </row>
    <row r="599">
      <c r="A599" s="9"/>
      <c r="B599" s="16"/>
      <c r="C599" s="7" t="str">
        <f>IFERROR(VLOOKUP(B599,'Master data'!$A$1:$D$397,2,FALSE),"")</f>
        <v/>
      </c>
      <c r="D599" s="70" t="str">
        <f>VLOOKUP(B599,Sheet3!$B$2:$E$312,3,)</f>
        <v>#N/A</v>
      </c>
      <c r="E599" s="64"/>
      <c r="F599" s="16" t="str">
        <f>IFERROR(VLOOKUP(B599,'Master data'!$A$1:$D$397,3,FALSE),"")</f>
        <v/>
      </c>
      <c r="H599" s="65"/>
      <c r="I599" s="16"/>
      <c r="J599" s="16"/>
      <c r="K599" s="16" t="b">
        <v>0</v>
      </c>
      <c r="L599" s="16" t="b">
        <v>0</v>
      </c>
    </row>
    <row r="600">
      <c r="A600" s="9"/>
      <c r="B600" s="16"/>
      <c r="C600" s="7" t="str">
        <f>IFERROR(VLOOKUP(B600,'Master data'!$A$1:$D$397,2,FALSE),"")</f>
        <v/>
      </c>
      <c r="D600" s="70" t="str">
        <f>VLOOKUP(B600,Sheet3!$B$2:$E$312,3,)</f>
        <v>#N/A</v>
      </c>
      <c r="E600" s="64"/>
      <c r="F600" s="16" t="str">
        <f>IFERROR(VLOOKUP(B600,'Master data'!$A$1:$D$397,3,FALSE),"")</f>
        <v/>
      </c>
      <c r="H600" s="65"/>
      <c r="I600" s="16"/>
      <c r="J600" s="16"/>
      <c r="K600" s="16" t="b">
        <v>0</v>
      </c>
      <c r="L600" s="16" t="b">
        <v>0</v>
      </c>
    </row>
    <row r="601">
      <c r="A601" s="9"/>
      <c r="B601" s="16"/>
      <c r="C601" s="7" t="str">
        <f>IFERROR(VLOOKUP(B601,'Master data'!$A$1:$D$397,2,FALSE),"")</f>
        <v/>
      </c>
      <c r="D601" s="70" t="str">
        <f>VLOOKUP(B601,Sheet3!$B$2:$E$312,3,)</f>
        <v>#N/A</v>
      </c>
      <c r="E601" s="64"/>
      <c r="F601" s="16" t="str">
        <f>IFERROR(VLOOKUP(B601,'Master data'!$A$1:$D$397,3,FALSE),"")</f>
        <v/>
      </c>
      <c r="H601" s="65"/>
      <c r="I601" s="16"/>
      <c r="J601" s="16"/>
      <c r="K601" s="16" t="b">
        <v>0</v>
      </c>
      <c r="L601" s="16" t="b">
        <v>0</v>
      </c>
    </row>
    <row r="602">
      <c r="A602" s="9"/>
      <c r="B602" s="16"/>
      <c r="C602" s="7" t="str">
        <f>IFERROR(VLOOKUP(B602,'Master data'!$A$1:$D$397,2,FALSE),"")</f>
        <v/>
      </c>
      <c r="D602" s="70" t="str">
        <f>VLOOKUP(B602,Sheet3!$B$2:$E$312,3,)</f>
        <v>#N/A</v>
      </c>
      <c r="E602" s="64"/>
      <c r="F602" s="16" t="str">
        <f>IFERROR(VLOOKUP(B602,'Master data'!$A$1:$D$397,3,FALSE),"")</f>
        <v/>
      </c>
      <c r="H602" s="65"/>
      <c r="I602" s="16"/>
      <c r="J602" s="16"/>
      <c r="K602" s="16" t="b">
        <v>0</v>
      </c>
      <c r="L602" s="16" t="b">
        <v>0</v>
      </c>
    </row>
    <row r="603">
      <c r="A603" s="9"/>
      <c r="B603" s="16"/>
      <c r="C603" s="7" t="str">
        <f>IFERROR(VLOOKUP(B603,'Master data'!$A$1:$D$397,2,FALSE),"")</f>
        <v/>
      </c>
      <c r="D603" s="70" t="str">
        <f>VLOOKUP(B603,Sheet3!$B$2:$E$312,3,)</f>
        <v>#N/A</v>
      </c>
      <c r="E603" s="64"/>
      <c r="F603" s="16" t="str">
        <f>IFERROR(VLOOKUP(B603,'Master data'!$A$1:$D$397,3,FALSE),"")</f>
        <v/>
      </c>
      <c r="H603" s="65"/>
      <c r="I603" s="16"/>
      <c r="J603" s="16"/>
      <c r="K603" s="16" t="b">
        <v>0</v>
      </c>
      <c r="L603" s="16" t="b">
        <v>0</v>
      </c>
    </row>
    <row r="604">
      <c r="A604" s="9"/>
      <c r="B604" s="16"/>
      <c r="C604" s="7" t="str">
        <f>IFERROR(VLOOKUP(B604,'Master data'!$A$1:$D$397,2,FALSE),"")</f>
        <v/>
      </c>
      <c r="D604" s="70" t="str">
        <f>VLOOKUP(B604,Sheet3!$B$2:$E$312,3,)</f>
        <v>#N/A</v>
      </c>
      <c r="E604" s="64"/>
      <c r="F604" s="16" t="str">
        <f>IFERROR(VLOOKUP(B604,'Master data'!$A$1:$D$397,3,FALSE),"")</f>
        <v/>
      </c>
      <c r="H604" s="65"/>
      <c r="I604" s="16"/>
      <c r="J604" s="16"/>
      <c r="K604" s="16" t="b">
        <v>0</v>
      </c>
      <c r="L604" s="16" t="b">
        <v>0</v>
      </c>
    </row>
    <row r="605">
      <c r="A605" s="9"/>
      <c r="B605" s="16"/>
      <c r="C605" s="7" t="str">
        <f>IFERROR(VLOOKUP(B605,'Master data'!$A$1:$D$397,2,FALSE),"")</f>
        <v/>
      </c>
      <c r="D605" s="70" t="str">
        <f>VLOOKUP(B605,Sheet3!$B$2:$E$312,3,)</f>
        <v>#N/A</v>
      </c>
      <c r="E605" s="64"/>
      <c r="F605" s="16" t="str">
        <f>IFERROR(VLOOKUP(B605,'Master data'!$A$1:$D$397,3,FALSE),"")</f>
        <v/>
      </c>
      <c r="H605" s="65"/>
      <c r="I605" s="16"/>
      <c r="J605" s="16"/>
      <c r="K605" s="16" t="b">
        <v>0</v>
      </c>
      <c r="L605" s="16" t="b">
        <v>0</v>
      </c>
    </row>
    <row r="606">
      <c r="A606" s="9"/>
      <c r="B606" s="16"/>
      <c r="C606" s="7" t="str">
        <f>IFERROR(VLOOKUP(B606,'Master data'!$A$1:$D$397,2,FALSE),"")</f>
        <v/>
      </c>
      <c r="D606" s="70" t="str">
        <f>VLOOKUP(B606,Sheet3!$B$2:$E$312,3,)</f>
        <v>#N/A</v>
      </c>
      <c r="E606" s="64"/>
      <c r="F606" s="16" t="str">
        <f>IFERROR(VLOOKUP(B606,'Master data'!$A$1:$D$397,3,FALSE),"")</f>
        <v/>
      </c>
      <c r="H606" s="65"/>
      <c r="I606" s="16"/>
      <c r="J606" s="16"/>
      <c r="K606" s="16" t="b">
        <v>0</v>
      </c>
      <c r="L606" s="16" t="b">
        <v>0</v>
      </c>
    </row>
    <row r="607">
      <c r="A607" s="9"/>
      <c r="B607" s="16"/>
      <c r="C607" s="7" t="str">
        <f>IFERROR(VLOOKUP(B607,'Master data'!$A$1:$D$397,2,FALSE),"")</f>
        <v/>
      </c>
      <c r="D607" s="70" t="str">
        <f>VLOOKUP(B607,Sheet3!$B$2:$E$312,3,)</f>
        <v>#N/A</v>
      </c>
      <c r="E607" s="64"/>
      <c r="F607" s="16" t="str">
        <f>IFERROR(VLOOKUP(B607,'Master data'!$A$1:$D$397,3,FALSE),"")</f>
        <v/>
      </c>
      <c r="H607" s="65"/>
      <c r="I607" s="16"/>
      <c r="J607" s="16"/>
      <c r="K607" s="16" t="b">
        <v>0</v>
      </c>
      <c r="L607" s="16" t="b">
        <v>0</v>
      </c>
    </row>
    <row r="608">
      <c r="A608" s="9"/>
      <c r="B608" s="16"/>
      <c r="C608" s="7" t="str">
        <f>IFERROR(VLOOKUP(B608,'Master data'!$A$1:$D$397,2,FALSE),"")</f>
        <v/>
      </c>
      <c r="D608" s="70" t="str">
        <f>VLOOKUP(B608,Sheet3!$B$2:$E$312,3,)</f>
        <v>#N/A</v>
      </c>
      <c r="E608" s="64"/>
      <c r="F608" s="16" t="str">
        <f>IFERROR(VLOOKUP(B608,'Master data'!$A$1:$D$397,3,FALSE),"")</f>
        <v/>
      </c>
      <c r="H608" s="65"/>
      <c r="I608" s="16"/>
      <c r="J608" s="16"/>
      <c r="K608" s="16" t="b">
        <v>0</v>
      </c>
      <c r="L608" s="16" t="b">
        <v>0</v>
      </c>
    </row>
    <row r="609">
      <c r="A609" s="9"/>
      <c r="B609" s="16"/>
      <c r="C609" s="7" t="str">
        <f>IFERROR(VLOOKUP(B609,'Master data'!$A$1:$D$397,2,FALSE),"")</f>
        <v/>
      </c>
      <c r="D609" s="70" t="str">
        <f>VLOOKUP(B609,Sheet3!$B$2:$E$312,3,)</f>
        <v>#N/A</v>
      </c>
      <c r="E609" s="64"/>
      <c r="F609" s="16" t="str">
        <f>IFERROR(VLOOKUP(B609,'Master data'!$A$1:$D$397,3,FALSE),"")</f>
        <v/>
      </c>
      <c r="H609" s="65"/>
      <c r="I609" s="16"/>
      <c r="J609" s="16"/>
      <c r="K609" s="16" t="b">
        <v>0</v>
      </c>
      <c r="L609" s="16" t="b">
        <v>0</v>
      </c>
    </row>
    <row r="610">
      <c r="A610" s="9"/>
      <c r="B610" s="16"/>
      <c r="C610" s="7" t="str">
        <f>IFERROR(VLOOKUP(B610,'Master data'!$A$1:$D$397,2,FALSE),"")</f>
        <v/>
      </c>
      <c r="D610" s="70" t="str">
        <f>VLOOKUP(B610,Sheet3!$B$2:$E$312,3,)</f>
        <v>#N/A</v>
      </c>
      <c r="E610" s="64"/>
      <c r="F610" s="16" t="str">
        <f>IFERROR(VLOOKUP(B610,'Master data'!$A$1:$D$397,3,FALSE),"")</f>
        <v/>
      </c>
      <c r="H610" s="65"/>
      <c r="I610" s="16"/>
      <c r="J610" s="16"/>
      <c r="K610" s="16" t="b">
        <v>0</v>
      </c>
      <c r="L610" s="16" t="b">
        <v>0</v>
      </c>
    </row>
    <row r="611">
      <c r="A611" s="9"/>
      <c r="B611" s="16"/>
      <c r="C611" s="7" t="str">
        <f>IFERROR(VLOOKUP(B611,'Master data'!$A$1:$D$397,2,FALSE),"")</f>
        <v/>
      </c>
      <c r="D611" s="70" t="str">
        <f>VLOOKUP(B611,Sheet3!$B$2:$E$312,3,)</f>
        <v>#N/A</v>
      </c>
      <c r="E611" s="64"/>
      <c r="F611" s="16" t="str">
        <f>IFERROR(VLOOKUP(B611,'Master data'!$A$1:$D$397,3,FALSE),"")</f>
        <v/>
      </c>
      <c r="H611" s="65"/>
      <c r="I611" s="16"/>
      <c r="J611" s="16"/>
      <c r="K611" s="16" t="b">
        <v>0</v>
      </c>
      <c r="L611" s="16" t="b">
        <v>0</v>
      </c>
    </row>
    <row r="612">
      <c r="A612" s="9"/>
      <c r="B612" s="16"/>
      <c r="C612" s="7" t="str">
        <f>IFERROR(VLOOKUP(B612,'Master data'!$A$1:$D$397,2,FALSE),"")</f>
        <v/>
      </c>
      <c r="D612" s="70" t="str">
        <f>VLOOKUP(B612,Sheet3!$B$2:$E$312,3,)</f>
        <v>#N/A</v>
      </c>
      <c r="E612" s="64"/>
      <c r="F612" s="16" t="str">
        <f>IFERROR(VLOOKUP(B612,'Master data'!$A$1:$D$397,3,FALSE),"")</f>
        <v/>
      </c>
      <c r="H612" s="65"/>
      <c r="I612" s="16"/>
      <c r="J612" s="16"/>
      <c r="K612" s="16" t="b">
        <v>0</v>
      </c>
      <c r="L612" s="16" t="b">
        <v>0</v>
      </c>
    </row>
    <row r="613">
      <c r="A613" s="9"/>
      <c r="B613" s="16"/>
      <c r="C613" s="7" t="str">
        <f>IFERROR(VLOOKUP(B613,'Master data'!$A$1:$D$397,2,FALSE),"")</f>
        <v/>
      </c>
      <c r="D613" s="70" t="str">
        <f>VLOOKUP(B613,Sheet3!$B$2:$E$312,3,)</f>
        <v>#N/A</v>
      </c>
      <c r="E613" s="64"/>
      <c r="F613" s="16" t="str">
        <f>IFERROR(VLOOKUP(B613,'Master data'!$A$1:$D$397,3,FALSE),"")</f>
        <v/>
      </c>
      <c r="H613" s="65"/>
      <c r="I613" s="16"/>
      <c r="J613" s="16"/>
      <c r="K613" s="16" t="b">
        <v>0</v>
      </c>
      <c r="L613" s="16" t="b">
        <v>0</v>
      </c>
    </row>
    <row r="614">
      <c r="A614" s="9"/>
      <c r="B614" s="16"/>
      <c r="C614" s="7" t="str">
        <f>IFERROR(VLOOKUP(B614,'Master data'!$A$1:$D$397,2,FALSE),"")</f>
        <v/>
      </c>
      <c r="D614" s="70" t="str">
        <f>VLOOKUP(B614,Sheet3!$B$2:$E$312,3,)</f>
        <v>#N/A</v>
      </c>
      <c r="E614" s="64"/>
      <c r="F614" s="16" t="str">
        <f>IFERROR(VLOOKUP(B614,'Master data'!$A$1:$D$397,3,FALSE),"")</f>
        <v/>
      </c>
      <c r="H614" s="65"/>
      <c r="I614" s="16"/>
      <c r="J614" s="16"/>
      <c r="K614" s="16" t="b">
        <v>0</v>
      </c>
      <c r="L614" s="16" t="b">
        <v>0</v>
      </c>
    </row>
    <row r="615">
      <c r="A615" s="9"/>
      <c r="B615" s="16"/>
      <c r="C615" s="7" t="str">
        <f>IFERROR(VLOOKUP(B615,'Master data'!$A$1:$D$397,2,FALSE),"")</f>
        <v/>
      </c>
      <c r="D615" s="70" t="str">
        <f>VLOOKUP(B615,Sheet3!$B$2:$E$312,3,)</f>
        <v>#N/A</v>
      </c>
      <c r="E615" s="64"/>
      <c r="F615" s="16" t="str">
        <f>IFERROR(VLOOKUP(B615,'Master data'!$A$1:$D$397,3,FALSE),"")</f>
        <v/>
      </c>
      <c r="H615" s="65"/>
      <c r="I615" s="16"/>
      <c r="J615" s="16"/>
      <c r="K615" s="16" t="b">
        <v>0</v>
      </c>
      <c r="L615" s="16" t="b">
        <v>0</v>
      </c>
    </row>
    <row r="616">
      <c r="A616" s="9"/>
      <c r="B616" s="16"/>
      <c r="C616" s="7" t="str">
        <f>IFERROR(VLOOKUP(B616,'Master data'!$A$1:$D$397,2,FALSE),"")</f>
        <v/>
      </c>
      <c r="D616" s="70" t="str">
        <f>VLOOKUP(B616,Sheet3!$B$2:$E$312,3,)</f>
        <v>#N/A</v>
      </c>
      <c r="E616" s="64"/>
      <c r="F616" s="16" t="str">
        <f>IFERROR(VLOOKUP(B616,'Master data'!$A$1:$D$397,3,FALSE),"")</f>
        <v/>
      </c>
      <c r="H616" s="65"/>
      <c r="I616" s="16"/>
      <c r="J616" s="16"/>
      <c r="K616" s="16" t="b">
        <v>0</v>
      </c>
      <c r="L616" s="16" t="b">
        <v>0</v>
      </c>
    </row>
    <row r="617">
      <c r="A617" s="9"/>
      <c r="B617" s="16"/>
      <c r="C617" s="7" t="str">
        <f>IFERROR(VLOOKUP(B617,'Master data'!$A$1:$D$397,2,FALSE),"")</f>
        <v/>
      </c>
      <c r="D617" s="70" t="str">
        <f>VLOOKUP(B617,Sheet3!$B$2:$E$312,3,)</f>
        <v>#N/A</v>
      </c>
      <c r="E617" s="64"/>
      <c r="F617" s="16" t="str">
        <f>IFERROR(VLOOKUP(B617,'Master data'!$A$1:$D$397,3,FALSE),"")</f>
        <v/>
      </c>
      <c r="H617" s="65"/>
      <c r="I617" s="16"/>
      <c r="J617" s="16"/>
      <c r="K617" s="16" t="b">
        <v>0</v>
      </c>
      <c r="L617" s="16" t="b">
        <v>0</v>
      </c>
    </row>
    <row r="618">
      <c r="A618" s="9"/>
      <c r="B618" s="16"/>
      <c r="C618" s="7" t="str">
        <f>IFERROR(VLOOKUP(B618,'Master data'!$A$1:$D$397,2,FALSE),"")</f>
        <v/>
      </c>
      <c r="D618" s="70" t="str">
        <f>VLOOKUP(B618,Sheet3!$B$2:$E$312,3,)</f>
        <v>#N/A</v>
      </c>
      <c r="E618" s="64"/>
      <c r="F618" s="16" t="str">
        <f>IFERROR(VLOOKUP(B618,'Master data'!$A$1:$D$397,3,FALSE),"")</f>
        <v/>
      </c>
      <c r="H618" s="65"/>
      <c r="I618" s="16"/>
      <c r="J618" s="16"/>
      <c r="K618" s="16" t="b">
        <v>0</v>
      </c>
      <c r="L618" s="16" t="b">
        <v>0</v>
      </c>
    </row>
    <row r="619">
      <c r="A619" s="9"/>
      <c r="B619" s="16"/>
      <c r="C619" s="7" t="str">
        <f>IFERROR(VLOOKUP(B619,'Master data'!$A$1:$D$397,2,FALSE),"")</f>
        <v/>
      </c>
      <c r="D619" s="70" t="str">
        <f>VLOOKUP(B619,Sheet3!$B$2:$E$312,3,)</f>
        <v>#N/A</v>
      </c>
      <c r="E619" s="64"/>
      <c r="F619" s="16" t="str">
        <f>IFERROR(VLOOKUP(B619,'Master data'!$A$1:$D$397,3,FALSE),"")</f>
        <v/>
      </c>
      <c r="H619" s="65"/>
      <c r="I619" s="16"/>
      <c r="J619" s="16"/>
      <c r="K619" s="16" t="b">
        <v>0</v>
      </c>
      <c r="L619" s="16" t="b">
        <v>0</v>
      </c>
    </row>
    <row r="620">
      <c r="A620" s="9"/>
      <c r="B620" s="16"/>
      <c r="C620" s="7" t="str">
        <f>IFERROR(VLOOKUP(B620,'Master data'!$A$1:$D$397,2,FALSE),"")</f>
        <v/>
      </c>
      <c r="D620" s="70" t="str">
        <f>VLOOKUP(B620,Sheet3!$B$2:$E$312,3,)</f>
        <v>#N/A</v>
      </c>
      <c r="E620" s="64"/>
      <c r="F620" s="16" t="str">
        <f>IFERROR(VLOOKUP(B620,'Master data'!$A$1:$D$397,3,FALSE),"")</f>
        <v/>
      </c>
      <c r="H620" s="65"/>
      <c r="I620" s="16"/>
      <c r="J620" s="16"/>
      <c r="K620" s="16" t="b">
        <v>0</v>
      </c>
      <c r="L620" s="16" t="b">
        <v>0</v>
      </c>
    </row>
    <row r="621">
      <c r="A621" s="9"/>
      <c r="B621" s="16"/>
      <c r="C621" s="7" t="str">
        <f>IFERROR(VLOOKUP(B621,'Master data'!$A$1:$D$397,2,FALSE),"")</f>
        <v/>
      </c>
      <c r="D621" s="70" t="str">
        <f>VLOOKUP(B621,Sheet3!$B$2:$E$312,3,)</f>
        <v>#N/A</v>
      </c>
      <c r="E621" s="64"/>
      <c r="F621" s="16" t="str">
        <f>IFERROR(VLOOKUP(B621,'Master data'!$A$1:$D$397,3,FALSE),"")</f>
        <v/>
      </c>
      <c r="H621" s="65"/>
      <c r="I621" s="16"/>
      <c r="J621" s="16"/>
      <c r="K621" s="16" t="b">
        <v>0</v>
      </c>
      <c r="L621" s="16" t="b">
        <v>0</v>
      </c>
    </row>
    <row r="622">
      <c r="A622" s="9"/>
      <c r="B622" s="16"/>
      <c r="C622" s="7" t="str">
        <f>IFERROR(VLOOKUP(B622,'Master data'!$A$1:$D$397,2,FALSE),"")</f>
        <v/>
      </c>
      <c r="D622" s="70" t="str">
        <f>VLOOKUP(B622,Sheet3!$B$2:$E$312,3,)</f>
        <v>#N/A</v>
      </c>
      <c r="E622" s="64"/>
      <c r="F622" s="16" t="str">
        <f>IFERROR(VLOOKUP(B622,'Master data'!$A$1:$D$397,3,FALSE),"")</f>
        <v/>
      </c>
      <c r="H622" s="65"/>
      <c r="I622" s="16"/>
      <c r="J622" s="16"/>
      <c r="K622" s="16" t="b">
        <v>0</v>
      </c>
      <c r="L622" s="16" t="b">
        <v>0</v>
      </c>
    </row>
    <row r="623">
      <c r="A623" s="9"/>
      <c r="B623" s="16"/>
      <c r="C623" s="7" t="str">
        <f>IFERROR(VLOOKUP(B623,'Master data'!$A$1:$D$397,2,FALSE),"")</f>
        <v/>
      </c>
      <c r="D623" s="70" t="str">
        <f>VLOOKUP(B623,Sheet3!$B$2:$E$312,3,)</f>
        <v>#N/A</v>
      </c>
      <c r="E623" s="64"/>
      <c r="F623" s="16" t="str">
        <f>IFERROR(VLOOKUP(B623,'Master data'!$A$1:$D$397,3,FALSE),"")</f>
        <v/>
      </c>
      <c r="H623" s="65"/>
      <c r="I623" s="16"/>
      <c r="J623" s="16"/>
      <c r="K623" s="16" t="b">
        <v>0</v>
      </c>
      <c r="L623" s="16" t="b">
        <v>0</v>
      </c>
    </row>
    <row r="624">
      <c r="A624" s="9"/>
      <c r="B624" s="16"/>
      <c r="C624" s="7" t="str">
        <f>IFERROR(VLOOKUP(B624,'Master data'!$A$1:$D$397,2,FALSE),"")</f>
        <v/>
      </c>
      <c r="D624" s="70" t="str">
        <f>VLOOKUP(B624,Sheet3!$B$2:$E$312,3,)</f>
        <v>#N/A</v>
      </c>
      <c r="E624" s="64"/>
      <c r="F624" s="16" t="str">
        <f>IFERROR(VLOOKUP(B624,'Master data'!$A$1:$D$397,3,FALSE),"")</f>
        <v/>
      </c>
      <c r="H624" s="65"/>
      <c r="I624" s="16"/>
      <c r="J624" s="16"/>
      <c r="K624" s="16" t="b">
        <v>0</v>
      </c>
      <c r="L624" s="16" t="b">
        <v>0</v>
      </c>
    </row>
    <row r="625">
      <c r="A625" s="9"/>
      <c r="B625" s="16"/>
      <c r="C625" s="7" t="str">
        <f>IFERROR(VLOOKUP(B625,'Master data'!$A$1:$D$397,2,FALSE),"")</f>
        <v/>
      </c>
      <c r="D625" s="70" t="str">
        <f>VLOOKUP(B625,Sheet3!$B$2:$E$312,3,)</f>
        <v>#N/A</v>
      </c>
      <c r="E625" s="64"/>
      <c r="F625" s="16" t="str">
        <f>IFERROR(VLOOKUP(B625,'Master data'!$A$1:$D$397,3,FALSE),"")</f>
        <v/>
      </c>
      <c r="H625" s="65"/>
      <c r="I625" s="16"/>
      <c r="J625" s="16"/>
      <c r="K625" s="16" t="b">
        <v>0</v>
      </c>
      <c r="L625" s="16" t="b">
        <v>0</v>
      </c>
    </row>
    <row r="626">
      <c r="A626" s="9"/>
      <c r="B626" s="16"/>
      <c r="C626" s="7" t="str">
        <f>IFERROR(VLOOKUP(B626,'Master data'!$A$1:$D$397,2,FALSE),"")</f>
        <v/>
      </c>
      <c r="D626" s="70" t="str">
        <f>VLOOKUP(B626,Sheet3!$B$2:$E$312,3,)</f>
        <v>#N/A</v>
      </c>
      <c r="E626" s="64"/>
      <c r="F626" s="16" t="str">
        <f>IFERROR(VLOOKUP(B626,'Master data'!$A$1:$D$397,3,FALSE),"")</f>
        <v/>
      </c>
      <c r="H626" s="65"/>
      <c r="I626" s="16"/>
      <c r="J626" s="16"/>
      <c r="K626" s="16" t="b">
        <v>0</v>
      </c>
      <c r="L626" s="16" t="b">
        <v>0</v>
      </c>
    </row>
    <row r="627">
      <c r="A627" s="9"/>
      <c r="B627" s="16"/>
      <c r="C627" s="7" t="str">
        <f>IFERROR(VLOOKUP(B627,'Master data'!$A$1:$D$397,2,FALSE),"")</f>
        <v/>
      </c>
      <c r="D627" s="70" t="str">
        <f>VLOOKUP(B627,Sheet3!$B$2:$E$312,3,)</f>
        <v>#N/A</v>
      </c>
      <c r="E627" s="64"/>
      <c r="F627" s="16" t="str">
        <f>IFERROR(VLOOKUP(B627,'Master data'!$A$1:$D$397,3,FALSE),"")</f>
        <v/>
      </c>
      <c r="H627" s="65"/>
      <c r="I627" s="16"/>
      <c r="J627" s="16"/>
      <c r="K627" s="16" t="b">
        <v>0</v>
      </c>
      <c r="L627" s="16" t="b">
        <v>0</v>
      </c>
    </row>
    <row r="628">
      <c r="A628" s="9"/>
      <c r="B628" s="16"/>
      <c r="C628" s="7" t="str">
        <f>IFERROR(VLOOKUP(B628,'Master data'!$A$1:$D$397,2,FALSE),"")</f>
        <v/>
      </c>
      <c r="D628" s="70" t="str">
        <f>VLOOKUP(B628,Sheet3!$B$2:$E$312,3,)</f>
        <v>#N/A</v>
      </c>
      <c r="E628" s="64"/>
      <c r="F628" s="16" t="str">
        <f>IFERROR(VLOOKUP(B628,'Master data'!$A$1:$D$397,3,FALSE),"")</f>
        <v/>
      </c>
      <c r="H628" s="65"/>
      <c r="I628" s="16"/>
      <c r="J628" s="16"/>
      <c r="K628" s="16" t="b">
        <v>0</v>
      </c>
      <c r="L628" s="16" t="b">
        <v>0</v>
      </c>
    </row>
    <row r="629">
      <c r="A629" s="9"/>
      <c r="B629" s="16"/>
      <c r="C629" s="7" t="str">
        <f>IFERROR(VLOOKUP(B629,'Master data'!$A$1:$D$397,2,FALSE),"")</f>
        <v/>
      </c>
      <c r="D629" s="70" t="str">
        <f>VLOOKUP(B629,Sheet3!$B$2:$E$312,3,)</f>
        <v>#N/A</v>
      </c>
      <c r="E629" s="64"/>
      <c r="F629" s="16" t="str">
        <f>IFERROR(VLOOKUP(B629,'Master data'!$A$1:$D$397,3,FALSE),"")</f>
        <v/>
      </c>
      <c r="H629" s="65"/>
      <c r="I629" s="16"/>
      <c r="J629" s="16"/>
      <c r="K629" s="16" t="b">
        <v>0</v>
      </c>
      <c r="L629" s="16" t="b">
        <v>0</v>
      </c>
    </row>
    <row r="630">
      <c r="A630" s="9"/>
      <c r="B630" s="16"/>
      <c r="C630" s="7" t="str">
        <f>IFERROR(VLOOKUP(B630,'Master data'!$A$1:$D$397,2,FALSE),"")</f>
        <v/>
      </c>
      <c r="D630" s="70" t="str">
        <f>VLOOKUP(B630,Sheet3!$B$2:$E$312,3,)</f>
        <v>#N/A</v>
      </c>
      <c r="E630" s="64"/>
      <c r="F630" s="16" t="str">
        <f>IFERROR(VLOOKUP(B630,'Master data'!$A$1:$D$397,3,FALSE),"")</f>
        <v/>
      </c>
      <c r="H630" s="65"/>
      <c r="I630" s="16"/>
      <c r="J630" s="16"/>
      <c r="K630" s="16" t="b">
        <v>0</v>
      </c>
      <c r="L630" s="16" t="b">
        <v>0</v>
      </c>
    </row>
    <row r="631">
      <c r="A631" s="9"/>
      <c r="B631" s="16"/>
      <c r="C631" s="7" t="str">
        <f>IFERROR(VLOOKUP(B631,'Master data'!$A$1:$D$397,2,FALSE),"")</f>
        <v/>
      </c>
      <c r="D631" s="70" t="str">
        <f>VLOOKUP(B631,Sheet3!$B$2:$E$312,3,)</f>
        <v>#N/A</v>
      </c>
      <c r="E631" s="64"/>
      <c r="F631" s="16" t="str">
        <f>IFERROR(VLOOKUP(B631,'Master data'!$A$1:$D$397,3,FALSE),"")</f>
        <v/>
      </c>
      <c r="H631" s="65"/>
      <c r="I631" s="16"/>
      <c r="J631" s="16"/>
      <c r="K631" s="16" t="b">
        <v>0</v>
      </c>
      <c r="L631" s="16" t="b">
        <v>0</v>
      </c>
    </row>
    <row r="632">
      <c r="A632" s="9"/>
      <c r="B632" s="16"/>
      <c r="C632" s="7" t="str">
        <f>IFERROR(VLOOKUP(B632,'Master data'!$A$1:$D$397,2,FALSE),"")</f>
        <v/>
      </c>
      <c r="D632" s="70" t="str">
        <f>VLOOKUP(B632,Sheet3!$B$2:$E$312,3,)</f>
        <v>#N/A</v>
      </c>
      <c r="E632" s="64"/>
      <c r="F632" s="16" t="str">
        <f>IFERROR(VLOOKUP(B632,'Master data'!$A$1:$D$397,3,FALSE),"")</f>
        <v/>
      </c>
      <c r="H632" s="65"/>
      <c r="I632" s="16"/>
      <c r="J632" s="16"/>
      <c r="K632" s="16" t="b">
        <v>0</v>
      </c>
      <c r="L632" s="16" t="b">
        <v>0</v>
      </c>
    </row>
    <row r="633">
      <c r="A633" s="9"/>
      <c r="B633" s="16"/>
      <c r="C633" s="7" t="str">
        <f>IFERROR(VLOOKUP(B633,'Master data'!$A$1:$D$397,2,FALSE),"")</f>
        <v/>
      </c>
      <c r="D633" s="70" t="str">
        <f>VLOOKUP(B633,Sheet3!$B$2:$E$312,3,)</f>
        <v>#N/A</v>
      </c>
      <c r="E633" s="64"/>
      <c r="F633" s="16" t="str">
        <f>IFERROR(VLOOKUP(B633,'Master data'!$A$1:$D$397,3,FALSE),"")</f>
        <v/>
      </c>
      <c r="H633" s="65"/>
      <c r="I633" s="16"/>
      <c r="J633" s="16"/>
      <c r="K633" s="16" t="b">
        <v>0</v>
      </c>
      <c r="L633" s="16" t="b">
        <v>0</v>
      </c>
    </row>
    <row r="634">
      <c r="A634" s="9"/>
      <c r="B634" s="16"/>
      <c r="C634" s="7" t="str">
        <f>IFERROR(VLOOKUP(B634,'Master data'!$A$1:$D$397,2,FALSE),"")</f>
        <v/>
      </c>
      <c r="D634" s="70" t="str">
        <f>VLOOKUP(B634,Sheet3!$B$2:$E$312,3,)</f>
        <v>#N/A</v>
      </c>
      <c r="E634" s="64"/>
      <c r="F634" s="16" t="str">
        <f>IFERROR(VLOOKUP(B634,'Master data'!$A$1:$D$397,3,FALSE),"")</f>
        <v/>
      </c>
      <c r="H634" s="65"/>
      <c r="I634" s="16"/>
      <c r="J634" s="16"/>
      <c r="K634" s="16" t="b">
        <v>0</v>
      </c>
      <c r="L634" s="16" t="b">
        <v>0</v>
      </c>
    </row>
    <row r="635">
      <c r="A635" s="9"/>
      <c r="B635" s="16"/>
      <c r="C635" s="7" t="str">
        <f>IFERROR(VLOOKUP(B635,'Master data'!$A$1:$D$397,2,FALSE),"")</f>
        <v/>
      </c>
      <c r="D635" s="70" t="str">
        <f>VLOOKUP(B635,Sheet3!$B$2:$E$312,3,)</f>
        <v>#N/A</v>
      </c>
      <c r="E635" s="64"/>
      <c r="F635" s="16" t="str">
        <f>IFERROR(VLOOKUP(B635,'Master data'!$A$1:$D$397,3,FALSE),"")</f>
        <v/>
      </c>
      <c r="H635" s="65"/>
      <c r="I635" s="16"/>
      <c r="J635" s="16"/>
      <c r="K635" s="16" t="b">
        <v>0</v>
      </c>
      <c r="L635" s="16" t="b">
        <v>0</v>
      </c>
    </row>
    <row r="636">
      <c r="A636" s="9"/>
      <c r="B636" s="16"/>
      <c r="C636" s="7" t="str">
        <f>IFERROR(VLOOKUP(B636,'Master data'!$A$1:$D$397,2,FALSE),"")</f>
        <v/>
      </c>
      <c r="D636" s="70" t="str">
        <f>VLOOKUP(B636,Sheet3!$B$2:$E$312,3,)</f>
        <v>#N/A</v>
      </c>
      <c r="E636" s="64"/>
      <c r="F636" s="16" t="str">
        <f>IFERROR(VLOOKUP(B636,'Master data'!$A$1:$D$397,3,FALSE),"")</f>
        <v/>
      </c>
      <c r="H636" s="65"/>
      <c r="I636" s="16"/>
      <c r="J636" s="16"/>
      <c r="K636" s="16" t="b">
        <v>0</v>
      </c>
      <c r="L636" s="16" t="b">
        <v>0</v>
      </c>
    </row>
    <row r="637">
      <c r="A637" s="9"/>
      <c r="B637" s="16"/>
      <c r="C637" s="7" t="str">
        <f>IFERROR(VLOOKUP(B637,'Master data'!$A$1:$D$397,2,FALSE),"")</f>
        <v/>
      </c>
      <c r="D637" s="70" t="str">
        <f>VLOOKUP(B637,Sheet3!$B$2:$E$312,3,)</f>
        <v>#N/A</v>
      </c>
      <c r="E637" s="64"/>
      <c r="F637" s="16" t="str">
        <f>IFERROR(VLOOKUP(B637,'Master data'!$A$1:$D$397,3,FALSE),"")</f>
        <v/>
      </c>
      <c r="H637" s="65"/>
      <c r="I637" s="16"/>
      <c r="J637" s="16"/>
      <c r="K637" s="16" t="b">
        <v>0</v>
      </c>
      <c r="L637" s="16" t="b">
        <v>0</v>
      </c>
    </row>
    <row r="638">
      <c r="A638" s="9"/>
      <c r="B638" s="16"/>
      <c r="C638" s="7" t="str">
        <f>IFERROR(VLOOKUP(B638,'Master data'!$A$1:$D$397,2,FALSE),"")</f>
        <v/>
      </c>
      <c r="D638" s="70" t="str">
        <f>VLOOKUP(B638,Sheet3!$B$2:$E$312,3,)</f>
        <v>#N/A</v>
      </c>
      <c r="E638" s="64"/>
      <c r="F638" s="16" t="str">
        <f>IFERROR(VLOOKUP(B638,'Master data'!$A$1:$D$397,3,FALSE),"")</f>
        <v/>
      </c>
      <c r="H638" s="65"/>
      <c r="I638" s="16"/>
      <c r="J638" s="16"/>
      <c r="K638" s="16" t="b">
        <v>0</v>
      </c>
      <c r="L638" s="16" t="b">
        <v>0</v>
      </c>
    </row>
    <row r="639">
      <c r="A639" s="9"/>
      <c r="B639" s="16"/>
      <c r="C639" s="7" t="str">
        <f>IFERROR(VLOOKUP(B639,'Master data'!$A$1:$D$397,2,FALSE),"")</f>
        <v/>
      </c>
      <c r="D639" s="70" t="str">
        <f>VLOOKUP(B639,Sheet3!$B$2:$E$312,3,)</f>
        <v>#N/A</v>
      </c>
      <c r="E639" s="64"/>
      <c r="F639" s="16" t="str">
        <f>IFERROR(VLOOKUP(B639,'Master data'!$A$1:$D$397,3,FALSE),"")</f>
        <v/>
      </c>
      <c r="H639" s="65"/>
      <c r="I639" s="16"/>
      <c r="J639" s="16"/>
      <c r="K639" s="16" t="b">
        <v>0</v>
      </c>
      <c r="L639" s="16" t="b">
        <v>0</v>
      </c>
    </row>
    <row r="640">
      <c r="A640" s="9"/>
      <c r="B640" s="16"/>
      <c r="C640" s="7" t="str">
        <f>IFERROR(VLOOKUP(B640,'Master data'!$A$1:$D$397,2,FALSE),"")</f>
        <v/>
      </c>
      <c r="D640" s="70" t="str">
        <f>VLOOKUP(B640,Sheet3!$B$2:$E$312,3,)</f>
        <v>#N/A</v>
      </c>
      <c r="E640" s="64"/>
      <c r="F640" s="16" t="str">
        <f>IFERROR(VLOOKUP(B640,'Master data'!$A$1:$D$397,3,FALSE),"")</f>
        <v/>
      </c>
      <c r="H640" s="65"/>
      <c r="I640" s="16"/>
      <c r="J640" s="16"/>
      <c r="K640" s="16" t="b">
        <v>0</v>
      </c>
      <c r="L640" s="16" t="b">
        <v>0</v>
      </c>
    </row>
    <row r="641">
      <c r="A641" s="9"/>
      <c r="B641" s="16"/>
      <c r="C641" s="7" t="str">
        <f>IFERROR(VLOOKUP(B641,'Master data'!$A$1:$D$397,2,FALSE),"")</f>
        <v/>
      </c>
      <c r="D641" s="70" t="str">
        <f>VLOOKUP(B641,Sheet3!$B$2:$E$312,3,)</f>
        <v>#N/A</v>
      </c>
      <c r="E641" s="64"/>
      <c r="F641" s="16" t="str">
        <f>IFERROR(VLOOKUP(B641,'Master data'!$A$1:$D$397,3,FALSE),"")</f>
        <v/>
      </c>
      <c r="H641" s="65"/>
      <c r="I641" s="16"/>
      <c r="J641" s="16"/>
      <c r="K641" s="16" t="b">
        <v>0</v>
      </c>
      <c r="L641" s="16" t="b">
        <v>0</v>
      </c>
    </row>
    <row r="642">
      <c r="A642" s="9"/>
      <c r="B642" s="16"/>
      <c r="C642" s="7" t="str">
        <f>IFERROR(VLOOKUP(B642,'Master data'!$A$1:$D$397,2,FALSE),"")</f>
        <v/>
      </c>
      <c r="D642" s="70" t="str">
        <f>VLOOKUP(B642,Sheet3!$B$2:$E$312,3,)</f>
        <v>#N/A</v>
      </c>
      <c r="E642" s="64"/>
      <c r="F642" s="16" t="str">
        <f>IFERROR(VLOOKUP(B642,'Master data'!$A$1:$D$397,3,FALSE),"")</f>
        <v/>
      </c>
      <c r="H642" s="65"/>
      <c r="I642" s="16"/>
      <c r="J642" s="16"/>
      <c r="K642" s="16" t="b">
        <v>0</v>
      </c>
      <c r="L642" s="16" t="b">
        <v>0</v>
      </c>
    </row>
    <row r="643">
      <c r="A643" s="9"/>
      <c r="B643" s="16"/>
      <c r="C643" s="7" t="str">
        <f>IFERROR(VLOOKUP(B643,'Master data'!$A$1:$D$397,2,FALSE),"")</f>
        <v/>
      </c>
      <c r="D643" s="70" t="str">
        <f>VLOOKUP(B643,Sheet3!$B$2:$E$312,3,)</f>
        <v>#N/A</v>
      </c>
      <c r="E643" s="64"/>
      <c r="F643" s="16" t="str">
        <f>IFERROR(VLOOKUP(B643,'Master data'!$A$1:$D$397,3,FALSE),"")</f>
        <v/>
      </c>
      <c r="H643" s="65"/>
      <c r="I643" s="16"/>
      <c r="J643" s="16"/>
      <c r="K643" s="16" t="b">
        <v>0</v>
      </c>
      <c r="L643" s="16" t="b">
        <v>0</v>
      </c>
    </row>
    <row r="644">
      <c r="A644" s="9"/>
      <c r="B644" s="16"/>
      <c r="C644" s="7" t="str">
        <f>IFERROR(VLOOKUP(B644,'Master data'!$A$1:$D$397,2,FALSE),"")</f>
        <v/>
      </c>
      <c r="D644" s="70" t="str">
        <f>VLOOKUP(B644,Sheet3!$B$2:$E$312,3,)</f>
        <v>#N/A</v>
      </c>
      <c r="E644" s="64"/>
      <c r="F644" s="16" t="str">
        <f>IFERROR(VLOOKUP(B644,'Master data'!$A$1:$D$397,3,FALSE),"")</f>
        <v/>
      </c>
      <c r="H644" s="65"/>
      <c r="I644" s="16"/>
      <c r="J644" s="16"/>
      <c r="K644" s="16" t="b">
        <v>0</v>
      </c>
      <c r="L644" s="16" t="b">
        <v>0</v>
      </c>
    </row>
    <row r="645">
      <c r="A645" s="9"/>
      <c r="B645" s="16"/>
      <c r="C645" s="7" t="str">
        <f>IFERROR(VLOOKUP(B645,'Master data'!$A$1:$D$397,2,FALSE),"")</f>
        <v/>
      </c>
      <c r="D645" s="70" t="str">
        <f>VLOOKUP(B645,Sheet3!$B$2:$E$312,3,)</f>
        <v>#N/A</v>
      </c>
      <c r="E645" s="64"/>
      <c r="F645" s="16" t="str">
        <f>IFERROR(VLOOKUP(B645,'Master data'!$A$1:$D$397,3,FALSE),"")</f>
        <v/>
      </c>
      <c r="H645" s="65"/>
      <c r="I645" s="16"/>
      <c r="J645" s="16"/>
      <c r="K645" s="16" t="b">
        <v>0</v>
      </c>
      <c r="L645" s="16" t="b">
        <v>0</v>
      </c>
    </row>
    <row r="646">
      <c r="A646" s="9"/>
      <c r="B646" s="16"/>
      <c r="C646" s="7" t="str">
        <f>IFERROR(VLOOKUP(B646,'Master data'!$A$1:$D$397,2,FALSE),"")</f>
        <v/>
      </c>
      <c r="D646" s="70" t="str">
        <f>VLOOKUP(B646,Sheet3!$B$2:$E$312,3,)</f>
        <v>#N/A</v>
      </c>
      <c r="E646" s="64"/>
      <c r="F646" s="16" t="str">
        <f>IFERROR(VLOOKUP(B646,'Master data'!$A$1:$D$397,3,FALSE),"")</f>
        <v/>
      </c>
      <c r="H646" s="65"/>
      <c r="I646" s="16"/>
      <c r="J646" s="16"/>
      <c r="K646" s="16" t="b">
        <v>0</v>
      </c>
      <c r="L646" s="16" t="b">
        <v>0</v>
      </c>
    </row>
    <row r="647">
      <c r="A647" s="9"/>
      <c r="B647" s="16"/>
      <c r="C647" s="7" t="str">
        <f>IFERROR(VLOOKUP(B647,'Master data'!$A$1:$D$397,2,FALSE),"")</f>
        <v/>
      </c>
      <c r="D647" s="70" t="str">
        <f>VLOOKUP(B647,Sheet3!$B$2:$E$312,3,)</f>
        <v>#N/A</v>
      </c>
      <c r="E647" s="64"/>
      <c r="F647" s="16" t="str">
        <f>IFERROR(VLOOKUP(B647,'Master data'!$A$1:$D$397,3,FALSE),"")</f>
        <v/>
      </c>
      <c r="H647" s="65"/>
      <c r="I647" s="16"/>
      <c r="J647" s="16"/>
      <c r="K647" s="16" t="b">
        <v>0</v>
      </c>
      <c r="L647" s="16" t="b">
        <v>0</v>
      </c>
    </row>
    <row r="648">
      <c r="A648" s="9"/>
      <c r="B648" s="16"/>
      <c r="C648" s="7" t="str">
        <f>IFERROR(VLOOKUP(B648,'Master data'!$A$1:$D$397,2,FALSE),"")</f>
        <v/>
      </c>
      <c r="D648" s="70" t="str">
        <f>VLOOKUP(B648,Sheet3!$B$2:$E$312,3,)</f>
        <v>#N/A</v>
      </c>
      <c r="E648" s="64"/>
      <c r="F648" s="16" t="str">
        <f>IFERROR(VLOOKUP(B648,'Master data'!$A$1:$D$397,3,FALSE),"")</f>
        <v/>
      </c>
      <c r="H648" s="65"/>
      <c r="I648" s="16"/>
      <c r="J648" s="16"/>
      <c r="K648" s="16" t="b">
        <v>0</v>
      </c>
      <c r="L648" s="16" t="b">
        <v>0</v>
      </c>
    </row>
    <row r="649">
      <c r="A649" s="9"/>
      <c r="B649" s="16"/>
      <c r="C649" s="7" t="str">
        <f>IFERROR(VLOOKUP(B649,'Master data'!$A$1:$D$397,2,FALSE),"")</f>
        <v/>
      </c>
      <c r="D649" s="70" t="str">
        <f>VLOOKUP(B649,Sheet3!$B$2:$E$312,3,)</f>
        <v>#N/A</v>
      </c>
      <c r="E649" s="64"/>
      <c r="F649" s="16" t="str">
        <f>IFERROR(VLOOKUP(B649,'Master data'!$A$1:$D$397,3,FALSE),"")</f>
        <v/>
      </c>
      <c r="H649" s="65"/>
      <c r="I649" s="16"/>
      <c r="J649" s="16"/>
      <c r="K649" s="16" t="b">
        <v>0</v>
      </c>
      <c r="L649" s="16" t="b">
        <v>0</v>
      </c>
    </row>
    <row r="650">
      <c r="A650" s="9"/>
      <c r="B650" s="16"/>
      <c r="C650" s="7" t="str">
        <f>IFERROR(VLOOKUP(B650,'Master data'!$A$1:$D$397,2,FALSE),"")</f>
        <v/>
      </c>
      <c r="D650" s="70" t="str">
        <f>VLOOKUP(B650,Sheet3!$B$2:$E$312,3,)</f>
        <v>#N/A</v>
      </c>
      <c r="E650" s="64"/>
      <c r="F650" s="16" t="str">
        <f>IFERROR(VLOOKUP(B650,'Master data'!$A$1:$D$397,3,FALSE),"")</f>
        <v/>
      </c>
      <c r="H650" s="65"/>
      <c r="I650" s="16"/>
      <c r="J650" s="16"/>
      <c r="K650" s="16" t="b">
        <v>0</v>
      </c>
      <c r="L650" s="16" t="b">
        <v>0</v>
      </c>
    </row>
    <row r="651">
      <c r="A651" s="9"/>
      <c r="B651" s="16"/>
      <c r="C651" s="7" t="str">
        <f>IFERROR(VLOOKUP(B651,'Master data'!$A$1:$D$397,2,FALSE),"")</f>
        <v/>
      </c>
      <c r="D651" s="70" t="str">
        <f>VLOOKUP(B651,Sheet3!$B$2:$E$312,3,)</f>
        <v>#N/A</v>
      </c>
      <c r="E651" s="64"/>
      <c r="F651" s="16" t="str">
        <f>IFERROR(VLOOKUP(B651,'Master data'!$A$1:$D$397,3,FALSE),"")</f>
        <v/>
      </c>
      <c r="H651" s="65"/>
      <c r="I651" s="16"/>
      <c r="J651" s="16"/>
      <c r="K651" s="16" t="b">
        <v>0</v>
      </c>
      <c r="L651" s="16" t="b">
        <v>0</v>
      </c>
    </row>
    <row r="652">
      <c r="A652" s="9"/>
      <c r="B652" s="16"/>
      <c r="C652" s="7" t="str">
        <f>IFERROR(VLOOKUP(B652,'Master data'!$A$1:$D$397,2,FALSE),"")</f>
        <v/>
      </c>
      <c r="D652" s="70" t="str">
        <f>VLOOKUP(B652,Sheet3!$B$2:$E$312,3,)</f>
        <v>#N/A</v>
      </c>
      <c r="E652" s="64"/>
      <c r="F652" s="16" t="str">
        <f>IFERROR(VLOOKUP(B652,'Master data'!$A$1:$D$397,3,FALSE),"")</f>
        <v/>
      </c>
      <c r="H652" s="65"/>
      <c r="I652" s="16"/>
      <c r="J652" s="16"/>
      <c r="K652" s="16" t="b">
        <v>0</v>
      </c>
      <c r="L652" s="16" t="b">
        <v>0</v>
      </c>
    </row>
    <row r="653">
      <c r="A653" s="9"/>
      <c r="B653" s="16"/>
      <c r="C653" s="7" t="str">
        <f>IFERROR(VLOOKUP(B653,'Master data'!$A$1:$D$397,2,FALSE),"")</f>
        <v/>
      </c>
      <c r="D653" s="70" t="str">
        <f>VLOOKUP(B653,Sheet3!$B$2:$E$312,3,)</f>
        <v>#N/A</v>
      </c>
      <c r="E653" s="64"/>
      <c r="F653" s="16" t="str">
        <f>IFERROR(VLOOKUP(B653,'Master data'!$A$1:$D$397,3,FALSE),"")</f>
        <v/>
      </c>
      <c r="H653" s="65"/>
      <c r="I653" s="16"/>
      <c r="J653" s="16"/>
      <c r="K653" s="16" t="b">
        <v>0</v>
      </c>
      <c r="L653" s="16" t="b">
        <v>0</v>
      </c>
    </row>
    <row r="654">
      <c r="A654" s="9"/>
      <c r="B654" s="16"/>
      <c r="C654" s="7" t="str">
        <f>IFERROR(VLOOKUP(B654,'Master data'!$A$1:$D$397,2,FALSE),"")</f>
        <v/>
      </c>
      <c r="D654" s="70" t="str">
        <f>VLOOKUP(B654,Sheet3!$B$2:$E$312,3,)</f>
        <v>#N/A</v>
      </c>
      <c r="E654" s="64"/>
      <c r="F654" s="16" t="str">
        <f>IFERROR(VLOOKUP(B654,'Master data'!$A$1:$D$397,3,FALSE),"")</f>
        <v/>
      </c>
      <c r="H654" s="65"/>
      <c r="I654" s="16"/>
      <c r="J654" s="16"/>
      <c r="K654" s="16" t="b">
        <v>0</v>
      </c>
      <c r="L654" s="16" t="b">
        <v>0</v>
      </c>
    </row>
    <row r="655">
      <c r="A655" s="9"/>
      <c r="B655" s="16"/>
      <c r="C655" s="7" t="str">
        <f>IFERROR(VLOOKUP(B655,'Master data'!$A$1:$D$397,2,FALSE),"")</f>
        <v/>
      </c>
      <c r="D655" s="70" t="str">
        <f>VLOOKUP(B655,Sheet3!$B$2:$E$312,3,)</f>
        <v>#N/A</v>
      </c>
      <c r="E655" s="64"/>
      <c r="F655" s="16" t="str">
        <f>IFERROR(VLOOKUP(B655,'Master data'!$A$1:$D$397,3,FALSE),"")</f>
        <v/>
      </c>
      <c r="H655" s="65"/>
      <c r="I655" s="16"/>
      <c r="J655" s="16"/>
      <c r="K655" s="16" t="b">
        <v>0</v>
      </c>
      <c r="L655" s="16" t="b">
        <v>0</v>
      </c>
    </row>
    <row r="656">
      <c r="A656" s="9"/>
      <c r="B656" s="16"/>
      <c r="C656" s="7" t="str">
        <f>IFERROR(VLOOKUP(B656,'Master data'!$A$1:$D$397,2,FALSE),"")</f>
        <v/>
      </c>
      <c r="D656" s="70" t="str">
        <f>VLOOKUP(B656,Sheet3!$B$2:$E$312,3,)</f>
        <v>#N/A</v>
      </c>
      <c r="E656" s="64"/>
      <c r="F656" s="16" t="str">
        <f>IFERROR(VLOOKUP(B656,'Master data'!$A$1:$D$397,3,FALSE),"")</f>
        <v/>
      </c>
      <c r="H656" s="65"/>
      <c r="I656" s="16"/>
      <c r="J656" s="16"/>
      <c r="K656" s="16" t="b">
        <v>0</v>
      </c>
      <c r="L656" s="16" t="b">
        <v>0</v>
      </c>
    </row>
    <row r="657">
      <c r="A657" s="9"/>
      <c r="B657" s="16"/>
      <c r="C657" s="7" t="str">
        <f>IFERROR(VLOOKUP(B657,'Master data'!$A$1:$D$397,2,FALSE),"")</f>
        <v/>
      </c>
      <c r="D657" s="70" t="str">
        <f>VLOOKUP(B657,Sheet3!$B$2:$E$312,3,)</f>
        <v>#N/A</v>
      </c>
      <c r="E657" s="64"/>
      <c r="F657" s="16" t="str">
        <f>IFERROR(VLOOKUP(B657,'Master data'!$A$1:$D$397,3,FALSE),"")</f>
        <v/>
      </c>
      <c r="H657" s="65"/>
      <c r="I657" s="16"/>
      <c r="J657" s="16"/>
      <c r="K657" s="16" t="b">
        <v>0</v>
      </c>
      <c r="L657" s="16" t="b">
        <v>0</v>
      </c>
    </row>
    <row r="658">
      <c r="A658" s="9"/>
      <c r="B658" s="16"/>
      <c r="C658" s="7" t="str">
        <f>IFERROR(VLOOKUP(B658,'Master data'!$A$1:$D$397,2,FALSE),"")</f>
        <v/>
      </c>
      <c r="D658" s="70" t="str">
        <f>VLOOKUP(B658,Sheet3!$B$2:$E$312,3,)</f>
        <v>#N/A</v>
      </c>
      <c r="E658" s="64"/>
      <c r="F658" s="16" t="str">
        <f>IFERROR(VLOOKUP(B658,'Master data'!$A$1:$D$397,3,FALSE),"")</f>
        <v/>
      </c>
      <c r="H658" s="65"/>
      <c r="I658" s="16"/>
      <c r="J658" s="16"/>
      <c r="K658" s="16" t="b">
        <v>0</v>
      </c>
      <c r="L658" s="16" t="b">
        <v>0</v>
      </c>
    </row>
    <row r="659">
      <c r="A659" s="9"/>
      <c r="B659" s="16"/>
      <c r="C659" s="7" t="str">
        <f>IFERROR(VLOOKUP(B659,'Master data'!$A$1:$D$397,2,FALSE),"")</f>
        <v/>
      </c>
      <c r="D659" s="70" t="str">
        <f>VLOOKUP(B659,Sheet3!$B$2:$E$312,3,)</f>
        <v>#N/A</v>
      </c>
      <c r="E659" s="64"/>
      <c r="F659" s="16" t="str">
        <f>IFERROR(VLOOKUP(B659,'Master data'!$A$1:$D$397,3,FALSE),"")</f>
        <v/>
      </c>
      <c r="H659" s="65"/>
      <c r="I659" s="16"/>
      <c r="J659" s="16"/>
      <c r="K659" s="16" t="b">
        <v>0</v>
      </c>
      <c r="L659" s="16" t="b">
        <v>0</v>
      </c>
    </row>
    <row r="660">
      <c r="A660" s="9"/>
      <c r="B660" s="16"/>
      <c r="C660" s="7" t="str">
        <f>IFERROR(VLOOKUP(B660,'Master data'!$A$1:$D$397,2,FALSE),"")</f>
        <v/>
      </c>
      <c r="D660" s="70" t="str">
        <f>VLOOKUP(B660,Sheet3!$B$2:$E$312,3,)</f>
        <v>#N/A</v>
      </c>
      <c r="E660" s="64"/>
      <c r="F660" s="16" t="str">
        <f>IFERROR(VLOOKUP(B660,'Master data'!$A$1:$D$397,3,FALSE),"")</f>
        <v/>
      </c>
      <c r="H660" s="65"/>
      <c r="I660" s="16"/>
      <c r="J660" s="16"/>
      <c r="K660" s="16" t="b">
        <v>0</v>
      </c>
      <c r="L660" s="16" t="b">
        <v>0</v>
      </c>
    </row>
    <row r="661">
      <c r="A661" s="9"/>
      <c r="B661" s="16"/>
      <c r="C661" s="7" t="str">
        <f>IFERROR(VLOOKUP(B661,'Master data'!$A$1:$D$397,2,FALSE),"")</f>
        <v/>
      </c>
      <c r="D661" s="70" t="str">
        <f>VLOOKUP(B661,Sheet3!$B$2:$E$312,3,)</f>
        <v>#N/A</v>
      </c>
      <c r="E661" s="64"/>
      <c r="F661" s="16" t="str">
        <f>IFERROR(VLOOKUP(B661,'Master data'!$A$1:$D$397,3,FALSE),"")</f>
        <v/>
      </c>
      <c r="H661" s="65"/>
      <c r="I661" s="16"/>
      <c r="J661" s="16"/>
      <c r="K661" s="16" t="b">
        <v>0</v>
      </c>
      <c r="L661" s="16" t="b">
        <v>0</v>
      </c>
    </row>
    <row r="662">
      <c r="A662" s="9"/>
      <c r="B662" s="16"/>
      <c r="C662" s="7" t="str">
        <f>IFERROR(VLOOKUP(B662,'Master data'!$A$1:$D$397,2,FALSE),"")</f>
        <v/>
      </c>
      <c r="D662" s="70" t="str">
        <f>VLOOKUP(B662,Sheet3!$B$2:$E$312,3,)</f>
        <v>#N/A</v>
      </c>
      <c r="E662" s="64"/>
      <c r="F662" s="16" t="str">
        <f>IFERROR(VLOOKUP(B662,'Master data'!$A$1:$D$397,3,FALSE),"")</f>
        <v/>
      </c>
      <c r="H662" s="65"/>
      <c r="I662" s="16"/>
      <c r="J662" s="16"/>
      <c r="K662" s="16" t="b">
        <v>0</v>
      </c>
      <c r="L662" s="16" t="b">
        <v>0</v>
      </c>
    </row>
    <row r="663">
      <c r="A663" s="9"/>
      <c r="B663" s="16"/>
      <c r="C663" s="7" t="str">
        <f>IFERROR(VLOOKUP(B663,'Master data'!$A$1:$D$397,2,FALSE),"")</f>
        <v/>
      </c>
      <c r="D663" s="70" t="str">
        <f>VLOOKUP(B663,Sheet3!$B$2:$E$312,3,)</f>
        <v>#N/A</v>
      </c>
      <c r="E663" s="64"/>
      <c r="F663" s="16" t="str">
        <f>IFERROR(VLOOKUP(B663,'Master data'!$A$1:$D$397,3,FALSE),"")</f>
        <v/>
      </c>
      <c r="H663" s="65"/>
      <c r="I663" s="16"/>
      <c r="J663" s="16"/>
      <c r="K663" s="16" t="b">
        <v>0</v>
      </c>
      <c r="L663" s="16" t="b">
        <v>0</v>
      </c>
    </row>
    <row r="664">
      <c r="A664" s="9"/>
      <c r="B664" s="16"/>
      <c r="C664" s="7" t="str">
        <f>IFERROR(VLOOKUP(B664,'Master data'!$A$1:$D$397,2,FALSE),"")</f>
        <v/>
      </c>
      <c r="D664" s="70" t="str">
        <f>VLOOKUP(B664,Sheet3!$B$2:$E$312,3,)</f>
        <v>#N/A</v>
      </c>
      <c r="E664" s="64"/>
      <c r="F664" s="16" t="str">
        <f>IFERROR(VLOOKUP(B664,'Master data'!$A$1:$D$397,3,FALSE),"")</f>
        <v/>
      </c>
      <c r="H664" s="65"/>
      <c r="I664" s="16"/>
      <c r="J664" s="16"/>
      <c r="K664" s="16" t="b">
        <v>0</v>
      </c>
      <c r="L664" s="16" t="b">
        <v>0</v>
      </c>
    </row>
    <row r="665">
      <c r="A665" s="9"/>
      <c r="B665" s="16"/>
      <c r="C665" s="7" t="str">
        <f>IFERROR(VLOOKUP(B665,'Master data'!$A$1:$D$397,2,FALSE),"")</f>
        <v/>
      </c>
      <c r="D665" s="70" t="str">
        <f>VLOOKUP(B665,Sheet3!$B$2:$E$312,3,)</f>
        <v>#N/A</v>
      </c>
      <c r="E665" s="64"/>
      <c r="F665" s="16" t="str">
        <f>IFERROR(VLOOKUP(B665,'Master data'!$A$1:$D$397,3,FALSE),"")</f>
        <v/>
      </c>
      <c r="H665" s="65"/>
      <c r="I665" s="16"/>
      <c r="J665" s="16"/>
      <c r="K665" s="16" t="b">
        <v>0</v>
      </c>
      <c r="L665" s="16" t="b">
        <v>0</v>
      </c>
    </row>
    <row r="666">
      <c r="A666" s="9"/>
      <c r="B666" s="16"/>
      <c r="C666" s="7" t="str">
        <f>IFERROR(VLOOKUP(B666,'Master data'!$A$1:$D$397,2,FALSE),"")</f>
        <v/>
      </c>
      <c r="D666" s="70" t="str">
        <f>VLOOKUP(B666,Sheet3!$B$2:$E$312,3,)</f>
        <v>#N/A</v>
      </c>
      <c r="E666" s="64"/>
      <c r="F666" s="16" t="str">
        <f>IFERROR(VLOOKUP(B666,'Master data'!$A$1:$D$397,3,FALSE),"")</f>
        <v/>
      </c>
      <c r="H666" s="65"/>
      <c r="I666" s="16"/>
      <c r="J666" s="16"/>
      <c r="K666" s="16" t="b">
        <v>0</v>
      </c>
      <c r="L666" s="16" t="b">
        <v>0</v>
      </c>
    </row>
    <row r="667">
      <c r="A667" s="9"/>
      <c r="B667" s="16"/>
      <c r="C667" s="7" t="str">
        <f>IFERROR(VLOOKUP(B667,'Master data'!$A$1:$D$397,2,FALSE),"")</f>
        <v/>
      </c>
      <c r="D667" s="70" t="str">
        <f>VLOOKUP(B667,Sheet3!$B$2:$E$312,3,)</f>
        <v>#N/A</v>
      </c>
      <c r="E667" s="64"/>
      <c r="F667" s="16" t="str">
        <f>IFERROR(VLOOKUP(B667,'Master data'!$A$1:$D$397,3,FALSE),"")</f>
        <v/>
      </c>
      <c r="H667" s="65"/>
      <c r="I667" s="16"/>
      <c r="J667" s="16"/>
      <c r="K667" s="16" t="b">
        <v>0</v>
      </c>
      <c r="L667" s="16" t="b">
        <v>0</v>
      </c>
    </row>
    <row r="668">
      <c r="A668" s="9"/>
      <c r="B668" s="16"/>
      <c r="C668" s="7" t="str">
        <f>IFERROR(VLOOKUP(B668,'Master data'!$A$1:$D$397,2,FALSE),"")</f>
        <v/>
      </c>
      <c r="D668" s="70" t="str">
        <f>VLOOKUP(B668,Sheet3!$B$2:$E$312,3,)</f>
        <v>#N/A</v>
      </c>
      <c r="E668" s="64"/>
      <c r="F668" s="16" t="str">
        <f>IFERROR(VLOOKUP(B668,'Master data'!$A$1:$D$397,3,FALSE),"")</f>
        <v/>
      </c>
      <c r="H668" s="65"/>
      <c r="I668" s="16"/>
      <c r="J668" s="16"/>
      <c r="K668" s="16" t="b">
        <v>0</v>
      </c>
      <c r="L668" s="16" t="b">
        <v>0</v>
      </c>
    </row>
    <row r="669">
      <c r="A669" s="9"/>
      <c r="B669" s="16"/>
      <c r="C669" s="7" t="str">
        <f>IFERROR(VLOOKUP(B669,'Master data'!$A$1:$D$397,2,FALSE),"")</f>
        <v/>
      </c>
      <c r="D669" s="70" t="str">
        <f>VLOOKUP(B669,Sheet3!$B$2:$E$312,3,)</f>
        <v>#N/A</v>
      </c>
      <c r="E669" s="64"/>
      <c r="F669" s="16" t="str">
        <f>IFERROR(VLOOKUP(B669,'Master data'!$A$1:$D$397,3,FALSE),"")</f>
        <v/>
      </c>
      <c r="H669" s="65"/>
      <c r="I669" s="16"/>
      <c r="J669" s="16"/>
      <c r="K669" s="16" t="b">
        <v>0</v>
      </c>
      <c r="L669" s="16" t="b">
        <v>0</v>
      </c>
    </row>
    <row r="670">
      <c r="A670" s="9"/>
      <c r="B670" s="16"/>
      <c r="C670" s="7" t="str">
        <f>IFERROR(VLOOKUP(B670,'Master data'!$A$1:$D$397,2,FALSE),"")</f>
        <v/>
      </c>
      <c r="D670" s="70" t="str">
        <f>VLOOKUP(B670,Sheet3!$B$2:$E$312,3,)</f>
        <v>#N/A</v>
      </c>
      <c r="E670" s="64"/>
      <c r="F670" s="16" t="str">
        <f>IFERROR(VLOOKUP(B670,'Master data'!$A$1:$D$397,3,FALSE),"")</f>
        <v/>
      </c>
      <c r="H670" s="65"/>
      <c r="I670" s="16"/>
      <c r="J670" s="16"/>
      <c r="K670" s="16" t="b">
        <v>0</v>
      </c>
      <c r="L670" s="16" t="b">
        <v>0</v>
      </c>
    </row>
    <row r="671">
      <c r="A671" s="9"/>
      <c r="B671" s="16"/>
      <c r="C671" s="7" t="str">
        <f>IFERROR(VLOOKUP(B671,'Master data'!$A$1:$D$397,2,FALSE),"")</f>
        <v/>
      </c>
      <c r="D671" s="70" t="str">
        <f>VLOOKUP(B671,Sheet3!$B$2:$E$312,3,)</f>
        <v>#N/A</v>
      </c>
      <c r="E671" s="64"/>
      <c r="F671" s="16" t="str">
        <f>IFERROR(VLOOKUP(B671,'Master data'!$A$1:$D$397,3,FALSE),"")</f>
        <v/>
      </c>
      <c r="H671" s="65"/>
      <c r="I671" s="16"/>
      <c r="J671" s="16"/>
      <c r="K671" s="16" t="b">
        <v>0</v>
      </c>
      <c r="L671" s="16" t="b">
        <v>0</v>
      </c>
    </row>
    <row r="672">
      <c r="A672" s="9"/>
      <c r="B672" s="16"/>
      <c r="C672" s="7" t="str">
        <f>IFERROR(VLOOKUP(B672,'Master data'!$A$1:$D$397,2,FALSE),"")</f>
        <v/>
      </c>
      <c r="D672" s="70" t="str">
        <f>VLOOKUP(B672,Sheet3!$B$2:$E$312,3,)</f>
        <v>#N/A</v>
      </c>
      <c r="E672" s="64"/>
      <c r="F672" s="16" t="str">
        <f>IFERROR(VLOOKUP(B672,'Master data'!$A$1:$D$397,3,FALSE),"")</f>
        <v/>
      </c>
      <c r="H672" s="65"/>
      <c r="I672" s="16"/>
      <c r="J672" s="16"/>
      <c r="K672" s="16" t="b">
        <v>0</v>
      </c>
      <c r="L672" s="16" t="b">
        <v>0</v>
      </c>
    </row>
    <row r="673">
      <c r="A673" s="9"/>
      <c r="B673" s="16"/>
      <c r="C673" s="7" t="str">
        <f>IFERROR(VLOOKUP(B673,'Master data'!$A$1:$D$397,2,FALSE),"")</f>
        <v/>
      </c>
      <c r="D673" s="70" t="str">
        <f>VLOOKUP(B673,Sheet3!$B$2:$E$312,3,)</f>
        <v>#N/A</v>
      </c>
      <c r="E673" s="64"/>
      <c r="F673" s="16" t="str">
        <f>IFERROR(VLOOKUP(B673,'Master data'!$A$1:$D$397,3,FALSE),"")</f>
        <v/>
      </c>
      <c r="H673" s="65"/>
      <c r="I673" s="16"/>
      <c r="J673" s="16"/>
      <c r="K673" s="16" t="b">
        <v>0</v>
      </c>
      <c r="L673" s="16" t="b">
        <v>0</v>
      </c>
    </row>
    <row r="674">
      <c r="A674" s="9"/>
      <c r="B674" s="16"/>
      <c r="C674" s="7" t="str">
        <f>IFERROR(VLOOKUP(B674,'Master data'!$A$1:$D$397,2,FALSE),"")</f>
        <v/>
      </c>
      <c r="D674" s="70" t="str">
        <f>VLOOKUP(B674,Sheet3!$B$2:$E$312,3,)</f>
        <v>#N/A</v>
      </c>
      <c r="E674" s="64"/>
      <c r="F674" s="16" t="str">
        <f>IFERROR(VLOOKUP(B674,'Master data'!$A$1:$D$397,3,FALSE),"")</f>
        <v/>
      </c>
      <c r="H674" s="65"/>
      <c r="I674" s="16"/>
      <c r="J674" s="16"/>
      <c r="K674" s="16" t="b">
        <v>0</v>
      </c>
      <c r="L674" s="16" t="b">
        <v>0</v>
      </c>
    </row>
    <row r="675">
      <c r="A675" s="9"/>
      <c r="B675" s="16"/>
      <c r="C675" s="7" t="str">
        <f>IFERROR(VLOOKUP(B675,'Master data'!$A$1:$D$397,2,FALSE),"")</f>
        <v/>
      </c>
      <c r="D675" s="70" t="str">
        <f>VLOOKUP(B675,Sheet3!$B$2:$E$312,3,)</f>
        <v>#N/A</v>
      </c>
      <c r="E675" s="64"/>
      <c r="F675" s="16" t="str">
        <f>IFERROR(VLOOKUP(B675,'Master data'!$A$1:$D$397,3,FALSE),"")</f>
        <v/>
      </c>
      <c r="H675" s="65"/>
      <c r="I675" s="16"/>
      <c r="J675" s="16"/>
      <c r="K675" s="16" t="b">
        <v>0</v>
      </c>
      <c r="L675" s="16" t="b">
        <v>0</v>
      </c>
    </row>
    <row r="676">
      <c r="A676" s="9"/>
      <c r="B676" s="16"/>
      <c r="C676" s="7" t="str">
        <f>IFERROR(VLOOKUP(B676,'Master data'!$A$1:$D$397,2,FALSE),"")</f>
        <v/>
      </c>
      <c r="D676" s="70" t="str">
        <f>VLOOKUP(B676,Sheet3!$B$2:$E$312,3,)</f>
        <v>#N/A</v>
      </c>
      <c r="E676" s="64"/>
      <c r="F676" s="16" t="str">
        <f>IFERROR(VLOOKUP(B676,'Master data'!$A$1:$D$397,3,FALSE),"")</f>
        <v/>
      </c>
      <c r="H676" s="65"/>
      <c r="I676" s="16"/>
      <c r="J676" s="16"/>
      <c r="K676" s="16" t="b">
        <v>0</v>
      </c>
      <c r="L676" s="16" t="b">
        <v>0</v>
      </c>
    </row>
    <row r="677">
      <c r="A677" s="9"/>
      <c r="B677" s="16"/>
      <c r="C677" s="7" t="str">
        <f>IFERROR(VLOOKUP(B677,'Master data'!$A$1:$D$397,2,FALSE),"")</f>
        <v/>
      </c>
      <c r="D677" s="70" t="str">
        <f>VLOOKUP(B677,Sheet3!$B$2:$E$312,3,)</f>
        <v>#N/A</v>
      </c>
      <c r="E677" s="64"/>
      <c r="F677" s="16" t="str">
        <f>IFERROR(VLOOKUP(B677,'Master data'!$A$1:$D$397,3,FALSE),"")</f>
        <v/>
      </c>
      <c r="H677" s="65"/>
      <c r="I677" s="16"/>
      <c r="J677" s="16"/>
      <c r="K677" s="16" t="b">
        <v>0</v>
      </c>
      <c r="L677" s="16" t="b">
        <v>0</v>
      </c>
    </row>
    <row r="678">
      <c r="A678" s="9"/>
      <c r="B678" s="16"/>
      <c r="C678" s="7" t="str">
        <f>IFERROR(VLOOKUP(B678,'Master data'!$A$1:$D$397,2,FALSE),"")</f>
        <v/>
      </c>
      <c r="D678" s="70" t="str">
        <f>VLOOKUP(B678,Sheet3!$B$2:$E$312,3,)</f>
        <v>#N/A</v>
      </c>
      <c r="E678" s="64"/>
      <c r="F678" s="16" t="str">
        <f>IFERROR(VLOOKUP(B678,'Master data'!$A$1:$D$397,3,FALSE),"")</f>
        <v/>
      </c>
      <c r="H678" s="65"/>
      <c r="I678" s="16"/>
      <c r="J678" s="16"/>
      <c r="K678" s="16" t="b">
        <v>0</v>
      </c>
      <c r="L678" s="16" t="b">
        <v>0</v>
      </c>
    </row>
    <row r="679">
      <c r="A679" s="9"/>
      <c r="B679" s="16"/>
      <c r="C679" s="7" t="str">
        <f>IFERROR(VLOOKUP(B679,'Master data'!$A$1:$D$397,2,FALSE),"")</f>
        <v/>
      </c>
      <c r="D679" s="70" t="str">
        <f>VLOOKUP(B679,Sheet3!$B$2:$E$312,3,)</f>
        <v>#N/A</v>
      </c>
      <c r="E679" s="64"/>
      <c r="F679" s="16" t="str">
        <f>IFERROR(VLOOKUP(B679,'Master data'!$A$1:$D$397,3,FALSE),"")</f>
        <v/>
      </c>
      <c r="H679" s="65"/>
      <c r="I679" s="16"/>
      <c r="J679" s="16"/>
      <c r="K679" s="16" t="b">
        <v>0</v>
      </c>
      <c r="L679" s="16" t="b">
        <v>0</v>
      </c>
    </row>
    <row r="680">
      <c r="A680" s="9"/>
      <c r="B680" s="16"/>
      <c r="C680" s="7" t="str">
        <f>IFERROR(VLOOKUP(B680,'Master data'!$A$1:$D$397,2,FALSE),"")</f>
        <v/>
      </c>
      <c r="D680" s="70" t="str">
        <f>VLOOKUP(B680,Sheet3!$B$2:$E$312,3,)</f>
        <v>#N/A</v>
      </c>
      <c r="E680" s="64"/>
      <c r="F680" s="16" t="str">
        <f>IFERROR(VLOOKUP(B680,'Master data'!$A$1:$D$397,3,FALSE),"")</f>
        <v/>
      </c>
      <c r="H680" s="65"/>
      <c r="I680" s="16"/>
      <c r="J680" s="16"/>
      <c r="K680" s="16" t="b">
        <v>0</v>
      </c>
      <c r="L680" s="16" t="b">
        <v>0</v>
      </c>
    </row>
    <row r="681">
      <c r="A681" s="9"/>
      <c r="B681" s="16"/>
      <c r="C681" s="7" t="str">
        <f>IFERROR(VLOOKUP(B681,'Master data'!$A$1:$D$397,2,FALSE),"")</f>
        <v/>
      </c>
      <c r="D681" s="70" t="str">
        <f>VLOOKUP(B681,Sheet3!$B$2:$E$312,3,)</f>
        <v>#N/A</v>
      </c>
      <c r="E681" s="64"/>
      <c r="F681" s="16" t="str">
        <f>IFERROR(VLOOKUP(B681,'Master data'!$A$1:$D$397,3,FALSE),"")</f>
        <v/>
      </c>
      <c r="H681" s="65"/>
      <c r="I681" s="16"/>
      <c r="J681" s="16"/>
      <c r="K681" s="16" t="b">
        <v>0</v>
      </c>
      <c r="L681" s="16" t="b">
        <v>0</v>
      </c>
    </row>
    <row r="682">
      <c r="A682" s="9"/>
      <c r="B682" s="16"/>
      <c r="C682" s="7" t="str">
        <f>IFERROR(VLOOKUP(B682,'Master data'!$A$1:$D$397,2,FALSE),"")</f>
        <v/>
      </c>
      <c r="D682" s="70" t="str">
        <f>VLOOKUP(B682,Sheet3!$B$2:$E$312,3,)</f>
        <v>#N/A</v>
      </c>
      <c r="E682" s="64"/>
      <c r="F682" s="16" t="str">
        <f>IFERROR(VLOOKUP(B682,'Master data'!$A$1:$D$397,3,FALSE),"")</f>
        <v/>
      </c>
      <c r="H682" s="65"/>
      <c r="I682" s="16"/>
      <c r="J682" s="16"/>
      <c r="K682" s="16" t="b">
        <v>0</v>
      </c>
      <c r="L682" s="16" t="b">
        <v>0</v>
      </c>
    </row>
    <row r="683">
      <c r="A683" s="9"/>
      <c r="B683" s="16"/>
      <c r="C683" s="7" t="str">
        <f>IFERROR(VLOOKUP(B683,'Master data'!$A$1:$D$397,2,FALSE),"")</f>
        <v/>
      </c>
      <c r="D683" s="70" t="str">
        <f>VLOOKUP(B683,Sheet3!$B$2:$E$312,3,)</f>
        <v>#N/A</v>
      </c>
      <c r="E683" s="64"/>
      <c r="F683" s="16" t="str">
        <f>IFERROR(VLOOKUP(B683,'Master data'!$A$1:$D$397,3,FALSE),"")</f>
        <v/>
      </c>
      <c r="H683" s="65"/>
      <c r="I683" s="16"/>
      <c r="J683" s="16"/>
      <c r="K683" s="16" t="b">
        <v>0</v>
      </c>
      <c r="L683" s="16" t="b">
        <v>0</v>
      </c>
    </row>
    <row r="684">
      <c r="A684" s="9"/>
      <c r="B684" s="16"/>
      <c r="C684" s="7" t="str">
        <f>IFERROR(VLOOKUP(B684,'Master data'!$A$1:$D$397,2,FALSE),"")</f>
        <v/>
      </c>
      <c r="D684" s="70" t="str">
        <f>VLOOKUP(B684,Sheet3!$B$2:$E$312,3,)</f>
        <v>#N/A</v>
      </c>
      <c r="E684" s="64"/>
      <c r="F684" s="16" t="str">
        <f>IFERROR(VLOOKUP(B684,'Master data'!$A$1:$D$397,3,FALSE),"")</f>
        <v/>
      </c>
      <c r="H684" s="65"/>
      <c r="I684" s="16"/>
      <c r="J684" s="16"/>
      <c r="K684" s="16" t="b">
        <v>0</v>
      </c>
      <c r="L684" s="16" t="b">
        <v>0</v>
      </c>
    </row>
    <row r="685">
      <c r="A685" s="9"/>
      <c r="B685" s="16"/>
      <c r="C685" s="7" t="str">
        <f>IFERROR(VLOOKUP(B685,'Master data'!$A$1:$D$397,2,FALSE),"")</f>
        <v/>
      </c>
      <c r="D685" s="70" t="str">
        <f>VLOOKUP(B685,Sheet3!$B$2:$E$312,3,)</f>
        <v>#N/A</v>
      </c>
      <c r="E685" s="64"/>
      <c r="F685" s="16" t="str">
        <f>IFERROR(VLOOKUP(B685,'Master data'!$A$1:$D$397,3,FALSE),"")</f>
        <v/>
      </c>
      <c r="H685" s="65"/>
      <c r="I685" s="16"/>
      <c r="J685" s="16"/>
      <c r="K685" s="16" t="b">
        <v>0</v>
      </c>
      <c r="L685" s="16" t="b">
        <v>0</v>
      </c>
    </row>
    <row r="686">
      <c r="A686" s="9"/>
      <c r="B686" s="16"/>
      <c r="C686" s="7" t="str">
        <f>IFERROR(VLOOKUP(B686,'Master data'!$A$1:$D$397,2,FALSE),"")</f>
        <v/>
      </c>
      <c r="D686" s="70" t="str">
        <f>VLOOKUP(B686,Sheet3!$B$2:$E$312,3,)</f>
        <v>#N/A</v>
      </c>
      <c r="E686" s="64"/>
      <c r="F686" s="16" t="str">
        <f>IFERROR(VLOOKUP(B686,'Master data'!$A$1:$D$397,3,FALSE),"")</f>
        <v/>
      </c>
      <c r="H686" s="65"/>
      <c r="I686" s="16"/>
      <c r="J686" s="16"/>
      <c r="K686" s="16" t="b">
        <v>0</v>
      </c>
      <c r="L686" s="16" t="b">
        <v>0</v>
      </c>
    </row>
    <row r="687">
      <c r="A687" s="9"/>
      <c r="B687" s="16"/>
      <c r="C687" s="7" t="str">
        <f>IFERROR(VLOOKUP(B687,'Master data'!$A$1:$D$397,2,FALSE),"")</f>
        <v/>
      </c>
      <c r="D687" s="70" t="str">
        <f>VLOOKUP(B687,Sheet3!$B$2:$E$312,3,)</f>
        <v>#N/A</v>
      </c>
      <c r="E687" s="64"/>
      <c r="F687" s="16" t="str">
        <f>IFERROR(VLOOKUP(B687,'Master data'!$A$1:$D$397,3,FALSE),"")</f>
        <v/>
      </c>
      <c r="H687" s="65"/>
      <c r="I687" s="16"/>
      <c r="J687" s="16"/>
      <c r="K687" s="16" t="b">
        <v>0</v>
      </c>
      <c r="L687" s="16" t="b">
        <v>0</v>
      </c>
    </row>
    <row r="688">
      <c r="A688" s="9"/>
      <c r="B688" s="16"/>
      <c r="C688" s="7" t="str">
        <f>IFERROR(VLOOKUP(B688,'Master data'!$A$1:$D$397,2,FALSE),"")</f>
        <v/>
      </c>
      <c r="D688" s="70" t="str">
        <f>VLOOKUP(B688,Sheet3!$B$2:$E$312,3,)</f>
        <v>#N/A</v>
      </c>
      <c r="E688" s="64"/>
      <c r="F688" s="16" t="str">
        <f>IFERROR(VLOOKUP(B688,'Master data'!$A$1:$D$397,3,FALSE),"")</f>
        <v/>
      </c>
      <c r="H688" s="65"/>
      <c r="I688" s="16"/>
      <c r="J688" s="16"/>
      <c r="K688" s="16" t="b">
        <v>0</v>
      </c>
      <c r="L688" s="16" t="b">
        <v>0</v>
      </c>
    </row>
    <row r="689">
      <c r="A689" s="9"/>
      <c r="B689" s="16"/>
      <c r="C689" s="7" t="str">
        <f>IFERROR(VLOOKUP(B689,'Master data'!$A$1:$D$397,2,FALSE),"")</f>
        <v/>
      </c>
      <c r="D689" s="70" t="str">
        <f>VLOOKUP(B689,Sheet3!$B$2:$E$312,3,)</f>
        <v>#N/A</v>
      </c>
      <c r="E689" s="64"/>
      <c r="F689" s="16" t="str">
        <f>IFERROR(VLOOKUP(B689,'Master data'!$A$1:$D$397,3,FALSE),"")</f>
        <v/>
      </c>
      <c r="H689" s="65"/>
      <c r="I689" s="16"/>
      <c r="J689" s="16"/>
      <c r="K689" s="16" t="b">
        <v>0</v>
      </c>
      <c r="L689" s="16" t="b">
        <v>0</v>
      </c>
    </row>
    <row r="690">
      <c r="A690" s="9"/>
      <c r="B690" s="16"/>
      <c r="C690" s="7" t="str">
        <f>IFERROR(VLOOKUP(B690,'Master data'!$A$1:$D$397,2,FALSE),"")</f>
        <v/>
      </c>
      <c r="D690" s="70" t="str">
        <f>VLOOKUP(B690,Sheet3!$B$2:$E$312,3,)</f>
        <v>#N/A</v>
      </c>
      <c r="E690" s="64"/>
      <c r="F690" s="16" t="str">
        <f>IFERROR(VLOOKUP(B690,'Master data'!$A$1:$D$397,3,FALSE),"")</f>
        <v/>
      </c>
      <c r="H690" s="65"/>
      <c r="I690" s="16"/>
      <c r="J690" s="16"/>
      <c r="K690" s="16" t="b">
        <v>0</v>
      </c>
      <c r="L690" s="16" t="b">
        <v>0</v>
      </c>
    </row>
    <row r="691">
      <c r="A691" s="9"/>
      <c r="B691" s="16"/>
      <c r="C691" s="7" t="str">
        <f>IFERROR(VLOOKUP(B691,'Master data'!$A$1:$D$397,2,FALSE),"")</f>
        <v/>
      </c>
      <c r="D691" s="70" t="str">
        <f>VLOOKUP(B691,Sheet3!$B$2:$E$312,3,)</f>
        <v>#N/A</v>
      </c>
      <c r="E691" s="64"/>
      <c r="F691" s="16" t="str">
        <f>IFERROR(VLOOKUP(B691,'Master data'!$A$1:$D$397,3,FALSE),"")</f>
        <v/>
      </c>
      <c r="H691" s="65"/>
      <c r="I691" s="16"/>
      <c r="J691" s="16"/>
      <c r="K691" s="16" t="b">
        <v>0</v>
      </c>
      <c r="L691" s="16" t="b">
        <v>0</v>
      </c>
    </row>
    <row r="692">
      <c r="A692" s="9"/>
      <c r="B692" s="16"/>
      <c r="C692" s="7" t="str">
        <f>IFERROR(VLOOKUP(B692,'Master data'!$A$1:$D$397,2,FALSE),"")</f>
        <v/>
      </c>
      <c r="D692" s="70" t="str">
        <f>VLOOKUP(B692,Sheet3!$B$2:$E$312,3,)</f>
        <v>#N/A</v>
      </c>
      <c r="E692" s="64"/>
      <c r="F692" s="16" t="str">
        <f>IFERROR(VLOOKUP(B692,'Master data'!$A$1:$D$397,3,FALSE),"")</f>
        <v/>
      </c>
      <c r="H692" s="65"/>
      <c r="I692" s="16"/>
      <c r="J692" s="16"/>
      <c r="K692" s="16" t="b">
        <v>0</v>
      </c>
      <c r="L692" s="16" t="b">
        <v>0</v>
      </c>
    </row>
    <row r="693">
      <c r="A693" s="9"/>
      <c r="B693" s="16"/>
      <c r="C693" s="7" t="str">
        <f>IFERROR(VLOOKUP(B693,'Master data'!$A$1:$D$397,2,FALSE),"")</f>
        <v/>
      </c>
      <c r="D693" s="70" t="str">
        <f>VLOOKUP(B693,Sheet3!$B$2:$E$312,3,)</f>
        <v>#N/A</v>
      </c>
      <c r="E693" s="64"/>
      <c r="F693" s="16" t="str">
        <f>IFERROR(VLOOKUP(B693,'Master data'!$A$1:$D$397,3,FALSE),"")</f>
        <v/>
      </c>
      <c r="H693" s="65"/>
      <c r="I693" s="16"/>
      <c r="J693" s="16"/>
      <c r="K693" s="16" t="b">
        <v>0</v>
      </c>
      <c r="L693" s="16" t="b">
        <v>0</v>
      </c>
    </row>
    <row r="694">
      <c r="A694" s="9"/>
      <c r="B694" s="16"/>
      <c r="C694" s="7" t="str">
        <f>IFERROR(VLOOKUP(B694,'Master data'!$A$1:$D$397,2,FALSE),"")</f>
        <v/>
      </c>
      <c r="D694" s="70" t="str">
        <f>VLOOKUP(B694,Sheet3!$B$2:$E$312,3,)</f>
        <v>#N/A</v>
      </c>
      <c r="E694" s="64"/>
      <c r="F694" s="16" t="str">
        <f>IFERROR(VLOOKUP(B694,'Master data'!$A$1:$D$397,3,FALSE),"")</f>
        <v/>
      </c>
      <c r="H694" s="65"/>
      <c r="I694" s="16"/>
      <c r="J694" s="16"/>
      <c r="K694" s="16" t="b">
        <v>0</v>
      </c>
      <c r="L694" s="16" t="b">
        <v>0</v>
      </c>
    </row>
    <row r="695">
      <c r="A695" s="9"/>
      <c r="B695" s="16"/>
      <c r="C695" s="7" t="str">
        <f>IFERROR(VLOOKUP(B695,'Master data'!$A$1:$D$397,2,FALSE),"")</f>
        <v/>
      </c>
      <c r="D695" s="70" t="str">
        <f>VLOOKUP(B695,Sheet3!$B$2:$E$312,3,)</f>
        <v>#N/A</v>
      </c>
      <c r="E695" s="64"/>
      <c r="F695" s="16" t="str">
        <f>IFERROR(VLOOKUP(B695,'Master data'!$A$1:$D$397,3,FALSE),"")</f>
        <v/>
      </c>
      <c r="H695" s="65"/>
      <c r="I695" s="16"/>
      <c r="J695" s="16"/>
      <c r="K695" s="16" t="b">
        <v>0</v>
      </c>
      <c r="L695" s="16" t="b">
        <v>0</v>
      </c>
    </row>
    <row r="696">
      <c r="A696" s="9"/>
      <c r="B696" s="16"/>
      <c r="C696" s="7" t="str">
        <f>IFERROR(VLOOKUP(B696,'Master data'!$A$1:$D$397,2,FALSE),"")</f>
        <v/>
      </c>
      <c r="D696" s="70" t="str">
        <f>VLOOKUP(B696,Sheet3!$B$2:$E$312,3,)</f>
        <v>#N/A</v>
      </c>
      <c r="E696" s="64"/>
      <c r="F696" s="16" t="str">
        <f>IFERROR(VLOOKUP(B696,'Master data'!$A$1:$D$397,3,FALSE),"")</f>
        <v/>
      </c>
      <c r="H696" s="65"/>
      <c r="I696" s="16"/>
      <c r="J696" s="16"/>
      <c r="K696" s="16" t="b">
        <v>0</v>
      </c>
      <c r="L696" s="16" t="b">
        <v>0</v>
      </c>
    </row>
    <row r="697">
      <c r="A697" s="9"/>
      <c r="B697" s="16"/>
      <c r="C697" s="7" t="str">
        <f>IFERROR(VLOOKUP(B697,'Master data'!$A$1:$D$397,2,FALSE),"")</f>
        <v/>
      </c>
      <c r="D697" s="70" t="str">
        <f>VLOOKUP(B697,Sheet3!$B$2:$E$312,3,)</f>
        <v>#N/A</v>
      </c>
      <c r="E697" s="64"/>
      <c r="F697" s="16" t="str">
        <f>IFERROR(VLOOKUP(B697,'Master data'!$A$1:$D$397,3,FALSE),"")</f>
        <v/>
      </c>
      <c r="H697" s="65"/>
      <c r="I697" s="16"/>
      <c r="J697" s="16"/>
      <c r="K697" s="16" t="b">
        <v>0</v>
      </c>
      <c r="L697" s="16" t="b">
        <v>0</v>
      </c>
    </row>
    <row r="698">
      <c r="A698" s="9"/>
      <c r="B698" s="16"/>
      <c r="C698" s="7" t="str">
        <f>IFERROR(VLOOKUP(B698,'Master data'!$A$1:$D$397,2,FALSE),"")</f>
        <v/>
      </c>
      <c r="D698" s="70" t="str">
        <f>VLOOKUP(B698,Sheet3!$B$2:$E$312,3,)</f>
        <v>#N/A</v>
      </c>
      <c r="E698" s="64"/>
      <c r="F698" s="16" t="str">
        <f>IFERROR(VLOOKUP(B698,'Master data'!$A$1:$D$397,3,FALSE),"")</f>
        <v/>
      </c>
      <c r="H698" s="65"/>
      <c r="I698" s="16"/>
      <c r="J698" s="16"/>
      <c r="K698" s="16" t="b">
        <v>0</v>
      </c>
      <c r="L698" s="16" t="b">
        <v>0</v>
      </c>
    </row>
    <row r="699">
      <c r="A699" s="9"/>
      <c r="B699" s="16"/>
      <c r="C699" s="7" t="str">
        <f>IFERROR(VLOOKUP(B699,'Master data'!$A$1:$D$397,2,FALSE),"")</f>
        <v/>
      </c>
      <c r="D699" s="70" t="str">
        <f>VLOOKUP(B699,Sheet3!$B$2:$E$312,3,)</f>
        <v>#N/A</v>
      </c>
      <c r="E699" s="64"/>
      <c r="F699" s="16" t="str">
        <f>IFERROR(VLOOKUP(B699,'Master data'!$A$1:$D$397,3,FALSE),"")</f>
        <v/>
      </c>
      <c r="H699" s="65"/>
      <c r="I699" s="16"/>
      <c r="J699" s="16"/>
      <c r="K699" s="16" t="b">
        <v>0</v>
      </c>
      <c r="L699" s="16" t="b">
        <v>0</v>
      </c>
    </row>
    <row r="700">
      <c r="A700" s="9"/>
      <c r="B700" s="16"/>
      <c r="C700" s="7" t="str">
        <f>IFERROR(VLOOKUP(B700,'Master data'!$A$1:$D$397,2,FALSE),"")</f>
        <v/>
      </c>
      <c r="D700" s="70" t="str">
        <f>VLOOKUP(B700,Sheet3!$B$2:$E$312,3,)</f>
        <v>#N/A</v>
      </c>
      <c r="E700" s="64"/>
      <c r="F700" s="16" t="str">
        <f>IFERROR(VLOOKUP(B700,'Master data'!$A$1:$D$397,3,FALSE),"")</f>
        <v/>
      </c>
      <c r="H700" s="65"/>
      <c r="I700" s="16"/>
      <c r="J700" s="16"/>
      <c r="K700" s="16" t="b">
        <v>0</v>
      </c>
      <c r="L700" s="16" t="b">
        <v>0</v>
      </c>
    </row>
    <row r="701">
      <c r="A701" s="9"/>
      <c r="B701" s="16"/>
      <c r="C701" s="7" t="str">
        <f>IFERROR(VLOOKUP(B701,'Master data'!$A$1:$D$397,2,FALSE),"")</f>
        <v/>
      </c>
      <c r="D701" s="70" t="str">
        <f>VLOOKUP(B701,Sheet3!$B$2:$E$312,3,)</f>
        <v>#N/A</v>
      </c>
      <c r="E701" s="64"/>
      <c r="F701" s="16" t="str">
        <f>IFERROR(VLOOKUP(B701,'Master data'!$A$1:$D$397,3,FALSE),"")</f>
        <v/>
      </c>
      <c r="H701" s="65"/>
      <c r="I701" s="16"/>
      <c r="J701" s="16"/>
      <c r="K701" s="16" t="b">
        <v>0</v>
      </c>
      <c r="L701" s="16" t="b">
        <v>0</v>
      </c>
    </row>
    <row r="702">
      <c r="A702" s="9"/>
      <c r="B702" s="16"/>
      <c r="C702" s="7" t="str">
        <f>IFERROR(VLOOKUP(B702,'Master data'!$A$1:$D$397,2,FALSE),"")</f>
        <v/>
      </c>
      <c r="D702" s="70" t="str">
        <f>VLOOKUP(B702,Sheet3!$B$2:$E$312,3,)</f>
        <v>#N/A</v>
      </c>
      <c r="E702" s="64"/>
      <c r="F702" s="16" t="str">
        <f>IFERROR(VLOOKUP(B702,'Master data'!$A$1:$D$397,3,FALSE),"")</f>
        <v/>
      </c>
      <c r="H702" s="65"/>
      <c r="I702" s="16"/>
      <c r="J702" s="16"/>
      <c r="K702" s="16" t="b">
        <v>0</v>
      </c>
      <c r="L702" s="16" t="b">
        <v>0</v>
      </c>
    </row>
    <row r="703">
      <c r="A703" s="9"/>
      <c r="B703" s="16"/>
      <c r="C703" s="7" t="str">
        <f>IFERROR(VLOOKUP(B703,'Master data'!$A$1:$D$397,2,FALSE),"")</f>
        <v/>
      </c>
      <c r="D703" s="70" t="str">
        <f>VLOOKUP(B703,Sheet3!$B$2:$E$312,3,)</f>
        <v>#N/A</v>
      </c>
      <c r="E703" s="64"/>
      <c r="F703" s="16" t="str">
        <f>IFERROR(VLOOKUP(B703,'Master data'!$A$1:$D$397,3,FALSE),"")</f>
        <v/>
      </c>
      <c r="H703" s="65"/>
      <c r="I703" s="16"/>
      <c r="J703" s="16"/>
      <c r="K703" s="16" t="b">
        <v>0</v>
      </c>
      <c r="L703" s="16" t="b">
        <v>0</v>
      </c>
    </row>
    <row r="704">
      <c r="A704" s="9"/>
      <c r="B704" s="16"/>
      <c r="C704" s="7" t="str">
        <f>IFERROR(VLOOKUP(B704,'Master data'!$A$1:$D$397,2,FALSE),"")</f>
        <v/>
      </c>
      <c r="D704" s="70" t="str">
        <f>VLOOKUP(B704,Sheet3!$B$2:$E$312,3,)</f>
        <v>#N/A</v>
      </c>
      <c r="E704" s="64"/>
      <c r="F704" s="16" t="str">
        <f>IFERROR(VLOOKUP(B704,'Master data'!$A$1:$D$397,3,FALSE),"")</f>
        <v/>
      </c>
      <c r="H704" s="65"/>
      <c r="I704" s="16"/>
      <c r="J704" s="16"/>
      <c r="K704" s="16" t="b">
        <v>0</v>
      </c>
      <c r="L704" s="16" t="b">
        <v>0</v>
      </c>
    </row>
    <row r="705">
      <c r="A705" s="9"/>
      <c r="B705" s="16"/>
      <c r="C705" s="7" t="str">
        <f>IFERROR(VLOOKUP(B705,'Master data'!$A$1:$D$397,2,FALSE),"")</f>
        <v/>
      </c>
      <c r="D705" s="70" t="str">
        <f>VLOOKUP(B705,Sheet3!$B$2:$E$312,3,)</f>
        <v>#N/A</v>
      </c>
      <c r="E705" s="64"/>
      <c r="F705" s="16" t="str">
        <f>IFERROR(VLOOKUP(B705,'Master data'!$A$1:$D$397,3,FALSE),"")</f>
        <v/>
      </c>
      <c r="H705" s="65"/>
      <c r="I705" s="16"/>
      <c r="J705" s="16"/>
      <c r="K705" s="16" t="b">
        <v>0</v>
      </c>
      <c r="L705" s="16" t="b">
        <v>0</v>
      </c>
    </row>
    <row r="706">
      <c r="A706" s="9"/>
      <c r="B706" s="16"/>
      <c r="C706" s="7" t="str">
        <f>IFERROR(VLOOKUP(B706,'Master data'!$A$1:$D$397,2,FALSE),"")</f>
        <v/>
      </c>
      <c r="D706" s="70" t="str">
        <f>VLOOKUP(B706,Sheet3!$B$2:$E$312,3,)</f>
        <v>#N/A</v>
      </c>
      <c r="E706" s="64"/>
      <c r="F706" s="16" t="str">
        <f>IFERROR(VLOOKUP(B706,'Master data'!$A$1:$D$397,3,FALSE),"")</f>
        <v/>
      </c>
      <c r="H706" s="65"/>
      <c r="I706" s="16"/>
      <c r="J706" s="16"/>
      <c r="K706" s="16" t="b">
        <v>0</v>
      </c>
      <c r="L706" s="16" t="b">
        <v>0</v>
      </c>
    </row>
    <row r="707">
      <c r="A707" s="9"/>
      <c r="B707" s="16"/>
      <c r="C707" s="7" t="str">
        <f>IFERROR(VLOOKUP(B707,'Master data'!$A$1:$D$397,2,FALSE),"")</f>
        <v/>
      </c>
      <c r="D707" s="70" t="str">
        <f>VLOOKUP(B707,Sheet3!$B$2:$E$312,3,)</f>
        <v>#N/A</v>
      </c>
      <c r="E707" s="64"/>
      <c r="F707" s="16" t="str">
        <f>IFERROR(VLOOKUP(B707,'Master data'!$A$1:$D$397,3,FALSE),"")</f>
        <v/>
      </c>
      <c r="H707" s="65"/>
      <c r="I707" s="16"/>
      <c r="J707" s="16"/>
      <c r="K707" s="16" t="b">
        <v>0</v>
      </c>
      <c r="L707" s="16" t="b">
        <v>0</v>
      </c>
    </row>
    <row r="708">
      <c r="A708" s="9"/>
      <c r="B708" s="16"/>
      <c r="C708" s="7" t="str">
        <f>IFERROR(VLOOKUP(B708,'Master data'!$A$1:$D$397,2,FALSE),"")</f>
        <v/>
      </c>
      <c r="D708" s="70" t="str">
        <f>VLOOKUP(B708,Sheet3!$B$2:$E$312,3,)</f>
        <v>#N/A</v>
      </c>
      <c r="E708" s="64"/>
      <c r="F708" s="16" t="str">
        <f>IFERROR(VLOOKUP(B708,'Master data'!$A$1:$D$397,3,FALSE),"")</f>
        <v/>
      </c>
      <c r="H708" s="65"/>
      <c r="I708" s="16"/>
      <c r="J708" s="16"/>
      <c r="K708" s="16" t="b">
        <v>0</v>
      </c>
      <c r="L708" s="16" t="b">
        <v>0</v>
      </c>
    </row>
    <row r="709">
      <c r="A709" s="9"/>
      <c r="B709" s="16"/>
      <c r="C709" s="7" t="str">
        <f>IFERROR(VLOOKUP(B709,'Master data'!$A$1:$D$397,2,FALSE),"")</f>
        <v/>
      </c>
      <c r="D709" s="70" t="str">
        <f>VLOOKUP(B709,Sheet3!$B$2:$E$312,3,)</f>
        <v>#N/A</v>
      </c>
      <c r="E709" s="64"/>
      <c r="F709" s="16" t="str">
        <f>IFERROR(VLOOKUP(B709,'Master data'!$A$1:$D$397,3,FALSE),"")</f>
        <v/>
      </c>
      <c r="H709" s="65"/>
      <c r="I709" s="16"/>
      <c r="J709" s="16"/>
      <c r="K709" s="16" t="b">
        <v>0</v>
      </c>
      <c r="L709" s="16" t="b">
        <v>0</v>
      </c>
    </row>
    <row r="710">
      <c r="A710" s="9"/>
      <c r="B710" s="16"/>
      <c r="C710" s="7" t="str">
        <f>IFERROR(VLOOKUP(B710,'Master data'!$A$1:$D$397,2,FALSE),"")</f>
        <v/>
      </c>
      <c r="D710" s="70" t="str">
        <f>VLOOKUP(B710,Sheet3!$B$2:$E$312,3,)</f>
        <v>#N/A</v>
      </c>
      <c r="E710" s="64"/>
      <c r="F710" s="16" t="str">
        <f>IFERROR(VLOOKUP(B710,'Master data'!$A$1:$D$397,3,FALSE),"")</f>
        <v/>
      </c>
      <c r="H710" s="65"/>
      <c r="I710" s="16"/>
      <c r="J710" s="16"/>
      <c r="K710" s="16" t="b">
        <v>0</v>
      </c>
      <c r="L710" s="16" t="b">
        <v>0</v>
      </c>
    </row>
    <row r="711">
      <c r="A711" s="9"/>
      <c r="B711" s="16"/>
      <c r="C711" s="7" t="str">
        <f>IFERROR(VLOOKUP(B711,'Master data'!$A$1:$D$397,2,FALSE),"")</f>
        <v/>
      </c>
      <c r="D711" s="70" t="str">
        <f>VLOOKUP(B711,Sheet3!$B$2:$E$312,3,)</f>
        <v>#N/A</v>
      </c>
      <c r="E711" s="64"/>
      <c r="F711" s="16" t="str">
        <f>IFERROR(VLOOKUP(B711,'Master data'!$A$1:$D$397,3,FALSE),"")</f>
        <v/>
      </c>
      <c r="H711" s="65"/>
      <c r="I711" s="16"/>
      <c r="J711" s="16"/>
      <c r="K711" s="16" t="b">
        <v>0</v>
      </c>
      <c r="L711" s="16" t="b">
        <v>0</v>
      </c>
    </row>
    <row r="712">
      <c r="A712" s="9"/>
      <c r="B712" s="16"/>
      <c r="C712" s="7" t="str">
        <f>IFERROR(VLOOKUP(B712,'Master data'!$A$1:$D$397,2,FALSE),"")</f>
        <v/>
      </c>
      <c r="D712" s="70" t="str">
        <f>VLOOKUP(B712,Sheet3!$B$2:$E$312,3,)</f>
        <v>#N/A</v>
      </c>
      <c r="E712" s="64"/>
      <c r="F712" s="16" t="str">
        <f>IFERROR(VLOOKUP(B712,'Master data'!$A$1:$D$397,3,FALSE),"")</f>
        <v/>
      </c>
      <c r="H712" s="65"/>
      <c r="I712" s="16"/>
      <c r="J712" s="16"/>
      <c r="K712" s="16" t="b">
        <v>0</v>
      </c>
      <c r="L712" s="16" t="b">
        <v>0</v>
      </c>
    </row>
    <row r="713">
      <c r="A713" s="9"/>
      <c r="B713" s="16"/>
      <c r="C713" s="7" t="str">
        <f>IFERROR(VLOOKUP(B713,'Master data'!$A$1:$D$397,2,FALSE),"")</f>
        <v/>
      </c>
      <c r="D713" s="70" t="str">
        <f>VLOOKUP(B713,Sheet3!$B$2:$E$312,3,)</f>
        <v>#N/A</v>
      </c>
      <c r="E713" s="64"/>
      <c r="F713" s="16" t="str">
        <f>IFERROR(VLOOKUP(B713,'Master data'!$A$1:$D$397,3,FALSE),"")</f>
        <v/>
      </c>
      <c r="H713" s="65"/>
      <c r="I713" s="16"/>
      <c r="J713" s="16"/>
      <c r="K713" s="16" t="b">
        <v>0</v>
      </c>
      <c r="L713" s="16" t="b">
        <v>0</v>
      </c>
    </row>
    <row r="714">
      <c r="A714" s="9"/>
      <c r="B714" s="16"/>
      <c r="C714" s="7" t="str">
        <f>IFERROR(VLOOKUP(B714,'Master data'!$A$1:$D$397,2,FALSE),"")</f>
        <v/>
      </c>
      <c r="D714" s="70" t="str">
        <f>VLOOKUP(B714,Sheet3!$B$2:$E$312,3,)</f>
        <v>#N/A</v>
      </c>
      <c r="E714" s="64"/>
      <c r="F714" s="16" t="str">
        <f>IFERROR(VLOOKUP(B714,'Master data'!$A$1:$D$397,3,FALSE),"")</f>
        <v/>
      </c>
      <c r="H714" s="65"/>
      <c r="I714" s="16"/>
      <c r="J714" s="16"/>
      <c r="K714" s="16" t="b">
        <v>0</v>
      </c>
      <c r="L714" s="16" t="b">
        <v>0</v>
      </c>
    </row>
    <row r="715">
      <c r="A715" s="9"/>
      <c r="B715" s="16"/>
      <c r="C715" s="7" t="str">
        <f>IFERROR(VLOOKUP(B715,'Master data'!$A$1:$D$397,2,FALSE),"")</f>
        <v/>
      </c>
      <c r="D715" s="70" t="str">
        <f>VLOOKUP(B715,Sheet3!$B$2:$E$312,3,)</f>
        <v>#N/A</v>
      </c>
      <c r="E715" s="64"/>
      <c r="F715" s="16" t="str">
        <f>IFERROR(VLOOKUP(B715,'Master data'!$A$1:$D$397,3,FALSE),"")</f>
        <v/>
      </c>
      <c r="H715" s="65"/>
      <c r="I715" s="16"/>
      <c r="J715" s="16"/>
      <c r="K715" s="16" t="b">
        <v>0</v>
      </c>
      <c r="L715" s="16" t="b">
        <v>0</v>
      </c>
    </row>
    <row r="716">
      <c r="A716" s="9"/>
      <c r="B716" s="16"/>
      <c r="C716" s="7" t="str">
        <f>IFERROR(VLOOKUP(B716,'Master data'!$A$1:$D$397,2,FALSE),"")</f>
        <v/>
      </c>
      <c r="D716" s="70" t="str">
        <f>VLOOKUP(B716,Sheet3!$B$2:$E$312,3,)</f>
        <v>#N/A</v>
      </c>
      <c r="E716" s="64"/>
      <c r="F716" s="16" t="str">
        <f>IFERROR(VLOOKUP(B716,'Master data'!$A$1:$D$397,3,FALSE),"")</f>
        <v/>
      </c>
      <c r="H716" s="65"/>
      <c r="I716" s="16"/>
      <c r="J716" s="16"/>
      <c r="K716" s="16" t="b">
        <v>0</v>
      </c>
      <c r="L716" s="16" t="b">
        <v>0</v>
      </c>
    </row>
    <row r="717">
      <c r="A717" s="9"/>
      <c r="B717" s="16"/>
      <c r="C717" s="7" t="str">
        <f>IFERROR(VLOOKUP(B717,'Master data'!$A$1:$D$397,2,FALSE),"")</f>
        <v/>
      </c>
      <c r="D717" s="70" t="str">
        <f>VLOOKUP(B717,Sheet3!$B$2:$E$312,3,)</f>
        <v>#N/A</v>
      </c>
      <c r="E717" s="64"/>
      <c r="F717" s="16" t="str">
        <f>IFERROR(VLOOKUP(B717,'Master data'!$A$1:$D$397,3,FALSE),"")</f>
        <v/>
      </c>
      <c r="H717" s="65"/>
      <c r="I717" s="16"/>
      <c r="J717" s="16"/>
      <c r="K717" s="16" t="b">
        <v>0</v>
      </c>
      <c r="L717" s="16" t="b">
        <v>0</v>
      </c>
    </row>
    <row r="718">
      <c r="A718" s="9"/>
      <c r="B718" s="16"/>
      <c r="C718" s="7" t="str">
        <f>IFERROR(VLOOKUP(B718,'Master data'!$A$1:$D$397,2,FALSE),"")</f>
        <v/>
      </c>
      <c r="D718" s="70" t="str">
        <f>VLOOKUP(B718,Sheet3!$B$2:$E$312,3,)</f>
        <v>#N/A</v>
      </c>
      <c r="E718" s="64"/>
      <c r="F718" s="16" t="str">
        <f>IFERROR(VLOOKUP(B718,'Master data'!$A$1:$D$397,3,FALSE),"")</f>
        <v/>
      </c>
      <c r="H718" s="65"/>
      <c r="I718" s="16"/>
      <c r="J718" s="16"/>
      <c r="K718" s="16" t="b">
        <v>0</v>
      </c>
      <c r="L718" s="16" t="b">
        <v>0</v>
      </c>
    </row>
    <row r="719">
      <c r="A719" s="9"/>
      <c r="B719" s="16"/>
      <c r="C719" s="7" t="str">
        <f>IFERROR(VLOOKUP(B719,'Master data'!$A$1:$D$397,2,FALSE),"")</f>
        <v/>
      </c>
      <c r="D719" s="70" t="str">
        <f>VLOOKUP(B719,Sheet3!$B$2:$E$312,3,)</f>
        <v>#N/A</v>
      </c>
      <c r="E719" s="64"/>
      <c r="F719" s="16" t="str">
        <f>IFERROR(VLOOKUP(B719,'Master data'!$A$1:$D$397,3,FALSE),"")</f>
        <v/>
      </c>
      <c r="H719" s="65"/>
      <c r="I719" s="16"/>
      <c r="J719" s="16"/>
      <c r="K719" s="16" t="b">
        <v>0</v>
      </c>
      <c r="L719" s="16" t="b">
        <v>0</v>
      </c>
    </row>
    <row r="720">
      <c r="A720" s="9"/>
      <c r="B720" s="16"/>
      <c r="C720" s="7" t="str">
        <f>IFERROR(VLOOKUP(B720,'Master data'!$A$1:$D$397,2,FALSE),"")</f>
        <v/>
      </c>
      <c r="D720" s="70" t="str">
        <f>VLOOKUP(B720,Sheet3!$B$2:$E$312,3,)</f>
        <v>#N/A</v>
      </c>
      <c r="E720" s="64"/>
      <c r="F720" s="16" t="str">
        <f>IFERROR(VLOOKUP(B720,'Master data'!$A$1:$D$397,3,FALSE),"")</f>
        <v/>
      </c>
      <c r="H720" s="65"/>
      <c r="I720" s="16"/>
      <c r="J720" s="16"/>
      <c r="K720" s="16" t="b">
        <v>0</v>
      </c>
      <c r="L720" s="16" t="b">
        <v>0</v>
      </c>
    </row>
    <row r="721">
      <c r="A721" s="9"/>
      <c r="B721" s="16"/>
      <c r="C721" s="7" t="str">
        <f>IFERROR(VLOOKUP(B721,'Master data'!$A$1:$D$397,2,FALSE),"")</f>
        <v/>
      </c>
      <c r="D721" s="70" t="str">
        <f>VLOOKUP(B721,Sheet3!$B$2:$E$312,3,)</f>
        <v>#N/A</v>
      </c>
      <c r="E721" s="64"/>
      <c r="F721" s="16" t="str">
        <f>IFERROR(VLOOKUP(B721,'Master data'!$A$1:$D$397,3,FALSE),"")</f>
        <v/>
      </c>
      <c r="H721" s="65"/>
      <c r="I721" s="16"/>
      <c r="J721" s="16"/>
      <c r="K721" s="16" t="b">
        <v>0</v>
      </c>
      <c r="L721" s="16" t="b">
        <v>0</v>
      </c>
    </row>
    <row r="722">
      <c r="A722" s="9"/>
      <c r="B722" s="16"/>
      <c r="C722" s="7" t="str">
        <f>IFERROR(VLOOKUP(B722,'Master data'!$A$1:$D$397,2,FALSE),"")</f>
        <v/>
      </c>
      <c r="D722" s="70" t="str">
        <f>VLOOKUP(B722,Sheet3!$B$2:$E$312,3,)</f>
        <v>#N/A</v>
      </c>
      <c r="E722" s="64"/>
      <c r="F722" s="16" t="str">
        <f>IFERROR(VLOOKUP(B722,'Master data'!$A$1:$D$397,3,FALSE),"")</f>
        <v/>
      </c>
      <c r="H722" s="65"/>
      <c r="I722" s="16"/>
      <c r="J722" s="16"/>
      <c r="K722" s="16" t="b">
        <v>0</v>
      </c>
      <c r="L722" s="16" t="b">
        <v>0</v>
      </c>
    </row>
    <row r="723">
      <c r="A723" s="9"/>
      <c r="B723" s="16"/>
      <c r="C723" s="7" t="str">
        <f>IFERROR(VLOOKUP(B723,'Master data'!$A$1:$D$397,2,FALSE),"")</f>
        <v/>
      </c>
      <c r="D723" s="70" t="str">
        <f>VLOOKUP(B723,Sheet3!$B$2:$E$312,3,)</f>
        <v>#N/A</v>
      </c>
      <c r="E723" s="64"/>
      <c r="F723" s="16" t="str">
        <f>IFERROR(VLOOKUP(B723,'Master data'!$A$1:$D$397,3,FALSE),"")</f>
        <v/>
      </c>
      <c r="H723" s="65"/>
      <c r="I723" s="16"/>
      <c r="J723" s="16"/>
      <c r="K723" s="16" t="b">
        <v>0</v>
      </c>
      <c r="L723" s="16" t="b">
        <v>0</v>
      </c>
    </row>
    <row r="724">
      <c r="A724" s="9"/>
      <c r="B724" s="16"/>
      <c r="C724" s="7" t="str">
        <f>IFERROR(VLOOKUP(B724,'Master data'!$A$1:$D$397,2,FALSE),"")</f>
        <v/>
      </c>
      <c r="D724" s="70" t="str">
        <f>VLOOKUP(B724,Sheet3!$B$2:$E$312,3,)</f>
        <v>#N/A</v>
      </c>
      <c r="E724" s="64"/>
      <c r="F724" s="16" t="str">
        <f>IFERROR(VLOOKUP(B724,'Master data'!$A$1:$D$397,3,FALSE),"")</f>
        <v/>
      </c>
      <c r="H724" s="65"/>
      <c r="I724" s="16"/>
      <c r="J724" s="16"/>
      <c r="K724" s="16" t="b">
        <v>0</v>
      </c>
      <c r="L724" s="16" t="b">
        <v>0</v>
      </c>
    </row>
    <row r="725">
      <c r="A725" s="9"/>
      <c r="B725" s="16"/>
      <c r="C725" s="7" t="str">
        <f>IFERROR(VLOOKUP(B725,'Master data'!$A$1:$D$397,2,FALSE),"")</f>
        <v/>
      </c>
      <c r="D725" s="70" t="str">
        <f>VLOOKUP(B725,Sheet3!$B$2:$E$312,3,)</f>
        <v>#N/A</v>
      </c>
      <c r="E725" s="64"/>
      <c r="F725" s="16" t="str">
        <f>IFERROR(VLOOKUP(B725,'Master data'!$A$1:$D$397,3,FALSE),"")</f>
        <v/>
      </c>
      <c r="H725" s="65"/>
      <c r="I725" s="16"/>
      <c r="J725" s="16"/>
      <c r="K725" s="16" t="b">
        <v>0</v>
      </c>
      <c r="L725" s="16" t="b">
        <v>0</v>
      </c>
    </row>
    <row r="726">
      <c r="A726" s="9"/>
      <c r="B726" s="16"/>
      <c r="C726" s="7" t="str">
        <f>IFERROR(VLOOKUP(B726,'Master data'!$A$1:$D$397,2,FALSE),"")</f>
        <v/>
      </c>
      <c r="D726" s="70" t="str">
        <f>VLOOKUP(B726,Sheet3!$B$2:$E$312,3,)</f>
        <v>#N/A</v>
      </c>
      <c r="E726" s="64"/>
      <c r="F726" s="16" t="str">
        <f>IFERROR(VLOOKUP(B726,'Master data'!$A$1:$D$397,3,FALSE),"")</f>
        <v/>
      </c>
      <c r="H726" s="65"/>
      <c r="I726" s="16"/>
      <c r="J726" s="16"/>
      <c r="K726" s="16" t="b">
        <v>0</v>
      </c>
      <c r="L726" s="16" t="b">
        <v>0</v>
      </c>
    </row>
    <row r="727">
      <c r="A727" s="9"/>
      <c r="B727" s="16"/>
      <c r="C727" s="7" t="str">
        <f>IFERROR(VLOOKUP(B727,'Master data'!$A$1:$D$397,2,FALSE),"")</f>
        <v/>
      </c>
      <c r="D727" s="70" t="str">
        <f>VLOOKUP(B727,Sheet3!$B$2:$E$312,3,)</f>
        <v>#N/A</v>
      </c>
      <c r="E727" s="64"/>
      <c r="F727" s="16" t="str">
        <f>IFERROR(VLOOKUP(B727,'Master data'!$A$1:$D$397,3,FALSE),"")</f>
        <v/>
      </c>
      <c r="H727" s="65"/>
      <c r="I727" s="16"/>
      <c r="J727" s="16"/>
      <c r="K727" s="16" t="b">
        <v>0</v>
      </c>
      <c r="L727" s="16" t="b">
        <v>0</v>
      </c>
    </row>
    <row r="728">
      <c r="A728" s="9"/>
      <c r="B728" s="16"/>
      <c r="C728" s="7" t="str">
        <f>IFERROR(VLOOKUP(B728,'Master data'!$A$1:$D$397,2,FALSE),"")</f>
        <v/>
      </c>
      <c r="D728" s="70" t="str">
        <f>VLOOKUP(B728,Sheet3!$B$2:$E$312,3,)</f>
        <v>#N/A</v>
      </c>
      <c r="E728" s="64"/>
      <c r="F728" s="16" t="str">
        <f>IFERROR(VLOOKUP(B728,'Master data'!$A$1:$D$397,3,FALSE),"")</f>
        <v/>
      </c>
      <c r="H728" s="65"/>
      <c r="I728" s="16"/>
      <c r="J728" s="16"/>
      <c r="K728" s="16" t="b">
        <v>0</v>
      </c>
      <c r="L728" s="16" t="b">
        <v>0</v>
      </c>
    </row>
    <row r="729">
      <c r="A729" s="9"/>
      <c r="B729" s="16"/>
      <c r="C729" s="7" t="str">
        <f>IFERROR(VLOOKUP(B729,'Master data'!$A$1:$D$397,2,FALSE),"")</f>
        <v/>
      </c>
      <c r="D729" s="70" t="str">
        <f>VLOOKUP(B729,Sheet3!$B$2:$E$312,3,)</f>
        <v>#N/A</v>
      </c>
      <c r="E729" s="64"/>
      <c r="F729" s="16" t="str">
        <f>IFERROR(VLOOKUP(B729,'Master data'!$A$1:$D$397,3,FALSE),"")</f>
        <v/>
      </c>
      <c r="H729" s="65"/>
      <c r="I729" s="16"/>
      <c r="J729" s="16"/>
      <c r="K729" s="16" t="b">
        <v>0</v>
      </c>
      <c r="L729" s="16" t="b">
        <v>0</v>
      </c>
    </row>
    <row r="730">
      <c r="A730" s="9"/>
      <c r="B730" s="16"/>
      <c r="C730" s="7" t="str">
        <f>IFERROR(VLOOKUP(B730,'Master data'!$A$1:$D$397,2,FALSE),"")</f>
        <v/>
      </c>
      <c r="D730" s="70" t="str">
        <f>VLOOKUP(B730,Sheet3!$B$2:$E$312,3,)</f>
        <v>#N/A</v>
      </c>
      <c r="E730" s="64"/>
      <c r="F730" s="16" t="str">
        <f>IFERROR(VLOOKUP(B730,'Master data'!$A$1:$D$397,3,FALSE),"")</f>
        <v/>
      </c>
      <c r="H730" s="65"/>
      <c r="I730" s="16"/>
      <c r="J730" s="16"/>
      <c r="K730" s="16" t="b">
        <v>0</v>
      </c>
      <c r="L730" s="16" t="b">
        <v>0</v>
      </c>
    </row>
    <row r="731">
      <c r="A731" s="9"/>
      <c r="B731" s="16"/>
      <c r="C731" s="7" t="str">
        <f>IFERROR(VLOOKUP(B731,'Master data'!$A$1:$D$397,2,FALSE),"")</f>
        <v/>
      </c>
      <c r="D731" s="70" t="str">
        <f>VLOOKUP(B731,Sheet3!$B$2:$E$312,3,)</f>
        <v>#N/A</v>
      </c>
      <c r="E731" s="64"/>
      <c r="F731" s="16" t="str">
        <f>IFERROR(VLOOKUP(B731,'Master data'!$A$1:$D$397,3,FALSE),"")</f>
        <v/>
      </c>
      <c r="H731" s="65"/>
      <c r="I731" s="16"/>
      <c r="J731" s="16"/>
      <c r="K731" s="16" t="b">
        <v>0</v>
      </c>
      <c r="L731" s="16" t="b">
        <v>0</v>
      </c>
    </row>
    <row r="732">
      <c r="A732" s="9"/>
      <c r="B732" s="16"/>
      <c r="C732" s="7" t="str">
        <f>IFERROR(VLOOKUP(B732,'Master data'!$A$1:$D$397,2,FALSE),"")</f>
        <v/>
      </c>
      <c r="D732" s="70" t="str">
        <f>VLOOKUP(B732,Sheet3!$B$2:$E$312,3,)</f>
        <v>#N/A</v>
      </c>
      <c r="E732" s="64"/>
      <c r="F732" s="16" t="str">
        <f>IFERROR(VLOOKUP(B732,'Master data'!$A$1:$D$397,3,FALSE),"")</f>
        <v/>
      </c>
      <c r="H732" s="65"/>
      <c r="I732" s="16"/>
      <c r="J732" s="16"/>
      <c r="K732" s="16" t="b">
        <v>0</v>
      </c>
      <c r="L732" s="16" t="b">
        <v>0</v>
      </c>
    </row>
    <row r="733">
      <c r="A733" s="9"/>
      <c r="B733" s="16"/>
      <c r="C733" s="7" t="str">
        <f>IFERROR(VLOOKUP(B733,'Master data'!$A$1:$D$397,2,FALSE),"")</f>
        <v/>
      </c>
      <c r="D733" s="70" t="str">
        <f>VLOOKUP(B733,Sheet3!$B$2:$E$312,3,)</f>
        <v>#N/A</v>
      </c>
      <c r="E733" s="64"/>
      <c r="F733" s="16" t="str">
        <f>IFERROR(VLOOKUP(B733,'Master data'!$A$1:$D$397,3,FALSE),"")</f>
        <v/>
      </c>
      <c r="H733" s="65"/>
      <c r="I733" s="16"/>
      <c r="J733" s="16"/>
      <c r="K733" s="16" t="b">
        <v>0</v>
      </c>
      <c r="L733" s="16" t="b">
        <v>0</v>
      </c>
    </row>
    <row r="734">
      <c r="A734" s="9"/>
      <c r="B734" s="16"/>
      <c r="C734" s="7" t="str">
        <f>IFERROR(VLOOKUP(B734,'Master data'!$A$1:$D$397,2,FALSE),"")</f>
        <v/>
      </c>
      <c r="D734" s="70" t="str">
        <f>VLOOKUP(B734,Sheet3!$B$2:$E$312,3,)</f>
        <v>#N/A</v>
      </c>
      <c r="E734" s="64"/>
      <c r="F734" s="16" t="str">
        <f>IFERROR(VLOOKUP(B734,'Master data'!$A$1:$D$397,3,FALSE),"")</f>
        <v/>
      </c>
      <c r="H734" s="65"/>
      <c r="I734" s="16"/>
      <c r="J734" s="16"/>
      <c r="K734" s="16" t="b">
        <v>0</v>
      </c>
      <c r="L734" s="16" t="b">
        <v>0</v>
      </c>
    </row>
    <row r="735">
      <c r="A735" s="9"/>
      <c r="B735" s="16"/>
      <c r="C735" s="7" t="str">
        <f>IFERROR(VLOOKUP(B735,'Master data'!$A$1:$D$397,2,FALSE),"")</f>
        <v/>
      </c>
      <c r="D735" s="70" t="str">
        <f>VLOOKUP(B735,Sheet3!$B$2:$E$312,3,)</f>
        <v>#N/A</v>
      </c>
      <c r="E735" s="64"/>
      <c r="F735" s="16" t="str">
        <f>IFERROR(VLOOKUP(B735,'Master data'!$A$1:$D$397,3,FALSE),"")</f>
        <v/>
      </c>
      <c r="H735" s="65"/>
      <c r="I735" s="16"/>
      <c r="J735" s="16"/>
      <c r="K735" s="16" t="b">
        <v>0</v>
      </c>
      <c r="L735" s="16" t="b">
        <v>0</v>
      </c>
    </row>
    <row r="736">
      <c r="A736" s="9"/>
      <c r="B736" s="16"/>
      <c r="C736" s="7" t="str">
        <f>IFERROR(VLOOKUP(B736,'Master data'!$A$1:$D$397,2,FALSE),"")</f>
        <v/>
      </c>
      <c r="D736" s="70" t="str">
        <f>VLOOKUP(B736,Sheet3!$B$2:$E$312,3,)</f>
        <v>#N/A</v>
      </c>
      <c r="E736" s="64"/>
      <c r="F736" s="16" t="str">
        <f>IFERROR(VLOOKUP(B736,'Master data'!$A$1:$D$397,3,FALSE),"")</f>
        <v/>
      </c>
      <c r="H736" s="65"/>
      <c r="I736" s="16"/>
      <c r="J736" s="16"/>
      <c r="K736" s="16" t="b">
        <v>0</v>
      </c>
      <c r="L736" s="16" t="b">
        <v>0</v>
      </c>
    </row>
    <row r="737">
      <c r="A737" s="9"/>
      <c r="B737" s="16"/>
      <c r="C737" s="7" t="str">
        <f>IFERROR(VLOOKUP(B737,'Master data'!$A$1:$D$397,2,FALSE),"")</f>
        <v/>
      </c>
      <c r="D737" s="70" t="str">
        <f>VLOOKUP(B737,Sheet3!$B$2:$E$312,3,)</f>
        <v>#N/A</v>
      </c>
      <c r="E737" s="64"/>
      <c r="F737" s="16" t="str">
        <f>IFERROR(VLOOKUP(B737,'Master data'!$A$1:$D$397,3,FALSE),"")</f>
        <v/>
      </c>
      <c r="H737" s="65"/>
      <c r="I737" s="16"/>
      <c r="J737" s="16"/>
      <c r="K737" s="16" t="b">
        <v>0</v>
      </c>
      <c r="L737" s="16" t="b">
        <v>0</v>
      </c>
    </row>
    <row r="738">
      <c r="A738" s="9"/>
      <c r="B738" s="16"/>
      <c r="C738" s="7" t="str">
        <f>IFERROR(VLOOKUP(B738,'Master data'!$A$1:$D$397,2,FALSE),"")</f>
        <v/>
      </c>
      <c r="D738" s="70" t="str">
        <f>VLOOKUP(B738,Sheet3!$B$2:$E$312,3,)</f>
        <v>#N/A</v>
      </c>
      <c r="E738" s="64"/>
      <c r="F738" s="16" t="str">
        <f>IFERROR(VLOOKUP(B738,'Master data'!$A$1:$D$397,3,FALSE),"")</f>
        <v/>
      </c>
      <c r="H738" s="65"/>
      <c r="I738" s="16"/>
      <c r="J738" s="16"/>
      <c r="K738" s="16" t="b">
        <v>0</v>
      </c>
      <c r="L738" s="16" t="b">
        <v>0</v>
      </c>
    </row>
    <row r="739">
      <c r="A739" s="9"/>
      <c r="B739" s="16"/>
      <c r="C739" s="7" t="str">
        <f>IFERROR(VLOOKUP(B739,'Master data'!$A$1:$D$397,2,FALSE),"")</f>
        <v/>
      </c>
      <c r="D739" s="70" t="str">
        <f>VLOOKUP(B739,Sheet3!$B$2:$E$312,3,)</f>
        <v>#N/A</v>
      </c>
      <c r="E739" s="64"/>
      <c r="F739" s="16" t="str">
        <f>IFERROR(VLOOKUP(B739,'Master data'!$A$1:$D$397,3,FALSE),"")</f>
        <v/>
      </c>
      <c r="H739" s="65"/>
      <c r="I739" s="16"/>
      <c r="J739" s="16"/>
      <c r="K739" s="16" t="b">
        <v>0</v>
      </c>
      <c r="L739" s="16" t="b">
        <v>0</v>
      </c>
    </row>
    <row r="740">
      <c r="A740" s="9"/>
      <c r="B740" s="16"/>
      <c r="C740" s="7" t="str">
        <f>IFERROR(VLOOKUP(B740,'Master data'!$A$1:$D$397,2,FALSE),"")</f>
        <v/>
      </c>
      <c r="D740" s="70" t="str">
        <f>VLOOKUP(B740,Sheet3!$B$2:$E$312,3,)</f>
        <v>#N/A</v>
      </c>
      <c r="E740" s="64"/>
      <c r="F740" s="16" t="str">
        <f>IFERROR(VLOOKUP(B740,'Master data'!$A$1:$D$397,3,FALSE),"")</f>
        <v/>
      </c>
      <c r="H740" s="65"/>
      <c r="I740" s="16"/>
      <c r="J740" s="16"/>
      <c r="K740" s="16" t="b">
        <v>0</v>
      </c>
      <c r="L740" s="16" t="b">
        <v>0</v>
      </c>
    </row>
    <row r="741">
      <c r="A741" s="9"/>
      <c r="B741" s="16"/>
      <c r="C741" s="7" t="str">
        <f>IFERROR(VLOOKUP(B741,'Master data'!$A$1:$D$397,2,FALSE),"")</f>
        <v/>
      </c>
      <c r="D741" s="70" t="str">
        <f>VLOOKUP(B741,Sheet3!$B$2:$E$312,3,)</f>
        <v>#N/A</v>
      </c>
      <c r="E741" s="64"/>
      <c r="F741" s="16" t="str">
        <f>IFERROR(VLOOKUP(B741,'Master data'!$A$1:$D$397,3,FALSE),"")</f>
        <v/>
      </c>
      <c r="H741" s="65"/>
      <c r="I741" s="16"/>
      <c r="J741" s="16"/>
      <c r="K741" s="16" t="b">
        <v>0</v>
      </c>
      <c r="L741" s="16" t="b">
        <v>0</v>
      </c>
    </row>
    <row r="742">
      <c r="A742" s="9"/>
      <c r="B742" s="16"/>
      <c r="C742" s="7" t="str">
        <f>IFERROR(VLOOKUP(B742,'Master data'!$A$1:$D$397,2,FALSE),"")</f>
        <v/>
      </c>
      <c r="D742" s="70" t="str">
        <f>VLOOKUP(B742,Sheet3!$B$2:$E$312,3,)</f>
        <v>#N/A</v>
      </c>
      <c r="E742" s="64"/>
      <c r="F742" s="16" t="str">
        <f>IFERROR(VLOOKUP(B742,'Master data'!$A$1:$D$397,3,FALSE),"")</f>
        <v/>
      </c>
      <c r="H742" s="65"/>
      <c r="I742" s="16"/>
      <c r="J742" s="16"/>
      <c r="K742" s="16" t="b">
        <v>0</v>
      </c>
      <c r="L742" s="16" t="b">
        <v>0</v>
      </c>
    </row>
    <row r="743">
      <c r="A743" s="9"/>
      <c r="B743" s="16"/>
      <c r="C743" s="7" t="str">
        <f>IFERROR(VLOOKUP(B743,'Master data'!$A$1:$D$397,2,FALSE),"")</f>
        <v/>
      </c>
      <c r="D743" s="70" t="str">
        <f>VLOOKUP(B743,Sheet3!$B$2:$E$312,3,)</f>
        <v>#N/A</v>
      </c>
      <c r="E743" s="64"/>
      <c r="F743" s="16" t="str">
        <f>IFERROR(VLOOKUP(B743,'Master data'!$A$1:$D$397,3,FALSE),"")</f>
        <v/>
      </c>
      <c r="H743" s="65"/>
      <c r="I743" s="16"/>
      <c r="J743" s="16"/>
      <c r="K743" s="16" t="b">
        <v>0</v>
      </c>
      <c r="L743" s="16" t="b">
        <v>0</v>
      </c>
    </row>
    <row r="744">
      <c r="A744" s="9"/>
      <c r="B744" s="16"/>
      <c r="C744" s="7" t="str">
        <f>IFERROR(VLOOKUP(B744,'Master data'!$A$1:$D$397,2,FALSE),"")</f>
        <v/>
      </c>
      <c r="D744" s="70" t="str">
        <f>VLOOKUP(B744,Sheet3!$B$2:$E$312,3,)</f>
        <v>#N/A</v>
      </c>
      <c r="E744" s="64"/>
      <c r="F744" s="16" t="str">
        <f>IFERROR(VLOOKUP(B744,'Master data'!$A$1:$D$397,3,FALSE),"")</f>
        <v/>
      </c>
      <c r="H744" s="65"/>
      <c r="I744" s="16"/>
      <c r="J744" s="16"/>
      <c r="K744" s="16" t="b">
        <v>0</v>
      </c>
      <c r="L744" s="16" t="b">
        <v>0</v>
      </c>
    </row>
    <row r="745">
      <c r="A745" s="9"/>
      <c r="B745" s="16"/>
      <c r="C745" s="7" t="str">
        <f>IFERROR(VLOOKUP(B745,'Master data'!$A$1:$D$397,2,FALSE),"")</f>
        <v/>
      </c>
      <c r="D745" s="70" t="str">
        <f>VLOOKUP(B745,Sheet3!$B$2:$E$312,3,)</f>
        <v>#N/A</v>
      </c>
      <c r="E745" s="64"/>
      <c r="F745" s="16" t="str">
        <f>IFERROR(VLOOKUP(B745,'Master data'!$A$1:$D$397,3,FALSE),"")</f>
        <v/>
      </c>
      <c r="H745" s="65"/>
      <c r="I745" s="16"/>
      <c r="J745" s="16"/>
      <c r="K745" s="16" t="b">
        <v>0</v>
      </c>
      <c r="L745" s="16" t="b">
        <v>0</v>
      </c>
    </row>
    <row r="746">
      <c r="A746" s="9"/>
      <c r="B746" s="16"/>
      <c r="C746" s="7" t="str">
        <f>IFERROR(VLOOKUP(B746,'Master data'!$A$1:$D$397,2,FALSE),"")</f>
        <v/>
      </c>
      <c r="D746" s="70" t="str">
        <f>VLOOKUP(B746,Sheet3!$B$2:$E$312,3,)</f>
        <v>#N/A</v>
      </c>
      <c r="E746" s="64"/>
      <c r="F746" s="16" t="str">
        <f>IFERROR(VLOOKUP(B746,'Master data'!$A$1:$D$397,3,FALSE),"")</f>
        <v/>
      </c>
      <c r="H746" s="65"/>
      <c r="I746" s="16"/>
      <c r="J746" s="16"/>
      <c r="K746" s="16" t="b">
        <v>0</v>
      </c>
      <c r="L746" s="16" t="b">
        <v>0</v>
      </c>
    </row>
    <row r="747">
      <c r="A747" s="9"/>
      <c r="B747" s="16"/>
      <c r="C747" s="7" t="str">
        <f>IFERROR(VLOOKUP(B747,'Master data'!$A$1:$D$397,2,FALSE),"")</f>
        <v/>
      </c>
      <c r="D747" s="70" t="str">
        <f>VLOOKUP(B747,Sheet3!$B$2:$E$312,3,)</f>
        <v>#N/A</v>
      </c>
      <c r="E747" s="64"/>
      <c r="F747" s="16" t="str">
        <f>IFERROR(VLOOKUP(B747,'Master data'!$A$1:$D$397,3,FALSE),"")</f>
        <v/>
      </c>
      <c r="H747" s="65"/>
      <c r="I747" s="16"/>
      <c r="J747" s="16"/>
      <c r="K747" s="16" t="b">
        <v>0</v>
      </c>
      <c r="L747" s="16" t="b">
        <v>0</v>
      </c>
    </row>
    <row r="748">
      <c r="A748" s="9"/>
      <c r="B748" s="16"/>
      <c r="C748" s="7" t="str">
        <f>IFERROR(VLOOKUP(B748,'Master data'!$A$1:$D$397,2,FALSE),"")</f>
        <v/>
      </c>
      <c r="D748" s="70" t="str">
        <f>VLOOKUP(B748,Sheet3!$B$2:$E$312,3,)</f>
        <v>#N/A</v>
      </c>
      <c r="E748" s="64"/>
      <c r="F748" s="16" t="str">
        <f>IFERROR(VLOOKUP(B748,'Master data'!$A$1:$D$397,3,FALSE),"")</f>
        <v/>
      </c>
      <c r="H748" s="65"/>
      <c r="I748" s="16"/>
      <c r="J748" s="16"/>
      <c r="K748" s="16" t="b">
        <v>0</v>
      </c>
      <c r="L748" s="16" t="b">
        <v>0</v>
      </c>
    </row>
    <row r="749">
      <c r="A749" s="9"/>
      <c r="B749" s="16"/>
      <c r="C749" s="7" t="str">
        <f>IFERROR(VLOOKUP(B749,'Master data'!$A$1:$D$397,2,FALSE),"")</f>
        <v/>
      </c>
      <c r="D749" s="70" t="str">
        <f>VLOOKUP(B749,Sheet3!$B$2:$E$312,3,)</f>
        <v>#N/A</v>
      </c>
      <c r="E749" s="64"/>
      <c r="F749" s="16" t="str">
        <f>IFERROR(VLOOKUP(B749,'Master data'!$A$1:$D$397,3,FALSE),"")</f>
        <v/>
      </c>
      <c r="H749" s="65"/>
      <c r="I749" s="16"/>
      <c r="J749" s="16"/>
      <c r="K749" s="16" t="b">
        <v>0</v>
      </c>
      <c r="L749" s="16" t="b">
        <v>0</v>
      </c>
    </row>
    <row r="750">
      <c r="A750" s="9"/>
      <c r="B750" s="16"/>
      <c r="C750" s="7" t="str">
        <f>IFERROR(VLOOKUP(B750,'Master data'!$A$1:$D$397,2,FALSE),"")</f>
        <v/>
      </c>
      <c r="D750" s="70" t="str">
        <f>VLOOKUP(B750,Sheet3!$B$2:$E$312,3,)</f>
        <v>#N/A</v>
      </c>
      <c r="E750" s="64"/>
      <c r="F750" s="16" t="str">
        <f>IFERROR(VLOOKUP(B750,'Master data'!$A$1:$D$397,3,FALSE),"")</f>
        <v/>
      </c>
      <c r="H750" s="65"/>
      <c r="I750" s="16"/>
      <c r="J750" s="16"/>
      <c r="K750" s="16" t="b">
        <v>0</v>
      </c>
      <c r="L750" s="16" t="b">
        <v>0</v>
      </c>
    </row>
    <row r="751">
      <c r="A751" s="9"/>
      <c r="B751" s="16"/>
      <c r="C751" s="7" t="str">
        <f>IFERROR(VLOOKUP(B751,'Master data'!$A$1:$D$397,2,FALSE),"")</f>
        <v/>
      </c>
      <c r="D751" s="70" t="str">
        <f>VLOOKUP(B751,Sheet3!$B$2:$E$312,3,)</f>
        <v>#N/A</v>
      </c>
      <c r="E751" s="64"/>
      <c r="F751" s="16" t="str">
        <f>IFERROR(VLOOKUP(B751,'Master data'!$A$1:$D$397,3,FALSE),"")</f>
        <v/>
      </c>
      <c r="H751" s="65"/>
      <c r="I751" s="16"/>
      <c r="J751" s="16"/>
      <c r="K751" s="16" t="b">
        <v>0</v>
      </c>
      <c r="L751" s="16" t="b">
        <v>0</v>
      </c>
    </row>
    <row r="752">
      <c r="A752" s="9"/>
      <c r="B752" s="16"/>
      <c r="C752" s="7" t="str">
        <f>IFERROR(VLOOKUP(B752,'Master data'!$A$1:$D$397,2,FALSE),"")</f>
        <v/>
      </c>
      <c r="D752" s="70" t="str">
        <f>VLOOKUP(B752,Sheet3!$B$2:$E$312,3,)</f>
        <v>#N/A</v>
      </c>
      <c r="E752" s="64"/>
      <c r="F752" s="16" t="str">
        <f>IFERROR(VLOOKUP(B752,'Master data'!$A$1:$D$397,3,FALSE),"")</f>
        <v/>
      </c>
      <c r="H752" s="65"/>
      <c r="I752" s="16"/>
      <c r="J752" s="16"/>
      <c r="K752" s="16" t="b">
        <v>0</v>
      </c>
      <c r="L752" s="16" t="b">
        <v>0</v>
      </c>
    </row>
    <row r="753">
      <c r="A753" s="9"/>
      <c r="B753" s="16"/>
      <c r="C753" s="7" t="str">
        <f>IFERROR(VLOOKUP(B753,'Master data'!$A$1:$D$397,2,FALSE),"")</f>
        <v/>
      </c>
      <c r="D753" s="70" t="str">
        <f>VLOOKUP(B753,Sheet3!$B$2:$E$312,3,)</f>
        <v>#N/A</v>
      </c>
      <c r="E753" s="64"/>
      <c r="F753" s="16" t="str">
        <f>IFERROR(VLOOKUP(B753,'Master data'!$A$1:$D$397,3,FALSE),"")</f>
        <v/>
      </c>
      <c r="H753" s="65"/>
      <c r="I753" s="16"/>
      <c r="J753" s="16"/>
      <c r="K753" s="16" t="b">
        <v>0</v>
      </c>
      <c r="L753" s="16" t="b">
        <v>0</v>
      </c>
    </row>
    <row r="754">
      <c r="A754" s="9"/>
      <c r="B754" s="16"/>
      <c r="C754" s="7" t="str">
        <f>IFERROR(VLOOKUP(B754,'Master data'!$A$1:$D$397,2,FALSE),"")</f>
        <v/>
      </c>
      <c r="D754" s="70" t="str">
        <f>VLOOKUP(B754,Sheet3!$B$2:$E$312,3,)</f>
        <v>#N/A</v>
      </c>
      <c r="E754" s="64"/>
      <c r="F754" s="16" t="str">
        <f>IFERROR(VLOOKUP(B754,'Master data'!$A$1:$D$397,3,FALSE),"")</f>
        <v/>
      </c>
      <c r="H754" s="65"/>
      <c r="I754" s="16"/>
      <c r="J754" s="16"/>
      <c r="K754" s="16" t="b">
        <v>0</v>
      </c>
      <c r="L754" s="16" t="b">
        <v>0</v>
      </c>
    </row>
    <row r="755">
      <c r="A755" s="9"/>
      <c r="B755" s="16"/>
      <c r="C755" s="7" t="str">
        <f>IFERROR(VLOOKUP(B755,'Master data'!$A$1:$D$397,2,FALSE),"")</f>
        <v/>
      </c>
      <c r="D755" s="70" t="str">
        <f>VLOOKUP(B755,Sheet3!$B$2:$E$312,3,)</f>
        <v>#N/A</v>
      </c>
      <c r="E755" s="64"/>
      <c r="F755" s="16" t="str">
        <f>IFERROR(VLOOKUP(B755,'Master data'!$A$1:$D$397,3,FALSE),"")</f>
        <v/>
      </c>
      <c r="H755" s="65"/>
      <c r="I755" s="16"/>
      <c r="J755" s="16"/>
      <c r="K755" s="16" t="b">
        <v>0</v>
      </c>
      <c r="L755" s="16" t="b">
        <v>0</v>
      </c>
    </row>
    <row r="756">
      <c r="A756" s="9"/>
      <c r="B756" s="16"/>
      <c r="C756" s="7" t="str">
        <f>IFERROR(VLOOKUP(B756,'Master data'!$A$1:$D$397,2,FALSE),"")</f>
        <v/>
      </c>
      <c r="D756" s="70" t="str">
        <f>VLOOKUP(B756,Sheet3!$B$2:$E$312,3,)</f>
        <v>#N/A</v>
      </c>
      <c r="E756" s="64"/>
      <c r="F756" s="16" t="str">
        <f>IFERROR(VLOOKUP(B756,'Master data'!$A$1:$D$397,3,FALSE),"")</f>
        <v/>
      </c>
      <c r="H756" s="65"/>
      <c r="I756" s="16"/>
      <c r="J756" s="16"/>
      <c r="K756" s="16" t="b">
        <v>0</v>
      </c>
      <c r="L756" s="16" t="b">
        <v>0</v>
      </c>
    </row>
    <row r="757">
      <c r="A757" s="9"/>
      <c r="B757" s="16"/>
      <c r="C757" s="7" t="str">
        <f>IFERROR(VLOOKUP(B757,'Master data'!$A$1:$D$397,2,FALSE),"")</f>
        <v/>
      </c>
      <c r="D757" s="70" t="str">
        <f>VLOOKUP(B757,Sheet3!$B$2:$E$312,3,)</f>
        <v>#N/A</v>
      </c>
      <c r="E757" s="64"/>
      <c r="F757" s="16" t="str">
        <f>IFERROR(VLOOKUP(B757,'Master data'!$A$1:$D$397,3,FALSE),"")</f>
        <v/>
      </c>
      <c r="H757" s="65"/>
      <c r="I757" s="16"/>
      <c r="J757" s="16"/>
      <c r="K757" s="16" t="b">
        <v>0</v>
      </c>
      <c r="L757" s="16" t="b">
        <v>0</v>
      </c>
    </row>
    <row r="758">
      <c r="A758" s="9"/>
      <c r="B758" s="16"/>
      <c r="C758" s="7" t="str">
        <f>IFERROR(VLOOKUP(B758,'Master data'!$A$1:$D$397,2,FALSE),"")</f>
        <v/>
      </c>
      <c r="D758" s="70" t="str">
        <f>VLOOKUP(B758,Sheet3!$B$2:$E$312,3,)</f>
        <v>#N/A</v>
      </c>
      <c r="E758" s="64"/>
      <c r="F758" s="16" t="str">
        <f>IFERROR(VLOOKUP(B758,'Master data'!$A$1:$D$397,3,FALSE),"")</f>
        <v/>
      </c>
      <c r="H758" s="65"/>
      <c r="I758" s="16"/>
      <c r="J758" s="16"/>
      <c r="K758" s="16" t="b">
        <v>0</v>
      </c>
      <c r="L758" s="16" t="b">
        <v>0</v>
      </c>
    </row>
    <row r="759">
      <c r="A759" s="9"/>
      <c r="B759" s="16"/>
      <c r="C759" s="7" t="str">
        <f>IFERROR(VLOOKUP(B759,'Master data'!$A$1:$D$397,2,FALSE),"")</f>
        <v/>
      </c>
      <c r="D759" s="70" t="str">
        <f>VLOOKUP(B759,Sheet3!$B$2:$E$312,3,)</f>
        <v>#N/A</v>
      </c>
      <c r="E759" s="64"/>
      <c r="F759" s="16" t="str">
        <f>IFERROR(VLOOKUP(B759,'Master data'!$A$1:$D$397,3,FALSE),"")</f>
        <v/>
      </c>
      <c r="H759" s="65"/>
      <c r="I759" s="16"/>
      <c r="J759" s="16"/>
      <c r="K759" s="16" t="b">
        <v>0</v>
      </c>
      <c r="L759" s="16" t="b">
        <v>0</v>
      </c>
    </row>
    <row r="760">
      <c r="A760" s="9"/>
      <c r="B760" s="16"/>
      <c r="C760" s="7" t="str">
        <f>IFERROR(VLOOKUP(B760,'Master data'!$A$1:$D$397,2,FALSE),"")</f>
        <v/>
      </c>
      <c r="D760" s="70" t="str">
        <f>VLOOKUP(B760,Sheet3!$B$2:$E$312,3,)</f>
        <v>#N/A</v>
      </c>
      <c r="E760" s="64"/>
      <c r="F760" s="16" t="str">
        <f>IFERROR(VLOOKUP(B760,'Master data'!$A$1:$D$397,3,FALSE),"")</f>
        <v/>
      </c>
      <c r="H760" s="65"/>
      <c r="I760" s="16"/>
      <c r="J760" s="16"/>
      <c r="K760" s="16" t="b">
        <v>0</v>
      </c>
      <c r="L760" s="16" t="b">
        <v>0</v>
      </c>
    </row>
    <row r="761">
      <c r="A761" s="9"/>
      <c r="B761" s="16"/>
      <c r="C761" s="7" t="str">
        <f>IFERROR(VLOOKUP(B761,'Master data'!$A$1:$D$397,2,FALSE),"")</f>
        <v/>
      </c>
      <c r="D761" s="70" t="str">
        <f>VLOOKUP(B761,Sheet3!$B$2:$E$312,3,)</f>
        <v>#N/A</v>
      </c>
      <c r="E761" s="64"/>
      <c r="F761" s="16" t="str">
        <f>IFERROR(VLOOKUP(B761,'Master data'!$A$1:$D$397,3,FALSE),"")</f>
        <v/>
      </c>
      <c r="H761" s="65"/>
      <c r="I761" s="16"/>
      <c r="J761" s="16"/>
      <c r="K761" s="16" t="b">
        <v>0</v>
      </c>
      <c r="L761" s="16" t="b">
        <v>0</v>
      </c>
    </row>
    <row r="762">
      <c r="A762" s="9"/>
      <c r="B762" s="16"/>
      <c r="C762" s="7" t="str">
        <f>IFERROR(VLOOKUP(B762,'Master data'!$A$1:$D$397,2,FALSE),"")</f>
        <v/>
      </c>
      <c r="D762" s="70" t="str">
        <f>VLOOKUP(B762,Sheet3!$B$2:$E$312,3,)</f>
        <v>#N/A</v>
      </c>
      <c r="E762" s="64"/>
      <c r="F762" s="16" t="str">
        <f>IFERROR(VLOOKUP(B762,'Master data'!$A$1:$D$397,3,FALSE),"")</f>
        <v/>
      </c>
      <c r="H762" s="65"/>
      <c r="I762" s="16"/>
      <c r="J762" s="16"/>
      <c r="K762" s="16" t="b">
        <v>0</v>
      </c>
      <c r="L762" s="16" t="b">
        <v>0</v>
      </c>
    </row>
    <row r="763">
      <c r="A763" s="9"/>
      <c r="B763" s="16"/>
      <c r="C763" s="7" t="str">
        <f>IFERROR(VLOOKUP(B763,'Master data'!$A$1:$D$397,2,FALSE),"")</f>
        <v/>
      </c>
      <c r="D763" s="70" t="str">
        <f>VLOOKUP(B763,Sheet3!$B$2:$E$312,3,)</f>
        <v>#N/A</v>
      </c>
      <c r="E763" s="64"/>
      <c r="F763" s="16" t="str">
        <f>IFERROR(VLOOKUP(B763,'Master data'!$A$1:$D$397,3,FALSE),"")</f>
        <v/>
      </c>
      <c r="H763" s="65"/>
      <c r="I763" s="16"/>
      <c r="J763" s="16"/>
      <c r="K763" s="16" t="b">
        <v>0</v>
      </c>
      <c r="L763" s="16" t="b">
        <v>0</v>
      </c>
    </row>
    <row r="764">
      <c r="A764" s="9"/>
      <c r="B764" s="16"/>
      <c r="C764" s="7" t="str">
        <f>IFERROR(VLOOKUP(B764,'Master data'!$A$1:$D$397,2,FALSE),"")</f>
        <v/>
      </c>
      <c r="D764" s="70" t="str">
        <f>VLOOKUP(B764,Sheet3!$B$2:$E$312,3,)</f>
        <v>#N/A</v>
      </c>
      <c r="E764" s="64"/>
      <c r="F764" s="16" t="str">
        <f>IFERROR(VLOOKUP(B764,'Master data'!$A$1:$D$397,3,FALSE),"")</f>
        <v/>
      </c>
      <c r="H764" s="65"/>
      <c r="I764" s="16"/>
      <c r="J764" s="16"/>
      <c r="K764" s="16" t="b">
        <v>0</v>
      </c>
      <c r="L764" s="16" t="b">
        <v>0</v>
      </c>
    </row>
    <row r="765">
      <c r="A765" s="9"/>
      <c r="B765" s="16"/>
      <c r="C765" s="7" t="str">
        <f>IFERROR(VLOOKUP(B765,'Master data'!$A$1:$D$397,2,FALSE),"")</f>
        <v/>
      </c>
      <c r="D765" s="70" t="str">
        <f>VLOOKUP(B765,Sheet3!$B$2:$E$312,3,)</f>
        <v>#N/A</v>
      </c>
      <c r="E765" s="64"/>
      <c r="F765" s="16" t="str">
        <f>IFERROR(VLOOKUP(B765,'Master data'!$A$1:$D$397,3,FALSE),"")</f>
        <v/>
      </c>
      <c r="H765" s="65"/>
      <c r="I765" s="16"/>
      <c r="J765" s="16"/>
      <c r="K765" s="16" t="b">
        <v>0</v>
      </c>
      <c r="L765" s="16" t="b">
        <v>0</v>
      </c>
    </row>
    <row r="766">
      <c r="A766" s="9"/>
      <c r="B766" s="16"/>
      <c r="C766" s="7" t="str">
        <f>IFERROR(VLOOKUP(B766,'Master data'!$A$1:$D$397,2,FALSE),"")</f>
        <v/>
      </c>
      <c r="D766" s="70" t="str">
        <f>VLOOKUP(B766,Sheet3!$B$2:$E$312,3,)</f>
        <v>#N/A</v>
      </c>
      <c r="E766" s="64"/>
      <c r="F766" s="16" t="str">
        <f>IFERROR(VLOOKUP(B766,'Master data'!$A$1:$D$397,3,FALSE),"")</f>
        <v/>
      </c>
      <c r="H766" s="65"/>
      <c r="I766" s="16"/>
      <c r="J766" s="16"/>
      <c r="K766" s="16" t="b">
        <v>0</v>
      </c>
      <c r="L766" s="16" t="b">
        <v>0</v>
      </c>
    </row>
    <row r="767">
      <c r="A767" s="9"/>
      <c r="B767" s="16"/>
      <c r="C767" s="7" t="str">
        <f>IFERROR(VLOOKUP(B767,'Master data'!$A$1:$D$397,2,FALSE),"")</f>
        <v/>
      </c>
      <c r="D767" s="70" t="str">
        <f>VLOOKUP(B767,Sheet3!$B$2:$E$312,3,)</f>
        <v>#N/A</v>
      </c>
      <c r="E767" s="64"/>
      <c r="F767" s="16" t="str">
        <f>IFERROR(VLOOKUP(B767,'Master data'!$A$1:$D$397,3,FALSE),"")</f>
        <v/>
      </c>
      <c r="H767" s="65"/>
      <c r="I767" s="16"/>
      <c r="J767" s="16"/>
      <c r="K767" s="16" t="b">
        <v>0</v>
      </c>
      <c r="L767" s="16" t="b">
        <v>0</v>
      </c>
    </row>
    <row r="768">
      <c r="A768" s="9"/>
      <c r="B768" s="16"/>
      <c r="C768" s="7" t="str">
        <f>IFERROR(VLOOKUP(B768,'Master data'!$A$1:$D$397,2,FALSE),"")</f>
        <v/>
      </c>
      <c r="D768" s="70" t="str">
        <f>VLOOKUP(B768,Sheet3!$B$2:$E$312,3,)</f>
        <v>#N/A</v>
      </c>
      <c r="E768" s="64"/>
      <c r="F768" s="16" t="str">
        <f>IFERROR(VLOOKUP(B768,'Master data'!$A$1:$D$397,3,FALSE),"")</f>
        <v/>
      </c>
      <c r="H768" s="65"/>
      <c r="I768" s="16"/>
      <c r="J768" s="16"/>
      <c r="K768" s="16" t="b">
        <v>0</v>
      </c>
      <c r="L768" s="16" t="b">
        <v>0</v>
      </c>
    </row>
    <row r="769">
      <c r="A769" s="9"/>
      <c r="B769" s="16"/>
      <c r="C769" s="7" t="str">
        <f>IFERROR(VLOOKUP(B769,'Master data'!$A$1:$D$397,2,FALSE),"")</f>
        <v/>
      </c>
      <c r="D769" s="70" t="str">
        <f>VLOOKUP(B769,Sheet3!$B$2:$E$312,3,)</f>
        <v>#N/A</v>
      </c>
      <c r="E769" s="64"/>
      <c r="F769" s="16" t="str">
        <f>IFERROR(VLOOKUP(B769,'Master data'!$A$1:$D$397,3,FALSE),"")</f>
        <v/>
      </c>
      <c r="H769" s="65"/>
      <c r="I769" s="16"/>
      <c r="J769" s="16"/>
      <c r="K769" s="16" t="b">
        <v>0</v>
      </c>
      <c r="L769" s="16" t="b">
        <v>0</v>
      </c>
    </row>
    <row r="770">
      <c r="A770" s="9"/>
      <c r="B770" s="16"/>
      <c r="C770" s="7" t="str">
        <f>IFERROR(VLOOKUP(B770,'Master data'!$A$1:$D$397,2,FALSE),"")</f>
        <v/>
      </c>
      <c r="D770" s="70" t="str">
        <f>VLOOKUP(B770,Sheet3!$B$2:$E$312,3,)</f>
        <v>#N/A</v>
      </c>
      <c r="E770" s="64"/>
      <c r="F770" s="16" t="str">
        <f>IFERROR(VLOOKUP(B770,'Master data'!$A$1:$D$397,3,FALSE),"")</f>
        <v/>
      </c>
      <c r="H770" s="65"/>
      <c r="I770" s="16"/>
      <c r="J770" s="16"/>
      <c r="K770" s="16" t="b">
        <v>0</v>
      </c>
      <c r="L770" s="16" t="b">
        <v>0</v>
      </c>
    </row>
    <row r="771">
      <c r="A771" s="9"/>
      <c r="B771" s="16"/>
      <c r="C771" s="7" t="str">
        <f>IFERROR(VLOOKUP(B771,'Master data'!$A$1:$D$397,2,FALSE),"")</f>
        <v/>
      </c>
      <c r="D771" s="70" t="str">
        <f>VLOOKUP(B771,Sheet3!$B$2:$E$312,3,)</f>
        <v>#N/A</v>
      </c>
      <c r="E771" s="64"/>
      <c r="F771" s="16" t="str">
        <f>IFERROR(VLOOKUP(B771,'Master data'!$A$1:$D$397,3,FALSE),"")</f>
        <v/>
      </c>
      <c r="H771" s="65"/>
      <c r="I771" s="16"/>
      <c r="J771" s="16"/>
      <c r="K771" s="16" t="b">
        <v>0</v>
      </c>
      <c r="L771" s="16" t="b">
        <v>0</v>
      </c>
    </row>
    <row r="772">
      <c r="A772" s="9"/>
      <c r="B772" s="16"/>
      <c r="C772" s="7" t="str">
        <f>IFERROR(VLOOKUP(B772,'Master data'!$A$1:$D$397,2,FALSE),"")</f>
        <v/>
      </c>
      <c r="D772" s="70" t="str">
        <f>VLOOKUP(B772,Sheet3!$B$2:$E$312,3,)</f>
        <v>#N/A</v>
      </c>
      <c r="E772" s="64"/>
      <c r="F772" s="16" t="str">
        <f>IFERROR(VLOOKUP(B772,'Master data'!$A$1:$D$397,3,FALSE),"")</f>
        <v/>
      </c>
      <c r="H772" s="65"/>
      <c r="I772" s="16"/>
      <c r="J772" s="16"/>
      <c r="K772" s="16" t="b">
        <v>0</v>
      </c>
      <c r="L772" s="16" t="b">
        <v>0</v>
      </c>
    </row>
    <row r="773">
      <c r="A773" s="9"/>
      <c r="B773" s="16"/>
      <c r="C773" s="7" t="str">
        <f>IFERROR(VLOOKUP(B773,'Master data'!$A$1:$D$397,2,FALSE),"")</f>
        <v/>
      </c>
      <c r="D773" s="70" t="str">
        <f>VLOOKUP(B773,Sheet3!$B$2:$E$312,3,)</f>
        <v>#N/A</v>
      </c>
      <c r="E773" s="64"/>
      <c r="F773" s="16" t="str">
        <f>IFERROR(VLOOKUP(B773,'Master data'!$A$1:$D$397,3,FALSE),"")</f>
        <v/>
      </c>
      <c r="H773" s="65"/>
      <c r="I773" s="16"/>
      <c r="J773" s="16"/>
      <c r="K773" s="16" t="b">
        <v>0</v>
      </c>
      <c r="L773" s="16" t="b">
        <v>0</v>
      </c>
    </row>
    <row r="774">
      <c r="A774" s="9"/>
      <c r="B774" s="16"/>
      <c r="C774" s="7" t="str">
        <f>IFERROR(VLOOKUP(B774,'Master data'!$A$1:$D$397,2,FALSE),"")</f>
        <v/>
      </c>
      <c r="D774" s="70" t="str">
        <f>VLOOKUP(B774,Sheet3!$B$2:$E$312,3,)</f>
        <v>#N/A</v>
      </c>
      <c r="E774" s="64"/>
      <c r="F774" s="16" t="str">
        <f>IFERROR(VLOOKUP(B774,'Master data'!$A$1:$D$397,3,FALSE),"")</f>
        <v/>
      </c>
      <c r="H774" s="65"/>
      <c r="I774" s="16"/>
      <c r="J774" s="16"/>
      <c r="K774" s="16" t="b">
        <v>0</v>
      </c>
      <c r="L774" s="16" t="b">
        <v>0</v>
      </c>
    </row>
    <row r="775">
      <c r="A775" s="9"/>
      <c r="B775" s="16"/>
      <c r="C775" s="7" t="str">
        <f>IFERROR(VLOOKUP(B775,'Master data'!$A$1:$D$397,2,FALSE),"")</f>
        <v/>
      </c>
      <c r="D775" s="70" t="str">
        <f>VLOOKUP(B775,Sheet3!$B$2:$E$312,3,)</f>
        <v>#N/A</v>
      </c>
      <c r="E775" s="64"/>
      <c r="F775" s="16" t="str">
        <f>IFERROR(VLOOKUP(B775,'Master data'!$A$1:$D$397,3,FALSE),"")</f>
        <v/>
      </c>
      <c r="H775" s="65"/>
      <c r="I775" s="16"/>
      <c r="J775" s="16"/>
      <c r="K775" s="16" t="b">
        <v>0</v>
      </c>
      <c r="L775" s="16" t="b">
        <v>0</v>
      </c>
    </row>
    <row r="776">
      <c r="A776" s="9"/>
      <c r="B776" s="16"/>
      <c r="C776" s="7" t="str">
        <f>IFERROR(VLOOKUP(B776,'Master data'!$A$1:$D$397,2,FALSE),"")</f>
        <v/>
      </c>
      <c r="D776" s="70" t="str">
        <f>VLOOKUP(B776,Sheet3!$B$2:$E$312,3,)</f>
        <v>#N/A</v>
      </c>
      <c r="E776" s="64"/>
      <c r="F776" s="16" t="str">
        <f>IFERROR(VLOOKUP(B776,'Master data'!$A$1:$D$397,3,FALSE),"")</f>
        <v/>
      </c>
      <c r="H776" s="65"/>
      <c r="I776" s="16"/>
      <c r="J776" s="16"/>
      <c r="K776" s="16" t="b">
        <v>0</v>
      </c>
      <c r="L776" s="16" t="b">
        <v>0</v>
      </c>
    </row>
    <row r="777">
      <c r="A777" s="9"/>
      <c r="B777" s="16"/>
      <c r="C777" s="7" t="str">
        <f>IFERROR(VLOOKUP(B777,'Master data'!$A$1:$D$397,2,FALSE),"")</f>
        <v/>
      </c>
      <c r="D777" s="70" t="str">
        <f>VLOOKUP(B777,Sheet3!$B$2:$E$312,3,)</f>
        <v>#N/A</v>
      </c>
      <c r="E777" s="64"/>
      <c r="F777" s="16" t="str">
        <f>IFERROR(VLOOKUP(B777,'Master data'!$A$1:$D$397,3,FALSE),"")</f>
        <v/>
      </c>
      <c r="H777" s="65"/>
      <c r="I777" s="16"/>
      <c r="J777" s="16"/>
      <c r="K777" s="16" t="b">
        <v>0</v>
      </c>
      <c r="L777" s="16" t="b">
        <v>0</v>
      </c>
    </row>
    <row r="778">
      <c r="A778" s="9"/>
      <c r="B778" s="16"/>
      <c r="C778" s="7" t="str">
        <f>IFERROR(VLOOKUP(B778,'Master data'!$A$1:$D$397,2,FALSE),"")</f>
        <v/>
      </c>
      <c r="D778" s="70" t="str">
        <f>VLOOKUP(B778,Sheet3!$B$2:$E$312,3,)</f>
        <v>#N/A</v>
      </c>
      <c r="E778" s="64"/>
      <c r="F778" s="16" t="str">
        <f>IFERROR(VLOOKUP(B778,'Master data'!$A$1:$D$397,3,FALSE),"")</f>
        <v/>
      </c>
      <c r="H778" s="65"/>
      <c r="I778" s="16"/>
      <c r="J778" s="16"/>
      <c r="K778" s="16" t="b">
        <v>0</v>
      </c>
      <c r="L778" s="16" t="b">
        <v>0</v>
      </c>
    </row>
    <row r="779">
      <c r="A779" s="9"/>
      <c r="B779" s="16"/>
      <c r="C779" s="7" t="str">
        <f>IFERROR(VLOOKUP(B779,'Master data'!$A$1:$D$397,2,FALSE),"")</f>
        <v/>
      </c>
      <c r="D779" s="70" t="str">
        <f>VLOOKUP(B779,Sheet3!$B$2:$E$312,3,)</f>
        <v>#N/A</v>
      </c>
      <c r="E779" s="64"/>
      <c r="F779" s="16" t="str">
        <f>IFERROR(VLOOKUP(B779,'Master data'!$A$1:$D$397,3,FALSE),"")</f>
        <v/>
      </c>
      <c r="H779" s="65"/>
      <c r="I779" s="16"/>
      <c r="J779" s="16"/>
      <c r="K779" s="16" t="b">
        <v>0</v>
      </c>
      <c r="L779" s="16" t="b">
        <v>0</v>
      </c>
    </row>
    <row r="780">
      <c r="A780" s="9"/>
      <c r="B780" s="16"/>
      <c r="C780" s="7" t="str">
        <f>IFERROR(VLOOKUP(B780,'Master data'!$A$1:$D$397,2,FALSE),"")</f>
        <v/>
      </c>
      <c r="D780" s="70" t="str">
        <f>VLOOKUP(B780,Sheet3!$B$2:$E$312,3,)</f>
        <v>#N/A</v>
      </c>
      <c r="E780" s="64"/>
      <c r="F780" s="16" t="str">
        <f>IFERROR(VLOOKUP(B780,'Master data'!$A$1:$D$397,3,FALSE),"")</f>
        <v/>
      </c>
      <c r="H780" s="65"/>
      <c r="I780" s="16"/>
      <c r="J780" s="16"/>
      <c r="K780" s="16" t="b">
        <v>0</v>
      </c>
      <c r="L780" s="16" t="b">
        <v>0</v>
      </c>
    </row>
    <row r="781">
      <c r="A781" s="9"/>
      <c r="B781" s="16"/>
      <c r="C781" s="7" t="str">
        <f>IFERROR(VLOOKUP(B781,'Master data'!$A$1:$D$397,2,FALSE),"")</f>
        <v/>
      </c>
      <c r="D781" s="70" t="str">
        <f>VLOOKUP(B781,Sheet3!$B$2:$E$312,3,)</f>
        <v>#N/A</v>
      </c>
      <c r="E781" s="64"/>
      <c r="F781" s="16" t="str">
        <f>IFERROR(VLOOKUP(B781,'Master data'!$A$1:$D$397,3,FALSE),"")</f>
        <v/>
      </c>
      <c r="H781" s="65"/>
      <c r="I781" s="16"/>
      <c r="J781" s="16"/>
      <c r="K781" s="16" t="b">
        <v>0</v>
      </c>
      <c r="L781" s="16" t="b">
        <v>0</v>
      </c>
    </row>
    <row r="782">
      <c r="A782" s="9"/>
      <c r="B782" s="16"/>
      <c r="C782" s="7" t="str">
        <f>IFERROR(VLOOKUP(B782,'Master data'!$A$1:$D$397,2,FALSE),"")</f>
        <v/>
      </c>
      <c r="D782" s="70" t="str">
        <f>VLOOKUP(B782,Sheet3!$B$2:$E$312,3,)</f>
        <v>#N/A</v>
      </c>
      <c r="E782" s="64"/>
      <c r="F782" s="16" t="str">
        <f>IFERROR(VLOOKUP(B782,'Master data'!$A$1:$D$397,3,FALSE),"")</f>
        <v/>
      </c>
      <c r="H782" s="65"/>
      <c r="I782" s="16"/>
      <c r="J782" s="16"/>
      <c r="K782" s="16" t="b">
        <v>0</v>
      </c>
      <c r="L782" s="16" t="b">
        <v>0</v>
      </c>
    </row>
    <row r="783">
      <c r="A783" s="9"/>
      <c r="B783" s="16"/>
      <c r="C783" s="7" t="str">
        <f>IFERROR(VLOOKUP(B783,'Master data'!$A$1:$D$397,2,FALSE),"")</f>
        <v/>
      </c>
      <c r="D783" s="70" t="str">
        <f>VLOOKUP(B783,Sheet3!$B$2:$E$312,3,)</f>
        <v>#N/A</v>
      </c>
      <c r="E783" s="64"/>
      <c r="F783" s="16" t="str">
        <f>IFERROR(VLOOKUP(B783,'Master data'!$A$1:$D$397,3,FALSE),"")</f>
        <v/>
      </c>
      <c r="H783" s="65"/>
      <c r="I783" s="16"/>
      <c r="J783" s="16"/>
      <c r="K783" s="16" t="b">
        <v>0</v>
      </c>
      <c r="L783" s="16" t="b">
        <v>0</v>
      </c>
    </row>
    <row r="784">
      <c r="A784" s="9"/>
      <c r="B784" s="16"/>
      <c r="C784" s="7" t="str">
        <f>IFERROR(VLOOKUP(B784,'Master data'!$A$1:$D$397,2,FALSE),"")</f>
        <v/>
      </c>
      <c r="D784" s="70" t="str">
        <f>VLOOKUP(B784,Sheet3!$B$2:$E$312,3,)</f>
        <v>#N/A</v>
      </c>
      <c r="E784" s="64"/>
      <c r="F784" s="16" t="str">
        <f>IFERROR(VLOOKUP(B784,'Master data'!$A$1:$D$397,3,FALSE),"")</f>
        <v/>
      </c>
      <c r="H784" s="65"/>
      <c r="I784" s="16"/>
      <c r="J784" s="16"/>
      <c r="K784" s="16" t="b">
        <v>0</v>
      </c>
      <c r="L784" s="16" t="b">
        <v>0</v>
      </c>
    </row>
    <row r="785">
      <c r="A785" s="9"/>
      <c r="B785" s="16"/>
      <c r="C785" s="7" t="str">
        <f>IFERROR(VLOOKUP(B785,'Master data'!$A$1:$D$397,2,FALSE),"")</f>
        <v/>
      </c>
      <c r="D785" s="70" t="str">
        <f>VLOOKUP(B785,Sheet3!$B$2:$E$312,3,)</f>
        <v>#N/A</v>
      </c>
      <c r="E785" s="64"/>
      <c r="F785" s="16" t="str">
        <f>IFERROR(VLOOKUP(B785,'Master data'!$A$1:$D$397,3,FALSE),"")</f>
        <v/>
      </c>
      <c r="H785" s="65"/>
      <c r="I785" s="16"/>
      <c r="J785" s="16"/>
      <c r="K785" s="16" t="b">
        <v>0</v>
      </c>
      <c r="L785" s="16" t="b">
        <v>0</v>
      </c>
    </row>
    <row r="786">
      <c r="A786" s="9"/>
      <c r="B786" s="16"/>
      <c r="C786" s="7" t="str">
        <f>IFERROR(VLOOKUP(B786,'Master data'!$A$1:$D$397,2,FALSE),"")</f>
        <v/>
      </c>
      <c r="D786" s="70" t="str">
        <f>VLOOKUP(B786,Sheet3!$B$2:$E$312,3,)</f>
        <v>#N/A</v>
      </c>
      <c r="E786" s="64"/>
      <c r="F786" s="16" t="str">
        <f>IFERROR(VLOOKUP(B786,'Master data'!$A$1:$D$397,3,FALSE),"")</f>
        <v/>
      </c>
      <c r="H786" s="65"/>
      <c r="I786" s="16"/>
      <c r="J786" s="16"/>
      <c r="K786" s="16" t="b">
        <v>0</v>
      </c>
      <c r="L786" s="16" t="b">
        <v>0</v>
      </c>
    </row>
    <row r="787">
      <c r="A787" s="9"/>
      <c r="B787" s="16"/>
      <c r="C787" s="7" t="str">
        <f>IFERROR(VLOOKUP(B787,'Master data'!$A$1:$D$397,2,FALSE),"")</f>
        <v/>
      </c>
      <c r="D787" s="70" t="str">
        <f>VLOOKUP(B787,Sheet3!$B$2:$E$312,3,)</f>
        <v>#N/A</v>
      </c>
      <c r="E787" s="64"/>
      <c r="F787" s="16" t="str">
        <f>IFERROR(VLOOKUP(B787,'Master data'!$A$1:$D$397,3,FALSE),"")</f>
        <v/>
      </c>
      <c r="H787" s="65"/>
      <c r="I787" s="16"/>
      <c r="J787" s="16"/>
      <c r="K787" s="16" t="b">
        <v>0</v>
      </c>
      <c r="L787" s="16" t="b">
        <v>0</v>
      </c>
    </row>
    <row r="788">
      <c r="A788" s="9"/>
      <c r="B788" s="16"/>
      <c r="C788" s="7" t="str">
        <f>IFERROR(VLOOKUP(B788,'Master data'!$A$1:$D$397,2,FALSE),"")</f>
        <v/>
      </c>
      <c r="D788" s="70" t="str">
        <f>VLOOKUP(B788,Sheet3!$B$2:$E$312,3,)</f>
        <v>#N/A</v>
      </c>
      <c r="E788" s="64"/>
      <c r="F788" s="16" t="str">
        <f>IFERROR(VLOOKUP(B788,'Master data'!$A$1:$D$397,3,FALSE),"")</f>
        <v/>
      </c>
      <c r="H788" s="65"/>
      <c r="I788" s="16"/>
      <c r="J788" s="16"/>
      <c r="K788" s="16" t="b">
        <v>0</v>
      </c>
      <c r="L788" s="16" t="b">
        <v>0</v>
      </c>
    </row>
    <row r="789">
      <c r="A789" s="9"/>
      <c r="B789" s="16"/>
      <c r="C789" s="7" t="str">
        <f>IFERROR(VLOOKUP(B789,'Master data'!$A$1:$D$397,2,FALSE),"")</f>
        <v/>
      </c>
      <c r="D789" s="70" t="str">
        <f>VLOOKUP(B789,Sheet3!$B$2:$E$312,3,)</f>
        <v>#N/A</v>
      </c>
      <c r="E789" s="64"/>
      <c r="F789" s="16" t="str">
        <f>IFERROR(VLOOKUP(B789,'Master data'!$A$1:$D$397,3,FALSE),"")</f>
        <v/>
      </c>
      <c r="H789" s="65"/>
      <c r="I789" s="16"/>
      <c r="J789" s="16"/>
      <c r="K789" s="16" t="b">
        <v>0</v>
      </c>
      <c r="L789" s="16" t="b">
        <v>0</v>
      </c>
    </row>
    <row r="790">
      <c r="A790" s="9"/>
      <c r="B790" s="16"/>
      <c r="C790" s="7" t="str">
        <f>IFERROR(VLOOKUP(B790,'Master data'!$A$1:$D$397,2,FALSE),"")</f>
        <v/>
      </c>
      <c r="D790" s="70" t="str">
        <f>VLOOKUP(B790,Sheet3!$B$2:$E$312,3,)</f>
        <v>#N/A</v>
      </c>
      <c r="E790" s="64"/>
      <c r="F790" s="16" t="str">
        <f>IFERROR(VLOOKUP(B790,'Master data'!$A$1:$D$397,3,FALSE),"")</f>
        <v/>
      </c>
      <c r="H790" s="65"/>
      <c r="I790" s="16"/>
      <c r="J790" s="16"/>
      <c r="K790" s="16" t="b">
        <v>0</v>
      </c>
      <c r="L790" s="16" t="b">
        <v>0</v>
      </c>
    </row>
    <row r="791">
      <c r="A791" s="9"/>
      <c r="B791" s="16"/>
      <c r="C791" s="7" t="str">
        <f>IFERROR(VLOOKUP(B791,'Master data'!$A$1:$D$397,2,FALSE),"")</f>
        <v/>
      </c>
      <c r="D791" s="70" t="str">
        <f>VLOOKUP(B791,Sheet3!$B$2:$E$312,3,)</f>
        <v>#N/A</v>
      </c>
      <c r="E791" s="64"/>
      <c r="F791" s="16" t="str">
        <f>IFERROR(VLOOKUP(B791,'Master data'!$A$1:$D$397,3,FALSE),"")</f>
        <v/>
      </c>
      <c r="H791" s="65"/>
      <c r="I791" s="16"/>
      <c r="J791" s="16"/>
      <c r="K791" s="16" t="b">
        <v>0</v>
      </c>
      <c r="L791" s="16" t="b">
        <v>0</v>
      </c>
    </row>
    <row r="792">
      <c r="A792" s="9"/>
      <c r="B792" s="16"/>
      <c r="C792" s="7" t="str">
        <f>IFERROR(VLOOKUP(B792,'Master data'!$A$1:$D$397,2,FALSE),"")</f>
        <v/>
      </c>
      <c r="D792" s="70" t="str">
        <f>VLOOKUP(B792,Sheet3!$B$2:$E$312,3,)</f>
        <v>#N/A</v>
      </c>
      <c r="E792" s="64"/>
      <c r="F792" s="16" t="str">
        <f>IFERROR(VLOOKUP(B792,'Master data'!$A$1:$D$397,3,FALSE),"")</f>
        <v/>
      </c>
      <c r="H792" s="65"/>
      <c r="I792" s="16"/>
      <c r="J792" s="16"/>
      <c r="K792" s="16" t="b">
        <v>0</v>
      </c>
      <c r="L792" s="16" t="b">
        <v>0</v>
      </c>
    </row>
    <row r="793">
      <c r="A793" s="9"/>
      <c r="B793" s="16"/>
      <c r="C793" s="7" t="str">
        <f>IFERROR(VLOOKUP(B793,'Master data'!$A$1:$D$397,2,FALSE),"")</f>
        <v/>
      </c>
      <c r="D793" s="70" t="str">
        <f>VLOOKUP(B793,Sheet3!$B$2:$E$312,3,)</f>
        <v>#N/A</v>
      </c>
      <c r="E793" s="64"/>
      <c r="F793" s="16" t="str">
        <f>IFERROR(VLOOKUP(B793,'Master data'!$A$1:$D$397,3,FALSE),"")</f>
        <v/>
      </c>
      <c r="H793" s="65"/>
      <c r="I793" s="16"/>
      <c r="J793" s="16"/>
      <c r="K793" s="16" t="b">
        <v>0</v>
      </c>
      <c r="L793" s="16" t="b">
        <v>0</v>
      </c>
    </row>
    <row r="794">
      <c r="A794" s="9"/>
      <c r="B794" s="16"/>
      <c r="C794" s="7" t="str">
        <f>IFERROR(VLOOKUP(B794,'Master data'!$A$1:$D$397,2,FALSE),"")</f>
        <v/>
      </c>
      <c r="D794" s="70" t="str">
        <f>VLOOKUP(B794,Sheet3!$B$2:$E$312,3,)</f>
        <v>#N/A</v>
      </c>
      <c r="E794" s="64"/>
      <c r="F794" s="16" t="str">
        <f>IFERROR(VLOOKUP(B794,'Master data'!$A$1:$D$397,3,FALSE),"")</f>
        <v/>
      </c>
      <c r="H794" s="65"/>
      <c r="I794" s="16"/>
      <c r="J794" s="16"/>
      <c r="K794" s="16" t="b">
        <v>0</v>
      </c>
      <c r="L794" s="16" t="b">
        <v>0</v>
      </c>
    </row>
    <row r="795">
      <c r="A795" s="9"/>
      <c r="B795" s="16"/>
      <c r="C795" s="7" t="str">
        <f>IFERROR(VLOOKUP(B795,'Master data'!$A$1:$D$397,2,FALSE),"")</f>
        <v/>
      </c>
      <c r="D795" s="70" t="str">
        <f>VLOOKUP(B795,Sheet3!$B$2:$E$312,3,)</f>
        <v>#N/A</v>
      </c>
      <c r="E795" s="64"/>
      <c r="F795" s="16" t="str">
        <f>IFERROR(VLOOKUP(B795,'Master data'!$A$1:$D$397,3,FALSE),"")</f>
        <v/>
      </c>
      <c r="H795" s="65"/>
      <c r="I795" s="16"/>
      <c r="J795" s="16"/>
      <c r="K795" s="16" t="b">
        <v>0</v>
      </c>
      <c r="L795" s="16" t="b">
        <v>0</v>
      </c>
    </row>
    <row r="796">
      <c r="A796" s="9"/>
      <c r="B796" s="16"/>
      <c r="C796" s="7" t="str">
        <f>IFERROR(VLOOKUP(B796,'Master data'!$A$1:$D$397,2,FALSE),"")</f>
        <v/>
      </c>
      <c r="D796" s="70" t="str">
        <f>VLOOKUP(B796,Sheet3!$B$2:$E$312,3,)</f>
        <v>#N/A</v>
      </c>
      <c r="E796" s="64"/>
      <c r="F796" s="16" t="str">
        <f>IFERROR(VLOOKUP(B796,'Master data'!$A$1:$D$397,3,FALSE),"")</f>
        <v/>
      </c>
      <c r="H796" s="65"/>
      <c r="I796" s="16"/>
      <c r="J796" s="16"/>
      <c r="K796" s="16" t="b">
        <v>0</v>
      </c>
      <c r="L796" s="16" t="b">
        <v>0</v>
      </c>
    </row>
    <row r="797">
      <c r="A797" s="9"/>
      <c r="B797" s="16"/>
      <c r="C797" s="7" t="str">
        <f>IFERROR(VLOOKUP(B797,'Master data'!$A$1:$D$397,2,FALSE),"")</f>
        <v/>
      </c>
      <c r="D797" s="70" t="str">
        <f>VLOOKUP(B797,Sheet3!$B$2:$E$312,3,)</f>
        <v>#N/A</v>
      </c>
      <c r="E797" s="64"/>
      <c r="F797" s="16" t="str">
        <f>IFERROR(VLOOKUP(B797,'Master data'!$A$1:$D$397,3,FALSE),"")</f>
        <v/>
      </c>
      <c r="H797" s="65"/>
      <c r="I797" s="16"/>
      <c r="J797" s="16"/>
      <c r="K797" s="16" t="b">
        <v>0</v>
      </c>
      <c r="L797" s="16" t="b">
        <v>0</v>
      </c>
    </row>
    <row r="798">
      <c r="A798" s="9"/>
      <c r="B798" s="16"/>
      <c r="C798" s="7" t="str">
        <f>IFERROR(VLOOKUP(B798,'Master data'!$A$1:$D$397,2,FALSE),"")</f>
        <v/>
      </c>
      <c r="D798" s="70" t="str">
        <f>VLOOKUP(B798,Sheet3!$B$2:$E$312,3,)</f>
        <v>#N/A</v>
      </c>
      <c r="E798" s="64"/>
      <c r="F798" s="16" t="str">
        <f>IFERROR(VLOOKUP(B798,'Master data'!$A$1:$D$397,3,FALSE),"")</f>
        <v/>
      </c>
      <c r="H798" s="65"/>
      <c r="I798" s="16"/>
      <c r="J798" s="16"/>
      <c r="K798" s="16" t="b">
        <v>0</v>
      </c>
      <c r="L798" s="16" t="b">
        <v>0</v>
      </c>
    </row>
    <row r="799">
      <c r="A799" s="9"/>
      <c r="B799" s="16"/>
      <c r="C799" s="7" t="str">
        <f>IFERROR(VLOOKUP(B799,'Master data'!$A$1:$D$397,2,FALSE),"")</f>
        <v/>
      </c>
      <c r="D799" s="70" t="str">
        <f>VLOOKUP(B799,Sheet3!$B$2:$E$312,3,)</f>
        <v>#N/A</v>
      </c>
      <c r="E799" s="64"/>
      <c r="F799" s="16" t="str">
        <f>IFERROR(VLOOKUP(B799,'Master data'!$A$1:$D$397,3,FALSE),"")</f>
        <v/>
      </c>
      <c r="H799" s="65"/>
      <c r="I799" s="16"/>
      <c r="J799" s="16"/>
      <c r="K799" s="16" t="b">
        <v>0</v>
      </c>
      <c r="L799" s="16" t="b">
        <v>0</v>
      </c>
    </row>
    <row r="800">
      <c r="A800" s="9"/>
      <c r="B800" s="16"/>
      <c r="C800" s="7" t="str">
        <f>IFERROR(VLOOKUP(B800,'Master data'!$A$1:$D$397,2,FALSE),"")</f>
        <v/>
      </c>
      <c r="D800" s="70" t="str">
        <f>VLOOKUP(B800,Sheet3!$B$2:$E$312,3,)</f>
        <v>#N/A</v>
      </c>
      <c r="E800" s="64"/>
      <c r="F800" s="16" t="str">
        <f>IFERROR(VLOOKUP(B800,'Master data'!$A$1:$D$397,3,FALSE),"")</f>
        <v/>
      </c>
      <c r="H800" s="65"/>
      <c r="I800" s="16"/>
      <c r="J800" s="16"/>
      <c r="K800" s="16" t="b">
        <v>0</v>
      </c>
      <c r="L800" s="16" t="b">
        <v>0</v>
      </c>
    </row>
    <row r="801">
      <c r="A801" s="9"/>
      <c r="B801" s="16"/>
      <c r="C801" s="7" t="str">
        <f>IFERROR(VLOOKUP(B801,'Master data'!$A$1:$D$397,2,FALSE),"")</f>
        <v/>
      </c>
      <c r="D801" s="70" t="str">
        <f>VLOOKUP(B801,Sheet3!$B$2:$E$312,3,)</f>
        <v>#N/A</v>
      </c>
      <c r="E801" s="64"/>
      <c r="F801" s="16" t="str">
        <f>IFERROR(VLOOKUP(B801,'Master data'!$A$1:$D$397,3,FALSE),"")</f>
        <v/>
      </c>
      <c r="H801" s="65"/>
      <c r="I801" s="16"/>
      <c r="J801" s="16"/>
      <c r="K801" s="16" t="b">
        <v>0</v>
      </c>
      <c r="L801" s="16" t="b">
        <v>0</v>
      </c>
    </row>
    <row r="802">
      <c r="A802" s="9"/>
      <c r="B802" s="16"/>
      <c r="C802" s="7" t="str">
        <f>IFERROR(VLOOKUP(B802,'Master data'!$A$1:$D$397,2,FALSE),"")</f>
        <v/>
      </c>
      <c r="D802" s="70" t="str">
        <f>VLOOKUP(B802,Sheet3!$B$2:$E$312,3,)</f>
        <v>#N/A</v>
      </c>
      <c r="E802" s="64"/>
      <c r="F802" s="16" t="str">
        <f>IFERROR(VLOOKUP(B802,'Master data'!$A$1:$D$397,3,FALSE),"")</f>
        <v/>
      </c>
      <c r="H802" s="65"/>
      <c r="I802" s="16"/>
      <c r="J802" s="16"/>
      <c r="K802" s="16" t="b">
        <v>0</v>
      </c>
      <c r="L802" s="16" t="b">
        <v>0</v>
      </c>
    </row>
    <row r="803">
      <c r="A803" s="9"/>
      <c r="B803" s="16"/>
      <c r="C803" s="7" t="str">
        <f>IFERROR(VLOOKUP(B803,'Master data'!$A$1:$D$397,2,FALSE),"")</f>
        <v/>
      </c>
      <c r="D803" s="70" t="str">
        <f>VLOOKUP(B803,Sheet3!$B$2:$E$312,3,)</f>
        <v>#N/A</v>
      </c>
      <c r="E803" s="64"/>
      <c r="F803" s="16" t="str">
        <f>IFERROR(VLOOKUP(B803,'Master data'!$A$1:$D$397,3,FALSE),"")</f>
        <v/>
      </c>
      <c r="H803" s="65"/>
      <c r="I803" s="16"/>
      <c r="J803" s="16"/>
      <c r="K803" s="16" t="b">
        <v>0</v>
      </c>
      <c r="L803" s="16" t="b">
        <v>0</v>
      </c>
    </row>
    <row r="804">
      <c r="A804" s="9"/>
      <c r="B804" s="16"/>
      <c r="C804" s="7" t="str">
        <f>IFERROR(VLOOKUP(B804,'Master data'!$A$1:$D$397,2,FALSE),"")</f>
        <v/>
      </c>
      <c r="D804" s="70" t="str">
        <f>VLOOKUP(B804,Sheet3!$B$2:$E$312,3,)</f>
        <v>#N/A</v>
      </c>
      <c r="E804" s="64"/>
      <c r="F804" s="16" t="str">
        <f>IFERROR(VLOOKUP(B804,'Master data'!$A$1:$D$397,3,FALSE),"")</f>
        <v/>
      </c>
      <c r="H804" s="65"/>
      <c r="I804" s="16"/>
      <c r="J804" s="16"/>
      <c r="K804" s="16" t="b">
        <v>0</v>
      </c>
      <c r="L804" s="16" t="b">
        <v>0</v>
      </c>
    </row>
    <row r="805">
      <c r="A805" s="9"/>
      <c r="B805" s="16"/>
      <c r="C805" s="7" t="str">
        <f>IFERROR(VLOOKUP(B805,'Master data'!$A$1:$D$397,2,FALSE),"")</f>
        <v/>
      </c>
      <c r="D805" s="70" t="str">
        <f>VLOOKUP(B805,Sheet3!$B$2:$E$312,3,)</f>
        <v>#N/A</v>
      </c>
      <c r="E805" s="64"/>
      <c r="F805" s="16" t="str">
        <f>IFERROR(VLOOKUP(B805,'Master data'!$A$1:$D$397,3,FALSE),"")</f>
        <v/>
      </c>
      <c r="H805" s="65"/>
      <c r="I805" s="16"/>
      <c r="J805" s="16"/>
      <c r="K805" s="16" t="b">
        <v>0</v>
      </c>
      <c r="L805" s="16" t="b">
        <v>0</v>
      </c>
    </row>
    <row r="806">
      <c r="A806" s="9"/>
      <c r="B806" s="16"/>
      <c r="C806" s="7" t="str">
        <f>IFERROR(VLOOKUP(B806,'Master data'!$A$1:$D$397,2,FALSE),"")</f>
        <v/>
      </c>
      <c r="D806" s="70" t="str">
        <f>VLOOKUP(B806,Sheet3!$B$2:$E$312,3,)</f>
        <v>#N/A</v>
      </c>
      <c r="E806" s="64"/>
      <c r="F806" s="16" t="str">
        <f>IFERROR(VLOOKUP(B806,'Master data'!$A$1:$D$397,3,FALSE),"")</f>
        <v/>
      </c>
      <c r="H806" s="65"/>
      <c r="I806" s="16"/>
      <c r="J806" s="16"/>
      <c r="K806" s="16" t="b">
        <v>0</v>
      </c>
      <c r="L806" s="16" t="b">
        <v>0</v>
      </c>
    </row>
    <row r="807">
      <c r="A807" s="9"/>
      <c r="B807" s="16"/>
      <c r="C807" s="7" t="str">
        <f>IFERROR(VLOOKUP(B807,'Master data'!$A$1:$D$397,2,FALSE),"")</f>
        <v/>
      </c>
      <c r="D807" s="70" t="str">
        <f>VLOOKUP(B807,Sheet3!$B$2:$E$312,3,)</f>
        <v>#N/A</v>
      </c>
      <c r="E807" s="64"/>
      <c r="F807" s="16" t="str">
        <f>IFERROR(VLOOKUP(B807,'Master data'!$A$1:$D$397,3,FALSE),"")</f>
        <v/>
      </c>
      <c r="H807" s="65"/>
      <c r="I807" s="16"/>
      <c r="J807" s="16"/>
      <c r="K807" s="16" t="b">
        <v>0</v>
      </c>
      <c r="L807" s="16" t="b">
        <v>0</v>
      </c>
    </row>
    <row r="808">
      <c r="A808" s="9"/>
      <c r="B808" s="16"/>
      <c r="C808" s="7" t="str">
        <f>IFERROR(VLOOKUP(B808,'Master data'!$A$1:$D$397,2,FALSE),"")</f>
        <v/>
      </c>
      <c r="D808" s="70" t="str">
        <f>VLOOKUP(B808,Sheet3!$B$2:$E$312,3,)</f>
        <v>#N/A</v>
      </c>
      <c r="E808" s="64"/>
      <c r="F808" s="16" t="str">
        <f>IFERROR(VLOOKUP(B808,'Master data'!$A$1:$D$397,3,FALSE),"")</f>
        <v/>
      </c>
      <c r="H808" s="65"/>
      <c r="I808" s="16"/>
      <c r="J808" s="16"/>
      <c r="K808" s="16" t="b">
        <v>0</v>
      </c>
      <c r="L808" s="16" t="b">
        <v>0</v>
      </c>
    </row>
    <row r="809">
      <c r="A809" s="9"/>
      <c r="B809" s="16"/>
      <c r="C809" s="7" t="str">
        <f>IFERROR(VLOOKUP(B809,'Master data'!$A$1:$D$397,2,FALSE),"")</f>
        <v/>
      </c>
      <c r="D809" s="70" t="str">
        <f>VLOOKUP(B809,Sheet3!$B$2:$E$312,3,)</f>
        <v>#N/A</v>
      </c>
      <c r="E809" s="64"/>
      <c r="F809" s="16" t="str">
        <f>IFERROR(VLOOKUP(B809,'Master data'!$A$1:$D$397,3,FALSE),"")</f>
        <v/>
      </c>
      <c r="H809" s="65"/>
      <c r="I809" s="16"/>
      <c r="J809" s="16"/>
      <c r="K809" s="16" t="b">
        <v>0</v>
      </c>
      <c r="L809" s="16" t="b">
        <v>0</v>
      </c>
    </row>
    <row r="810">
      <c r="A810" s="9"/>
      <c r="B810" s="16"/>
      <c r="C810" s="7" t="str">
        <f>IFERROR(VLOOKUP(B810,'Master data'!$A$1:$D$397,2,FALSE),"")</f>
        <v/>
      </c>
      <c r="D810" s="70" t="str">
        <f>VLOOKUP(B810,Sheet3!$B$2:$E$312,3,)</f>
        <v>#N/A</v>
      </c>
      <c r="E810" s="64"/>
      <c r="F810" s="16" t="str">
        <f>IFERROR(VLOOKUP(B810,'Master data'!$A$1:$D$397,3,FALSE),"")</f>
        <v/>
      </c>
      <c r="H810" s="65"/>
      <c r="I810" s="16"/>
      <c r="J810" s="16"/>
      <c r="K810" s="16" t="b">
        <v>0</v>
      </c>
      <c r="L810" s="16" t="b">
        <v>0</v>
      </c>
    </row>
    <row r="811">
      <c r="A811" s="9"/>
      <c r="B811" s="16"/>
      <c r="C811" s="7" t="str">
        <f>IFERROR(VLOOKUP(B811,'Master data'!$A$1:$D$397,2,FALSE),"")</f>
        <v/>
      </c>
      <c r="D811" s="70" t="str">
        <f>VLOOKUP(B811,Sheet3!$B$2:$E$312,3,)</f>
        <v>#N/A</v>
      </c>
      <c r="E811" s="64"/>
      <c r="F811" s="16" t="str">
        <f>IFERROR(VLOOKUP(B811,'Master data'!$A$1:$D$397,3,FALSE),"")</f>
        <v/>
      </c>
      <c r="H811" s="65"/>
      <c r="I811" s="16"/>
      <c r="J811" s="16"/>
      <c r="K811" s="16" t="b">
        <v>0</v>
      </c>
      <c r="L811" s="16" t="b">
        <v>0</v>
      </c>
    </row>
    <row r="812">
      <c r="A812" s="9"/>
      <c r="B812" s="16"/>
      <c r="C812" s="7" t="str">
        <f>IFERROR(VLOOKUP(B812,'Master data'!$A$1:$D$397,2,FALSE),"")</f>
        <v/>
      </c>
      <c r="D812" s="70" t="str">
        <f>VLOOKUP(B812,Sheet3!$B$2:$E$312,3,)</f>
        <v>#N/A</v>
      </c>
      <c r="E812" s="64"/>
      <c r="F812" s="16" t="str">
        <f>IFERROR(VLOOKUP(B812,'Master data'!$A$1:$D$397,3,FALSE),"")</f>
        <v/>
      </c>
      <c r="H812" s="65"/>
      <c r="I812" s="16"/>
      <c r="J812" s="16"/>
      <c r="K812" s="16" t="b">
        <v>0</v>
      </c>
      <c r="L812" s="16" t="b">
        <v>0</v>
      </c>
    </row>
    <row r="813">
      <c r="A813" s="9"/>
      <c r="B813" s="16"/>
      <c r="C813" s="7" t="str">
        <f>IFERROR(VLOOKUP(B813,'Master data'!$A$1:$D$397,2,FALSE),"")</f>
        <v/>
      </c>
      <c r="D813" s="70" t="str">
        <f>VLOOKUP(B813,Sheet3!$B$2:$E$312,3,)</f>
        <v>#N/A</v>
      </c>
      <c r="E813" s="64"/>
      <c r="F813" s="16" t="str">
        <f>IFERROR(VLOOKUP(B813,'Master data'!$A$1:$D$397,3,FALSE),"")</f>
        <v/>
      </c>
      <c r="H813" s="65"/>
      <c r="I813" s="16"/>
      <c r="J813" s="16"/>
      <c r="K813" s="16" t="b">
        <v>0</v>
      </c>
      <c r="L813" s="16" t="b">
        <v>0</v>
      </c>
    </row>
    <row r="814">
      <c r="A814" s="9"/>
      <c r="B814" s="16"/>
      <c r="C814" s="7" t="str">
        <f>IFERROR(VLOOKUP(B814,'Master data'!$A$1:$D$397,2,FALSE),"")</f>
        <v/>
      </c>
      <c r="D814" s="70" t="str">
        <f>VLOOKUP(B814,Sheet3!$B$2:$E$312,3,)</f>
        <v>#N/A</v>
      </c>
      <c r="E814" s="64"/>
      <c r="F814" s="16" t="str">
        <f>IFERROR(VLOOKUP(B814,'Master data'!$A$1:$D$397,3,FALSE),"")</f>
        <v/>
      </c>
      <c r="H814" s="65"/>
      <c r="I814" s="16"/>
      <c r="J814" s="16"/>
      <c r="K814" s="16" t="b">
        <v>0</v>
      </c>
      <c r="L814" s="16" t="b">
        <v>0</v>
      </c>
    </row>
    <row r="815">
      <c r="A815" s="9"/>
      <c r="B815" s="16"/>
      <c r="C815" s="7" t="str">
        <f>IFERROR(VLOOKUP(B815,'Master data'!$A$1:$D$397,2,FALSE),"")</f>
        <v/>
      </c>
      <c r="D815" s="70" t="str">
        <f>VLOOKUP(B815,Sheet3!$B$2:$E$312,3,)</f>
        <v>#N/A</v>
      </c>
      <c r="E815" s="64"/>
      <c r="F815" s="16" t="str">
        <f>IFERROR(VLOOKUP(B815,'Master data'!$A$1:$D$397,3,FALSE),"")</f>
        <v/>
      </c>
      <c r="H815" s="65"/>
      <c r="I815" s="16"/>
      <c r="J815" s="16"/>
      <c r="K815" s="16" t="b">
        <v>0</v>
      </c>
      <c r="L815" s="16" t="b">
        <v>0</v>
      </c>
    </row>
    <row r="816">
      <c r="A816" s="9"/>
      <c r="B816" s="16"/>
      <c r="C816" s="7" t="str">
        <f>IFERROR(VLOOKUP(B816,'Master data'!$A$1:$D$397,2,FALSE),"")</f>
        <v/>
      </c>
      <c r="D816" s="70" t="str">
        <f>VLOOKUP(B816,Sheet3!$B$2:$E$312,3,)</f>
        <v>#N/A</v>
      </c>
      <c r="E816" s="64"/>
      <c r="F816" s="16" t="str">
        <f>IFERROR(VLOOKUP(B816,'Master data'!$A$1:$D$397,3,FALSE),"")</f>
        <v/>
      </c>
      <c r="H816" s="65"/>
      <c r="I816" s="16"/>
      <c r="J816" s="16"/>
      <c r="K816" s="16" t="b">
        <v>0</v>
      </c>
      <c r="L816" s="16" t="b">
        <v>0</v>
      </c>
    </row>
    <row r="817">
      <c r="A817" s="9"/>
      <c r="B817" s="16"/>
      <c r="C817" s="7" t="str">
        <f>IFERROR(VLOOKUP(B817,'Master data'!$A$1:$D$397,2,FALSE),"")</f>
        <v/>
      </c>
      <c r="D817" s="70" t="str">
        <f>VLOOKUP(B817,Sheet3!$B$2:$E$312,3,)</f>
        <v>#N/A</v>
      </c>
      <c r="E817" s="64"/>
      <c r="F817" s="16" t="str">
        <f>IFERROR(VLOOKUP(B817,'Master data'!$A$1:$D$397,3,FALSE),"")</f>
        <v/>
      </c>
      <c r="H817" s="65"/>
      <c r="I817" s="16"/>
      <c r="J817" s="16"/>
      <c r="K817" s="16" t="b">
        <v>0</v>
      </c>
      <c r="L817" s="16" t="b">
        <v>0</v>
      </c>
    </row>
    <row r="818">
      <c r="A818" s="9"/>
      <c r="B818" s="16"/>
      <c r="C818" s="7" t="str">
        <f>IFERROR(VLOOKUP(B818,'Master data'!$A$1:$D$397,2,FALSE),"")</f>
        <v/>
      </c>
      <c r="D818" s="70" t="str">
        <f>VLOOKUP(B818,Sheet3!$B$2:$E$312,3,)</f>
        <v>#N/A</v>
      </c>
      <c r="E818" s="64"/>
      <c r="F818" s="16" t="str">
        <f>IFERROR(VLOOKUP(B818,'Master data'!$A$1:$D$397,3,FALSE),"")</f>
        <v/>
      </c>
      <c r="H818" s="65"/>
      <c r="I818" s="16"/>
      <c r="J818" s="16"/>
      <c r="K818" s="16" t="b">
        <v>0</v>
      </c>
      <c r="L818" s="16" t="b">
        <v>0</v>
      </c>
    </row>
    <row r="819">
      <c r="A819" s="9"/>
      <c r="B819" s="16"/>
      <c r="C819" s="7" t="str">
        <f>IFERROR(VLOOKUP(B819,'Master data'!$A$1:$D$397,2,FALSE),"")</f>
        <v/>
      </c>
      <c r="D819" s="70" t="str">
        <f>VLOOKUP(B819,Sheet3!$B$2:$E$312,3,)</f>
        <v>#N/A</v>
      </c>
      <c r="E819" s="64"/>
      <c r="F819" s="16" t="str">
        <f>IFERROR(VLOOKUP(B819,'Master data'!$A$1:$D$397,3,FALSE),"")</f>
        <v/>
      </c>
      <c r="H819" s="65"/>
      <c r="I819" s="16"/>
      <c r="J819" s="16"/>
      <c r="K819" s="16" t="b">
        <v>0</v>
      </c>
      <c r="L819" s="16" t="b">
        <v>0</v>
      </c>
    </row>
    <row r="820">
      <c r="A820" s="9"/>
      <c r="B820" s="16"/>
      <c r="C820" s="7" t="str">
        <f>IFERROR(VLOOKUP(B820,'Master data'!$A$1:$D$397,2,FALSE),"")</f>
        <v/>
      </c>
      <c r="D820" s="70" t="str">
        <f>VLOOKUP(B820,Sheet3!$B$2:$E$312,3,)</f>
        <v>#N/A</v>
      </c>
      <c r="E820" s="64"/>
      <c r="F820" s="16" t="str">
        <f>IFERROR(VLOOKUP(B820,'Master data'!$A$1:$D$397,3,FALSE),"")</f>
        <v/>
      </c>
      <c r="H820" s="65"/>
      <c r="I820" s="16"/>
      <c r="J820" s="16"/>
      <c r="K820" s="16" t="b">
        <v>0</v>
      </c>
      <c r="L820" s="16" t="b">
        <v>0</v>
      </c>
    </row>
    <row r="821">
      <c r="A821" s="9"/>
      <c r="B821" s="16"/>
      <c r="C821" s="7" t="str">
        <f>IFERROR(VLOOKUP(B821,'Master data'!$A$1:$D$397,2,FALSE),"")</f>
        <v/>
      </c>
      <c r="D821" s="70" t="str">
        <f>VLOOKUP(B821,Sheet3!$B$2:$E$312,3,)</f>
        <v>#N/A</v>
      </c>
      <c r="E821" s="64"/>
      <c r="F821" s="16" t="str">
        <f>IFERROR(VLOOKUP(B821,'Master data'!$A$1:$D$397,3,FALSE),"")</f>
        <v/>
      </c>
      <c r="H821" s="65"/>
      <c r="I821" s="16"/>
      <c r="J821" s="16"/>
      <c r="K821" s="16" t="b">
        <v>0</v>
      </c>
      <c r="L821" s="16" t="b">
        <v>0</v>
      </c>
    </row>
    <row r="822">
      <c r="A822" s="9"/>
      <c r="B822" s="16"/>
      <c r="C822" s="7" t="str">
        <f>IFERROR(VLOOKUP(B822,'Master data'!$A$1:$D$397,2,FALSE),"")</f>
        <v/>
      </c>
      <c r="D822" s="70" t="str">
        <f>VLOOKUP(B822,Sheet3!$B$2:$E$312,3,)</f>
        <v>#N/A</v>
      </c>
      <c r="E822" s="64"/>
      <c r="F822" s="16" t="str">
        <f>IFERROR(VLOOKUP(B822,'Master data'!$A$1:$D$397,3,FALSE),"")</f>
        <v/>
      </c>
      <c r="H822" s="65"/>
      <c r="I822" s="16"/>
      <c r="J822" s="16"/>
      <c r="K822" s="16" t="b">
        <v>0</v>
      </c>
      <c r="L822" s="16" t="b">
        <v>0</v>
      </c>
    </row>
    <row r="823">
      <c r="A823" s="9"/>
      <c r="B823" s="16"/>
      <c r="C823" s="7" t="str">
        <f>IFERROR(VLOOKUP(B823,'Master data'!$A$1:$D$397,2,FALSE),"")</f>
        <v/>
      </c>
      <c r="D823" s="70" t="str">
        <f>VLOOKUP(B823,Sheet3!$B$2:$E$312,3,)</f>
        <v>#N/A</v>
      </c>
      <c r="E823" s="64"/>
      <c r="F823" s="16" t="str">
        <f>IFERROR(VLOOKUP(B823,'Master data'!$A$1:$D$397,3,FALSE),"")</f>
        <v/>
      </c>
      <c r="H823" s="65"/>
      <c r="I823" s="16"/>
      <c r="J823" s="16"/>
      <c r="K823" s="16" t="b">
        <v>0</v>
      </c>
      <c r="L823" s="16" t="b">
        <v>0</v>
      </c>
    </row>
    <row r="824">
      <c r="A824" s="9"/>
      <c r="B824" s="16"/>
      <c r="C824" s="7" t="str">
        <f>IFERROR(VLOOKUP(B824,'Master data'!$A$1:$D$397,2,FALSE),"")</f>
        <v/>
      </c>
      <c r="D824" s="70" t="str">
        <f>VLOOKUP(B824,Sheet3!$B$2:$E$312,3,)</f>
        <v>#N/A</v>
      </c>
      <c r="E824" s="64"/>
      <c r="F824" s="16" t="str">
        <f>IFERROR(VLOOKUP(B824,'Master data'!$A$1:$D$397,3,FALSE),"")</f>
        <v/>
      </c>
      <c r="H824" s="65"/>
      <c r="I824" s="16"/>
      <c r="J824" s="16"/>
      <c r="K824" s="16" t="b">
        <v>0</v>
      </c>
      <c r="L824" s="16" t="b">
        <v>0</v>
      </c>
    </row>
    <row r="825">
      <c r="A825" s="9"/>
      <c r="B825" s="16"/>
      <c r="C825" s="7" t="str">
        <f>IFERROR(VLOOKUP(B825,'Master data'!$A$1:$D$397,2,FALSE),"")</f>
        <v/>
      </c>
      <c r="D825" s="70" t="str">
        <f>VLOOKUP(B825,Sheet3!$B$2:$E$312,3,)</f>
        <v>#N/A</v>
      </c>
      <c r="E825" s="64"/>
      <c r="F825" s="16" t="str">
        <f>IFERROR(VLOOKUP(B825,'Master data'!$A$1:$D$397,3,FALSE),"")</f>
        <v/>
      </c>
      <c r="H825" s="65"/>
      <c r="I825" s="16"/>
      <c r="J825" s="16"/>
      <c r="K825" s="16" t="b">
        <v>0</v>
      </c>
      <c r="L825" s="16" t="b">
        <v>0</v>
      </c>
    </row>
    <row r="826">
      <c r="A826" s="9"/>
      <c r="B826" s="16"/>
      <c r="C826" s="7" t="str">
        <f>IFERROR(VLOOKUP(B826,'Master data'!$A$1:$D$397,2,FALSE),"")</f>
        <v/>
      </c>
      <c r="D826" s="70" t="str">
        <f>VLOOKUP(B826,Sheet3!$B$2:$E$312,3,)</f>
        <v>#N/A</v>
      </c>
      <c r="E826" s="64"/>
      <c r="F826" s="16" t="str">
        <f>IFERROR(VLOOKUP(B826,'Master data'!$A$1:$D$397,3,FALSE),"")</f>
        <v/>
      </c>
      <c r="H826" s="65"/>
      <c r="I826" s="16"/>
      <c r="J826" s="16"/>
      <c r="K826" s="16" t="b">
        <v>0</v>
      </c>
      <c r="L826" s="16" t="b">
        <v>0</v>
      </c>
    </row>
    <row r="827">
      <c r="A827" s="9"/>
      <c r="B827" s="16"/>
      <c r="C827" s="7" t="str">
        <f>IFERROR(VLOOKUP(B827,'Master data'!$A$1:$D$397,2,FALSE),"")</f>
        <v/>
      </c>
      <c r="D827" s="70" t="str">
        <f>VLOOKUP(B827,Sheet3!$B$2:$E$312,3,)</f>
        <v>#N/A</v>
      </c>
      <c r="E827" s="64"/>
      <c r="F827" s="16" t="str">
        <f>IFERROR(VLOOKUP(B827,'Master data'!$A$1:$D$397,3,FALSE),"")</f>
        <v/>
      </c>
      <c r="H827" s="65"/>
      <c r="I827" s="16"/>
      <c r="J827" s="16"/>
      <c r="K827" s="16" t="b">
        <v>0</v>
      </c>
      <c r="L827" s="16" t="b">
        <v>0</v>
      </c>
    </row>
    <row r="828">
      <c r="A828" s="9"/>
      <c r="B828" s="16"/>
      <c r="C828" s="7" t="str">
        <f>IFERROR(VLOOKUP(B828,'Master data'!$A$1:$D$397,2,FALSE),"")</f>
        <v/>
      </c>
      <c r="D828" s="70" t="str">
        <f>VLOOKUP(B828,Sheet3!$B$2:$E$312,3,)</f>
        <v>#N/A</v>
      </c>
      <c r="E828" s="64"/>
      <c r="F828" s="16" t="str">
        <f>IFERROR(VLOOKUP(B828,'Master data'!$A$1:$D$397,3,FALSE),"")</f>
        <v/>
      </c>
      <c r="H828" s="65"/>
      <c r="I828" s="16"/>
      <c r="J828" s="16"/>
      <c r="K828" s="16" t="b">
        <v>0</v>
      </c>
      <c r="L828" s="16" t="b">
        <v>0</v>
      </c>
    </row>
    <row r="829">
      <c r="A829" s="9"/>
      <c r="B829" s="16"/>
      <c r="C829" s="7" t="str">
        <f>IFERROR(VLOOKUP(B829,'Master data'!$A$1:$D$397,2,FALSE),"")</f>
        <v/>
      </c>
      <c r="D829" s="70" t="str">
        <f>VLOOKUP(B829,Sheet3!$B$2:$E$312,3,)</f>
        <v>#N/A</v>
      </c>
      <c r="E829" s="64"/>
      <c r="F829" s="16" t="str">
        <f>IFERROR(VLOOKUP(B829,'Master data'!$A$1:$D$397,3,FALSE),"")</f>
        <v/>
      </c>
      <c r="H829" s="65"/>
      <c r="I829" s="16"/>
      <c r="J829" s="16"/>
      <c r="K829" s="16" t="b">
        <v>0</v>
      </c>
      <c r="L829" s="16" t="b">
        <v>0</v>
      </c>
    </row>
    <row r="830">
      <c r="A830" s="9"/>
      <c r="B830" s="16"/>
      <c r="C830" s="7" t="str">
        <f>IFERROR(VLOOKUP(B830,'Master data'!$A$1:$D$397,2,FALSE),"")</f>
        <v/>
      </c>
      <c r="D830" s="70" t="str">
        <f>VLOOKUP(B830,Sheet3!$B$2:$E$312,3,)</f>
        <v>#N/A</v>
      </c>
      <c r="E830" s="64"/>
      <c r="F830" s="16" t="str">
        <f>IFERROR(VLOOKUP(B830,'Master data'!$A$1:$D$397,3,FALSE),"")</f>
        <v/>
      </c>
      <c r="H830" s="65"/>
      <c r="I830" s="16"/>
      <c r="J830" s="16"/>
      <c r="K830" s="16" t="b">
        <v>0</v>
      </c>
      <c r="L830" s="16" t="b">
        <v>0</v>
      </c>
    </row>
    <row r="831">
      <c r="A831" s="9"/>
      <c r="B831" s="16"/>
      <c r="C831" s="7" t="str">
        <f>IFERROR(VLOOKUP(B831,'Master data'!$A$1:$D$397,2,FALSE),"")</f>
        <v/>
      </c>
      <c r="D831" s="70" t="str">
        <f>VLOOKUP(B831,Sheet3!$B$2:$E$312,3,)</f>
        <v>#N/A</v>
      </c>
      <c r="E831" s="64"/>
      <c r="F831" s="16" t="str">
        <f>IFERROR(VLOOKUP(B831,'Master data'!$A$1:$D$397,3,FALSE),"")</f>
        <v/>
      </c>
      <c r="H831" s="65"/>
      <c r="I831" s="16"/>
      <c r="J831" s="16"/>
      <c r="K831" s="16" t="b">
        <v>0</v>
      </c>
      <c r="L831" s="16" t="b">
        <v>0</v>
      </c>
    </row>
    <row r="832">
      <c r="A832" s="9"/>
      <c r="B832" s="16"/>
      <c r="C832" s="7" t="str">
        <f>IFERROR(VLOOKUP(B832,'Master data'!$A$1:$D$397,2,FALSE),"")</f>
        <v/>
      </c>
      <c r="D832" s="70" t="str">
        <f>VLOOKUP(B832,Sheet3!$B$2:$E$312,3,)</f>
        <v>#N/A</v>
      </c>
      <c r="E832" s="64"/>
      <c r="F832" s="16" t="str">
        <f>IFERROR(VLOOKUP(B832,'Master data'!$A$1:$D$397,3,FALSE),"")</f>
        <v/>
      </c>
      <c r="H832" s="65"/>
      <c r="I832" s="16"/>
      <c r="J832" s="16"/>
      <c r="K832" s="16" t="b">
        <v>0</v>
      </c>
      <c r="L832" s="16" t="b">
        <v>0</v>
      </c>
    </row>
    <row r="833">
      <c r="A833" s="9"/>
      <c r="B833" s="16"/>
      <c r="C833" s="7" t="str">
        <f>IFERROR(VLOOKUP(B833,'Master data'!$A$1:$D$397,2,FALSE),"")</f>
        <v/>
      </c>
      <c r="D833" s="70" t="str">
        <f>VLOOKUP(B833,Sheet3!$B$2:$E$312,3,)</f>
        <v>#N/A</v>
      </c>
      <c r="E833" s="64"/>
      <c r="F833" s="16" t="str">
        <f>IFERROR(VLOOKUP(B833,'Master data'!$A$1:$D$397,3,FALSE),"")</f>
        <v/>
      </c>
      <c r="H833" s="65"/>
      <c r="I833" s="16"/>
      <c r="J833" s="16"/>
      <c r="K833" s="16" t="b">
        <v>0</v>
      </c>
      <c r="L833" s="16" t="b">
        <v>0</v>
      </c>
    </row>
    <row r="834">
      <c r="A834" s="9"/>
      <c r="B834" s="16"/>
      <c r="C834" s="7" t="str">
        <f>IFERROR(VLOOKUP(B834,'Master data'!$A$1:$D$397,2,FALSE),"")</f>
        <v/>
      </c>
      <c r="D834" s="70" t="str">
        <f>VLOOKUP(B834,Sheet3!$B$2:$E$312,3,)</f>
        <v>#N/A</v>
      </c>
      <c r="E834" s="64"/>
      <c r="F834" s="16" t="str">
        <f>IFERROR(VLOOKUP(B834,'Master data'!$A$1:$D$397,3,FALSE),"")</f>
        <v/>
      </c>
      <c r="H834" s="65"/>
      <c r="I834" s="16"/>
      <c r="J834" s="16"/>
      <c r="K834" s="16" t="b">
        <v>0</v>
      </c>
      <c r="L834" s="16" t="b">
        <v>0</v>
      </c>
    </row>
    <row r="835">
      <c r="A835" s="9"/>
      <c r="B835" s="16"/>
      <c r="C835" s="7" t="str">
        <f>IFERROR(VLOOKUP(B835,'Master data'!$A$1:$D$397,2,FALSE),"")</f>
        <v/>
      </c>
      <c r="D835" s="70" t="str">
        <f>VLOOKUP(B835,Sheet3!$B$2:$E$312,3,)</f>
        <v>#N/A</v>
      </c>
      <c r="E835" s="64"/>
      <c r="F835" s="16" t="str">
        <f>IFERROR(VLOOKUP(B835,'Master data'!$A$1:$D$397,3,FALSE),"")</f>
        <v/>
      </c>
      <c r="H835" s="65"/>
      <c r="I835" s="16"/>
      <c r="J835" s="16"/>
      <c r="K835" s="16" t="b">
        <v>0</v>
      </c>
      <c r="L835" s="16" t="b">
        <v>0</v>
      </c>
    </row>
    <row r="836">
      <c r="A836" s="9"/>
      <c r="B836" s="16"/>
      <c r="C836" s="7" t="str">
        <f>IFERROR(VLOOKUP(B836,'Master data'!$A$1:$D$397,2,FALSE),"")</f>
        <v/>
      </c>
      <c r="D836" s="70" t="str">
        <f>VLOOKUP(B836,Sheet3!$B$2:$E$312,3,)</f>
        <v>#N/A</v>
      </c>
      <c r="E836" s="64"/>
      <c r="F836" s="16" t="str">
        <f>IFERROR(VLOOKUP(B836,'Master data'!$A$1:$D$397,3,FALSE),"")</f>
        <v/>
      </c>
      <c r="H836" s="65"/>
      <c r="I836" s="16"/>
      <c r="J836" s="16"/>
      <c r="K836" s="16" t="b">
        <v>0</v>
      </c>
      <c r="L836" s="16" t="b">
        <v>0</v>
      </c>
    </row>
    <row r="837">
      <c r="A837" s="9"/>
      <c r="B837" s="16"/>
      <c r="C837" s="7" t="str">
        <f>IFERROR(VLOOKUP(B837,'Master data'!$A$1:$D$397,2,FALSE),"")</f>
        <v/>
      </c>
      <c r="D837" s="70" t="str">
        <f>VLOOKUP(B837,Sheet3!$B$2:$E$312,3,)</f>
        <v>#N/A</v>
      </c>
      <c r="E837" s="64"/>
      <c r="F837" s="16" t="str">
        <f>IFERROR(VLOOKUP(B837,'Master data'!$A$1:$D$397,3,FALSE),"")</f>
        <v/>
      </c>
      <c r="H837" s="65"/>
      <c r="I837" s="16"/>
      <c r="J837" s="16"/>
      <c r="K837" s="16" t="b">
        <v>0</v>
      </c>
      <c r="L837" s="16" t="b">
        <v>0</v>
      </c>
    </row>
    <row r="838">
      <c r="A838" s="9"/>
      <c r="B838" s="16"/>
      <c r="C838" s="7" t="str">
        <f>IFERROR(VLOOKUP(B838,'Master data'!$A$1:$D$397,2,FALSE),"")</f>
        <v/>
      </c>
      <c r="D838" s="70" t="str">
        <f>VLOOKUP(B838,Sheet3!$B$2:$E$312,3,)</f>
        <v>#N/A</v>
      </c>
      <c r="E838" s="64"/>
      <c r="F838" s="16" t="str">
        <f>IFERROR(VLOOKUP(B838,'Master data'!$A$1:$D$397,3,FALSE),"")</f>
        <v/>
      </c>
      <c r="H838" s="65"/>
      <c r="I838" s="16"/>
      <c r="J838" s="16"/>
      <c r="K838" s="16" t="b">
        <v>0</v>
      </c>
      <c r="L838" s="16" t="b">
        <v>0</v>
      </c>
    </row>
    <row r="839">
      <c r="A839" s="9"/>
      <c r="B839" s="16"/>
      <c r="C839" s="7" t="str">
        <f>IFERROR(VLOOKUP(B839,'Master data'!$A$1:$D$397,2,FALSE),"")</f>
        <v/>
      </c>
      <c r="D839" s="70" t="str">
        <f>VLOOKUP(B839,Sheet3!$B$2:$E$312,3,)</f>
        <v>#N/A</v>
      </c>
      <c r="E839" s="64"/>
      <c r="F839" s="16" t="str">
        <f>IFERROR(VLOOKUP(B839,'Master data'!$A$1:$D$397,3,FALSE),"")</f>
        <v/>
      </c>
      <c r="H839" s="65"/>
      <c r="I839" s="16"/>
      <c r="J839" s="16"/>
      <c r="K839" s="16" t="b">
        <v>0</v>
      </c>
      <c r="L839" s="16" t="b">
        <v>0</v>
      </c>
    </row>
    <row r="840">
      <c r="A840" s="9"/>
      <c r="B840" s="16"/>
      <c r="C840" s="7" t="str">
        <f>IFERROR(VLOOKUP(B840,'Master data'!$A$1:$D$397,2,FALSE),"")</f>
        <v/>
      </c>
      <c r="D840" s="70" t="str">
        <f>VLOOKUP(B840,Sheet3!$B$2:$E$312,3,)</f>
        <v>#N/A</v>
      </c>
      <c r="E840" s="64"/>
      <c r="F840" s="16" t="str">
        <f>IFERROR(VLOOKUP(B840,'Master data'!$A$1:$D$397,3,FALSE),"")</f>
        <v/>
      </c>
      <c r="H840" s="65"/>
      <c r="I840" s="16"/>
      <c r="J840" s="16"/>
      <c r="K840" s="16" t="b">
        <v>0</v>
      </c>
      <c r="L840" s="16" t="b">
        <v>0</v>
      </c>
    </row>
    <row r="841">
      <c r="A841" s="9"/>
      <c r="B841" s="16"/>
      <c r="C841" s="7" t="str">
        <f>IFERROR(VLOOKUP(B841,'Master data'!$A$1:$D$397,2,FALSE),"")</f>
        <v/>
      </c>
      <c r="D841" s="70" t="str">
        <f>VLOOKUP(B841,Sheet3!$B$2:$E$312,3,)</f>
        <v>#N/A</v>
      </c>
      <c r="E841" s="64"/>
      <c r="F841" s="16" t="str">
        <f>IFERROR(VLOOKUP(B841,'Master data'!$A$1:$D$397,3,FALSE),"")</f>
        <v/>
      </c>
      <c r="H841" s="65"/>
      <c r="I841" s="16"/>
      <c r="J841" s="16"/>
      <c r="K841" s="16" t="b">
        <v>0</v>
      </c>
      <c r="L841" s="16" t="b">
        <v>0</v>
      </c>
    </row>
    <row r="842">
      <c r="A842" s="9"/>
      <c r="B842" s="16"/>
      <c r="C842" s="7" t="str">
        <f>IFERROR(VLOOKUP(B842,'Master data'!$A$1:$D$397,2,FALSE),"")</f>
        <v/>
      </c>
      <c r="D842" s="70" t="str">
        <f>VLOOKUP(B842,Sheet3!$B$2:$E$312,3,)</f>
        <v>#N/A</v>
      </c>
      <c r="E842" s="64"/>
      <c r="F842" s="16" t="str">
        <f>IFERROR(VLOOKUP(B842,'Master data'!$A$1:$D$397,3,FALSE),"")</f>
        <v/>
      </c>
      <c r="H842" s="65"/>
      <c r="I842" s="16"/>
      <c r="J842" s="16"/>
      <c r="K842" s="16" t="b">
        <v>0</v>
      </c>
      <c r="L842" s="16" t="b">
        <v>0</v>
      </c>
    </row>
    <row r="843">
      <c r="A843" s="9"/>
      <c r="B843" s="16"/>
      <c r="C843" s="7" t="str">
        <f>IFERROR(VLOOKUP(B843,'Master data'!$A$1:$D$397,2,FALSE),"")</f>
        <v/>
      </c>
      <c r="D843" s="70" t="str">
        <f>VLOOKUP(B843,Sheet3!$B$2:$E$312,3,)</f>
        <v>#N/A</v>
      </c>
      <c r="E843" s="64"/>
      <c r="F843" s="16" t="str">
        <f>IFERROR(VLOOKUP(B843,'Master data'!$A$1:$D$397,3,FALSE),"")</f>
        <v/>
      </c>
      <c r="H843" s="65"/>
      <c r="I843" s="16"/>
      <c r="J843" s="16"/>
      <c r="K843" s="16" t="b">
        <v>0</v>
      </c>
      <c r="L843" s="16" t="b">
        <v>0</v>
      </c>
    </row>
    <row r="844">
      <c r="A844" s="9"/>
      <c r="B844" s="16"/>
      <c r="C844" s="7" t="str">
        <f>IFERROR(VLOOKUP(B844,'Master data'!$A$1:$D$397,2,FALSE),"")</f>
        <v/>
      </c>
      <c r="D844" s="70" t="str">
        <f>VLOOKUP(B844,Sheet3!$B$2:$E$312,3,)</f>
        <v>#N/A</v>
      </c>
      <c r="E844" s="64"/>
      <c r="F844" s="16" t="str">
        <f>IFERROR(VLOOKUP(B844,'Master data'!$A$1:$D$397,3,FALSE),"")</f>
        <v/>
      </c>
      <c r="H844" s="65"/>
      <c r="I844" s="16"/>
      <c r="J844" s="16"/>
      <c r="K844" s="16" t="b">
        <v>0</v>
      </c>
      <c r="L844" s="16" t="b">
        <v>0</v>
      </c>
    </row>
    <row r="845">
      <c r="A845" s="9"/>
      <c r="B845" s="16"/>
      <c r="C845" s="7" t="str">
        <f>IFERROR(VLOOKUP(B845,'Master data'!$A$1:$D$397,2,FALSE),"")</f>
        <v/>
      </c>
      <c r="D845" s="70" t="str">
        <f>VLOOKUP(B845,Sheet3!$B$2:$E$312,3,)</f>
        <v>#N/A</v>
      </c>
      <c r="E845" s="64"/>
      <c r="F845" s="16" t="str">
        <f>IFERROR(VLOOKUP(B845,'Master data'!$A$1:$D$397,3,FALSE),"")</f>
        <v/>
      </c>
      <c r="H845" s="65"/>
      <c r="I845" s="16"/>
      <c r="J845" s="16"/>
      <c r="K845" s="16" t="b">
        <v>0</v>
      </c>
      <c r="L845" s="16" t="b">
        <v>0</v>
      </c>
    </row>
    <row r="846">
      <c r="A846" s="9"/>
      <c r="B846" s="16"/>
      <c r="C846" s="7" t="str">
        <f>IFERROR(VLOOKUP(B846,'Master data'!$A$1:$D$397,2,FALSE),"")</f>
        <v/>
      </c>
      <c r="D846" s="70" t="str">
        <f>VLOOKUP(B846,Sheet3!$B$2:$E$312,3,)</f>
        <v>#N/A</v>
      </c>
      <c r="E846" s="64"/>
      <c r="F846" s="16" t="str">
        <f>IFERROR(VLOOKUP(B846,'Master data'!$A$1:$D$397,3,FALSE),"")</f>
        <v/>
      </c>
      <c r="H846" s="65"/>
      <c r="I846" s="16"/>
      <c r="J846" s="16"/>
      <c r="K846" s="16" t="b">
        <v>0</v>
      </c>
      <c r="L846" s="16" t="b">
        <v>0</v>
      </c>
    </row>
    <row r="847">
      <c r="A847" s="9"/>
      <c r="B847" s="16"/>
      <c r="C847" s="7" t="str">
        <f>IFERROR(VLOOKUP(B847,'Master data'!$A$1:$D$397,2,FALSE),"")</f>
        <v/>
      </c>
      <c r="D847" s="70" t="str">
        <f>VLOOKUP(B847,Sheet3!$B$2:$E$312,3,)</f>
        <v>#N/A</v>
      </c>
      <c r="E847" s="64"/>
      <c r="F847" s="16" t="str">
        <f>IFERROR(VLOOKUP(B847,'Master data'!$A$1:$D$397,3,FALSE),"")</f>
        <v/>
      </c>
      <c r="H847" s="65"/>
      <c r="I847" s="16"/>
      <c r="J847" s="16"/>
      <c r="K847" s="16" t="b">
        <v>0</v>
      </c>
      <c r="L847" s="16" t="b">
        <v>0</v>
      </c>
    </row>
    <row r="848">
      <c r="A848" s="9"/>
      <c r="B848" s="16"/>
      <c r="C848" s="7" t="str">
        <f>IFERROR(VLOOKUP(B848,'Master data'!$A$1:$D$397,2,FALSE),"")</f>
        <v/>
      </c>
      <c r="D848" s="70" t="str">
        <f>VLOOKUP(B848,Sheet3!$B$2:$E$312,3,)</f>
        <v>#N/A</v>
      </c>
      <c r="E848" s="64"/>
      <c r="F848" s="16" t="str">
        <f>IFERROR(VLOOKUP(B848,'Master data'!$A$1:$D$397,3,FALSE),"")</f>
        <v/>
      </c>
      <c r="H848" s="65"/>
      <c r="I848" s="16"/>
      <c r="J848" s="16"/>
      <c r="K848" s="16" t="b">
        <v>0</v>
      </c>
      <c r="L848" s="16" t="b">
        <v>0</v>
      </c>
    </row>
    <row r="849">
      <c r="A849" s="9"/>
      <c r="B849" s="16"/>
      <c r="C849" s="7" t="str">
        <f>IFERROR(VLOOKUP(B849,'Master data'!$A$1:$D$397,2,FALSE),"")</f>
        <v/>
      </c>
      <c r="D849" s="70" t="str">
        <f>VLOOKUP(B849,Sheet3!$B$2:$E$312,3,)</f>
        <v>#N/A</v>
      </c>
      <c r="E849" s="64"/>
      <c r="F849" s="16" t="str">
        <f>IFERROR(VLOOKUP(B849,'Master data'!$A$1:$D$397,3,FALSE),"")</f>
        <v/>
      </c>
      <c r="H849" s="65"/>
      <c r="I849" s="16"/>
      <c r="J849" s="16"/>
      <c r="K849" s="16" t="b">
        <v>0</v>
      </c>
      <c r="L849" s="16" t="b">
        <v>0</v>
      </c>
    </row>
    <row r="850">
      <c r="A850" s="9"/>
      <c r="B850" s="16"/>
      <c r="C850" s="7" t="str">
        <f>IFERROR(VLOOKUP(B850,'Master data'!$A$1:$D$397,2,FALSE),"")</f>
        <v/>
      </c>
      <c r="D850" s="70" t="str">
        <f>VLOOKUP(B850,Sheet3!$B$2:$E$312,3,)</f>
        <v>#N/A</v>
      </c>
      <c r="E850" s="64"/>
      <c r="F850" s="16" t="str">
        <f>IFERROR(VLOOKUP(B850,'Master data'!$A$1:$D$397,3,FALSE),"")</f>
        <v/>
      </c>
      <c r="H850" s="65"/>
      <c r="I850" s="16"/>
      <c r="J850" s="16"/>
      <c r="K850" s="16" t="b">
        <v>0</v>
      </c>
      <c r="L850" s="16" t="b">
        <v>0</v>
      </c>
    </row>
    <row r="851">
      <c r="A851" s="9"/>
      <c r="B851" s="16"/>
      <c r="C851" s="7" t="str">
        <f>IFERROR(VLOOKUP(B851,'Master data'!$A$1:$D$397,2,FALSE),"")</f>
        <v/>
      </c>
      <c r="D851" s="70" t="str">
        <f>VLOOKUP(B851,Sheet3!$B$2:$E$312,3,)</f>
        <v>#N/A</v>
      </c>
      <c r="E851" s="64"/>
      <c r="F851" s="16" t="str">
        <f>IFERROR(VLOOKUP(B851,'Master data'!$A$1:$D$397,3,FALSE),"")</f>
        <v/>
      </c>
      <c r="H851" s="65"/>
      <c r="I851" s="16"/>
      <c r="J851" s="16"/>
      <c r="K851" s="16" t="b">
        <v>0</v>
      </c>
      <c r="L851" s="16" t="b">
        <v>0</v>
      </c>
    </row>
    <row r="852">
      <c r="A852" s="9"/>
      <c r="B852" s="16"/>
      <c r="C852" s="7" t="str">
        <f>IFERROR(VLOOKUP(B852,'Master data'!$A$1:$D$397,2,FALSE),"")</f>
        <v/>
      </c>
      <c r="D852" s="70" t="str">
        <f>VLOOKUP(B852,Sheet3!$B$2:$E$312,3,)</f>
        <v>#N/A</v>
      </c>
      <c r="E852" s="64"/>
      <c r="F852" s="16" t="str">
        <f>IFERROR(VLOOKUP(B852,'Master data'!$A$1:$D$397,3,FALSE),"")</f>
        <v/>
      </c>
      <c r="H852" s="65"/>
      <c r="I852" s="16"/>
      <c r="J852" s="16"/>
      <c r="K852" s="16" t="b">
        <v>0</v>
      </c>
      <c r="L852" s="16" t="b">
        <v>0</v>
      </c>
    </row>
    <row r="853">
      <c r="A853" s="9"/>
      <c r="B853" s="16"/>
      <c r="C853" s="7" t="str">
        <f>IFERROR(VLOOKUP(B853,'Master data'!$A$1:$D$397,2,FALSE),"")</f>
        <v/>
      </c>
      <c r="D853" s="70" t="str">
        <f>VLOOKUP(B853,Sheet3!$B$2:$E$312,3,)</f>
        <v>#N/A</v>
      </c>
      <c r="E853" s="64"/>
      <c r="F853" s="16" t="str">
        <f>IFERROR(VLOOKUP(B853,'Master data'!$A$1:$D$397,3,FALSE),"")</f>
        <v/>
      </c>
      <c r="H853" s="65"/>
      <c r="I853" s="16"/>
      <c r="J853" s="16"/>
      <c r="K853" s="16" t="b">
        <v>0</v>
      </c>
      <c r="L853" s="16" t="b">
        <v>0</v>
      </c>
    </row>
    <row r="854">
      <c r="A854" s="9"/>
      <c r="B854" s="16"/>
      <c r="C854" s="7" t="str">
        <f>IFERROR(VLOOKUP(B854,'Master data'!$A$1:$D$397,2,FALSE),"")</f>
        <v/>
      </c>
      <c r="D854" s="70" t="str">
        <f>VLOOKUP(B854,Sheet3!$B$2:$E$312,3,)</f>
        <v>#N/A</v>
      </c>
      <c r="E854" s="64"/>
      <c r="F854" s="16" t="str">
        <f>IFERROR(VLOOKUP(B854,'Master data'!$A$1:$D$397,3,FALSE),"")</f>
        <v/>
      </c>
      <c r="H854" s="65"/>
      <c r="I854" s="16"/>
      <c r="J854" s="16"/>
      <c r="K854" s="16" t="b">
        <v>0</v>
      </c>
      <c r="L854" s="16" t="b">
        <v>0</v>
      </c>
    </row>
    <row r="855">
      <c r="A855" s="9"/>
      <c r="B855" s="16"/>
      <c r="C855" s="7" t="str">
        <f>IFERROR(VLOOKUP(B855,'Master data'!$A$1:$D$397,2,FALSE),"")</f>
        <v/>
      </c>
      <c r="D855" s="70" t="str">
        <f>VLOOKUP(B855,Sheet3!$B$2:$E$312,3,)</f>
        <v>#N/A</v>
      </c>
      <c r="E855" s="64"/>
      <c r="F855" s="16" t="str">
        <f>IFERROR(VLOOKUP(B855,'Master data'!$A$1:$D$397,3,FALSE),"")</f>
        <v/>
      </c>
      <c r="H855" s="65"/>
      <c r="I855" s="16"/>
      <c r="J855" s="16"/>
      <c r="K855" s="16" t="b">
        <v>0</v>
      </c>
      <c r="L855" s="16" t="b">
        <v>0</v>
      </c>
    </row>
    <row r="856">
      <c r="A856" s="9"/>
      <c r="B856" s="16"/>
      <c r="C856" s="7" t="str">
        <f>IFERROR(VLOOKUP(B856,'Master data'!$A$1:$D$397,2,FALSE),"")</f>
        <v/>
      </c>
      <c r="D856" s="70" t="str">
        <f>VLOOKUP(B856,Sheet3!$B$2:$E$312,3,)</f>
        <v>#N/A</v>
      </c>
      <c r="E856" s="64"/>
      <c r="F856" s="16" t="str">
        <f>IFERROR(VLOOKUP(B856,'Master data'!$A$1:$D$397,3,FALSE),"")</f>
        <v/>
      </c>
      <c r="H856" s="65"/>
      <c r="I856" s="16"/>
      <c r="J856" s="16"/>
      <c r="K856" s="16" t="b">
        <v>0</v>
      </c>
      <c r="L856" s="16" t="b">
        <v>0</v>
      </c>
    </row>
    <row r="857">
      <c r="A857" s="9"/>
      <c r="B857" s="16"/>
      <c r="C857" s="7" t="str">
        <f>IFERROR(VLOOKUP(B857,'Master data'!$A$1:$D$397,2,FALSE),"")</f>
        <v/>
      </c>
      <c r="D857" s="70" t="str">
        <f>VLOOKUP(B857,Sheet3!$B$2:$E$312,3,)</f>
        <v>#N/A</v>
      </c>
      <c r="E857" s="64"/>
      <c r="F857" s="16" t="str">
        <f>IFERROR(VLOOKUP(B857,'Master data'!$A$1:$D$397,3,FALSE),"")</f>
        <v/>
      </c>
      <c r="H857" s="65"/>
      <c r="I857" s="16"/>
      <c r="J857" s="16"/>
      <c r="K857" s="16" t="b">
        <v>0</v>
      </c>
      <c r="L857" s="16" t="b">
        <v>0</v>
      </c>
    </row>
    <row r="858">
      <c r="A858" s="9"/>
      <c r="B858" s="16"/>
      <c r="C858" s="7" t="str">
        <f>IFERROR(VLOOKUP(B858,'Master data'!$A$1:$D$397,2,FALSE),"")</f>
        <v/>
      </c>
      <c r="D858" s="70" t="str">
        <f>VLOOKUP(B858,Sheet3!$B$2:$E$312,3,)</f>
        <v>#N/A</v>
      </c>
      <c r="E858" s="64"/>
      <c r="F858" s="16" t="str">
        <f>IFERROR(VLOOKUP(B858,'Master data'!$A$1:$D$397,3,FALSE),"")</f>
        <v/>
      </c>
      <c r="H858" s="65"/>
      <c r="I858" s="16"/>
      <c r="J858" s="16"/>
      <c r="K858" s="16" t="b">
        <v>0</v>
      </c>
      <c r="L858" s="16" t="b">
        <v>0</v>
      </c>
    </row>
    <row r="859">
      <c r="A859" s="9"/>
      <c r="B859" s="16"/>
      <c r="C859" s="7" t="str">
        <f>IFERROR(VLOOKUP(B859,'Master data'!$A$1:$D$397,2,FALSE),"")</f>
        <v/>
      </c>
      <c r="D859" s="70" t="str">
        <f>VLOOKUP(B859,Sheet3!$B$2:$E$312,3,)</f>
        <v>#N/A</v>
      </c>
      <c r="E859" s="64"/>
      <c r="F859" s="16" t="str">
        <f>IFERROR(VLOOKUP(B859,'Master data'!$A$1:$D$397,3,FALSE),"")</f>
        <v/>
      </c>
      <c r="H859" s="65"/>
      <c r="I859" s="16"/>
      <c r="J859" s="16"/>
      <c r="K859" s="16" t="b">
        <v>0</v>
      </c>
      <c r="L859" s="16" t="b">
        <v>0</v>
      </c>
    </row>
    <row r="860">
      <c r="A860" s="9"/>
      <c r="B860" s="16"/>
      <c r="C860" s="7" t="str">
        <f>IFERROR(VLOOKUP(B860,'Master data'!$A$1:$D$397,2,FALSE),"")</f>
        <v/>
      </c>
      <c r="D860" s="70" t="str">
        <f>VLOOKUP(B860,Sheet3!$B$2:$E$312,3,)</f>
        <v>#N/A</v>
      </c>
      <c r="E860" s="64"/>
      <c r="F860" s="16" t="str">
        <f>IFERROR(VLOOKUP(B860,'Master data'!$A$1:$D$397,3,FALSE),"")</f>
        <v/>
      </c>
      <c r="H860" s="65"/>
      <c r="I860" s="16"/>
      <c r="J860" s="16"/>
      <c r="K860" s="16" t="b">
        <v>0</v>
      </c>
      <c r="L860" s="16" t="b">
        <v>0</v>
      </c>
    </row>
    <row r="861">
      <c r="A861" s="9"/>
      <c r="B861" s="16"/>
      <c r="C861" s="7" t="str">
        <f>IFERROR(VLOOKUP(B861,'Master data'!$A$1:$D$397,2,FALSE),"")</f>
        <v/>
      </c>
      <c r="D861" s="70" t="str">
        <f>VLOOKUP(B861,Sheet3!$B$2:$E$312,3,)</f>
        <v>#N/A</v>
      </c>
      <c r="E861" s="64"/>
      <c r="F861" s="16" t="str">
        <f>IFERROR(VLOOKUP(B861,'Master data'!$A$1:$D$397,3,FALSE),"")</f>
        <v/>
      </c>
      <c r="H861" s="65"/>
      <c r="I861" s="16"/>
      <c r="J861" s="16"/>
      <c r="K861" s="16" t="b">
        <v>0</v>
      </c>
      <c r="L861" s="16" t="b">
        <v>0</v>
      </c>
    </row>
    <row r="862">
      <c r="A862" s="9"/>
      <c r="B862" s="16"/>
      <c r="C862" s="7" t="str">
        <f>IFERROR(VLOOKUP(B862,'Master data'!$A$1:$D$397,2,FALSE),"")</f>
        <v/>
      </c>
      <c r="D862" s="70" t="str">
        <f>VLOOKUP(B862,Sheet3!$B$2:$E$312,3,)</f>
        <v>#N/A</v>
      </c>
      <c r="E862" s="64"/>
      <c r="F862" s="16" t="str">
        <f>IFERROR(VLOOKUP(B862,'Master data'!$A$1:$D$397,3,FALSE),"")</f>
        <v/>
      </c>
      <c r="H862" s="65"/>
      <c r="I862" s="16"/>
      <c r="J862" s="16"/>
      <c r="K862" s="16" t="b">
        <v>0</v>
      </c>
      <c r="L862" s="16" t="b">
        <v>0</v>
      </c>
    </row>
    <row r="863">
      <c r="A863" s="9"/>
      <c r="B863" s="16"/>
      <c r="C863" s="7" t="str">
        <f>IFERROR(VLOOKUP(B863,'Master data'!$A$1:$D$397,2,FALSE),"")</f>
        <v/>
      </c>
      <c r="D863" s="70" t="str">
        <f>VLOOKUP(B863,Sheet3!$B$2:$E$312,3,)</f>
        <v>#N/A</v>
      </c>
      <c r="E863" s="64"/>
      <c r="F863" s="16" t="str">
        <f>IFERROR(VLOOKUP(B863,'Master data'!$A$1:$D$397,3,FALSE),"")</f>
        <v/>
      </c>
      <c r="H863" s="65"/>
      <c r="I863" s="16"/>
      <c r="J863" s="16"/>
      <c r="K863" s="16" t="b">
        <v>0</v>
      </c>
      <c r="L863" s="16" t="b">
        <v>0</v>
      </c>
    </row>
    <row r="864">
      <c r="A864" s="9"/>
      <c r="B864" s="16"/>
      <c r="C864" s="7" t="str">
        <f>IFERROR(VLOOKUP(B864,'Master data'!$A$1:$D$397,2,FALSE),"")</f>
        <v/>
      </c>
      <c r="D864" s="70" t="str">
        <f>VLOOKUP(B864,Sheet3!$B$2:$E$312,3,)</f>
        <v>#N/A</v>
      </c>
      <c r="E864" s="64"/>
      <c r="F864" s="16" t="str">
        <f>IFERROR(VLOOKUP(B864,'Master data'!$A$1:$D$397,3,FALSE),"")</f>
        <v/>
      </c>
      <c r="H864" s="65"/>
      <c r="I864" s="16"/>
      <c r="J864" s="16"/>
      <c r="K864" s="16" t="b">
        <v>0</v>
      </c>
      <c r="L864" s="16" t="b">
        <v>0</v>
      </c>
    </row>
    <row r="865">
      <c r="A865" s="9"/>
      <c r="B865" s="16"/>
      <c r="C865" s="7" t="str">
        <f>IFERROR(VLOOKUP(B865,'Master data'!$A$1:$D$397,2,FALSE),"")</f>
        <v/>
      </c>
      <c r="D865" s="70" t="str">
        <f>VLOOKUP(B865,Sheet3!$B$2:$E$312,3,)</f>
        <v>#N/A</v>
      </c>
      <c r="E865" s="64"/>
      <c r="F865" s="16" t="str">
        <f>IFERROR(VLOOKUP(B865,'Master data'!$A$1:$D$397,3,FALSE),"")</f>
        <v/>
      </c>
      <c r="H865" s="65"/>
      <c r="I865" s="16"/>
      <c r="J865" s="16"/>
      <c r="K865" s="16" t="b">
        <v>0</v>
      </c>
      <c r="L865" s="16" t="b">
        <v>0</v>
      </c>
    </row>
    <row r="866">
      <c r="A866" s="9"/>
      <c r="B866" s="16"/>
      <c r="C866" s="7" t="str">
        <f>IFERROR(VLOOKUP(B866,'Master data'!$A$1:$D$397,2,FALSE),"")</f>
        <v/>
      </c>
      <c r="D866" s="70" t="str">
        <f>VLOOKUP(B866,Sheet3!$B$2:$E$312,3,)</f>
        <v>#N/A</v>
      </c>
      <c r="E866" s="64"/>
      <c r="F866" s="16" t="str">
        <f>IFERROR(VLOOKUP(B866,'Master data'!$A$1:$D$397,3,FALSE),"")</f>
        <v/>
      </c>
      <c r="H866" s="65"/>
      <c r="I866" s="16"/>
      <c r="J866" s="16"/>
      <c r="K866" s="16" t="b">
        <v>0</v>
      </c>
      <c r="L866" s="16" t="b">
        <v>0</v>
      </c>
    </row>
    <row r="867">
      <c r="A867" s="9"/>
      <c r="B867" s="16"/>
      <c r="C867" s="7" t="str">
        <f>IFERROR(VLOOKUP(B867,'Master data'!$A$1:$D$397,2,FALSE),"")</f>
        <v/>
      </c>
      <c r="D867" s="70" t="str">
        <f>VLOOKUP(B867,Sheet3!$B$2:$E$312,3,)</f>
        <v>#N/A</v>
      </c>
      <c r="E867" s="64"/>
      <c r="F867" s="16" t="str">
        <f>IFERROR(VLOOKUP(B867,'Master data'!$A$1:$D$397,3,FALSE),"")</f>
        <v/>
      </c>
      <c r="H867" s="65"/>
      <c r="I867" s="16"/>
      <c r="J867" s="16"/>
      <c r="K867" s="16" t="b">
        <v>0</v>
      </c>
      <c r="L867" s="16" t="b">
        <v>0</v>
      </c>
    </row>
    <row r="868">
      <c r="A868" s="9"/>
      <c r="B868" s="16"/>
      <c r="C868" s="7" t="str">
        <f>IFERROR(VLOOKUP(B868,'Master data'!$A$1:$D$397,2,FALSE),"")</f>
        <v/>
      </c>
      <c r="D868" s="70" t="str">
        <f>VLOOKUP(B868,Sheet3!$B$2:$E$312,3,)</f>
        <v>#N/A</v>
      </c>
      <c r="E868" s="64"/>
      <c r="F868" s="16" t="str">
        <f>IFERROR(VLOOKUP(B868,'Master data'!$A$1:$D$397,3,FALSE),"")</f>
        <v/>
      </c>
      <c r="H868" s="65"/>
      <c r="I868" s="16"/>
      <c r="J868" s="16"/>
      <c r="K868" s="16" t="b">
        <v>0</v>
      </c>
      <c r="L868" s="16" t="b">
        <v>0</v>
      </c>
    </row>
    <row r="869">
      <c r="A869" s="9"/>
      <c r="B869" s="16"/>
      <c r="C869" s="7" t="str">
        <f>IFERROR(VLOOKUP(B869,'Master data'!$A$1:$D$397,2,FALSE),"")</f>
        <v/>
      </c>
      <c r="D869" s="70" t="str">
        <f>VLOOKUP(B869,Sheet3!$B$2:$E$312,3,)</f>
        <v>#N/A</v>
      </c>
      <c r="E869" s="64"/>
      <c r="F869" s="16" t="str">
        <f>IFERROR(VLOOKUP(B869,'Master data'!$A$1:$D$397,3,FALSE),"")</f>
        <v/>
      </c>
      <c r="H869" s="65"/>
      <c r="I869" s="16"/>
      <c r="J869" s="16"/>
      <c r="K869" s="16" t="b">
        <v>0</v>
      </c>
      <c r="L869" s="16" t="b">
        <v>0</v>
      </c>
    </row>
    <row r="870">
      <c r="A870" s="9"/>
      <c r="B870" s="16"/>
      <c r="C870" s="7" t="str">
        <f>IFERROR(VLOOKUP(B870,'Master data'!$A$1:$D$397,2,FALSE),"")</f>
        <v/>
      </c>
      <c r="D870" s="70" t="str">
        <f>VLOOKUP(B870,Sheet3!$B$2:$E$312,3,)</f>
        <v>#N/A</v>
      </c>
      <c r="E870" s="64"/>
      <c r="F870" s="16" t="str">
        <f>IFERROR(VLOOKUP(B870,'Master data'!$A$1:$D$397,3,FALSE),"")</f>
        <v/>
      </c>
      <c r="H870" s="65"/>
      <c r="I870" s="16"/>
      <c r="J870" s="16"/>
      <c r="K870" s="16" t="b">
        <v>0</v>
      </c>
      <c r="L870" s="16" t="b">
        <v>0</v>
      </c>
    </row>
    <row r="871">
      <c r="A871" s="9"/>
      <c r="B871" s="16"/>
      <c r="C871" s="7" t="str">
        <f>IFERROR(VLOOKUP(B871,'Master data'!$A$1:$D$397,2,FALSE),"")</f>
        <v/>
      </c>
      <c r="D871" s="70" t="str">
        <f>VLOOKUP(B871,Sheet3!$B$2:$E$312,3,)</f>
        <v>#N/A</v>
      </c>
      <c r="E871" s="64"/>
      <c r="F871" s="16" t="str">
        <f>IFERROR(VLOOKUP(B871,'Master data'!$A$1:$D$397,3,FALSE),"")</f>
        <v/>
      </c>
      <c r="H871" s="65"/>
      <c r="I871" s="16"/>
      <c r="J871" s="16"/>
      <c r="K871" s="16" t="b">
        <v>0</v>
      </c>
      <c r="L871" s="16" t="b">
        <v>0</v>
      </c>
    </row>
    <row r="872">
      <c r="A872" s="9"/>
      <c r="B872" s="16"/>
      <c r="C872" s="7" t="str">
        <f>IFERROR(VLOOKUP(B872,'Master data'!$A$1:$D$397,2,FALSE),"")</f>
        <v/>
      </c>
      <c r="D872" s="70" t="str">
        <f>VLOOKUP(B872,Sheet3!$B$2:$E$312,3,)</f>
        <v>#N/A</v>
      </c>
      <c r="E872" s="64"/>
      <c r="F872" s="16" t="str">
        <f>IFERROR(VLOOKUP(B872,'Master data'!$A$1:$D$397,3,FALSE),"")</f>
        <v/>
      </c>
      <c r="H872" s="65"/>
      <c r="I872" s="16"/>
      <c r="J872" s="16"/>
      <c r="K872" s="16" t="b">
        <v>0</v>
      </c>
      <c r="L872" s="16" t="b">
        <v>0</v>
      </c>
    </row>
    <row r="873">
      <c r="A873" s="9"/>
      <c r="B873" s="16"/>
      <c r="C873" s="7" t="str">
        <f>IFERROR(VLOOKUP(B873,'Master data'!$A$1:$D$397,2,FALSE),"")</f>
        <v/>
      </c>
      <c r="D873" s="70" t="str">
        <f>VLOOKUP(B873,Sheet3!$B$2:$E$312,3,)</f>
        <v>#N/A</v>
      </c>
      <c r="E873" s="64"/>
      <c r="F873" s="16" t="str">
        <f>IFERROR(VLOOKUP(B873,'Master data'!$A$1:$D$397,3,FALSE),"")</f>
        <v/>
      </c>
      <c r="H873" s="65"/>
      <c r="I873" s="16"/>
      <c r="J873" s="16"/>
      <c r="K873" s="16" t="b">
        <v>0</v>
      </c>
      <c r="L873" s="16" t="b">
        <v>0</v>
      </c>
    </row>
    <row r="874">
      <c r="A874" s="9"/>
      <c r="B874" s="16"/>
      <c r="C874" s="7" t="str">
        <f>IFERROR(VLOOKUP(B874,'Master data'!$A$1:$D$397,2,FALSE),"")</f>
        <v/>
      </c>
      <c r="D874" s="70" t="str">
        <f>VLOOKUP(B874,Sheet3!$B$2:$E$312,3,)</f>
        <v>#N/A</v>
      </c>
      <c r="E874" s="64"/>
      <c r="F874" s="16" t="str">
        <f>IFERROR(VLOOKUP(B874,'Master data'!$A$1:$D$397,3,FALSE),"")</f>
        <v/>
      </c>
      <c r="H874" s="65"/>
      <c r="I874" s="16"/>
      <c r="J874" s="16"/>
      <c r="K874" s="16" t="b">
        <v>0</v>
      </c>
      <c r="L874" s="16" t="b">
        <v>0</v>
      </c>
    </row>
    <row r="875">
      <c r="A875" s="9"/>
      <c r="B875" s="16"/>
      <c r="C875" s="7" t="str">
        <f>IFERROR(VLOOKUP(B875,'Master data'!$A$1:$D$397,2,FALSE),"")</f>
        <v/>
      </c>
      <c r="D875" s="70" t="str">
        <f>VLOOKUP(B875,Sheet3!$B$2:$E$312,3,)</f>
        <v>#N/A</v>
      </c>
      <c r="E875" s="64"/>
      <c r="F875" s="16" t="str">
        <f>IFERROR(VLOOKUP(B875,'Master data'!$A$1:$D$397,3,FALSE),"")</f>
        <v/>
      </c>
      <c r="H875" s="65"/>
      <c r="I875" s="16"/>
      <c r="J875" s="16"/>
      <c r="K875" s="16" t="b">
        <v>0</v>
      </c>
      <c r="L875" s="16" t="b">
        <v>0</v>
      </c>
    </row>
    <row r="876">
      <c r="A876" s="9"/>
      <c r="B876" s="16"/>
      <c r="C876" s="7" t="str">
        <f>IFERROR(VLOOKUP(B876,'Master data'!$A$1:$D$397,2,FALSE),"")</f>
        <v/>
      </c>
      <c r="D876" s="70" t="str">
        <f>VLOOKUP(B876,Sheet3!$B$2:$E$312,3,)</f>
        <v>#N/A</v>
      </c>
      <c r="E876" s="64"/>
      <c r="F876" s="16" t="str">
        <f>IFERROR(VLOOKUP(B876,'Master data'!$A$1:$D$397,3,FALSE),"")</f>
        <v/>
      </c>
      <c r="H876" s="65"/>
      <c r="I876" s="16"/>
      <c r="J876" s="16"/>
      <c r="K876" s="16" t="b">
        <v>0</v>
      </c>
      <c r="L876" s="16" t="b">
        <v>0</v>
      </c>
    </row>
    <row r="877">
      <c r="A877" s="9"/>
      <c r="B877" s="16"/>
      <c r="C877" s="7" t="str">
        <f>IFERROR(VLOOKUP(B877,'Master data'!$A$1:$D$397,2,FALSE),"")</f>
        <v/>
      </c>
      <c r="D877" s="70" t="str">
        <f>VLOOKUP(B877,Sheet3!$B$2:$E$312,3,)</f>
        <v>#N/A</v>
      </c>
      <c r="E877" s="64"/>
      <c r="F877" s="16" t="str">
        <f>IFERROR(VLOOKUP(B877,'Master data'!$A$1:$D$397,3,FALSE),"")</f>
        <v/>
      </c>
      <c r="H877" s="65"/>
      <c r="I877" s="16"/>
      <c r="J877" s="16"/>
      <c r="K877" s="16" t="b">
        <v>0</v>
      </c>
      <c r="L877" s="16" t="b">
        <v>0</v>
      </c>
    </row>
    <row r="878">
      <c r="A878" s="9"/>
      <c r="B878" s="16"/>
      <c r="C878" s="7" t="str">
        <f>IFERROR(VLOOKUP(B878,'Master data'!$A$1:$D$397,2,FALSE),"")</f>
        <v/>
      </c>
      <c r="D878" s="70" t="str">
        <f>VLOOKUP(B878,Sheet3!$B$2:$E$312,3,)</f>
        <v>#N/A</v>
      </c>
      <c r="E878" s="64"/>
      <c r="F878" s="16" t="str">
        <f>IFERROR(VLOOKUP(B878,'Master data'!$A$1:$D$397,3,FALSE),"")</f>
        <v/>
      </c>
      <c r="H878" s="65"/>
      <c r="I878" s="16"/>
      <c r="J878" s="16"/>
      <c r="K878" s="16" t="b">
        <v>0</v>
      </c>
      <c r="L878" s="16" t="b">
        <v>0</v>
      </c>
    </row>
    <row r="879">
      <c r="A879" s="9"/>
      <c r="B879" s="16"/>
      <c r="C879" s="7" t="str">
        <f>IFERROR(VLOOKUP(B879,'Master data'!$A$1:$D$397,2,FALSE),"")</f>
        <v/>
      </c>
      <c r="D879" s="70" t="str">
        <f>VLOOKUP(B879,Sheet3!$B$2:$E$312,3,)</f>
        <v>#N/A</v>
      </c>
      <c r="E879" s="64"/>
      <c r="F879" s="16" t="str">
        <f>IFERROR(VLOOKUP(B879,'Master data'!$A$1:$D$397,3,FALSE),"")</f>
        <v/>
      </c>
      <c r="H879" s="65"/>
      <c r="I879" s="16"/>
      <c r="J879" s="16"/>
      <c r="K879" s="16" t="b">
        <v>0</v>
      </c>
      <c r="L879" s="16" t="b">
        <v>0</v>
      </c>
    </row>
    <row r="880">
      <c r="A880" s="9"/>
      <c r="B880" s="16"/>
      <c r="C880" s="7" t="str">
        <f>IFERROR(VLOOKUP(B880,'Master data'!$A$1:$D$397,2,FALSE),"")</f>
        <v/>
      </c>
      <c r="D880" s="70" t="str">
        <f>VLOOKUP(B880,Sheet3!$B$2:$E$312,3,)</f>
        <v>#N/A</v>
      </c>
      <c r="E880" s="64"/>
      <c r="F880" s="16" t="str">
        <f>IFERROR(VLOOKUP(B880,'Master data'!$A$1:$D$397,3,FALSE),"")</f>
        <v/>
      </c>
      <c r="H880" s="65"/>
      <c r="I880" s="16"/>
      <c r="J880" s="16"/>
      <c r="K880" s="16" t="b">
        <v>0</v>
      </c>
      <c r="L880" s="16" t="b">
        <v>0</v>
      </c>
    </row>
    <row r="881">
      <c r="A881" s="9"/>
      <c r="B881" s="16"/>
      <c r="C881" s="7" t="str">
        <f>IFERROR(VLOOKUP(B881,'Master data'!$A$1:$D$397,2,FALSE),"")</f>
        <v/>
      </c>
      <c r="D881" s="70" t="str">
        <f>VLOOKUP(B881,Sheet3!$B$2:$E$312,3,)</f>
        <v>#N/A</v>
      </c>
      <c r="E881" s="64"/>
      <c r="F881" s="16" t="str">
        <f>IFERROR(VLOOKUP(B881,'Master data'!$A$1:$D$397,3,FALSE),"")</f>
        <v/>
      </c>
      <c r="H881" s="65"/>
      <c r="I881" s="16"/>
      <c r="J881" s="16"/>
      <c r="K881" s="16" t="b">
        <v>0</v>
      </c>
      <c r="L881" s="16" t="b">
        <v>0</v>
      </c>
    </row>
    <row r="882">
      <c r="A882" s="9"/>
      <c r="B882" s="16"/>
      <c r="C882" s="7" t="str">
        <f>IFERROR(VLOOKUP(B882,'Master data'!$A$1:$D$397,2,FALSE),"")</f>
        <v/>
      </c>
      <c r="D882" s="70" t="str">
        <f>VLOOKUP(B882,Sheet3!$B$2:$E$312,3,)</f>
        <v>#N/A</v>
      </c>
      <c r="E882" s="64"/>
      <c r="F882" s="16" t="str">
        <f>IFERROR(VLOOKUP(B882,'Master data'!$A$1:$D$397,3,FALSE),"")</f>
        <v/>
      </c>
      <c r="H882" s="65"/>
      <c r="I882" s="16"/>
      <c r="J882" s="16"/>
      <c r="K882" s="16" t="b">
        <v>0</v>
      </c>
      <c r="L882" s="16" t="b">
        <v>0</v>
      </c>
    </row>
    <row r="883">
      <c r="A883" s="9"/>
      <c r="B883" s="16"/>
      <c r="C883" s="7" t="str">
        <f>IFERROR(VLOOKUP(B883,'Master data'!$A$1:$D$397,2,FALSE),"")</f>
        <v/>
      </c>
      <c r="D883" s="70" t="str">
        <f>VLOOKUP(B883,Sheet3!$B$2:$E$312,3,)</f>
        <v>#N/A</v>
      </c>
      <c r="E883" s="64"/>
      <c r="F883" s="16" t="str">
        <f>IFERROR(VLOOKUP(B883,'Master data'!$A$1:$D$397,3,FALSE),"")</f>
        <v/>
      </c>
      <c r="H883" s="65"/>
      <c r="I883" s="16"/>
      <c r="J883" s="16"/>
      <c r="K883" s="16" t="b">
        <v>0</v>
      </c>
      <c r="L883" s="16" t="b">
        <v>0</v>
      </c>
    </row>
    <row r="884">
      <c r="A884" s="9"/>
      <c r="B884" s="16"/>
      <c r="C884" s="7" t="str">
        <f>IFERROR(VLOOKUP(B884,'Master data'!$A$1:$D$397,2,FALSE),"")</f>
        <v/>
      </c>
      <c r="D884" s="70" t="str">
        <f>VLOOKUP(B884,Sheet3!$B$2:$E$312,3,)</f>
        <v>#N/A</v>
      </c>
      <c r="E884" s="64"/>
      <c r="F884" s="16" t="str">
        <f>IFERROR(VLOOKUP(B884,'Master data'!$A$1:$D$397,3,FALSE),"")</f>
        <v/>
      </c>
      <c r="H884" s="65"/>
      <c r="I884" s="16"/>
      <c r="J884" s="16"/>
      <c r="K884" s="16" t="b">
        <v>0</v>
      </c>
      <c r="L884" s="16" t="b">
        <v>0</v>
      </c>
    </row>
    <row r="885">
      <c r="A885" s="9"/>
      <c r="B885" s="16"/>
      <c r="C885" s="7" t="str">
        <f>IFERROR(VLOOKUP(B885,'Master data'!$A$1:$D$397,2,FALSE),"")</f>
        <v/>
      </c>
      <c r="D885" s="70" t="str">
        <f>VLOOKUP(B885,Sheet3!$B$2:$E$312,3,)</f>
        <v>#N/A</v>
      </c>
      <c r="E885" s="64"/>
      <c r="F885" s="16" t="str">
        <f>IFERROR(VLOOKUP(B885,'Master data'!$A$1:$D$397,3,FALSE),"")</f>
        <v/>
      </c>
      <c r="H885" s="65"/>
      <c r="I885" s="16"/>
      <c r="J885" s="16"/>
      <c r="K885" s="16" t="b">
        <v>0</v>
      </c>
      <c r="L885" s="16" t="b">
        <v>0</v>
      </c>
    </row>
    <row r="886">
      <c r="A886" s="9"/>
      <c r="B886" s="16"/>
      <c r="C886" s="7" t="str">
        <f>IFERROR(VLOOKUP(B886,'Master data'!$A$1:$D$397,2,FALSE),"")</f>
        <v/>
      </c>
      <c r="D886" s="70" t="str">
        <f>VLOOKUP(B886,Sheet3!$B$2:$E$312,3,)</f>
        <v>#N/A</v>
      </c>
      <c r="E886" s="64"/>
      <c r="F886" s="16" t="str">
        <f>IFERROR(VLOOKUP(B886,'Master data'!$A$1:$D$397,3,FALSE),"")</f>
        <v/>
      </c>
      <c r="H886" s="65"/>
      <c r="I886" s="16"/>
      <c r="J886" s="16"/>
      <c r="K886" s="16" t="b">
        <v>0</v>
      </c>
      <c r="L886" s="16" t="b">
        <v>0</v>
      </c>
    </row>
    <row r="887">
      <c r="A887" s="9"/>
      <c r="B887" s="16"/>
      <c r="C887" s="7" t="str">
        <f>IFERROR(VLOOKUP(B887,'Master data'!$A$1:$D$397,2,FALSE),"")</f>
        <v/>
      </c>
      <c r="D887" s="70" t="str">
        <f>VLOOKUP(B887,Sheet3!$B$2:$E$312,3,)</f>
        <v>#N/A</v>
      </c>
      <c r="E887" s="64"/>
      <c r="F887" s="16" t="str">
        <f>IFERROR(VLOOKUP(B887,'Master data'!$A$1:$D$397,3,FALSE),"")</f>
        <v/>
      </c>
      <c r="H887" s="65"/>
      <c r="I887" s="16"/>
      <c r="J887" s="16"/>
      <c r="K887" s="16" t="b">
        <v>0</v>
      </c>
      <c r="L887" s="16" t="b">
        <v>0</v>
      </c>
    </row>
    <row r="888">
      <c r="A888" s="9"/>
      <c r="B888" s="16"/>
      <c r="C888" s="7" t="str">
        <f>IFERROR(VLOOKUP(B888,'Master data'!$A$1:$D$397,2,FALSE),"")</f>
        <v/>
      </c>
      <c r="D888" s="70" t="str">
        <f>VLOOKUP(B888,Sheet3!$B$2:$E$312,3,)</f>
        <v>#N/A</v>
      </c>
      <c r="E888" s="64"/>
      <c r="F888" s="16" t="str">
        <f>IFERROR(VLOOKUP(B888,'Master data'!$A$1:$D$397,3,FALSE),"")</f>
        <v/>
      </c>
      <c r="H888" s="65"/>
      <c r="I888" s="16"/>
      <c r="J888" s="16"/>
      <c r="K888" s="16" t="b">
        <v>0</v>
      </c>
      <c r="L888" s="16" t="b">
        <v>0</v>
      </c>
    </row>
    <row r="889">
      <c r="A889" s="9"/>
      <c r="B889" s="16"/>
      <c r="C889" s="7" t="str">
        <f>IFERROR(VLOOKUP(B889,'Master data'!$A$1:$D$397,2,FALSE),"")</f>
        <v/>
      </c>
      <c r="D889" s="70" t="str">
        <f>VLOOKUP(B889,Sheet3!$B$2:$E$312,3,)</f>
        <v>#N/A</v>
      </c>
      <c r="E889" s="64"/>
      <c r="F889" s="16" t="str">
        <f>IFERROR(VLOOKUP(B889,'Master data'!$A$1:$D$397,3,FALSE),"")</f>
        <v/>
      </c>
      <c r="H889" s="65"/>
      <c r="I889" s="16"/>
      <c r="J889" s="16"/>
      <c r="K889" s="16" t="b">
        <v>0</v>
      </c>
      <c r="L889" s="16" t="b">
        <v>0</v>
      </c>
    </row>
    <row r="890">
      <c r="A890" s="9"/>
      <c r="B890" s="16"/>
      <c r="C890" s="7" t="str">
        <f>IFERROR(VLOOKUP(B890,'Master data'!$A$1:$D$397,2,FALSE),"")</f>
        <v/>
      </c>
      <c r="D890" s="70" t="str">
        <f>VLOOKUP(B890,Sheet3!$B$2:$E$312,3,)</f>
        <v>#N/A</v>
      </c>
      <c r="E890" s="64"/>
      <c r="F890" s="16" t="str">
        <f>IFERROR(VLOOKUP(B890,'Master data'!$A$1:$D$397,3,FALSE),"")</f>
        <v/>
      </c>
      <c r="H890" s="65"/>
      <c r="I890" s="16"/>
      <c r="J890" s="16"/>
      <c r="K890" s="16" t="b">
        <v>0</v>
      </c>
      <c r="L890" s="16" t="b">
        <v>0</v>
      </c>
    </row>
    <row r="891">
      <c r="A891" s="9"/>
      <c r="B891" s="16"/>
      <c r="C891" s="7" t="str">
        <f>IFERROR(VLOOKUP(B891,'Master data'!$A$1:$D$397,2,FALSE),"")</f>
        <v/>
      </c>
      <c r="D891" s="70" t="str">
        <f>VLOOKUP(B891,Sheet3!$B$2:$E$312,3,)</f>
        <v>#N/A</v>
      </c>
      <c r="E891" s="64"/>
      <c r="F891" s="16" t="str">
        <f>IFERROR(VLOOKUP(B891,'Master data'!$A$1:$D$397,3,FALSE),"")</f>
        <v/>
      </c>
      <c r="H891" s="65"/>
      <c r="I891" s="16"/>
      <c r="J891" s="16"/>
      <c r="K891" s="16" t="b">
        <v>0</v>
      </c>
      <c r="L891" s="16" t="b">
        <v>0</v>
      </c>
    </row>
    <row r="892">
      <c r="A892" s="9"/>
      <c r="B892" s="16"/>
      <c r="C892" s="7" t="str">
        <f>IFERROR(VLOOKUP(B892,'Master data'!$A$1:$D$397,2,FALSE),"")</f>
        <v/>
      </c>
      <c r="D892" s="70" t="str">
        <f>VLOOKUP(B892,Sheet3!$B$2:$E$312,3,)</f>
        <v>#N/A</v>
      </c>
      <c r="E892" s="64"/>
      <c r="F892" s="16" t="str">
        <f>IFERROR(VLOOKUP(B892,'Master data'!$A$1:$D$397,3,FALSE),"")</f>
        <v/>
      </c>
      <c r="H892" s="65"/>
      <c r="I892" s="16"/>
      <c r="J892" s="16"/>
      <c r="K892" s="16" t="b">
        <v>0</v>
      </c>
      <c r="L892" s="16" t="b">
        <v>0</v>
      </c>
    </row>
    <row r="893">
      <c r="A893" s="9"/>
      <c r="B893" s="16"/>
      <c r="C893" s="7" t="str">
        <f>IFERROR(VLOOKUP(B893,'Master data'!$A$1:$D$397,2,FALSE),"")</f>
        <v/>
      </c>
      <c r="D893" s="70" t="str">
        <f>VLOOKUP(B893,Sheet3!$B$2:$E$312,3,)</f>
        <v>#N/A</v>
      </c>
      <c r="E893" s="64"/>
      <c r="F893" s="16" t="str">
        <f>IFERROR(VLOOKUP(B893,'Master data'!$A$1:$D$397,3,FALSE),"")</f>
        <v/>
      </c>
      <c r="H893" s="65"/>
      <c r="I893" s="16"/>
      <c r="J893" s="16"/>
      <c r="K893" s="16" t="b">
        <v>0</v>
      </c>
      <c r="L893" s="16" t="b">
        <v>0</v>
      </c>
    </row>
    <row r="894">
      <c r="A894" s="9"/>
      <c r="B894" s="16"/>
      <c r="C894" s="7" t="str">
        <f>IFERROR(VLOOKUP(B894,'Master data'!$A$1:$D$397,2,FALSE),"")</f>
        <v/>
      </c>
      <c r="D894" s="70" t="str">
        <f>VLOOKUP(B894,Sheet3!$B$2:$E$312,3,)</f>
        <v>#N/A</v>
      </c>
      <c r="E894" s="64"/>
      <c r="F894" s="16" t="str">
        <f>IFERROR(VLOOKUP(B894,'Master data'!$A$1:$D$397,3,FALSE),"")</f>
        <v/>
      </c>
      <c r="H894" s="65"/>
      <c r="I894" s="16"/>
      <c r="J894" s="16"/>
      <c r="K894" s="16" t="b">
        <v>0</v>
      </c>
      <c r="L894" s="16" t="b">
        <v>0</v>
      </c>
    </row>
    <row r="895">
      <c r="A895" s="9"/>
      <c r="B895" s="16"/>
      <c r="C895" s="7" t="str">
        <f>IFERROR(VLOOKUP(B895,'Master data'!$A$1:$D$397,2,FALSE),"")</f>
        <v/>
      </c>
      <c r="D895" s="70" t="str">
        <f>VLOOKUP(B895,Sheet3!$B$2:$E$312,3,)</f>
        <v>#N/A</v>
      </c>
      <c r="E895" s="64"/>
      <c r="F895" s="16" t="str">
        <f>IFERROR(VLOOKUP(B895,'Master data'!$A$1:$D$397,3,FALSE),"")</f>
        <v/>
      </c>
      <c r="H895" s="65"/>
      <c r="I895" s="16"/>
      <c r="J895" s="16"/>
      <c r="K895" s="16" t="b">
        <v>0</v>
      </c>
      <c r="L895" s="16" t="b">
        <v>0</v>
      </c>
    </row>
    <row r="896">
      <c r="A896" s="9"/>
      <c r="B896" s="16"/>
      <c r="C896" s="7" t="str">
        <f>IFERROR(VLOOKUP(B896,'Master data'!$A$1:$D$397,2,FALSE),"")</f>
        <v/>
      </c>
      <c r="D896" s="70" t="str">
        <f>VLOOKUP(B896,Sheet3!$B$2:$E$312,3,)</f>
        <v>#N/A</v>
      </c>
      <c r="E896" s="64"/>
      <c r="F896" s="16" t="str">
        <f>IFERROR(VLOOKUP(B896,'Master data'!$A$1:$D$397,3,FALSE),"")</f>
        <v/>
      </c>
      <c r="H896" s="65"/>
      <c r="I896" s="16"/>
      <c r="J896" s="16"/>
      <c r="K896" s="16" t="b">
        <v>0</v>
      </c>
      <c r="L896" s="16" t="b">
        <v>0</v>
      </c>
    </row>
    <row r="897">
      <c r="A897" s="9"/>
      <c r="B897" s="16"/>
      <c r="C897" s="7" t="str">
        <f>IFERROR(VLOOKUP(B897,'Master data'!$A$1:$D$397,2,FALSE),"")</f>
        <v/>
      </c>
      <c r="D897" s="70" t="str">
        <f>VLOOKUP(B897,Sheet3!$B$2:$E$312,3,)</f>
        <v>#N/A</v>
      </c>
      <c r="E897" s="64"/>
      <c r="F897" s="16" t="str">
        <f>IFERROR(VLOOKUP(B897,'Master data'!$A$1:$D$397,3,FALSE),"")</f>
        <v/>
      </c>
      <c r="H897" s="65"/>
      <c r="I897" s="16"/>
      <c r="J897" s="16"/>
      <c r="K897" s="16" t="b">
        <v>0</v>
      </c>
      <c r="L897" s="16" t="b">
        <v>0</v>
      </c>
    </row>
    <row r="898">
      <c r="A898" s="9"/>
      <c r="B898" s="16"/>
      <c r="C898" s="7" t="str">
        <f>IFERROR(VLOOKUP(B898,'Master data'!$A$1:$D$397,2,FALSE),"")</f>
        <v/>
      </c>
      <c r="D898" s="70" t="str">
        <f>VLOOKUP(B898,Sheet3!$B$2:$E$312,3,)</f>
        <v>#N/A</v>
      </c>
      <c r="E898" s="64"/>
      <c r="F898" s="16" t="str">
        <f>IFERROR(VLOOKUP(B898,'Master data'!$A$1:$D$397,3,FALSE),"")</f>
        <v/>
      </c>
      <c r="H898" s="65"/>
      <c r="I898" s="16"/>
      <c r="J898" s="16"/>
      <c r="K898" s="16" t="b">
        <v>0</v>
      </c>
      <c r="L898" s="16" t="b">
        <v>0</v>
      </c>
    </row>
    <row r="899">
      <c r="A899" s="9"/>
      <c r="B899" s="16"/>
      <c r="C899" s="7" t="str">
        <f>IFERROR(VLOOKUP(B899,'Master data'!$A$1:$D$397,2,FALSE),"")</f>
        <v/>
      </c>
      <c r="D899" s="70" t="str">
        <f>VLOOKUP(B899,Sheet3!$B$2:$E$312,3,)</f>
        <v>#N/A</v>
      </c>
      <c r="E899" s="64"/>
      <c r="F899" s="16" t="str">
        <f>IFERROR(VLOOKUP(B899,'Master data'!$A$1:$D$397,3,FALSE),"")</f>
        <v/>
      </c>
      <c r="H899" s="65"/>
      <c r="I899" s="16"/>
      <c r="J899" s="16"/>
      <c r="K899" s="16" t="b">
        <v>0</v>
      </c>
      <c r="L899" s="16" t="b">
        <v>0</v>
      </c>
    </row>
    <row r="900">
      <c r="A900" s="9"/>
      <c r="B900" s="16"/>
      <c r="C900" s="7" t="str">
        <f>IFERROR(VLOOKUP(B900,'Master data'!$A$1:$D$397,2,FALSE),"")</f>
        <v/>
      </c>
      <c r="D900" s="70" t="str">
        <f>VLOOKUP(B900,Sheet3!$B$2:$E$312,3,)</f>
        <v>#N/A</v>
      </c>
      <c r="E900" s="64"/>
      <c r="F900" s="16" t="str">
        <f>IFERROR(VLOOKUP(B900,'Master data'!$A$1:$D$397,3,FALSE),"")</f>
        <v/>
      </c>
      <c r="H900" s="65"/>
      <c r="I900" s="16"/>
      <c r="J900" s="16"/>
      <c r="K900" s="16" t="b">
        <v>0</v>
      </c>
      <c r="L900" s="16" t="b">
        <v>0</v>
      </c>
    </row>
    <row r="901">
      <c r="A901" s="9"/>
      <c r="B901" s="16"/>
      <c r="C901" s="7" t="str">
        <f>IFERROR(VLOOKUP(B901,'Master data'!$A$1:$D$397,2,FALSE),"")</f>
        <v/>
      </c>
      <c r="D901" s="70" t="str">
        <f>VLOOKUP(B901,Sheet3!$B$2:$E$312,3,)</f>
        <v>#N/A</v>
      </c>
      <c r="E901" s="64"/>
      <c r="F901" s="16" t="str">
        <f>IFERROR(VLOOKUP(B901,'Master data'!$A$1:$D$397,3,FALSE),"")</f>
        <v/>
      </c>
      <c r="H901" s="65"/>
      <c r="I901" s="16"/>
      <c r="J901" s="16"/>
      <c r="K901" s="16" t="b">
        <v>0</v>
      </c>
      <c r="L901" s="16" t="b">
        <v>0</v>
      </c>
    </row>
    <row r="902">
      <c r="A902" s="9"/>
      <c r="B902" s="16"/>
      <c r="C902" s="7" t="str">
        <f>IFERROR(VLOOKUP(B902,'Master data'!$A$1:$D$397,2,FALSE),"")</f>
        <v/>
      </c>
      <c r="D902" s="70" t="str">
        <f>VLOOKUP(B902,Sheet3!$B$2:$E$312,3,)</f>
        <v>#N/A</v>
      </c>
      <c r="E902" s="64"/>
      <c r="F902" s="16" t="str">
        <f>IFERROR(VLOOKUP(B902,'Master data'!$A$1:$D$397,3,FALSE),"")</f>
        <v/>
      </c>
      <c r="H902" s="65"/>
      <c r="I902" s="16"/>
      <c r="J902" s="16"/>
      <c r="K902" s="16" t="b">
        <v>0</v>
      </c>
      <c r="L902" s="16" t="b">
        <v>0</v>
      </c>
    </row>
    <row r="903">
      <c r="A903" s="9"/>
      <c r="B903" s="16"/>
      <c r="C903" s="7" t="str">
        <f>IFERROR(VLOOKUP(B903,'Master data'!$A$1:$D$397,2,FALSE),"")</f>
        <v/>
      </c>
      <c r="D903" s="70" t="str">
        <f>VLOOKUP(B903,Sheet3!$B$2:$E$312,3,)</f>
        <v>#N/A</v>
      </c>
      <c r="E903" s="64"/>
      <c r="F903" s="16" t="str">
        <f>IFERROR(VLOOKUP(B903,'Master data'!$A$1:$D$397,3,FALSE),"")</f>
        <v/>
      </c>
      <c r="H903" s="65"/>
      <c r="I903" s="16"/>
      <c r="J903" s="16"/>
      <c r="K903" s="16" t="b">
        <v>0</v>
      </c>
      <c r="L903" s="16" t="b">
        <v>0</v>
      </c>
    </row>
    <row r="904">
      <c r="A904" s="9"/>
      <c r="B904" s="16"/>
      <c r="C904" s="7" t="str">
        <f>IFERROR(VLOOKUP(B904,'Master data'!$A$1:$D$397,2,FALSE),"")</f>
        <v/>
      </c>
      <c r="D904" s="70" t="str">
        <f>VLOOKUP(B904,Sheet3!$B$2:$E$312,3,)</f>
        <v>#N/A</v>
      </c>
      <c r="E904" s="64"/>
      <c r="F904" s="16" t="str">
        <f>IFERROR(VLOOKUP(B904,'Master data'!$A$1:$D$397,3,FALSE),"")</f>
        <v/>
      </c>
      <c r="H904" s="65"/>
      <c r="I904" s="16"/>
      <c r="J904" s="16"/>
      <c r="K904" s="16" t="b">
        <v>0</v>
      </c>
      <c r="L904" s="16" t="b">
        <v>0</v>
      </c>
    </row>
    <row r="905">
      <c r="A905" s="9"/>
      <c r="B905" s="16"/>
      <c r="C905" s="7" t="str">
        <f>IFERROR(VLOOKUP(B905,'Master data'!$A$1:$D$397,2,FALSE),"")</f>
        <v/>
      </c>
      <c r="D905" s="70" t="str">
        <f>VLOOKUP(B905,Sheet3!$B$2:$E$312,3,)</f>
        <v>#N/A</v>
      </c>
      <c r="E905" s="64"/>
      <c r="F905" s="16" t="str">
        <f>IFERROR(VLOOKUP(B905,'Master data'!$A$1:$D$397,3,FALSE),"")</f>
        <v/>
      </c>
      <c r="H905" s="65"/>
      <c r="I905" s="16"/>
      <c r="J905" s="16"/>
      <c r="K905" s="16" t="b">
        <v>0</v>
      </c>
      <c r="L905" s="16" t="b">
        <v>0</v>
      </c>
    </row>
    <row r="906">
      <c r="A906" s="9"/>
      <c r="B906" s="16"/>
      <c r="C906" s="7" t="str">
        <f>IFERROR(VLOOKUP(B906,'Master data'!$A$1:$D$397,2,FALSE),"")</f>
        <v/>
      </c>
      <c r="D906" s="70" t="str">
        <f>VLOOKUP(B906,Sheet3!$B$2:$E$312,3,)</f>
        <v>#N/A</v>
      </c>
      <c r="E906" s="64"/>
      <c r="F906" s="16" t="str">
        <f>IFERROR(VLOOKUP(B906,'Master data'!$A$1:$D$397,3,FALSE),"")</f>
        <v/>
      </c>
      <c r="H906" s="65"/>
      <c r="I906" s="16"/>
      <c r="J906" s="16"/>
      <c r="K906" s="16" t="b">
        <v>0</v>
      </c>
      <c r="L906" s="16" t="b">
        <v>0</v>
      </c>
    </row>
    <row r="907">
      <c r="A907" s="9"/>
      <c r="B907" s="16"/>
      <c r="C907" s="7" t="str">
        <f>IFERROR(VLOOKUP(B907,'Master data'!$A$1:$D$397,2,FALSE),"")</f>
        <v/>
      </c>
      <c r="D907" s="70" t="str">
        <f>VLOOKUP(B907,Sheet3!$B$2:$E$312,3,)</f>
        <v>#N/A</v>
      </c>
      <c r="E907" s="64"/>
      <c r="F907" s="16" t="str">
        <f>IFERROR(VLOOKUP(B907,'Master data'!$A$1:$D$397,3,FALSE),"")</f>
        <v/>
      </c>
      <c r="H907" s="65"/>
      <c r="I907" s="16"/>
      <c r="J907" s="16"/>
      <c r="K907" s="16" t="b">
        <v>0</v>
      </c>
      <c r="L907" s="16" t="b">
        <v>0</v>
      </c>
    </row>
    <row r="908">
      <c r="A908" s="9"/>
      <c r="B908" s="16"/>
      <c r="C908" s="7" t="str">
        <f>IFERROR(VLOOKUP(B908,'Master data'!$A$1:$D$397,2,FALSE),"")</f>
        <v/>
      </c>
      <c r="D908" s="70" t="str">
        <f>VLOOKUP(B908,Sheet3!$B$2:$E$312,3,)</f>
        <v>#N/A</v>
      </c>
      <c r="E908" s="64"/>
      <c r="F908" s="16" t="str">
        <f>IFERROR(VLOOKUP(B908,'Master data'!$A$1:$D$397,3,FALSE),"")</f>
        <v/>
      </c>
      <c r="H908" s="65"/>
      <c r="I908" s="16"/>
      <c r="J908" s="16"/>
      <c r="K908" s="16" t="b">
        <v>0</v>
      </c>
      <c r="L908" s="16" t="b">
        <v>0</v>
      </c>
    </row>
    <row r="909">
      <c r="A909" s="9"/>
      <c r="B909" s="16"/>
      <c r="C909" s="7" t="str">
        <f>IFERROR(VLOOKUP(B909,'Master data'!$A$1:$D$397,2,FALSE),"")</f>
        <v/>
      </c>
      <c r="D909" s="70" t="str">
        <f>VLOOKUP(B909,Sheet3!$B$2:$E$312,3,)</f>
        <v>#N/A</v>
      </c>
      <c r="E909" s="64"/>
      <c r="F909" s="16" t="str">
        <f>IFERROR(VLOOKUP(B909,'Master data'!$A$1:$D$397,3,FALSE),"")</f>
        <v/>
      </c>
      <c r="H909" s="65"/>
      <c r="I909" s="16"/>
      <c r="J909" s="16"/>
      <c r="K909" s="16" t="b">
        <v>0</v>
      </c>
      <c r="L909" s="16" t="b">
        <v>0</v>
      </c>
    </row>
    <row r="910">
      <c r="A910" s="9"/>
      <c r="B910" s="16"/>
      <c r="C910" s="7" t="str">
        <f>IFERROR(VLOOKUP(B910,'Master data'!$A$1:$D$397,2,FALSE),"")</f>
        <v/>
      </c>
      <c r="D910" s="70" t="str">
        <f>VLOOKUP(B910,Sheet3!$B$2:$E$312,3,)</f>
        <v>#N/A</v>
      </c>
      <c r="E910" s="64"/>
      <c r="F910" s="16" t="str">
        <f>IFERROR(VLOOKUP(B910,'Master data'!$A$1:$D$397,3,FALSE),"")</f>
        <v/>
      </c>
      <c r="H910" s="65"/>
      <c r="I910" s="16"/>
      <c r="J910" s="16"/>
      <c r="K910" s="16" t="b">
        <v>0</v>
      </c>
      <c r="L910" s="16" t="b">
        <v>0</v>
      </c>
    </row>
    <row r="911">
      <c r="A911" s="9"/>
      <c r="B911" s="16"/>
      <c r="C911" s="7" t="str">
        <f>IFERROR(VLOOKUP(B911,'Master data'!$A$1:$D$397,2,FALSE),"")</f>
        <v/>
      </c>
      <c r="D911" s="70" t="str">
        <f>VLOOKUP(B911,Sheet3!$B$2:$E$312,3,)</f>
        <v>#N/A</v>
      </c>
      <c r="E911" s="64"/>
      <c r="F911" s="16" t="str">
        <f>IFERROR(VLOOKUP(B911,'Master data'!$A$1:$D$397,3,FALSE),"")</f>
        <v/>
      </c>
      <c r="H911" s="65"/>
      <c r="I911" s="16"/>
      <c r="J911" s="16"/>
      <c r="K911" s="16" t="b">
        <v>0</v>
      </c>
      <c r="L911" s="16" t="b">
        <v>0</v>
      </c>
    </row>
    <row r="912">
      <c r="A912" s="9"/>
      <c r="B912" s="16"/>
      <c r="C912" s="7" t="str">
        <f>IFERROR(VLOOKUP(B912,'Master data'!$A$1:$D$397,2,FALSE),"")</f>
        <v/>
      </c>
      <c r="D912" s="70" t="str">
        <f>VLOOKUP(B912,Sheet3!$B$2:$E$312,3,)</f>
        <v>#N/A</v>
      </c>
      <c r="E912" s="64"/>
      <c r="F912" s="16" t="str">
        <f>IFERROR(VLOOKUP(B912,'Master data'!$A$1:$D$397,3,FALSE),"")</f>
        <v/>
      </c>
      <c r="H912" s="65"/>
      <c r="I912" s="16"/>
      <c r="J912" s="16"/>
      <c r="K912" s="16" t="b">
        <v>0</v>
      </c>
      <c r="L912" s="16" t="b">
        <v>0</v>
      </c>
    </row>
    <row r="913">
      <c r="A913" s="9"/>
      <c r="B913" s="16"/>
      <c r="C913" s="7" t="str">
        <f>IFERROR(VLOOKUP(B913,'Master data'!$A$1:$D$397,2,FALSE),"")</f>
        <v/>
      </c>
      <c r="D913" s="70" t="str">
        <f>VLOOKUP(B913,Sheet3!$B$2:$E$312,3,)</f>
        <v>#N/A</v>
      </c>
      <c r="E913" s="64"/>
      <c r="F913" s="16" t="str">
        <f>IFERROR(VLOOKUP(B913,'Master data'!$A$1:$D$397,3,FALSE),"")</f>
        <v/>
      </c>
      <c r="H913" s="65"/>
      <c r="I913" s="16"/>
      <c r="J913" s="16"/>
      <c r="K913" s="16" t="b">
        <v>0</v>
      </c>
      <c r="L913" s="16" t="b">
        <v>0</v>
      </c>
    </row>
    <row r="914">
      <c r="A914" s="9"/>
      <c r="B914" s="16"/>
      <c r="C914" s="7" t="str">
        <f>IFERROR(VLOOKUP(B914,'Master data'!$A$1:$D$397,2,FALSE),"")</f>
        <v/>
      </c>
      <c r="D914" s="70" t="str">
        <f>VLOOKUP(B914,Sheet3!$B$2:$E$312,3,)</f>
        <v>#N/A</v>
      </c>
      <c r="E914" s="64"/>
      <c r="F914" s="16" t="str">
        <f>IFERROR(VLOOKUP(B914,'Master data'!$A$1:$D$397,3,FALSE),"")</f>
        <v/>
      </c>
      <c r="H914" s="65"/>
      <c r="I914" s="16"/>
      <c r="J914" s="16"/>
      <c r="K914" s="16" t="b">
        <v>0</v>
      </c>
      <c r="L914" s="16" t="b">
        <v>0</v>
      </c>
    </row>
    <row r="915">
      <c r="A915" s="9"/>
      <c r="B915" s="16"/>
      <c r="C915" s="7" t="str">
        <f>IFERROR(VLOOKUP(B915,'Master data'!$A$1:$D$397,2,FALSE),"")</f>
        <v/>
      </c>
      <c r="D915" s="70" t="str">
        <f>VLOOKUP(B915,Sheet3!$B$2:$E$312,3,)</f>
        <v>#N/A</v>
      </c>
      <c r="E915" s="64"/>
      <c r="F915" s="16" t="str">
        <f>IFERROR(VLOOKUP(B915,'Master data'!$A$1:$D$397,3,FALSE),"")</f>
        <v/>
      </c>
      <c r="H915" s="65"/>
      <c r="I915" s="16"/>
      <c r="J915" s="16"/>
      <c r="K915" s="16" t="b">
        <v>0</v>
      </c>
      <c r="L915" s="16" t="b">
        <v>0</v>
      </c>
    </row>
    <row r="916">
      <c r="A916" s="9"/>
      <c r="B916" s="16"/>
      <c r="C916" s="7" t="str">
        <f>IFERROR(VLOOKUP(B916,'Master data'!$A$1:$D$397,2,FALSE),"")</f>
        <v/>
      </c>
      <c r="D916" s="70" t="str">
        <f>VLOOKUP(B916,Sheet3!$B$2:$E$312,3,)</f>
        <v>#N/A</v>
      </c>
      <c r="E916" s="64"/>
      <c r="F916" s="16" t="str">
        <f>IFERROR(VLOOKUP(B916,'Master data'!$A$1:$D$397,3,FALSE),"")</f>
        <v/>
      </c>
      <c r="H916" s="65"/>
      <c r="I916" s="16"/>
      <c r="J916" s="16"/>
      <c r="K916" s="16" t="b">
        <v>0</v>
      </c>
      <c r="L916" s="16" t="b">
        <v>0</v>
      </c>
    </row>
    <row r="917">
      <c r="A917" s="9"/>
      <c r="B917" s="16"/>
      <c r="C917" s="7" t="str">
        <f>IFERROR(VLOOKUP(B917,'Master data'!$A$1:$D$397,2,FALSE),"")</f>
        <v/>
      </c>
      <c r="D917" s="70" t="str">
        <f>VLOOKUP(B917,Sheet3!$B$2:$E$312,3,)</f>
        <v>#N/A</v>
      </c>
      <c r="E917" s="64"/>
      <c r="F917" s="16" t="str">
        <f>IFERROR(VLOOKUP(B917,'Master data'!$A$1:$D$397,3,FALSE),"")</f>
        <v/>
      </c>
      <c r="H917" s="65"/>
      <c r="I917" s="16"/>
      <c r="J917" s="16"/>
      <c r="K917" s="16" t="b">
        <v>0</v>
      </c>
      <c r="L917" s="16" t="b">
        <v>0</v>
      </c>
    </row>
    <row r="918">
      <c r="A918" s="9"/>
      <c r="B918" s="16"/>
      <c r="C918" s="7" t="str">
        <f>IFERROR(VLOOKUP(B918,'Master data'!$A$1:$D$397,2,FALSE),"")</f>
        <v/>
      </c>
      <c r="D918" s="70" t="str">
        <f>VLOOKUP(B918,Sheet3!$B$2:$E$312,3,)</f>
        <v>#N/A</v>
      </c>
      <c r="E918" s="64"/>
      <c r="F918" s="16" t="str">
        <f>IFERROR(VLOOKUP(B918,'Master data'!$A$1:$D$397,3,FALSE),"")</f>
        <v/>
      </c>
      <c r="H918" s="65"/>
      <c r="I918" s="16"/>
      <c r="J918" s="16"/>
      <c r="K918" s="16" t="b">
        <v>0</v>
      </c>
      <c r="L918" s="16" t="b">
        <v>0</v>
      </c>
    </row>
    <row r="919">
      <c r="A919" s="9"/>
      <c r="B919" s="16"/>
      <c r="C919" s="7" t="str">
        <f>IFERROR(VLOOKUP(B919,'Master data'!$A$1:$D$397,2,FALSE),"")</f>
        <v/>
      </c>
      <c r="D919" s="70" t="str">
        <f>VLOOKUP(B919,Sheet3!$B$2:$E$312,3,)</f>
        <v>#N/A</v>
      </c>
      <c r="E919" s="64"/>
      <c r="F919" s="16" t="str">
        <f>IFERROR(VLOOKUP(B919,'Master data'!$A$1:$D$397,3,FALSE),"")</f>
        <v/>
      </c>
      <c r="H919" s="65"/>
      <c r="I919" s="16"/>
      <c r="J919" s="16"/>
      <c r="K919" s="16" t="b">
        <v>0</v>
      </c>
      <c r="L919" s="16" t="b">
        <v>0</v>
      </c>
    </row>
    <row r="920">
      <c r="A920" s="9"/>
      <c r="B920" s="16"/>
      <c r="C920" s="7" t="str">
        <f>IFERROR(VLOOKUP(B920,'Master data'!$A$1:$D$397,2,FALSE),"")</f>
        <v/>
      </c>
      <c r="D920" s="70" t="str">
        <f>VLOOKUP(B920,Sheet3!$B$2:$E$312,3,)</f>
        <v>#N/A</v>
      </c>
      <c r="E920" s="64"/>
      <c r="F920" s="16" t="str">
        <f>IFERROR(VLOOKUP(B920,'Master data'!$A$1:$D$397,3,FALSE),"")</f>
        <v/>
      </c>
      <c r="H920" s="65"/>
      <c r="I920" s="16"/>
      <c r="J920" s="16"/>
      <c r="K920" s="16" t="b">
        <v>0</v>
      </c>
      <c r="L920" s="16" t="b">
        <v>0</v>
      </c>
    </row>
    <row r="921">
      <c r="A921" s="9"/>
      <c r="B921" s="16"/>
      <c r="C921" s="7" t="str">
        <f>IFERROR(VLOOKUP(B921,'Master data'!$A$1:$D$397,2,FALSE),"")</f>
        <v/>
      </c>
      <c r="D921" s="70" t="str">
        <f>VLOOKUP(B921,Sheet3!$B$2:$E$312,3,)</f>
        <v>#N/A</v>
      </c>
      <c r="E921" s="64"/>
      <c r="F921" s="16" t="str">
        <f>IFERROR(VLOOKUP(B921,'Master data'!$A$1:$D$397,3,FALSE),"")</f>
        <v/>
      </c>
      <c r="H921" s="65"/>
      <c r="I921" s="16"/>
      <c r="J921" s="16"/>
      <c r="K921" s="16" t="b">
        <v>0</v>
      </c>
      <c r="L921" s="16" t="b">
        <v>0</v>
      </c>
    </row>
    <row r="922">
      <c r="A922" s="9"/>
      <c r="B922" s="16"/>
      <c r="C922" s="7" t="str">
        <f>IFERROR(VLOOKUP(B922,'Master data'!$A$1:$D$397,2,FALSE),"")</f>
        <v/>
      </c>
      <c r="D922" s="70" t="str">
        <f>VLOOKUP(B922,Sheet3!$B$2:$E$312,3,)</f>
        <v>#N/A</v>
      </c>
      <c r="E922" s="64"/>
      <c r="F922" s="16" t="str">
        <f>IFERROR(VLOOKUP(B922,'Master data'!$A$1:$D$397,3,FALSE),"")</f>
        <v/>
      </c>
      <c r="H922" s="65"/>
      <c r="I922" s="16"/>
      <c r="J922" s="16"/>
      <c r="K922" s="16" t="b">
        <v>0</v>
      </c>
      <c r="L922" s="16" t="b">
        <v>0</v>
      </c>
    </row>
    <row r="923">
      <c r="A923" s="9"/>
      <c r="B923" s="16"/>
      <c r="C923" s="7" t="str">
        <f>IFERROR(VLOOKUP(B923,'Master data'!$A$1:$D$397,2,FALSE),"")</f>
        <v/>
      </c>
      <c r="D923" s="70" t="str">
        <f>VLOOKUP(B923,Sheet3!$B$2:$E$312,3,)</f>
        <v>#N/A</v>
      </c>
      <c r="E923" s="64"/>
      <c r="F923" s="16" t="str">
        <f>IFERROR(VLOOKUP(B923,'Master data'!$A$1:$D$397,3,FALSE),"")</f>
        <v/>
      </c>
      <c r="H923" s="65"/>
      <c r="I923" s="16"/>
      <c r="J923" s="16"/>
      <c r="K923" s="16" t="b">
        <v>0</v>
      </c>
      <c r="L923" s="16" t="b">
        <v>0</v>
      </c>
    </row>
    <row r="924">
      <c r="A924" s="9"/>
      <c r="B924" s="16"/>
      <c r="C924" s="7" t="str">
        <f>IFERROR(VLOOKUP(B924,'Master data'!$A$1:$D$397,2,FALSE),"")</f>
        <v/>
      </c>
      <c r="D924" s="70" t="str">
        <f>VLOOKUP(B924,Sheet3!$B$2:$E$312,3,)</f>
        <v>#N/A</v>
      </c>
      <c r="E924" s="64"/>
      <c r="F924" s="16" t="str">
        <f>IFERROR(VLOOKUP(B924,'Master data'!$A$1:$D$397,3,FALSE),"")</f>
        <v/>
      </c>
      <c r="H924" s="65"/>
      <c r="I924" s="16"/>
      <c r="J924" s="16"/>
      <c r="K924" s="16" t="b">
        <v>0</v>
      </c>
      <c r="L924" s="16" t="b">
        <v>0</v>
      </c>
    </row>
    <row r="925">
      <c r="A925" s="9"/>
      <c r="B925" s="16"/>
      <c r="C925" s="7" t="str">
        <f>IFERROR(VLOOKUP(B925,'Master data'!$A$1:$D$397,2,FALSE),"")</f>
        <v/>
      </c>
      <c r="D925" s="70" t="str">
        <f>VLOOKUP(B925,Sheet3!$B$2:$E$312,3,)</f>
        <v>#N/A</v>
      </c>
      <c r="E925" s="64"/>
      <c r="F925" s="16" t="str">
        <f>IFERROR(VLOOKUP(B925,'Master data'!$A$1:$D$397,3,FALSE),"")</f>
        <v/>
      </c>
      <c r="H925" s="65"/>
      <c r="I925" s="16"/>
      <c r="J925" s="16"/>
      <c r="K925" s="16" t="b">
        <v>0</v>
      </c>
      <c r="L925" s="16" t="b">
        <v>0</v>
      </c>
    </row>
    <row r="926">
      <c r="A926" s="9"/>
      <c r="B926" s="16"/>
      <c r="C926" s="7" t="str">
        <f>IFERROR(VLOOKUP(B926,'Master data'!$A$1:$D$397,2,FALSE),"")</f>
        <v/>
      </c>
      <c r="D926" s="70" t="str">
        <f>VLOOKUP(B926,Sheet3!$B$2:$E$312,3,)</f>
        <v>#N/A</v>
      </c>
      <c r="E926" s="64"/>
      <c r="F926" s="16" t="str">
        <f>IFERROR(VLOOKUP(B926,'Master data'!$A$1:$D$397,3,FALSE),"")</f>
        <v/>
      </c>
      <c r="H926" s="65"/>
      <c r="I926" s="16"/>
      <c r="J926" s="16"/>
      <c r="K926" s="16" t="b">
        <v>0</v>
      </c>
      <c r="L926" s="16" t="b">
        <v>0</v>
      </c>
    </row>
    <row r="927">
      <c r="A927" s="9"/>
      <c r="B927" s="16"/>
      <c r="C927" s="7" t="str">
        <f>IFERROR(VLOOKUP(B927,'Master data'!$A$1:$D$397,2,FALSE),"")</f>
        <v/>
      </c>
      <c r="D927" s="70" t="str">
        <f>VLOOKUP(B927,Sheet3!$B$2:$E$312,3,)</f>
        <v>#N/A</v>
      </c>
      <c r="E927" s="64"/>
      <c r="F927" s="16" t="str">
        <f>IFERROR(VLOOKUP(B927,'Master data'!$A$1:$D$397,3,FALSE),"")</f>
        <v/>
      </c>
      <c r="H927" s="65"/>
      <c r="I927" s="16"/>
      <c r="J927" s="16"/>
      <c r="K927" s="16" t="b">
        <v>0</v>
      </c>
      <c r="L927" s="16" t="b">
        <v>0</v>
      </c>
    </row>
    <row r="928">
      <c r="A928" s="9"/>
      <c r="B928" s="16"/>
      <c r="C928" s="7" t="str">
        <f>IFERROR(VLOOKUP(B928,'Master data'!$A$1:$D$397,2,FALSE),"")</f>
        <v/>
      </c>
      <c r="D928" s="70" t="str">
        <f>VLOOKUP(B928,Sheet3!$B$2:$E$312,3,)</f>
        <v>#N/A</v>
      </c>
      <c r="E928" s="64"/>
      <c r="F928" s="16" t="str">
        <f>IFERROR(VLOOKUP(B928,'Master data'!$A$1:$D$397,3,FALSE),"")</f>
        <v/>
      </c>
      <c r="H928" s="65"/>
      <c r="I928" s="16"/>
      <c r="J928" s="16"/>
      <c r="K928" s="16" t="b">
        <v>0</v>
      </c>
      <c r="L928" s="16" t="b">
        <v>0</v>
      </c>
    </row>
    <row r="929">
      <c r="A929" s="9"/>
      <c r="B929" s="16"/>
      <c r="C929" s="7" t="str">
        <f>IFERROR(VLOOKUP(B929,'Master data'!$A$1:$D$397,2,FALSE),"")</f>
        <v/>
      </c>
      <c r="D929" s="70" t="str">
        <f>VLOOKUP(B929,Sheet3!$B$2:$E$312,3,)</f>
        <v>#N/A</v>
      </c>
      <c r="E929" s="64"/>
      <c r="F929" s="16" t="str">
        <f>IFERROR(VLOOKUP(B929,'Master data'!$A$1:$D$397,3,FALSE),"")</f>
        <v/>
      </c>
      <c r="H929" s="65"/>
      <c r="I929" s="16"/>
      <c r="J929" s="16"/>
      <c r="K929" s="16" t="b">
        <v>0</v>
      </c>
      <c r="L929" s="16" t="b">
        <v>0</v>
      </c>
    </row>
    <row r="930">
      <c r="A930" s="9"/>
      <c r="B930" s="16"/>
      <c r="C930" s="7" t="str">
        <f>IFERROR(VLOOKUP(B930,'Master data'!$A$1:$D$397,2,FALSE),"")</f>
        <v/>
      </c>
      <c r="D930" s="70" t="str">
        <f>VLOOKUP(B930,Sheet3!$B$2:$E$312,3,)</f>
        <v>#N/A</v>
      </c>
      <c r="E930" s="64"/>
      <c r="F930" s="16" t="str">
        <f>IFERROR(VLOOKUP(B930,'Master data'!$A$1:$D$397,3,FALSE),"")</f>
        <v/>
      </c>
      <c r="H930" s="65"/>
      <c r="I930" s="16"/>
      <c r="J930" s="16"/>
      <c r="K930" s="16" t="b">
        <v>0</v>
      </c>
      <c r="L930" s="16" t="b">
        <v>0</v>
      </c>
    </row>
    <row r="931">
      <c r="A931" s="9"/>
      <c r="B931" s="16"/>
      <c r="C931" s="7" t="str">
        <f>IFERROR(VLOOKUP(B931,'Master data'!$A$1:$D$397,2,FALSE),"")</f>
        <v/>
      </c>
      <c r="D931" s="70" t="str">
        <f>VLOOKUP(B931,Sheet3!$B$2:$E$312,3,)</f>
        <v>#N/A</v>
      </c>
      <c r="E931" s="64"/>
      <c r="F931" s="16" t="str">
        <f>IFERROR(VLOOKUP(B931,'Master data'!$A$1:$D$397,3,FALSE),"")</f>
        <v/>
      </c>
      <c r="H931" s="65"/>
      <c r="I931" s="16"/>
      <c r="J931" s="16"/>
      <c r="K931" s="16" t="b">
        <v>0</v>
      </c>
      <c r="L931" s="16" t="b">
        <v>0</v>
      </c>
    </row>
    <row r="932">
      <c r="A932" s="9"/>
      <c r="B932" s="16"/>
      <c r="C932" s="7" t="str">
        <f>IFERROR(VLOOKUP(B932,'Master data'!$A$1:$D$397,2,FALSE),"")</f>
        <v/>
      </c>
      <c r="D932" s="70" t="str">
        <f>VLOOKUP(B932,Sheet3!$B$2:$E$312,3,)</f>
        <v>#N/A</v>
      </c>
      <c r="E932" s="64"/>
      <c r="F932" s="16" t="str">
        <f>IFERROR(VLOOKUP(B932,'Master data'!$A$1:$D$397,3,FALSE),"")</f>
        <v/>
      </c>
      <c r="H932" s="65"/>
      <c r="I932" s="16"/>
      <c r="J932" s="16"/>
      <c r="K932" s="16" t="b">
        <v>0</v>
      </c>
      <c r="L932" s="16" t="b">
        <v>0</v>
      </c>
    </row>
    <row r="933">
      <c r="A933" s="9"/>
      <c r="B933" s="16"/>
      <c r="C933" s="7" t="str">
        <f>IFERROR(VLOOKUP(B933,'Master data'!$A$1:$D$397,2,FALSE),"")</f>
        <v/>
      </c>
      <c r="D933" s="70" t="str">
        <f>VLOOKUP(B933,Sheet3!$B$2:$E$312,3,)</f>
        <v>#N/A</v>
      </c>
      <c r="E933" s="64"/>
      <c r="F933" s="16" t="str">
        <f>IFERROR(VLOOKUP(B933,'Master data'!$A$1:$D$397,3,FALSE),"")</f>
        <v/>
      </c>
      <c r="H933" s="65"/>
      <c r="I933" s="16"/>
      <c r="J933" s="16"/>
      <c r="K933" s="16" t="b">
        <v>0</v>
      </c>
      <c r="L933" s="16" t="b">
        <v>0</v>
      </c>
    </row>
    <row r="934">
      <c r="A934" s="9"/>
      <c r="B934" s="16"/>
      <c r="C934" s="7" t="str">
        <f>IFERROR(VLOOKUP(B934,'Master data'!$A$1:$D$397,2,FALSE),"")</f>
        <v/>
      </c>
      <c r="D934" s="70" t="str">
        <f>VLOOKUP(B934,Sheet3!$B$2:$E$312,3,)</f>
        <v>#N/A</v>
      </c>
      <c r="E934" s="64"/>
      <c r="F934" s="16" t="str">
        <f>IFERROR(VLOOKUP(B934,'Master data'!$A$1:$D$397,3,FALSE),"")</f>
        <v/>
      </c>
      <c r="H934" s="65"/>
      <c r="I934" s="16"/>
      <c r="J934" s="16"/>
      <c r="K934" s="16" t="b">
        <v>0</v>
      </c>
      <c r="L934" s="16" t="b">
        <v>0</v>
      </c>
    </row>
    <row r="935">
      <c r="A935" s="9"/>
      <c r="B935" s="16"/>
      <c r="C935" s="7" t="str">
        <f>IFERROR(VLOOKUP(B935,'Master data'!$A$1:$D$397,2,FALSE),"")</f>
        <v/>
      </c>
      <c r="D935" s="70" t="str">
        <f>VLOOKUP(B935,Sheet3!$B$2:$E$312,3,)</f>
        <v>#N/A</v>
      </c>
      <c r="E935" s="64"/>
      <c r="F935" s="16" t="str">
        <f>IFERROR(VLOOKUP(B935,'Master data'!$A$1:$D$397,3,FALSE),"")</f>
        <v/>
      </c>
      <c r="H935" s="65"/>
      <c r="I935" s="16"/>
      <c r="J935" s="16"/>
      <c r="K935" s="16" t="b">
        <v>0</v>
      </c>
      <c r="L935" s="16" t="b">
        <v>0</v>
      </c>
    </row>
    <row r="936">
      <c r="A936" s="9"/>
      <c r="B936" s="16"/>
      <c r="C936" s="7" t="str">
        <f>IFERROR(VLOOKUP(B936,'Master data'!$A$1:$D$397,2,FALSE),"")</f>
        <v/>
      </c>
      <c r="D936" s="70" t="str">
        <f>VLOOKUP(B936,Sheet3!$B$2:$E$312,3,)</f>
        <v>#N/A</v>
      </c>
      <c r="E936" s="64"/>
      <c r="F936" s="16" t="str">
        <f>IFERROR(VLOOKUP(B936,'Master data'!$A$1:$D$397,3,FALSE),"")</f>
        <v/>
      </c>
      <c r="H936" s="65"/>
      <c r="I936" s="16"/>
      <c r="J936" s="16"/>
      <c r="K936" s="16" t="b">
        <v>0</v>
      </c>
      <c r="L936" s="16" t="b">
        <v>0</v>
      </c>
    </row>
    <row r="937">
      <c r="A937" s="9"/>
      <c r="B937" s="16"/>
      <c r="C937" s="7" t="str">
        <f>IFERROR(VLOOKUP(B937,'Master data'!$A$1:$D$397,2,FALSE),"")</f>
        <v/>
      </c>
      <c r="D937" s="70" t="str">
        <f>VLOOKUP(B937,Sheet3!$B$2:$E$312,3,)</f>
        <v>#N/A</v>
      </c>
      <c r="E937" s="64"/>
      <c r="F937" s="16" t="str">
        <f>IFERROR(VLOOKUP(B937,'Master data'!$A$1:$D$397,3,FALSE),"")</f>
        <v/>
      </c>
      <c r="H937" s="65"/>
      <c r="I937" s="16"/>
      <c r="J937" s="16"/>
      <c r="K937" s="16" t="b">
        <v>0</v>
      </c>
      <c r="L937" s="16" t="b">
        <v>0</v>
      </c>
    </row>
    <row r="938">
      <c r="A938" s="9"/>
      <c r="B938" s="16"/>
      <c r="C938" s="7" t="str">
        <f>IFERROR(VLOOKUP(B938,'Master data'!$A$1:$D$397,2,FALSE),"")</f>
        <v/>
      </c>
      <c r="D938" s="70" t="str">
        <f>VLOOKUP(B938,Sheet3!$B$2:$E$312,3,)</f>
        <v>#N/A</v>
      </c>
      <c r="E938" s="64"/>
      <c r="F938" s="16" t="str">
        <f>IFERROR(VLOOKUP(B938,'Master data'!$A$1:$D$397,3,FALSE),"")</f>
        <v/>
      </c>
      <c r="H938" s="65"/>
      <c r="I938" s="16"/>
      <c r="J938" s="16"/>
      <c r="K938" s="16" t="b">
        <v>0</v>
      </c>
      <c r="L938" s="16" t="b">
        <v>0</v>
      </c>
    </row>
    <row r="939">
      <c r="A939" s="9"/>
      <c r="B939" s="16"/>
      <c r="C939" s="7" t="str">
        <f>IFERROR(VLOOKUP(B939,'Master data'!$A$1:$D$397,2,FALSE),"")</f>
        <v/>
      </c>
      <c r="D939" s="70" t="str">
        <f>VLOOKUP(B939,Sheet3!$B$2:$E$312,3,)</f>
        <v>#N/A</v>
      </c>
      <c r="E939" s="64"/>
      <c r="F939" s="16" t="str">
        <f>IFERROR(VLOOKUP(B939,'Master data'!$A$1:$D$397,3,FALSE),"")</f>
        <v/>
      </c>
      <c r="H939" s="65"/>
      <c r="I939" s="16"/>
      <c r="J939" s="16"/>
      <c r="K939" s="16" t="b">
        <v>0</v>
      </c>
      <c r="L939" s="16" t="b">
        <v>0</v>
      </c>
    </row>
    <row r="940">
      <c r="A940" s="9"/>
      <c r="B940" s="16"/>
      <c r="C940" s="7" t="str">
        <f>IFERROR(VLOOKUP(B940,'Master data'!$A$1:$D$397,2,FALSE),"")</f>
        <v/>
      </c>
      <c r="D940" s="70" t="str">
        <f>VLOOKUP(B940,Sheet3!$B$2:$E$312,3,)</f>
        <v>#N/A</v>
      </c>
      <c r="E940" s="64"/>
      <c r="F940" s="16" t="str">
        <f>IFERROR(VLOOKUP(B940,'Master data'!$A$1:$D$397,3,FALSE),"")</f>
        <v/>
      </c>
      <c r="H940" s="65"/>
      <c r="I940" s="16"/>
      <c r="J940" s="16"/>
      <c r="K940" s="16" t="b">
        <v>0</v>
      </c>
      <c r="L940" s="16" t="b">
        <v>0</v>
      </c>
    </row>
    <row r="941">
      <c r="A941" s="9"/>
      <c r="B941" s="16"/>
      <c r="C941" s="7" t="str">
        <f>IFERROR(VLOOKUP(B941,'Master data'!$A$1:$D$397,2,FALSE),"")</f>
        <v/>
      </c>
      <c r="D941" s="70" t="str">
        <f>VLOOKUP(B941,Sheet3!$B$2:$E$312,3,)</f>
        <v>#N/A</v>
      </c>
      <c r="E941" s="64"/>
      <c r="F941" s="16" t="str">
        <f>IFERROR(VLOOKUP(B941,'Master data'!$A$1:$D$397,3,FALSE),"")</f>
        <v/>
      </c>
      <c r="H941" s="65"/>
      <c r="I941" s="16"/>
      <c r="J941" s="16"/>
      <c r="K941" s="16" t="b">
        <v>0</v>
      </c>
      <c r="L941" s="16" t="b">
        <v>0</v>
      </c>
    </row>
    <row r="942">
      <c r="A942" s="9"/>
      <c r="B942" s="16"/>
      <c r="C942" s="7" t="str">
        <f>IFERROR(VLOOKUP(B942,'Master data'!$A$1:$D$397,2,FALSE),"")</f>
        <v/>
      </c>
      <c r="D942" s="70" t="str">
        <f>VLOOKUP(B942,Sheet3!$B$2:$E$312,3,)</f>
        <v>#N/A</v>
      </c>
      <c r="E942" s="64"/>
      <c r="F942" s="16" t="str">
        <f>IFERROR(VLOOKUP(B942,'Master data'!$A$1:$D$397,3,FALSE),"")</f>
        <v/>
      </c>
      <c r="H942" s="65"/>
      <c r="I942" s="16"/>
      <c r="J942" s="16"/>
      <c r="K942" s="16" t="b">
        <v>0</v>
      </c>
      <c r="L942" s="16" t="b">
        <v>0</v>
      </c>
    </row>
    <row r="943">
      <c r="A943" s="9"/>
      <c r="B943" s="16"/>
      <c r="C943" s="7" t="str">
        <f>IFERROR(VLOOKUP(B943,'Master data'!$A$1:$D$397,2,FALSE),"")</f>
        <v/>
      </c>
      <c r="D943" s="70" t="str">
        <f>VLOOKUP(B943,Sheet3!$B$2:$E$312,3,)</f>
        <v>#N/A</v>
      </c>
      <c r="E943" s="64"/>
      <c r="F943" s="16" t="str">
        <f>IFERROR(VLOOKUP(B943,'Master data'!$A$1:$D$397,3,FALSE),"")</f>
        <v/>
      </c>
      <c r="H943" s="65"/>
      <c r="I943" s="16"/>
      <c r="J943" s="16"/>
      <c r="K943" s="16" t="b">
        <v>0</v>
      </c>
      <c r="L943" s="16" t="b">
        <v>0</v>
      </c>
    </row>
    <row r="944">
      <c r="A944" s="9"/>
      <c r="B944" s="16"/>
      <c r="C944" s="7" t="str">
        <f>IFERROR(VLOOKUP(B944,'Master data'!$A$1:$D$397,2,FALSE),"")</f>
        <v/>
      </c>
      <c r="D944" s="70" t="str">
        <f>VLOOKUP(B944,Sheet3!$B$2:$E$312,3,)</f>
        <v>#N/A</v>
      </c>
      <c r="E944" s="64"/>
      <c r="F944" s="16" t="str">
        <f>IFERROR(VLOOKUP(B944,'Master data'!$A$1:$D$397,3,FALSE),"")</f>
        <v/>
      </c>
      <c r="H944" s="65"/>
      <c r="I944" s="16"/>
      <c r="J944" s="16"/>
      <c r="K944" s="16" t="b">
        <v>0</v>
      </c>
      <c r="L944" s="16" t="b">
        <v>0</v>
      </c>
    </row>
    <row r="945">
      <c r="A945" s="9"/>
      <c r="B945" s="16"/>
      <c r="C945" s="7" t="str">
        <f>IFERROR(VLOOKUP(B945,'Master data'!$A$1:$D$397,2,FALSE),"")</f>
        <v/>
      </c>
      <c r="D945" s="70" t="str">
        <f>VLOOKUP(B945,Sheet3!$B$2:$E$312,3,)</f>
        <v>#N/A</v>
      </c>
      <c r="E945" s="64"/>
      <c r="F945" s="16" t="str">
        <f>IFERROR(VLOOKUP(B945,'Master data'!$A$1:$D$397,3,FALSE),"")</f>
        <v/>
      </c>
      <c r="H945" s="65"/>
      <c r="I945" s="16"/>
      <c r="J945" s="16"/>
      <c r="K945" s="16" t="b">
        <v>0</v>
      </c>
      <c r="L945" s="16" t="b">
        <v>0</v>
      </c>
    </row>
    <row r="946">
      <c r="A946" s="9"/>
      <c r="B946" s="16"/>
      <c r="C946" s="7" t="str">
        <f>IFERROR(VLOOKUP(B946,'Master data'!$A$1:$D$397,2,FALSE),"")</f>
        <v/>
      </c>
      <c r="D946" s="70" t="str">
        <f>VLOOKUP(B946,Sheet3!$B$2:$E$312,3,)</f>
        <v>#N/A</v>
      </c>
      <c r="E946" s="64"/>
      <c r="F946" s="16" t="str">
        <f>IFERROR(VLOOKUP(B946,'Master data'!$A$1:$D$397,3,FALSE),"")</f>
        <v/>
      </c>
      <c r="H946" s="65"/>
      <c r="I946" s="16"/>
      <c r="J946" s="16"/>
      <c r="K946" s="16" t="b">
        <v>0</v>
      </c>
      <c r="L946" s="16" t="b">
        <v>0</v>
      </c>
    </row>
    <row r="947">
      <c r="A947" s="9"/>
      <c r="B947" s="16"/>
      <c r="C947" s="7" t="str">
        <f>IFERROR(VLOOKUP(B947,'Master data'!$A$1:$D$397,2,FALSE),"")</f>
        <v/>
      </c>
      <c r="D947" s="70" t="str">
        <f>VLOOKUP(B947,Sheet3!$B$2:$E$312,3,)</f>
        <v>#N/A</v>
      </c>
      <c r="E947" s="64"/>
      <c r="F947" s="16" t="str">
        <f>IFERROR(VLOOKUP(B947,'Master data'!$A$1:$D$397,3,FALSE),"")</f>
        <v/>
      </c>
      <c r="H947" s="65"/>
      <c r="I947" s="16"/>
      <c r="J947" s="16"/>
      <c r="K947" s="16" t="b">
        <v>0</v>
      </c>
      <c r="L947" s="16" t="b">
        <v>0</v>
      </c>
    </row>
    <row r="948">
      <c r="A948" s="9"/>
      <c r="B948" s="16"/>
      <c r="C948" s="7" t="str">
        <f>IFERROR(VLOOKUP(B948,'Master data'!$A$1:$D$397,2,FALSE),"")</f>
        <v/>
      </c>
      <c r="D948" s="70" t="str">
        <f>VLOOKUP(B948,Sheet3!$B$2:$E$312,3,)</f>
        <v>#N/A</v>
      </c>
      <c r="E948" s="64"/>
      <c r="F948" s="16" t="str">
        <f>IFERROR(VLOOKUP(B948,'Master data'!$A$1:$D$397,3,FALSE),"")</f>
        <v/>
      </c>
      <c r="H948" s="65"/>
      <c r="I948" s="16"/>
      <c r="J948" s="16"/>
      <c r="K948" s="16" t="b">
        <v>0</v>
      </c>
      <c r="L948" s="16" t="b">
        <v>0</v>
      </c>
    </row>
    <row r="949">
      <c r="A949" s="9"/>
      <c r="B949" s="16"/>
      <c r="C949" s="7" t="str">
        <f>IFERROR(VLOOKUP(B949,'Master data'!$A$1:$D$397,2,FALSE),"")</f>
        <v/>
      </c>
      <c r="D949" s="70" t="str">
        <f>VLOOKUP(B949,Sheet3!$B$2:$E$312,3,)</f>
        <v>#N/A</v>
      </c>
      <c r="E949" s="64"/>
      <c r="F949" s="16" t="str">
        <f>IFERROR(VLOOKUP(B949,'Master data'!$A$1:$D$397,3,FALSE),"")</f>
        <v/>
      </c>
      <c r="H949" s="65"/>
      <c r="I949" s="16"/>
      <c r="J949" s="16"/>
      <c r="K949" s="16" t="b">
        <v>0</v>
      </c>
      <c r="L949" s="16" t="b">
        <v>0</v>
      </c>
    </row>
    <row r="950">
      <c r="A950" s="9"/>
      <c r="B950" s="16"/>
      <c r="C950" s="7" t="str">
        <f>IFERROR(VLOOKUP(B950,'Master data'!$A$1:$D$397,2,FALSE),"")</f>
        <v/>
      </c>
      <c r="D950" s="70" t="str">
        <f>VLOOKUP(B950,Sheet3!$B$2:$E$312,3,)</f>
        <v>#N/A</v>
      </c>
      <c r="E950" s="64"/>
      <c r="F950" s="16" t="str">
        <f>IFERROR(VLOOKUP(B950,'Master data'!$A$1:$D$397,3,FALSE),"")</f>
        <v/>
      </c>
      <c r="H950" s="65"/>
      <c r="I950" s="16"/>
      <c r="J950" s="16"/>
      <c r="K950" s="16" t="b">
        <v>0</v>
      </c>
      <c r="L950" s="16" t="b">
        <v>0</v>
      </c>
    </row>
    <row r="951">
      <c r="A951" s="9"/>
      <c r="B951" s="16"/>
      <c r="C951" s="7" t="str">
        <f>IFERROR(VLOOKUP(B951,'Master data'!$A$1:$D$397,2,FALSE),"")</f>
        <v/>
      </c>
      <c r="D951" s="70" t="str">
        <f>VLOOKUP(B951,Sheet3!$B$2:$E$312,3,)</f>
        <v>#N/A</v>
      </c>
      <c r="E951" s="64"/>
      <c r="F951" s="16" t="str">
        <f>IFERROR(VLOOKUP(B951,'Master data'!$A$1:$D$397,3,FALSE),"")</f>
        <v/>
      </c>
      <c r="H951" s="65"/>
      <c r="I951" s="16"/>
      <c r="J951" s="16"/>
      <c r="K951" s="16" t="b">
        <v>0</v>
      </c>
      <c r="L951" s="16" t="b">
        <v>0</v>
      </c>
    </row>
    <row r="952">
      <c r="A952" s="9"/>
      <c r="B952" s="16"/>
      <c r="C952" s="7" t="str">
        <f>IFERROR(VLOOKUP(B952,'Master data'!$A$1:$D$397,2,FALSE),"")</f>
        <v/>
      </c>
      <c r="D952" s="70" t="str">
        <f>VLOOKUP(B952,Sheet3!$B$2:$E$312,3,)</f>
        <v>#N/A</v>
      </c>
      <c r="E952" s="64"/>
      <c r="F952" s="16" t="str">
        <f>IFERROR(VLOOKUP(B952,'Master data'!$A$1:$D$397,3,FALSE),"")</f>
        <v/>
      </c>
      <c r="H952" s="65"/>
      <c r="I952" s="16"/>
      <c r="J952" s="16"/>
      <c r="K952" s="16" t="b">
        <v>0</v>
      </c>
      <c r="L952" s="16" t="b">
        <v>0</v>
      </c>
    </row>
    <row r="953">
      <c r="A953" s="9"/>
      <c r="B953" s="16"/>
      <c r="C953" s="7" t="str">
        <f>IFERROR(VLOOKUP(B953,'Master data'!$A$1:$D$397,2,FALSE),"")</f>
        <v/>
      </c>
      <c r="D953" s="70" t="str">
        <f>VLOOKUP(B953,Sheet3!$B$2:$E$312,3,)</f>
        <v>#N/A</v>
      </c>
      <c r="E953" s="64"/>
      <c r="F953" s="16" t="str">
        <f>IFERROR(VLOOKUP(B953,'Master data'!$A$1:$D$397,3,FALSE),"")</f>
        <v/>
      </c>
      <c r="H953" s="65"/>
      <c r="I953" s="16"/>
      <c r="J953" s="16"/>
      <c r="K953" s="16" t="b">
        <v>0</v>
      </c>
      <c r="L953" s="16" t="b">
        <v>0</v>
      </c>
    </row>
    <row r="954">
      <c r="A954" s="9"/>
      <c r="B954" s="16"/>
      <c r="C954" s="7" t="str">
        <f>IFERROR(VLOOKUP(B954,'Master data'!$A$1:$D$397,2,FALSE),"")</f>
        <v/>
      </c>
      <c r="D954" s="70" t="str">
        <f>VLOOKUP(B954,Sheet3!$B$2:$E$312,3,)</f>
        <v>#N/A</v>
      </c>
      <c r="E954" s="64"/>
      <c r="F954" s="16" t="str">
        <f>IFERROR(VLOOKUP(B954,'Master data'!$A$1:$D$397,3,FALSE),"")</f>
        <v/>
      </c>
      <c r="H954" s="65"/>
      <c r="I954" s="16"/>
      <c r="J954" s="16"/>
      <c r="K954" s="16" t="b">
        <v>0</v>
      </c>
      <c r="L954" s="16" t="b">
        <v>0</v>
      </c>
    </row>
    <row r="955">
      <c r="A955" s="9"/>
      <c r="B955" s="16"/>
      <c r="C955" s="7" t="str">
        <f>IFERROR(VLOOKUP(B955,'Master data'!$A$1:$D$397,2,FALSE),"")</f>
        <v/>
      </c>
      <c r="D955" s="70" t="str">
        <f>VLOOKUP(B955,Sheet3!$B$2:$E$312,3,)</f>
        <v>#N/A</v>
      </c>
      <c r="E955" s="64"/>
      <c r="F955" s="16" t="str">
        <f>IFERROR(VLOOKUP(B955,'Master data'!$A$1:$D$397,3,FALSE),"")</f>
        <v/>
      </c>
      <c r="H955" s="65"/>
      <c r="I955" s="16"/>
      <c r="J955" s="16"/>
      <c r="K955" s="16" t="b">
        <v>0</v>
      </c>
      <c r="L955" s="16" t="b">
        <v>0</v>
      </c>
    </row>
    <row r="956">
      <c r="A956" s="9"/>
      <c r="B956" s="16"/>
      <c r="C956" s="7" t="str">
        <f>IFERROR(VLOOKUP(B956,'Master data'!$A$1:$D$397,2,FALSE),"")</f>
        <v/>
      </c>
      <c r="D956" s="70" t="str">
        <f>VLOOKUP(B956,Sheet3!$B$2:$E$312,3,)</f>
        <v>#N/A</v>
      </c>
      <c r="E956" s="64"/>
      <c r="F956" s="16" t="str">
        <f>IFERROR(VLOOKUP(B956,'Master data'!$A$1:$D$397,3,FALSE),"")</f>
        <v/>
      </c>
      <c r="H956" s="65"/>
      <c r="I956" s="16"/>
      <c r="J956" s="16"/>
      <c r="K956" s="16" t="b">
        <v>0</v>
      </c>
      <c r="L956" s="16" t="b">
        <v>0</v>
      </c>
    </row>
    <row r="957">
      <c r="A957" s="9"/>
      <c r="B957" s="16"/>
      <c r="C957" s="7" t="str">
        <f>IFERROR(VLOOKUP(B957,'Master data'!$A$1:$D$397,2,FALSE),"")</f>
        <v/>
      </c>
      <c r="D957" s="70" t="str">
        <f>VLOOKUP(B957,Sheet3!$B$2:$E$312,3,)</f>
        <v>#N/A</v>
      </c>
      <c r="E957" s="64"/>
      <c r="F957" s="16" t="str">
        <f>IFERROR(VLOOKUP(B957,'Master data'!$A$1:$D$397,3,FALSE),"")</f>
        <v/>
      </c>
      <c r="H957" s="65"/>
      <c r="I957" s="16"/>
      <c r="J957" s="16"/>
      <c r="K957" s="16" t="b">
        <v>0</v>
      </c>
      <c r="L957" s="16" t="b">
        <v>0</v>
      </c>
    </row>
    <row r="958">
      <c r="A958" s="9"/>
      <c r="B958" s="16"/>
      <c r="C958" s="7" t="str">
        <f>IFERROR(VLOOKUP(B958,'Master data'!$A$1:$D$397,2,FALSE),"")</f>
        <v/>
      </c>
      <c r="D958" s="70" t="str">
        <f>VLOOKUP(B958,Sheet3!$B$2:$E$312,3,)</f>
        <v>#N/A</v>
      </c>
      <c r="E958" s="64"/>
      <c r="F958" s="16" t="str">
        <f>IFERROR(VLOOKUP(B958,'Master data'!$A$1:$D$397,3,FALSE),"")</f>
        <v/>
      </c>
      <c r="H958" s="65"/>
      <c r="I958" s="16"/>
      <c r="J958" s="16"/>
      <c r="K958" s="16" t="b">
        <v>0</v>
      </c>
      <c r="L958" s="16" t="b">
        <v>0</v>
      </c>
    </row>
    <row r="959">
      <c r="A959" s="9"/>
      <c r="B959" s="16"/>
      <c r="C959" s="7" t="str">
        <f>IFERROR(VLOOKUP(B959,'Master data'!$A$1:$D$397,2,FALSE),"")</f>
        <v/>
      </c>
      <c r="D959" s="70" t="str">
        <f>VLOOKUP(B959,Sheet3!$B$2:$E$312,3,)</f>
        <v>#N/A</v>
      </c>
      <c r="E959" s="64"/>
      <c r="F959" s="16" t="str">
        <f>IFERROR(VLOOKUP(B959,'Master data'!$A$1:$D$397,3,FALSE),"")</f>
        <v/>
      </c>
      <c r="H959" s="65"/>
      <c r="I959" s="16"/>
      <c r="J959" s="16"/>
      <c r="K959" s="16" t="b">
        <v>0</v>
      </c>
      <c r="L959" s="16" t="b">
        <v>0</v>
      </c>
    </row>
    <row r="960">
      <c r="A960" s="9"/>
      <c r="B960" s="16"/>
      <c r="C960" s="7" t="str">
        <f>IFERROR(VLOOKUP(B960,'Master data'!$A$1:$D$397,2,FALSE),"")</f>
        <v/>
      </c>
      <c r="D960" s="70" t="str">
        <f>VLOOKUP(B960,Sheet3!$B$2:$E$312,3,)</f>
        <v>#N/A</v>
      </c>
      <c r="E960" s="64"/>
      <c r="F960" s="16" t="str">
        <f>IFERROR(VLOOKUP(B960,'Master data'!$A$1:$D$397,3,FALSE),"")</f>
        <v/>
      </c>
      <c r="H960" s="65"/>
      <c r="I960" s="16"/>
      <c r="J960" s="16"/>
      <c r="K960" s="16" t="b">
        <v>0</v>
      </c>
      <c r="L960" s="16" t="b">
        <v>0</v>
      </c>
    </row>
    <row r="961">
      <c r="A961" s="9"/>
      <c r="B961" s="16"/>
      <c r="C961" s="7" t="str">
        <f>IFERROR(VLOOKUP(B961,'Master data'!$A$1:$D$397,2,FALSE),"")</f>
        <v/>
      </c>
      <c r="D961" s="70" t="str">
        <f>VLOOKUP(B961,Sheet3!$B$2:$E$312,3,)</f>
        <v>#N/A</v>
      </c>
      <c r="E961" s="64"/>
      <c r="F961" s="16" t="str">
        <f>IFERROR(VLOOKUP(B961,'Master data'!$A$1:$D$397,3,FALSE),"")</f>
        <v/>
      </c>
      <c r="H961" s="65"/>
      <c r="I961" s="16"/>
      <c r="J961" s="16"/>
      <c r="K961" s="16" t="b">
        <v>0</v>
      </c>
      <c r="L961" s="16" t="b">
        <v>0</v>
      </c>
    </row>
    <row r="962">
      <c r="A962" s="9"/>
      <c r="B962" s="16"/>
      <c r="C962" s="7" t="str">
        <f>IFERROR(VLOOKUP(B962,'Master data'!$A$1:$D$397,2,FALSE),"")</f>
        <v/>
      </c>
      <c r="D962" s="70" t="str">
        <f>VLOOKUP(B962,Sheet3!$B$2:$E$312,3,)</f>
        <v>#N/A</v>
      </c>
      <c r="E962" s="64"/>
      <c r="F962" s="16" t="str">
        <f>IFERROR(VLOOKUP(B962,'Master data'!$A$1:$D$397,3,FALSE),"")</f>
        <v/>
      </c>
      <c r="H962" s="65"/>
      <c r="I962" s="16"/>
      <c r="J962" s="16"/>
      <c r="K962" s="16" t="b">
        <v>0</v>
      </c>
      <c r="L962" s="16" t="b">
        <v>0</v>
      </c>
    </row>
    <row r="963">
      <c r="A963" s="9"/>
      <c r="B963" s="16"/>
      <c r="C963" s="7" t="str">
        <f>IFERROR(VLOOKUP(B963,'Master data'!$A$1:$D$397,2,FALSE),"")</f>
        <v/>
      </c>
      <c r="D963" s="70" t="str">
        <f>VLOOKUP(B963,Sheet3!$B$2:$E$312,3,)</f>
        <v>#N/A</v>
      </c>
      <c r="E963" s="64"/>
      <c r="F963" s="16" t="str">
        <f>IFERROR(VLOOKUP(B963,'Master data'!$A$1:$D$397,3,FALSE),"")</f>
        <v/>
      </c>
      <c r="H963" s="65"/>
      <c r="I963" s="16"/>
      <c r="J963" s="16"/>
      <c r="K963" s="16" t="b">
        <v>0</v>
      </c>
      <c r="L963" s="16" t="b">
        <v>0</v>
      </c>
    </row>
    <row r="964">
      <c r="A964" s="9"/>
      <c r="B964" s="16"/>
      <c r="C964" s="7" t="str">
        <f>IFERROR(VLOOKUP(B964,'Master data'!$A$1:$D$397,2,FALSE),"")</f>
        <v/>
      </c>
      <c r="D964" s="70" t="str">
        <f>VLOOKUP(B964,Sheet3!$B$2:$E$312,3,)</f>
        <v>#N/A</v>
      </c>
      <c r="E964" s="64"/>
      <c r="F964" s="16" t="str">
        <f>IFERROR(VLOOKUP(B964,'Master data'!$A$1:$D$397,3,FALSE),"")</f>
        <v/>
      </c>
      <c r="H964" s="65"/>
      <c r="I964" s="16"/>
      <c r="J964" s="16"/>
      <c r="K964" s="16" t="b">
        <v>0</v>
      </c>
      <c r="L964" s="16" t="b">
        <v>0</v>
      </c>
    </row>
    <row r="965">
      <c r="A965" s="9"/>
      <c r="B965" s="16"/>
      <c r="C965" s="7" t="str">
        <f>IFERROR(VLOOKUP(B965,'Master data'!$A$1:$D$397,2,FALSE),"")</f>
        <v/>
      </c>
      <c r="D965" s="70" t="str">
        <f>VLOOKUP(B965,Sheet3!$B$2:$E$312,3,)</f>
        <v>#N/A</v>
      </c>
      <c r="E965" s="64"/>
      <c r="F965" s="16" t="str">
        <f>IFERROR(VLOOKUP(B965,'Master data'!$A$1:$D$397,3,FALSE),"")</f>
        <v/>
      </c>
      <c r="H965" s="65"/>
      <c r="I965" s="16"/>
      <c r="J965" s="16"/>
      <c r="K965" s="16" t="b">
        <v>0</v>
      </c>
      <c r="L965" s="16" t="b">
        <v>0</v>
      </c>
    </row>
    <row r="966">
      <c r="A966" s="9"/>
      <c r="B966" s="16"/>
      <c r="C966" s="7" t="str">
        <f>IFERROR(VLOOKUP(B966,'Master data'!$A$1:$D$397,2,FALSE),"")</f>
        <v/>
      </c>
      <c r="D966" s="70" t="str">
        <f>VLOOKUP(B966,Sheet3!$B$2:$E$312,3,)</f>
        <v>#N/A</v>
      </c>
      <c r="E966" s="64"/>
      <c r="F966" s="16" t="str">
        <f>IFERROR(VLOOKUP(B966,'Master data'!$A$1:$D$397,3,FALSE),"")</f>
        <v/>
      </c>
      <c r="H966" s="65"/>
      <c r="I966" s="16"/>
      <c r="J966" s="16"/>
      <c r="K966" s="16" t="b">
        <v>0</v>
      </c>
      <c r="L966" s="16" t="b">
        <v>0</v>
      </c>
    </row>
    <row r="967">
      <c r="A967" s="9"/>
      <c r="B967" s="16"/>
      <c r="C967" s="7" t="str">
        <f>IFERROR(VLOOKUP(B967,'Master data'!$A$1:$D$397,2,FALSE),"")</f>
        <v/>
      </c>
      <c r="D967" s="70" t="str">
        <f>VLOOKUP(B967,Sheet3!$B$2:$E$312,3,)</f>
        <v>#N/A</v>
      </c>
      <c r="E967" s="64"/>
      <c r="F967" s="16" t="str">
        <f>IFERROR(VLOOKUP(B967,'Master data'!$A$1:$D$397,3,FALSE),"")</f>
        <v/>
      </c>
      <c r="H967" s="65"/>
      <c r="I967" s="16"/>
      <c r="J967" s="16"/>
      <c r="K967" s="16" t="b">
        <v>0</v>
      </c>
      <c r="L967" s="16" t="b">
        <v>0</v>
      </c>
    </row>
    <row r="968">
      <c r="A968" s="9"/>
      <c r="B968" s="16"/>
      <c r="C968" s="7" t="str">
        <f>IFERROR(VLOOKUP(B968,'Master data'!$A$1:$D$397,2,FALSE),"")</f>
        <v/>
      </c>
      <c r="D968" s="70" t="str">
        <f>VLOOKUP(B968,Sheet3!$B$2:$E$312,3,)</f>
        <v>#N/A</v>
      </c>
      <c r="E968" s="64"/>
      <c r="F968" s="16" t="str">
        <f>IFERROR(VLOOKUP(B968,'Master data'!$A$1:$D$397,3,FALSE),"")</f>
        <v/>
      </c>
      <c r="H968" s="65"/>
      <c r="I968" s="16"/>
      <c r="J968" s="16"/>
      <c r="K968" s="16" t="b">
        <v>0</v>
      </c>
      <c r="L968" s="16" t="b">
        <v>0</v>
      </c>
    </row>
    <row r="969">
      <c r="A969" s="9"/>
      <c r="B969" s="16"/>
      <c r="C969" s="7" t="str">
        <f>IFERROR(VLOOKUP(B969,'Master data'!$A$1:$D$397,2,FALSE),"")</f>
        <v/>
      </c>
      <c r="D969" s="70" t="str">
        <f>VLOOKUP(B969,Sheet3!$B$2:$E$312,3,)</f>
        <v>#N/A</v>
      </c>
      <c r="E969" s="64"/>
      <c r="F969" s="16" t="str">
        <f>IFERROR(VLOOKUP(B969,'Master data'!$A$1:$D$397,3,FALSE),"")</f>
        <v/>
      </c>
      <c r="H969" s="65"/>
      <c r="I969" s="16"/>
      <c r="J969" s="16"/>
      <c r="K969" s="16" t="b">
        <v>0</v>
      </c>
      <c r="L969" s="16" t="b">
        <v>0</v>
      </c>
    </row>
    <row r="970">
      <c r="A970" s="9"/>
      <c r="B970" s="16"/>
      <c r="C970" s="7" t="str">
        <f>IFERROR(VLOOKUP(B970,'Master data'!$A$1:$D$397,2,FALSE),"")</f>
        <v/>
      </c>
      <c r="D970" s="70" t="str">
        <f>VLOOKUP(B970,Sheet3!$B$2:$E$312,3,)</f>
        <v>#N/A</v>
      </c>
      <c r="E970" s="64"/>
      <c r="F970" s="16" t="str">
        <f>IFERROR(VLOOKUP(B970,'Master data'!$A$1:$D$397,3,FALSE),"")</f>
        <v/>
      </c>
      <c r="H970" s="65"/>
      <c r="I970" s="16"/>
      <c r="J970" s="16"/>
      <c r="K970" s="16" t="b">
        <v>0</v>
      </c>
      <c r="L970" s="16" t="b">
        <v>0</v>
      </c>
    </row>
    <row r="971">
      <c r="A971" s="9"/>
      <c r="B971" s="16"/>
      <c r="C971" s="7" t="str">
        <f>IFERROR(VLOOKUP(B971,'Master data'!$A$1:$D$397,2,FALSE),"")</f>
        <v/>
      </c>
      <c r="D971" s="70" t="str">
        <f>VLOOKUP(B971,Sheet3!$B$2:$E$312,3,)</f>
        <v>#N/A</v>
      </c>
      <c r="E971" s="64"/>
      <c r="F971" s="16" t="str">
        <f>IFERROR(VLOOKUP(B971,'Master data'!$A$1:$D$397,3,FALSE),"")</f>
        <v/>
      </c>
      <c r="H971" s="65"/>
      <c r="I971" s="16"/>
      <c r="J971" s="16"/>
      <c r="K971" s="16" t="b">
        <v>0</v>
      </c>
      <c r="L971" s="16" t="b">
        <v>0</v>
      </c>
    </row>
    <row r="972">
      <c r="A972" s="9"/>
      <c r="B972" s="16"/>
      <c r="C972" s="7" t="str">
        <f>IFERROR(VLOOKUP(B972,'Master data'!$A$1:$D$397,2,FALSE),"")</f>
        <v/>
      </c>
      <c r="D972" s="70" t="str">
        <f>VLOOKUP(B972,Sheet3!$B$2:$E$312,3,)</f>
        <v>#N/A</v>
      </c>
      <c r="E972" s="64"/>
      <c r="F972" s="16" t="str">
        <f>IFERROR(VLOOKUP(B972,'Master data'!$A$1:$D$397,3,FALSE),"")</f>
        <v/>
      </c>
      <c r="H972" s="65"/>
      <c r="I972" s="16"/>
      <c r="J972" s="16"/>
      <c r="K972" s="16" t="b">
        <v>0</v>
      </c>
      <c r="L972" s="16" t="b">
        <v>0</v>
      </c>
    </row>
    <row r="973">
      <c r="A973" s="9"/>
      <c r="B973" s="16"/>
      <c r="C973" s="7" t="str">
        <f>IFERROR(VLOOKUP(B973,'Master data'!$A$1:$D$397,2,FALSE),"")</f>
        <v/>
      </c>
      <c r="D973" s="70" t="str">
        <f>VLOOKUP(B973,Sheet3!$B$2:$E$312,3,)</f>
        <v>#N/A</v>
      </c>
      <c r="E973" s="64"/>
      <c r="F973" s="16" t="str">
        <f>IFERROR(VLOOKUP(B973,'Master data'!$A$1:$D$397,3,FALSE),"")</f>
        <v/>
      </c>
      <c r="H973" s="65"/>
      <c r="I973" s="16"/>
      <c r="J973" s="16"/>
      <c r="K973" s="16" t="b">
        <v>0</v>
      </c>
      <c r="L973" s="16" t="b">
        <v>0</v>
      </c>
    </row>
    <row r="974">
      <c r="A974" s="9"/>
      <c r="B974" s="16"/>
      <c r="C974" s="7" t="str">
        <f>IFERROR(VLOOKUP(B974,'Master data'!$A$1:$D$397,2,FALSE),"")</f>
        <v/>
      </c>
      <c r="D974" s="70" t="str">
        <f>VLOOKUP(B974,Sheet3!$B$2:$E$312,3,)</f>
        <v>#N/A</v>
      </c>
      <c r="E974" s="64"/>
      <c r="F974" s="16" t="str">
        <f>IFERROR(VLOOKUP(B974,'Master data'!$A$1:$D$397,3,FALSE),"")</f>
        <v/>
      </c>
      <c r="H974" s="65"/>
      <c r="I974" s="16"/>
      <c r="J974" s="16"/>
      <c r="K974" s="16" t="b">
        <v>0</v>
      </c>
      <c r="L974" s="16" t="b">
        <v>0</v>
      </c>
    </row>
    <row r="975">
      <c r="A975" s="9"/>
      <c r="B975" s="16"/>
      <c r="C975" s="7" t="str">
        <f>IFERROR(VLOOKUP(B975,'Master data'!$A$1:$D$397,2,FALSE),"")</f>
        <v/>
      </c>
      <c r="D975" s="70" t="str">
        <f>VLOOKUP(B975,Sheet3!$B$2:$E$312,3,)</f>
        <v>#N/A</v>
      </c>
      <c r="E975" s="64"/>
      <c r="F975" s="16" t="str">
        <f>IFERROR(VLOOKUP(B975,'Master data'!$A$1:$D$397,3,FALSE),"")</f>
        <v/>
      </c>
      <c r="H975" s="65"/>
      <c r="I975" s="16"/>
      <c r="J975" s="16"/>
      <c r="K975" s="16" t="b">
        <v>0</v>
      </c>
      <c r="L975" s="16" t="b">
        <v>0</v>
      </c>
    </row>
    <row r="976">
      <c r="A976" s="9"/>
      <c r="B976" s="16"/>
      <c r="C976" s="7" t="str">
        <f>IFERROR(VLOOKUP(B976,'Master data'!$A$1:$D$397,2,FALSE),"")</f>
        <v/>
      </c>
      <c r="D976" s="70" t="str">
        <f>VLOOKUP(B976,Sheet3!$B$2:$E$312,3,)</f>
        <v>#N/A</v>
      </c>
      <c r="E976" s="64"/>
      <c r="F976" s="16" t="str">
        <f>IFERROR(VLOOKUP(B976,'Master data'!$A$1:$D$397,3,FALSE),"")</f>
        <v/>
      </c>
      <c r="H976" s="65"/>
      <c r="I976" s="16"/>
      <c r="J976" s="16"/>
      <c r="K976" s="16" t="b">
        <v>0</v>
      </c>
      <c r="L976" s="16" t="b">
        <v>0</v>
      </c>
    </row>
    <row r="977">
      <c r="A977" s="9"/>
      <c r="B977" s="16"/>
      <c r="C977" s="7" t="str">
        <f>IFERROR(VLOOKUP(B977,'Master data'!$A$1:$D$397,2,FALSE),"")</f>
        <v/>
      </c>
      <c r="D977" s="70" t="str">
        <f>VLOOKUP(B977,Sheet3!$B$2:$E$312,3,)</f>
        <v>#N/A</v>
      </c>
      <c r="E977" s="64"/>
      <c r="F977" s="16" t="str">
        <f>IFERROR(VLOOKUP(B977,'Master data'!$A$1:$D$397,3,FALSE),"")</f>
        <v/>
      </c>
      <c r="H977" s="65"/>
      <c r="I977" s="16"/>
      <c r="J977" s="16"/>
      <c r="K977" s="16" t="b">
        <v>0</v>
      </c>
      <c r="L977" s="16" t="b">
        <v>0</v>
      </c>
    </row>
    <row r="978">
      <c r="A978" s="9"/>
      <c r="B978" s="16"/>
      <c r="C978" s="7" t="str">
        <f>IFERROR(VLOOKUP(B978,'Master data'!$A$1:$D$397,2,FALSE),"")</f>
        <v/>
      </c>
      <c r="D978" s="70" t="str">
        <f>VLOOKUP(B978,Sheet3!$B$2:$E$312,3,)</f>
        <v>#N/A</v>
      </c>
      <c r="E978" s="64"/>
      <c r="F978" s="16" t="str">
        <f>IFERROR(VLOOKUP(B978,'Master data'!$A$1:$D$397,3,FALSE),"")</f>
        <v/>
      </c>
      <c r="H978" s="65"/>
      <c r="I978" s="16"/>
      <c r="J978" s="16"/>
      <c r="K978" s="16" t="b">
        <v>0</v>
      </c>
      <c r="L978" s="16" t="b">
        <v>0</v>
      </c>
    </row>
    <row r="979">
      <c r="A979" s="9"/>
      <c r="B979" s="16"/>
      <c r="C979" s="7" t="str">
        <f>IFERROR(VLOOKUP(B979,'Master data'!$A$1:$D$397,2,FALSE),"")</f>
        <v/>
      </c>
      <c r="D979" s="70" t="str">
        <f>VLOOKUP(B979,Sheet3!$B$2:$E$312,3,)</f>
        <v>#N/A</v>
      </c>
      <c r="E979" s="64"/>
      <c r="F979" s="16" t="str">
        <f>IFERROR(VLOOKUP(B979,'Master data'!$A$1:$D$397,3,FALSE),"")</f>
        <v/>
      </c>
      <c r="H979" s="65"/>
      <c r="I979" s="16"/>
      <c r="J979" s="16"/>
      <c r="K979" s="16" t="b">
        <v>0</v>
      </c>
      <c r="L979" s="16" t="b">
        <v>0</v>
      </c>
    </row>
    <row r="980">
      <c r="A980" s="9"/>
      <c r="B980" s="16"/>
      <c r="C980" s="7" t="str">
        <f>IFERROR(VLOOKUP(B980,'Master data'!$A$1:$D$397,2,FALSE),"")</f>
        <v/>
      </c>
      <c r="D980" s="70" t="str">
        <f>VLOOKUP(B980,Sheet3!$B$2:$E$312,3,)</f>
        <v>#N/A</v>
      </c>
      <c r="E980" s="64"/>
      <c r="F980" s="16" t="str">
        <f>IFERROR(VLOOKUP(B980,'Master data'!$A$1:$D$397,3,FALSE),"")</f>
        <v/>
      </c>
      <c r="H980" s="65"/>
      <c r="I980" s="16"/>
      <c r="J980" s="16"/>
      <c r="K980" s="16" t="b">
        <v>0</v>
      </c>
      <c r="L980" s="16" t="b">
        <v>0</v>
      </c>
    </row>
    <row r="981">
      <c r="A981" s="9"/>
      <c r="B981" s="16"/>
      <c r="C981" s="7" t="str">
        <f>IFERROR(VLOOKUP(B981,'Master data'!$A$1:$D$397,2,FALSE),"")</f>
        <v/>
      </c>
      <c r="D981" s="70" t="str">
        <f>VLOOKUP(B981,Sheet3!$B$2:$E$312,3,)</f>
        <v>#N/A</v>
      </c>
      <c r="E981" s="64"/>
      <c r="F981" s="16" t="str">
        <f>IFERROR(VLOOKUP(B981,'Master data'!$A$1:$D$397,3,FALSE),"")</f>
        <v/>
      </c>
      <c r="H981" s="65"/>
      <c r="I981" s="16"/>
      <c r="J981" s="16"/>
      <c r="K981" s="16" t="b">
        <v>0</v>
      </c>
      <c r="L981" s="16" t="b">
        <v>0</v>
      </c>
    </row>
    <row r="982">
      <c r="A982" s="9"/>
      <c r="B982" s="16"/>
      <c r="C982" s="7" t="str">
        <f>IFERROR(VLOOKUP(B982,'Master data'!$A$1:$D$397,2,FALSE),"")</f>
        <v/>
      </c>
      <c r="D982" s="70" t="str">
        <f>VLOOKUP(B982,Sheet3!$B$2:$E$312,3,)</f>
        <v>#N/A</v>
      </c>
      <c r="E982" s="64"/>
      <c r="F982" s="16" t="str">
        <f>IFERROR(VLOOKUP(B982,'Master data'!$A$1:$D$397,3,FALSE),"")</f>
        <v/>
      </c>
      <c r="H982" s="65"/>
      <c r="I982" s="16"/>
      <c r="J982" s="16"/>
      <c r="K982" s="16" t="b">
        <v>0</v>
      </c>
      <c r="L982" s="16" t="b">
        <v>0</v>
      </c>
    </row>
    <row r="983">
      <c r="A983" s="9"/>
      <c r="B983" s="16"/>
      <c r="C983" s="7" t="str">
        <f>IFERROR(VLOOKUP(B983,'Master data'!$A$1:$D$397,2,FALSE),"")</f>
        <v/>
      </c>
      <c r="D983" s="70" t="str">
        <f>VLOOKUP(B983,Sheet3!$B$2:$E$312,3,)</f>
        <v>#N/A</v>
      </c>
      <c r="E983" s="64"/>
      <c r="F983" s="16" t="str">
        <f>IFERROR(VLOOKUP(B983,'Master data'!$A$1:$D$397,3,FALSE),"")</f>
        <v/>
      </c>
      <c r="H983" s="65"/>
      <c r="I983" s="16"/>
      <c r="J983" s="16"/>
      <c r="K983" s="16" t="b">
        <v>0</v>
      </c>
      <c r="L983" s="16" t="b">
        <v>0</v>
      </c>
    </row>
    <row r="984">
      <c r="A984" s="9"/>
      <c r="B984" s="16"/>
      <c r="C984" s="7" t="str">
        <f>IFERROR(VLOOKUP(B984,'Master data'!$A$1:$D$397,2,FALSE),"")</f>
        <v/>
      </c>
      <c r="D984" s="70" t="str">
        <f>VLOOKUP(B984,Sheet3!$B$2:$E$312,3,)</f>
        <v>#N/A</v>
      </c>
      <c r="E984" s="64"/>
      <c r="F984" s="16" t="str">
        <f>IFERROR(VLOOKUP(B984,'Master data'!$A$1:$D$397,3,FALSE),"")</f>
        <v/>
      </c>
      <c r="H984" s="65"/>
      <c r="I984" s="16"/>
      <c r="J984" s="16"/>
      <c r="K984" s="16" t="b">
        <v>0</v>
      </c>
      <c r="L984" s="16" t="b">
        <v>0</v>
      </c>
    </row>
    <row r="985">
      <c r="A985" s="9"/>
      <c r="B985" s="16"/>
      <c r="C985" s="7" t="str">
        <f>IFERROR(VLOOKUP(B985,'Master data'!$A$1:$D$397,2,FALSE),"")</f>
        <v/>
      </c>
      <c r="D985" s="70" t="str">
        <f>VLOOKUP(B985,Sheet3!$B$2:$E$312,3,)</f>
        <v>#N/A</v>
      </c>
      <c r="E985" s="64"/>
      <c r="F985" s="16" t="str">
        <f>IFERROR(VLOOKUP(B985,'Master data'!$A$1:$D$397,3,FALSE),"")</f>
        <v/>
      </c>
      <c r="H985" s="65"/>
      <c r="I985" s="16"/>
      <c r="J985" s="16"/>
      <c r="K985" s="16" t="b">
        <v>0</v>
      </c>
      <c r="L985" s="16" t="b">
        <v>0</v>
      </c>
    </row>
    <row r="986">
      <c r="A986" s="9"/>
      <c r="B986" s="16"/>
      <c r="C986" s="7" t="str">
        <f>IFERROR(VLOOKUP(B986,'Master data'!$A$1:$D$397,2,FALSE),"")</f>
        <v/>
      </c>
      <c r="D986" s="70" t="str">
        <f>VLOOKUP(B986,Sheet3!$B$2:$E$312,3,)</f>
        <v>#N/A</v>
      </c>
      <c r="E986" s="64"/>
      <c r="F986" s="16" t="str">
        <f>IFERROR(VLOOKUP(B986,'Master data'!$A$1:$D$397,3,FALSE),"")</f>
        <v/>
      </c>
      <c r="H986" s="65"/>
      <c r="I986" s="16"/>
      <c r="J986" s="16"/>
      <c r="K986" s="16" t="b">
        <v>0</v>
      </c>
      <c r="L986" s="16" t="b">
        <v>0</v>
      </c>
    </row>
    <row r="987">
      <c r="A987" s="9"/>
      <c r="B987" s="16"/>
      <c r="C987" s="7" t="str">
        <f>IFERROR(VLOOKUP(B987,'Master data'!$A$1:$D$397,2,FALSE),"")</f>
        <v/>
      </c>
      <c r="D987" s="70" t="str">
        <f>VLOOKUP(B987,Sheet3!$B$2:$E$312,3,)</f>
        <v>#N/A</v>
      </c>
      <c r="E987" s="64"/>
      <c r="F987" s="16" t="str">
        <f>IFERROR(VLOOKUP(B987,'Master data'!$A$1:$D$397,3,FALSE),"")</f>
        <v/>
      </c>
      <c r="H987" s="65"/>
      <c r="I987" s="16"/>
      <c r="J987" s="16"/>
      <c r="K987" s="16" t="b">
        <v>0</v>
      </c>
      <c r="L987" s="16" t="b">
        <v>0</v>
      </c>
    </row>
    <row r="988">
      <c r="A988" s="9"/>
      <c r="B988" s="16"/>
      <c r="C988" s="7" t="str">
        <f>IFERROR(VLOOKUP(B988,'Master data'!$A$1:$D$397,2,FALSE),"")</f>
        <v/>
      </c>
      <c r="D988" s="70" t="str">
        <f>VLOOKUP(B988,Sheet3!$B$2:$E$312,3,)</f>
        <v>#N/A</v>
      </c>
      <c r="E988" s="64"/>
      <c r="F988" s="16" t="str">
        <f>IFERROR(VLOOKUP(B988,'Master data'!$A$1:$D$397,3,FALSE),"")</f>
        <v/>
      </c>
      <c r="H988" s="65"/>
      <c r="I988" s="16"/>
      <c r="J988" s="16"/>
      <c r="K988" s="16" t="b">
        <v>0</v>
      </c>
      <c r="L988" s="16" t="b">
        <v>0</v>
      </c>
    </row>
    <row r="989">
      <c r="A989" s="9"/>
      <c r="B989" s="16"/>
      <c r="C989" s="7" t="str">
        <f>IFERROR(VLOOKUP(B989,'Master data'!$A$1:$D$397,2,FALSE),"")</f>
        <v/>
      </c>
      <c r="D989" s="70" t="str">
        <f>VLOOKUP(B989,Sheet3!$B$2:$E$312,3,)</f>
        <v>#N/A</v>
      </c>
      <c r="E989" s="64"/>
      <c r="F989" s="16" t="str">
        <f>IFERROR(VLOOKUP(B989,'Master data'!$A$1:$D$397,3,FALSE),"")</f>
        <v/>
      </c>
      <c r="H989" s="65"/>
      <c r="I989" s="16"/>
      <c r="J989" s="16"/>
      <c r="K989" s="16" t="b">
        <v>0</v>
      </c>
      <c r="L989" s="16" t="b">
        <v>0</v>
      </c>
    </row>
    <row r="990">
      <c r="A990" s="9"/>
      <c r="B990" s="16"/>
      <c r="C990" s="7" t="str">
        <f>IFERROR(VLOOKUP(B990,'Master data'!$A$1:$D$397,2,FALSE),"")</f>
        <v/>
      </c>
      <c r="D990" s="70" t="str">
        <f>VLOOKUP(B990,Sheet3!$B$2:$E$312,3,)</f>
        <v>#N/A</v>
      </c>
      <c r="E990" s="64"/>
      <c r="F990" s="16" t="str">
        <f>IFERROR(VLOOKUP(B990,'Master data'!$A$1:$D$397,3,FALSE),"")</f>
        <v/>
      </c>
      <c r="H990" s="65"/>
      <c r="I990" s="16"/>
      <c r="J990" s="16"/>
      <c r="K990" s="16" t="b">
        <v>0</v>
      </c>
      <c r="L990" s="16" t="b">
        <v>0</v>
      </c>
    </row>
    <row r="991">
      <c r="A991" s="9"/>
      <c r="B991" s="16"/>
      <c r="C991" s="7" t="str">
        <f>IFERROR(VLOOKUP(B991,'Master data'!$A$1:$D$397,2,FALSE),"")</f>
        <v/>
      </c>
      <c r="D991" s="70" t="str">
        <f>VLOOKUP(B991,Sheet3!$B$2:$E$312,3,)</f>
        <v>#N/A</v>
      </c>
      <c r="E991" s="64"/>
      <c r="F991" s="16" t="str">
        <f>IFERROR(VLOOKUP(B991,'Master data'!$A$1:$D$397,3,FALSE),"")</f>
        <v/>
      </c>
      <c r="H991" s="65"/>
      <c r="I991" s="16"/>
      <c r="J991" s="16"/>
      <c r="K991" s="16" t="b">
        <v>0</v>
      </c>
      <c r="L991" s="16" t="b">
        <v>0</v>
      </c>
    </row>
    <row r="992">
      <c r="A992" s="9"/>
      <c r="B992" s="16"/>
      <c r="C992" s="7" t="str">
        <f>IFERROR(VLOOKUP(B992,'Master data'!$A$1:$D$397,2,FALSE),"")</f>
        <v/>
      </c>
      <c r="D992" s="70" t="str">
        <f>VLOOKUP(B992,Sheet3!$B$2:$E$312,3,)</f>
        <v>#N/A</v>
      </c>
      <c r="E992" s="64"/>
      <c r="F992" s="16" t="str">
        <f>IFERROR(VLOOKUP(B992,'Master data'!$A$1:$D$397,3,FALSE),"")</f>
        <v/>
      </c>
      <c r="H992" s="65"/>
      <c r="I992" s="16"/>
      <c r="J992" s="16"/>
      <c r="K992" s="16" t="b">
        <v>0</v>
      </c>
      <c r="L992" s="16" t="b">
        <v>0</v>
      </c>
    </row>
    <row r="993">
      <c r="A993" s="9"/>
      <c r="B993" s="16"/>
      <c r="C993" s="7" t="str">
        <f>IFERROR(VLOOKUP(B993,'Master data'!$A$1:$D$397,2,FALSE),"")</f>
        <v/>
      </c>
      <c r="D993" s="70" t="str">
        <f>VLOOKUP(B993,Sheet3!$B$2:$E$312,3,)</f>
        <v>#N/A</v>
      </c>
      <c r="E993" s="64"/>
      <c r="F993" s="16" t="str">
        <f>IFERROR(VLOOKUP(B993,'Master data'!$A$1:$D$397,3,FALSE),"")</f>
        <v/>
      </c>
      <c r="H993" s="65"/>
      <c r="I993" s="16"/>
      <c r="J993" s="16"/>
      <c r="K993" s="16" t="b">
        <v>0</v>
      </c>
      <c r="L993" s="16" t="b">
        <v>0</v>
      </c>
    </row>
    <row r="994">
      <c r="A994" s="9"/>
      <c r="B994" s="16"/>
      <c r="C994" s="7" t="str">
        <f>IFERROR(VLOOKUP(B994,'Master data'!$A$1:$D$397,2,FALSE),"")</f>
        <v/>
      </c>
      <c r="D994" s="70" t="str">
        <f>VLOOKUP(B994,Sheet3!$B$2:$E$312,3,)</f>
        <v>#N/A</v>
      </c>
      <c r="E994" s="64"/>
      <c r="F994" s="16" t="str">
        <f>IFERROR(VLOOKUP(B994,'Master data'!$A$1:$D$397,3,FALSE),"")</f>
        <v/>
      </c>
      <c r="H994" s="65"/>
      <c r="I994" s="16"/>
      <c r="J994" s="16"/>
      <c r="K994" s="16" t="b">
        <v>0</v>
      </c>
      <c r="L994" s="16" t="b">
        <v>0</v>
      </c>
    </row>
    <row r="995">
      <c r="A995" s="9"/>
      <c r="B995" s="16"/>
      <c r="C995" s="7" t="str">
        <f>IFERROR(VLOOKUP(B995,'Master data'!$A$1:$D$397,2,FALSE),"")</f>
        <v/>
      </c>
      <c r="D995" s="70" t="str">
        <f>VLOOKUP(B995,Sheet3!$B$2:$E$312,3,)</f>
        <v>#N/A</v>
      </c>
      <c r="E995" s="64"/>
      <c r="F995" s="16" t="str">
        <f>IFERROR(VLOOKUP(B995,'Master data'!$A$1:$D$397,3,FALSE),"")</f>
        <v/>
      </c>
      <c r="H995" s="65"/>
      <c r="I995" s="16"/>
      <c r="J995" s="16"/>
      <c r="K995" s="16" t="b">
        <v>0</v>
      </c>
      <c r="L995" s="16" t="b">
        <v>0</v>
      </c>
    </row>
    <row r="996">
      <c r="A996" s="9"/>
      <c r="B996" s="16"/>
      <c r="C996" s="7" t="str">
        <f>IFERROR(VLOOKUP(B996,'Master data'!$A$1:$D$397,2,FALSE),"")</f>
        <v/>
      </c>
      <c r="D996" s="70" t="str">
        <f>VLOOKUP(B996,Sheet3!$B$2:$E$312,3,)</f>
        <v>#N/A</v>
      </c>
      <c r="E996" s="64"/>
      <c r="F996" s="16" t="str">
        <f>IFERROR(VLOOKUP(B996,'Master data'!$A$1:$D$397,3,FALSE),"")</f>
        <v/>
      </c>
      <c r="H996" s="65"/>
      <c r="I996" s="16"/>
      <c r="J996" s="16"/>
      <c r="K996" s="16" t="b">
        <v>0</v>
      </c>
      <c r="L996" s="16" t="b">
        <v>0</v>
      </c>
    </row>
    <row r="997">
      <c r="A997" s="9"/>
      <c r="B997" s="16"/>
      <c r="C997" s="7" t="str">
        <f>IFERROR(VLOOKUP(B997,'Master data'!$A$1:$D$397,2,FALSE),"")</f>
        <v/>
      </c>
      <c r="D997" s="70" t="str">
        <f>VLOOKUP(B997,Sheet3!$B$2:$E$312,3,)</f>
        <v>#N/A</v>
      </c>
      <c r="E997" s="64"/>
      <c r="F997" s="16" t="str">
        <f>IFERROR(VLOOKUP(B997,'Master data'!$A$1:$D$397,3,FALSE),"")</f>
        <v/>
      </c>
      <c r="H997" s="65"/>
      <c r="I997" s="16"/>
      <c r="J997" s="16"/>
      <c r="K997" s="16" t="b">
        <v>0</v>
      </c>
      <c r="L997" s="16" t="b">
        <v>0</v>
      </c>
    </row>
    <row r="998">
      <c r="A998" s="9"/>
      <c r="B998" s="16"/>
      <c r="C998" s="7" t="str">
        <f>IFERROR(VLOOKUP(B998,'Master data'!$A$1:$D$397,2,FALSE),"")</f>
        <v/>
      </c>
      <c r="D998" s="70" t="str">
        <f>VLOOKUP(B998,Sheet3!$B$2:$E$312,3,)</f>
        <v>#N/A</v>
      </c>
      <c r="E998" s="64"/>
      <c r="F998" s="16" t="str">
        <f>IFERROR(VLOOKUP(B998,'Master data'!$A$1:$D$397,3,FALSE),"")</f>
        <v/>
      </c>
      <c r="H998" s="65"/>
      <c r="I998" s="16"/>
      <c r="J998" s="16"/>
      <c r="K998" s="16" t="b">
        <v>0</v>
      </c>
      <c r="L998" s="16" t="b">
        <v>0</v>
      </c>
    </row>
    <row r="999">
      <c r="A999" s="9"/>
      <c r="B999" s="16"/>
      <c r="C999" s="7" t="str">
        <f>IFERROR(VLOOKUP(B999,'Master data'!$A$1:$D$397,2,FALSE),"")</f>
        <v/>
      </c>
      <c r="D999" s="70" t="str">
        <f>VLOOKUP(B999,Sheet3!$B$2:$E$312,3,)</f>
        <v>#N/A</v>
      </c>
      <c r="E999" s="64"/>
      <c r="F999" s="16" t="str">
        <f>IFERROR(VLOOKUP(B999,'Master data'!$A$1:$D$397,3,FALSE),"")</f>
        <v/>
      </c>
      <c r="H999" s="65"/>
      <c r="I999" s="16"/>
      <c r="J999" s="16"/>
      <c r="K999" s="16" t="b">
        <v>0</v>
      </c>
      <c r="L999" s="16" t="b">
        <v>0</v>
      </c>
    </row>
    <row r="1000">
      <c r="A1000" s="9"/>
      <c r="B1000" s="16"/>
      <c r="C1000" s="7" t="str">
        <f>IFERROR(VLOOKUP(B1000,'Master data'!$A$1:$D$397,2,FALSE),"")</f>
        <v/>
      </c>
      <c r="D1000" s="70" t="str">
        <f>VLOOKUP(B1000,Sheet3!$B$2:$E$312,3,)</f>
        <v>#N/A</v>
      </c>
      <c r="E1000" s="64"/>
      <c r="F1000" s="16" t="str">
        <f>IFERROR(VLOOKUP(B1000,'Master data'!$A$1:$D$397,3,FALSE),"")</f>
        <v/>
      </c>
      <c r="H1000" s="65"/>
      <c r="I1000" s="16"/>
      <c r="J1000" s="16"/>
      <c r="K1000" s="16" t="b">
        <v>0</v>
      </c>
      <c r="L1000" s="16" t="b">
        <v>0</v>
      </c>
    </row>
    <row r="1001">
      <c r="A1001" s="9"/>
      <c r="B1001" s="16"/>
      <c r="C1001" s="7" t="str">
        <f>IFERROR(VLOOKUP(B1001,'Master data'!$A$1:$D$397,2,FALSE),"")</f>
        <v/>
      </c>
      <c r="D1001" s="70" t="str">
        <f>VLOOKUP(B1001,Sheet3!$B$2:$E$312,3,)</f>
        <v>#N/A</v>
      </c>
      <c r="E1001" s="64"/>
      <c r="F1001" s="16" t="str">
        <f>IFERROR(VLOOKUP(B1001,'Master data'!$A$1:$D$397,3,FALSE),"")</f>
        <v/>
      </c>
      <c r="H1001" s="65"/>
      <c r="I1001" s="16"/>
      <c r="J1001" s="16"/>
      <c r="K1001" s="16" t="b">
        <v>0</v>
      </c>
      <c r="L1001" s="16" t="b">
        <v>0</v>
      </c>
    </row>
    <row r="1002">
      <c r="A1002" s="9"/>
      <c r="B1002" s="16"/>
      <c r="C1002" s="7" t="str">
        <f>IFERROR(VLOOKUP(B1002,'Master data'!$A$1:$D$397,2,FALSE),"")</f>
        <v/>
      </c>
      <c r="D1002" s="70" t="str">
        <f>VLOOKUP(B1002,Sheet3!$B$2:$E$312,3,)</f>
        <v>#N/A</v>
      </c>
      <c r="E1002" s="64"/>
      <c r="F1002" s="16" t="str">
        <f>IFERROR(VLOOKUP(B1002,'Master data'!$A$1:$D$397,3,FALSE),"")</f>
        <v/>
      </c>
      <c r="H1002" s="65"/>
      <c r="I1002" s="16"/>
      <c r="J1002" s="16"/>
      <c r="K1002" s="16" t="b">
        <v>0</v>
      </c>
      <c r="L1002" s="16" t="b">
        <v>0</v>
      </c>
    </row>
    <row r="1003">
      <c r="A1003" s="9"/>
      <c r="B1003" s="16"/>
      <c r="C1003" s="7" t="str">
        <f>IFERROR(VLOOKUP(B1003,'Master data'!$A$1:$D$397,2,FALSE),"")</f>
        <v/>
      </c>
      <c r="D1003" s="70" t="str">
        <f>VLOOKUP(B1003,Sheet3!$B$2:$E$312,3,)</f>
        <v>#N/A</v>
      </c>
      <c r="E1003" s="64"/>
      <c r="F1003" s="16" t="str">
        <f>IFERROR(VLOOKUP(B1003,'Master data'!$A$1:$D$397,3,FALSE),"")</f>
        <v/>
      </c>
      <c r="H1003" s="65"/>
      <c r="I1003" s="16"/>
      <c r="J1003" s="16"/>
      <c r="K1003" s="16" t="b">
        <v>0</v>
      </c>
      <c r="L1003" s="16" t="b">
        <v>0</v>
      </c>
    </row>
    <row r="1004">
      <c r="A1004" s="9"/>
      <c r="B1004" s="16"/>
      <c r="C1004" s="7" t="str">
        <f>IFERROR(VLOOKUP(B1004,'Master data'!$A$1:$D$397,2,FALSE),"")</f>
        <v/>
      </c>
      <c r="D1004" s="70" t="str">
        <f>VLOOKUP(B1004,Sheet3!$B$2:$E$312,3,)</f>
        <v>#N/A</v>
      </c>
      <c r="E1004" s="64"/>
      <c r="F1004" s="16" t="str">
        <f>IFERROR(VLOOKUP(B1004,'Master data'!$A$1:$D$397,3,FALSE),"")</f>
        <v/>
      </c>
      <c r="H1004" s="65"/>
      <c r="I1004" s="16"/>
      <c r="J1004" s="16"/>
      <c r="K1004" s="16" t="b">
        <v>0</v>
      </c>
      <c r="L1004" s="16" t="b">
        <v>0</v>
      </c>
    </row>
    <row r="1005">
      <c r="A1005" s="9"/>
      <c r="B1005" s="16"/>
      <c r="C1005" s="7" t="str">
        <f>IFERROR(VLOOKUP(B1005,'Master data'!$A$1:$D$397,2,FALSE),"")</f>
        <v/>
      </c>
      <c r="D1005" s="70" t="str">
        <f>VLOOKUP(B1005,Sheet3!$B$2:$E$312,3,)</f>
        <v>#N/A</v>
      </c>
      <c r="E1005" s="64"/>
      <c r="F1005" s="16" t="str">
        <f>IFERROR(VLOOKUP(B1005,'Master data'!$A$1:$D$397,3,FALSE),"")</f>
        <v/>
      </c>
      <c r="H1005" s="65"/>
      <c r="I1005" s="16"/>
      <c r="J1005" s="16"/>
      <c r="K1005" s="16" t="b">
        <v>0</v>
      </c>
      <c r="L1005" s="16" t="b">
        <v>0</v>
      </c>
    </row>
    <row r="1006">
      <c r="A1006" s="9"/>
      <c r="B1006" s="16"/>
      <c r="C1006" s="7" t="str">
        <f>IFERROR(VLOOKUP(B1006,'Master data'!$A$1:$D$397,2,FALSE),"")</f>
        <v/>
      </c>
      <c r="D1006" s="70" t="str">
        <f>VLOOKUP(B1006,Sheet3!$B$2:$E$312,3,)</f>
        <v>#N/A</v>
      </c>
      <c r="E1006" s="64"/>
      <c r="F1006" s="16" t="str">
        <f>IFERROR(VLOOKUP(B1006,'Master data'!$A$1:$D$397,3,FALSE),"")</f>
        <v/>
      </c>
      <c r="H1006" s="65"/>
      <c r="I1006" s="16"/>
      <c r="J1006" s="16"/>
      <c r="K1006" s="16" t="b">
        <v>0</v>
      </c>
      <c r="L1006" s="16" t="b">
        <v>0</v>
      </c>
    </row>
    <row r="1007">
      <c r="A1007" s="9"/>
      <c r="B1007" s="16"/>
      <c r="C1007" s="7" t="str">
        <f>IFERROR(VLOOKUP(B1007,'Master data'!$A$1:$D$397,2,FALSE),"")</f>
        <v/>
      </c>
      <c r="D1007" s="70" t="str">
        <f>VLOOKUP(B1007,Sheet3!$B$2:$E$312,3,)</f>
        <v>#N/A</v>
      </c>
      <c r="E1007" s="64"/>
      <c r="F1007" s="16" t="str">
        <f>IFERROR(VLOOKUP(B1007,'Master data'!$A$1:$D$397,3,FALSE),"")</f>
        <v/>
      </c>
      <c r="H1007" s="65"/>
      <c r="I1007" s="16"/>
      <c r="J1007" s="16"/>
      <c r="K1007" s="16" t="b">
        <v>0</v>
      </c>
      <c r="L1007" s="16" t="b">
        <v>0</v>
      </c>
    </row>
    <row r="1008">
      <c r="A1008" s="9"/>
      <c r="B1008" s="16"/>
      <c r="C1008" s="7" t="str">
        <f>IFERROR(VLOOKUP(B1008,'Master data'!$A$1:$D$397,2,FALSE),"")</f>
        <v/>
      </c>
      <c r="D1008" s="70" t="str">
        <f>VLOOKUP(B1008,Sheet3!$B$2:$E$312,3,)</f>
        <v>#N/A</v>
      </c>
      <c r="E1008" s="64"/>
      <c r="F1008" s="16" t="str">
        <f>IFERROR(VLOOKUP(B1008,'Master data'!$A$1:$D$397,3,FALSE),"")</f>
        <v/>
      </c>
      <c r="H1008" s="65"/>
      <c r="I1008" s="16"/>
      <c r="J1008" s="16"/>
      <c r="K1008" s="16" t="b">
        <v>0</v>
      </c>
      <c r="L1008" s="16" t="b">
        <v>0</v>
      </c>
    </row>
    <row r="1009">
      <c r="A1009" s="9"/>
      <c r="B1009" s="16"/>
      <c r="C1009" s="7" t="str">
        <f>IFERROR(VLOOKUP(B1009,'Master data'!$A$1:$D$397,2,FALSE),"")</f>
        <v/>
      </c>
      <c r="D1009" s="70" t="str">
        <f>VLOOKUP(B1009,Sheet3!$B$2:$E$312,3,)</f>
        <v>#N/A</v>
      </c>
      <c r="E1009" s="64"/>
      <c r="F1009" s="16" t="str">
        <f>IFERROR(VLOOKUP(B1009,'Master data'!$A$1:$D$397,3,FALSE),"")</f>
        <v/>
      </c>
      <c r="H1009" s="65"/>
      <c r="I1009" s="16"/>
      <c r="J1009" s="16"/>
      <c r="K1009" s="16" t="b">
        <v>0</v>
      </c>
      <c r="L1009" s="16" t="b">
        <v>0</v>
      </c>
    </row>
    <row r="1010">
      <c r="A1010" s="9"/>
      <c r="B1010" s="16"/>
      <c r="C1010" s="7" t="str">
        <f>IFERROR(VLOOKUP(B1010,'Master data'!$A$1:$D$397,2,FALSE),"")</f>
        <v/>
      </c>
      <c r="D1010" s="70" t="str">
        <f>VLOOKUP(B1010,Sheet3!$B$2:$E$312,3,)</f>
        <v>#N/A</v>
      </c>
      <c r="E1010" s="64"/>
      <c r="F1010" s="16" t="str">
        <f>IFERROR(VLOOKUP(B1010,'Master data'!$A$1:$D$397,3,FALSE),"")</f>
        <v/>
      </c>
      <c r="H1010" s="65"/>
      <c r="I1010" s="16"/>
      <c r="J1010" s="16"/>
      <c r="K1010" s="16" t="b">
        <v>0</v>
      </c>
      <c r="L1010" s="16" t="b">
        <v>0</v>
      </c>
    </row>
    <row r="1011">
      <c r="A1011" s="9"/>
      <c r="B1011" s="16"/>
      <c r="C1011" s="7" t="str">
        <f>IFERROR(VLOOKUP(B1011,'Master data'!$A$1:$D$397,2,FALSE),"")</f>
        <v/>
      </c>
      <c r="D1011" s="70" t="str">
        <f>VLOOKUP(B1011,Sheet3!$B$2:$E$312,3,)</f>
        <v>#N/A</v>
      </c>
      <c r="E1011" s="64"/>
      <c r="F1011" s="16" t="str">
        <f>IFERROR(VLOOKUP(B1011,'Master data'!$A$1:$D$397,3,FALSE),"")</f>
        <v/>
      </c>
      <c r="H1011" s="65"/>
      <c r="I1011" s="16"/>
      <c r="J1011" s="16"/>
      <c r="K1011" s="16" t="b">
        <v>0</v>
      </c>
      <c r="L1011" s="16" t="b">
        <v>0</v>
      </c>
    </row>
  </sheetData>
  <mergeCells count="47">
    <mergeCell ref="A1:L1"/>
    <mergeCell ref="A2:L2"/>
    <mergeCell ref="A3:L3"/>
    <mergeCell ref="A4:L4"/>
    <mergeCell ref="A7:A17"/>
    <mergeCell ref="H7:H10"/>
    <mergeCell ref="H11:H12"/>
    <mergeCell ref="H32:H33"/>
    <mergeCell ref="H34:H35"/>
    <mergeCell ref="H43:H44"/>
    <mergeCell ref="G49:G51"/>
    <mergeCell ref="H49:H51"/>
    <mergeCell ref="H54:H55"/>
    <mergeCell ref="H117:H120"/>
    <mergeCell ref="H196:H198"/>
    <mergeCell ref="H13:H15"/>
    <mergeCell ref="H17:H20"/>
    <mergeCell ref="A18:A31"/>
    <mergeCell ref="H21:H22"/>
    <mergeCell ref="H25:H28"/>
    <mergeCell ref="H29:H31"/>
    <mergeCell ref="H36:H37"/>
    <mergeCell ref="A32:A38"/>
    <mergeCell ref="A40:A45"/>
    <mergeCell ref="A46:A57"/>
    <mergeCell ref="A58:A68"/>
    <mergeCell ref="A69:A79"/>
    <mergeCell ref="A80:A94"/>
    <mergeCell ref="A95:A107"/>
    <mergeCell ref="A108:A115"/>
    <mergeCell ref="A116:A126"/>
    <mergeCell ref="A127:A132"/>
    <mergeCell ref="A133:A145"/>
    <mergeCell ref="A146:A153"/>
    <mergeCell ref="A154:A161"/>
    <mergeCell ref="A162:A172"/>
    <mergeCell ref="A232:A242"/>
    <mergeCell ref="A243:A250"/>
    <mergeCell ref="A251:A259"/>
    <mergeCell ref="A260:A268"/>
    <mergeCell ref="A173:A182"/>
    <mergeCell ref="A183:A188"/>
    <mergeCell ref="A189:A195"/>
    <mergeCell ref="A196:A200"/>
    <mergeCell ref="A201:A207"/>
    <mergeCell ref="A208:A221"/>
    <mergeCell ref="A222:A231"/>
  </mergeCells>
  <dataValidations>
    <dataValidation type="list" allowBlank="1" showErrorMessage="1" sqref="B7:B48 B50:B67 B69:B153 B155:B211 B216:B1011">
      <formula1>#REF!</formula1>
    </dataValidation>
    <dataValidation type="list" allowBlank="1" showErrorMessage="1" sqref="J7:J1011">
      <formula1>"Waste,Spoil,Training,Discontinued,Test food/ Kalibrasi"</formula1>
    </dataValidation>
    <dataValidation type="list" allowBlank="1" showErrorMessage="1" sqref="I7:I1011">
      <formula1>"BAR,COOK,ASSEMBLY,MP,DINING"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1.29"/>
    <col customWidth="1" min="4" max="4" width="26.57"/>
    <col customWidth="1" min="7" max="7" width="26.86"/>
    <col customWidth="1" min="9" max="9" width="18.86"/>
    <col customWidth="1" min="10" max="10" width="22.57"/>
    <col customWidth="1" min="11" max="11" width="8.43"/>
    <col customWidth="1" min="12" max="12" width="9.0"/>
  </cols>
  <sheetData>
    <row r="1">
      <c r="A1" s="3" t="s">
        <v>0</v>
      </c>
    </row>
    <row r="2">
      <c r="A2" s="3" t="s">
        <v>12</v>
      </c>
    </row>
    <row r="3">
      <c r="A3" s="3" t="s">
        <v>13</v>
      </c>
    </row>
    <row r="4">
      <c r="A4" s="62" t="s">
        <v>1770</v>
      </c>
    </row>
    <row r="5">
      <c r="A5" s="9"/>
      <c r="D5" s="63"/>
      <c r="E5" s="64"/>
      <c r="G5" s="102"/>
      <c r="H5" s="65"/>
    </row>
    <row r="6">
      <c r="A6" s="12" t="s">
        <v>10</v>
      </c>
      <c r="B6" s="13" t="s">
        <v>2</v>
      </c>
      <c r="C6" s="14" t="s">
        <v>11</v>
      </c>
      <c r="D6" s="66" t="s">
        <v>1537</v>
      </c>
      <c r="E6" s="67" t="s">
        <v>5</v>
      </c>
      <c r="F6" s="14" t="s">
        <v>4</v>
      </c>
      <c r="G6" s="14" t="s">
        <v>6</v>
      </c>
      <c r="H6" s="68" t="s">
        <v>7</v>
      </c>
      <c r="I6" s="15" t="s">
        <v>56</v>
      </c>
      <c r="J6" s="15" t="s">
        <v>57</v>
      </c>
      <c r="K6" s="15"/>
      <c r="L6" s="15" t="s">
        <v>60</v>
      </c>
    </row>
    <row r="7">
      <c r="A7" s="69">
        <v>1.0</v>
      </c>
      <c r="B7" s="7" t="s">
        <v>86</v>
      </c>
      <c r="C7" s="70" t="str">
        <f>IFERROR(VLOOKUP(B7,'Master data'!$A$1:$F$429,2,FALSE),"")</f>
        <v>B001-036</v>
      </c>
      <c r="D7" s="70" t="str">
        <f>IFERROR(VLOOKUP(B7,'Master data'!$A$1:$F$429,6,FALSE),"")</f>
        <v>bahan baku</v>
      </c>
      <c r="E7" s="71">
        <v>58.0</v>
      </c>
      <c r="F7" s="70" t="str">
        <f>IFERROR(VLOOKUP(B7,'Master data'!$A$1:$F$429,3,FALSE),"")</f>
        <v>GR</v>
      </c>
      <c r="G7" s="99" t="s">
        <v>1370</v>
      </c>
      <c r="H7" s="69" t="s">
        <v>1773</v>
      </c>
      <c r="I7" s="7" t="s">
        <v>1552</v>
      </c>
      <c r="J7" s="7" t="s">
        <v>61</v>
      </c>
      <c r="K7" s="7" t="b">
        <v>0</v>
      </c>
      <c r="L7" s="7" t="b">
        <v>1</v>
      </c>
      <c r="N7" s="72"/>
    </row>
    <row r="8">
      <c r="B8" s="7" t="s">
        <v>33</v>
      </c>
      <c r="C8" s="70" t="str">
        <f>IFERROR(VLOOKUP(B8,'Master data'!$A$1:$F$429,2,FALSE),"")</f>
        <v>B001-008</v>
      </c>
      <c r="D8" s="70" t="str">
        <f>IFERROR(VLOOKUP(B8,'Master data'!$A$1:$F$429,6,FALSE),"")</f>
        <v>bahan baku</v>
      </c>
      <c r="E8" s="71">
        <f>128/1.64</f>
        <v>78.04878049</v>
      </c>
      <c r="F8" s="70" t="str">
        <f>IFERROR(VLOOKUP(B8,'Master data'!$A$1:$F$429,3,FALSE),"")</f>
        <v>GR</v>
      </c>
      <c r="G8" s="99" t="s">
        <v>1776</v>
      </c>
      <c r="H8" s="69" t="s">
        <v>1512</v>
      </c>
      <c r="I8" s="7" t="s">
        <v>1548</v>
      </c>
      <c r="J8" s="7" t="s">
        <v>1561</v>
      </c>
      <c r="K8" s="7" t="b">
        <v>0</v>
      </c>
      <c r="L8" s="7" t="b">
        <v>1</v>
      </c>
      <c r="M8" s="16"/>
      <c r="N8" s="72"/>
    </row>
    <row r="9">
      <c r="B9" s="7" t="s">
        <v>129</v>
      </c>
      <c r="C9" s="70" t="str">
        <f>IFERROR(VLOOKUP(B9,'Master data'!$A$1:$F$429,2,FALSE),"")</f>
        <v>B001-056</v>
      </c>
      <c r="D9" s="70" t="str">
        <f>IFERROR(VLOOKUP(B9,'Master data'!$A$1:$F$429,6,FALSE),"")</f>
        <v>bahan baku</v>
      </c>
      <c r="E9" s="71">
        <f>128/164</f>
        <v>0.7804878049</v>
      </c>
      <c r="F9" s="70" t="str">
        <f>IFERROR(VLOOKUP(B9,'Master data'!$A$1:$F$429,3,FALSE),"")</f>
        <v>ML</v>
      </c>
      <c r="I9" s="7" t="s">
        <v>1548</v>
      </c>
      <c r="J9" s="7" t="s">
        <v>1561</v>
      </c>
      <c r="K9" s="7" t="b">
        <v>0</v>
      </c>
      <c r="L9" s="7" t="b">
        <v>1</v>
      </c>
      <c r="M9" s="16"/>
      <c r="N9" s="72"/>
    </row>
    <row r="10">
      <c r="B10" s="7" t="s">
        <v>870</v>
      </c>
      <c r="C10" s="70" t="str">
        <f>IFERROR(VLOOKUP(B10,'Master data'!$A$1:$F$429,2,FALSE),"")</f>
        <v>B001-143</v>
      </c>
      <c r="D10" s="70" t="str">
        <f>IFERROR(VLOOKUP(B10,'Master data'!$A$1:$F$429,6,FALSE),"")</f>
        <v>bahan baku</v>
      </c>
      <c r="E10" s="71">
        <f>128/22.5</f>
        <v>5.688888889</v>
      </c>
      <c r="F10" s="70" t="str">
        <f>IFERROR(VLOOKUP(B10,'Master data'!$A$1:$F$429,3,FALSE),"")</f>
        <v>GR</v>
      </c>
      <c r="I10" s="7" t="s">
        <v>1548</v>
      </c>
      <c r="J10" s="7" t="s">
        <v>1561</v>
      </c>
      <c r="K10" s="7" t="b">
        <v>0</v>
      </c>
      <c r="L10" s="7" t="b">
        <v>1</v>
      </c>
      <c r="M10" s="16"/>
      <c r="N10" s="72"/>
    </row>
    <row r="11">
      <c r="B11" s="7" t="s">
        <v>129</v>
      </c>
      <c r="C11" s="70" t="str">
        <f>IFERROR(VLOOKUP(B11,'Master data'!$A$1:$F$429,2,FALSE),"")</f>
        <v>B001-056</v>
      </c>
      <c r="D11" s="70" t="str">
        <f>IFERROR(VLOOKUP(B11,'Master data'!$A$1:$F$429,6,FALSE),"")</f>
        <v>bahan baku</v>
      </c>
      <c r="E11" s="71">
        <f>619/156</f>
        <v>3.967948718</v>
      </c>
      <c r="F11" s="70" t="str">
        <f>IFERROR(VLOOKUP(B11,'Master data'!$A$1:$F$429,3,FALSE),"")</f>
        <v>ML</v>
      </c>
      <c r="I11" s="7" t="s">
        <v>1548</v>
      </c>
      <c r="J11" s="7" t="s">
        <v>1561</v>
      </c>
      <c r="K11" s="7" t="b">
        <v>0</v>
      </c>
      <c r="L11" s="7" t="b">
        <v>1</v>
      </c>
      <c r="M11" s="16"/>
      <c r="N11" s="72"/>
    </row>
    <row r="12">
      <c r="A12" s="69">
        <v>2.0</v>
      </c>
      <c r="B12" s="7" t="s">
        <v>298</v>
      </c>
      <c r="C12" s="70" t="str">
        <f>IFERROR(VLOOKUP(B12,'Master data'!$A$1:$F$429,2,FALSE),"")</f>
        <v>B001-125</v>
      </c>
      <c r="D12" s="70" t="str">
        <f>IFERROR(VLOOKUP(B12,'Master data'!$A$1:$F$429,6,FALSE),"")</f>
        <v>bahan baku</v>
      </c>
      <c r="E12" s="71">
        <v>65.0</v>
      </c>
      <c r="F12" s="70" t="str">
        <f>IFERROR(VLOOKUP(B12,'Master data'!$A$1:$F$429,3,FALSE),"")</f>
        <v>GR</v>
      </c>
      <c r="G12" s="99" t="s">
        <v>1224</v>
      </c>
      <c r="H12" s="69" t="s">
        <v>1305</v>
      </c>
      <c r="I12" s="7" t="s">
        <v>1542</v>
      </c>
      <c r="J12" s="7" t="s">
        <v>1561</v>
      </c>
      <c r="K12" s="7" t="b">
        <v>0</v>
      </c>
      <c r="L12" s="7" t="b">
        <v>1</v>
      </c>
      <c r="M12" s="16"/>
      <c r="N12" s="72"/>
    </row>
    <row r="13">
      <c r="B13" s="7" t="s">
        <v>28</v>
      </c>
      <c r="C13" s="70" t="str">
        <f>IFERROR(VLOOKUP(B13,'Master data'!$A$1:$F$429,2,FALSE),"")</f>
        <v>B001-006</v>
      </c>
      <c r="D13" s="70" t="str">
        <f>IFERROR(VLOOKUP(B13,'Master data'!$A$1:$F$429,6,FALSE),"")</f>
        <v>bahan baku</v>
      </c>
      <c r="E13" s="71">
        <v>12.0</v>
      </c>
      <c r="F13" s="70" t="str">
        <f>IFERROR(VLOOKUP(B13,'Master data'!$A$1:$F$429,3,FALSE),"")</f>
        <v>GR</v>
      </c>
      <c r="G13" s="99" t="s">
        <v>1370</v>
      </c>
      <c r="I13" s="7" t="s">
        <v>1542</v>
      </c>
      <c r="J13" s="7" t="s">
        <v>61</v>
      </c>
      <c r="K13" s="7" t="b">
        <v>0</v>
      </c>
      <c r="L13" s="7" t="b">
        <v>1</v>
      </c>
      <c r="M13" s="16"/>
      <c r="N13" s="72"/>
    </row>
    <row r="14">
      <c r="B14" s="7" t="s">
        <v>211</v>
      </c>
      <c r="C14" s="70" t="str">
        <f>IFERROR(VLOOKUP(B14,'Master data'!$A$1:$F$429,2,FALSE),"")</f>
        <v>B001-088</v>
      </c>
      <c r="D14" s="70" t="str">
        <f>IFERROR(VLOOKUP(B14,'Master data'!$A$1:$F$429,6,FALSE),"")</f>
        <v>bahan baku</v>
      </c>
      <c r="E14" s="71">
        <v>2470.0</v>
      </c>
      <c r="F14" s="70" t="str">
        <f>IFERROR(VLOOKUP(B14,'Master data'!$A$1:$F$429,3,FALSE),"")</f>
        <v>GR</v>
      </c>
      <c r="G14" s="99" t="s">
        <v>1475</v>
      </c>
      <c r="H14" s="69" t="s">
        <v>1441</v>
      </c>
      <c r="I14" s="7" t="s">
        <v>1556</v>
      </c>
      <c r="J14" s="7" t="s">
        <v>61</v>
      </c>
      <c r="K14" s="7" t="b">
        <v>0</v>
      </c>
      <c r="L14" s="7" t="b">
        <v>1</v>
      </c>
      <c r="M14" s="16"/>
      <c r="N14" s="72"/>
    </row>
    <row r="15">
      <c r="B15" s="7" t="s">
        <v>139</v>
      </c>
      <c r="C15" s="70" t="str">
        <f>IFERROR(VLOOKUP(B15,'Master data'!$A$1:$F$429,2,FALSE),"")</f>
        <v>B001-061</v>
      </c>
      <c r="D15" s="70" t="str">
        <f>IFERROR(VLOOKUP(B15,'Master data'!$A$1:$F$429,6,FALSE),"")</f>
        <v>bahan baku</v>
      </c>
      <c r="E15" s="71">
        <v>32.0</v>
      </c>
      <c r="F15" s="70" t="str">
        <f>IFERROR(VLOOKUP(B15,'Master data'!$A$1:$F$429,3,FALSE),"")</f>
        <v>GR</v>
      </c>
      <c r="G15" s="99" t="s">
        <v>1224</v>
      </c>
      <c r="H15" s="69" t="s">
        <v>1539</v>
      </c>
      <c r="I15" s="7" t="s">
        <v>1542</v>
      </c>
      <c r="J15" s="7" t="s">
        <v>1561</v>
      </c>
      <c r="K15" s="7" t="b">
        <v>0</v>
      </c>
      <c r="L15" s="7" t="b">
        <v>1</v>
      </c>
      <c r="M15" s="16"/>
      <c r="N15" s="72"/>
    </row>
    <row r="16">
      <c r="B16" s="7" t="s">
        <v>148</v>
      </c>
      <c r="C16" s="70" t="str">
        <f>IFERROR(VLOOKUP(B16,'Master data'!$A$1:$F$429,2,FALSE),"")</f>
        <v>B001-064</v>
      </c>
      <c r="D16" s="70" t="str">
        <f>IFERROR(VLOOKUP(B16,'Master data'!$A$1:$F$429,6,FALSE),"")</f>
        <v>bahan baku</v>
      </c>
      <c r="E16" s="71">
        <v>38.0</v>
      </c>
      <c r="F16" s="70" t="str">
        <f>IFERROR(VLOOKUP(B16,'Master data'!$A$1:$F$429,3,FALSE),"")</f>
        <v>GR</v>
      </c>
      <c r="G16" s="99" t="s">
        <v>1370</v>
      </c>
      <c r="I16" s="7" t="s">
        <v>1542</v>
      </c>
      <c r="J16" s="7" t="s">
        <v>61</v>
      </c>
      <c r="K16" s="7" t="b">
        <v>0</v>
      </c>
      <c r="L16" s="7" t="b">
        <v>1</v>
      </c>
      <c r="M16" s="16"/>
      <c r="N16" s="72"/>
    </row>
    <row r="17">
      <c r="B17" s="7" t="s">
        <v>657</v>
      </c>
      <c r="C17" s="70" t="str">
        <f>IFERROR(VLOOKUP(B17,'Master data'!$A$1:$F$429,2,FALSE),"")</f>
        <v>P004-023</v>
      </c>
      <c r="D17" s="70" t="str">
        <f>IFERROR(VLOOKUP(B17,'Master data'!$A$1:$F$429,6,FALSE),"")</f>
        <v>barang jadi &amp; bahan baku</v>
      </c>
      <c r="E17" s="71">
        <v>665.0</v>
      </c>
      <c r="F17" s="70" t="str">
        <f>IFERROR(VLOOKUP(B17,'Master data'!$A$1:$F$429,3,FALSE),"")</f>
        <v>GR</v>
      </c>
      <c r="G17" s="99" t="s">
        <v>1216</v>
      </c>
      <c r="H17" s="69" t="s">
        <v>1567</v>
      </c>
      <c r="I17" s="7" t="s">
        <v>1552</v>
      </c>
      <c r="J17" s="7" t="s">
        <v>1561</v>
      </c>
      <c r="K17" s="7" t="b">
        <v>0</v>
      </c>
      <c r="L17" s="7" t="b">
        <v>1</v>
      </c>
      <c r="M17" s="16"/>
      <c r="N17" s="72"/>
    </row>
    <row r="18">
      <c r="B18" s="7" t="s">
        <v>660</v>
      </c>
      <c r="C18" s="70" t="str">
        <f>IFERROR(VLOOKUP(B18,'Master data'!$A$1:$F$429,2,FALSE),"")</f>
        <v>P004-024</v>
      </c>
      <c r="D18" s="70" t="str">
        <f>IFERROR(VLOOKUP(B18,'Master data'!$A$1:$F$429,6,FALSE),"")</f>
        <v>barang jadi &amp; bahan baku</v>
      </c>
      <c r="E18" s="71">
        <v>274.0</v>
      </c>
      <c r="F18" s="70" t="str">
        <f>IFERROR(VLOOKUP(B18,'Master data'!$A$1:$F$429,3,FALSE),"")</f>
        <v>ML</v>
      </c>
      <c r="G18" s="99" t="s">
        <v>1216</v>
      </c>
      <c r="I18" s="7" t="s">
        <v>1552</v>
      </c>
      <c r="J18" s="7" t="s">
        <v>1561</v>
      </c>
      <c r="K18" s="7" t="b">
        <v>0</v>
      </c>
      <c r="L18" s="7" t="b">
        <v>1</v>
      </c>
      <c r="M18" s="16"/>
      <c r="N18" s="72"/>
    </row>
    <row r="19">
      <c r="B19" s="7" t="s">
        <v>570</v>
      </c>
      <c r="C19" s="70" t="str">
        <f>IFERROR(VLOOKUP(B19,'Master data'!$A$1:$F$429,2,FALSE),"")</f>
        <v>B001-054</v>
      </c>
      <c r="D19" s="70" t="str">
        <f>IFERROR(VLOOKUP(B19,'Master data'!$A$1:$F$429,6,FALSE),"")</f>
        <v>bahan baku</v>
      </c>
      <c r="E19" s="71">
        <v>64000.0</v>
      </c>
      <c r="F19" s="70" t="str">
        <f>IFERROR(VLOOKUP(B19,'Master data'!$A$1:$F$429,3,FALSE),"")</f>
        <v>GR</v>
      </c>
      <c r="G19" s="99" t="s">
        <v>1786</v>
      </c>
      <c r="H19" s="69" t="s">
        <v>1787</v>
      </c>
      <c r="I19" s="7" t="s">
        <v>1556</v>
      </c>
      <c r="J19" s="7" t="s">
        <v>61</v>
      </c>
      <c r="K19" s="7" t="b">
        <v>0</v>
      </c>
      <c r="L19" s="7" t="b">
        <v>0</v>
      </c>
      <c r="M19" s="16"/>
      <c r="N19" s="72"/>
    </row>
    <row r="20">
      <c r="A20" s="69">
        <v>3.0</v>
      </c>
      <c r="B20" s="7" t="s">
        <v>28</v>
      </c>
      <c r="C20" s="70" t="str">
        <f>IFERROR(VLOOKUP(B20,'Master data'!$A$1:$F$429,2,FALSE),"")</f>
        <v>B001-006</v>
      </c>
      <c r="D20" s="70" t="str">
        <f>IFERROR(VLOOKUP(B20,'Master data'!$A$1:$F$429,6,FALSE),"")</f>
        <v>bahan baku</v>
      </c>
      <c r="E20" s="71">
        <v>26.0</v>
      </c>
      <c r="F20" s="70" t="str">
        <f>IFERROR(VLOOKUP(B20,'Master data'!$A$1:$F$429,3,FALSE),"")</f>
        <v>GR</v>
      </c>
      <c r="G20" s="99" t="s">
        <v>1370</v>
      </c>
      <c r="H20" s="69" t="s">
        <v>1305</v>
      </c>
      <c r="I20" s="7" t="s">
        <v>1542</v>
      </c>
      <c r="J20" s="7" t="s">
        <v>61</v>
      </c>
      <c r="K20" s="7" t="b">
        <v>0</v>
      </c>
      <c r="L20" s="7" t="b">
        <v>1</v>
      </c>
      <c r="M20" s="16"/>
      <c r="N20" s="72"/>
    </row>
    <row r="21">
      <c r="B21" s="7" t="s">
        <v>65</v>
      </c>
      <c r="C21" s="70" t="str">
        <f>IFERROR(VLOOKUP(B21,'Master data'!$A$1:$F$429,2,FALSE),"")</f>
        <v>B001-023</v>
      </c>
      <c r="D21" s="70" t="str">
        <f>IFERROR(VLOOKUP(B21,'Master data'!$A$1:$F$429,6,FALSE),"")</f>
        <v>bahan baku</v>
      </c>
      <c r="E21" s="71">
        <v>32.0</v>
      </c>
      <c r="F21" s="70" t="str">
        <f>IFERROR(VLOOKUP(B21,'Master data'!$A$1:$F$429,3,FALSE),"")</f>
        <v>GR</v>
      </c>
      <c r="G21" s="99" t="s">
        <v>1224</v>
      </c>
      <c r="I21" s="7" t="s">
        <v>1542</v>
      </c>
      <c r="J21" s="7" t="s">
        <v>1561</v>
      </c>
      <c r="K21" s="7" t="b">
        <v>0</v>
      </c>
      <c r="L21" s="7" t="b">
        <v>1</v>
      </c>
      <c r="M21" s="16"/>
      <c r="N21" s="72"/>
    </row>
    <row r="22">
      <c r="B22" s="7" t="s">
        <v>211</v>
      </c>
      <c r="C22" s="70" t="str">
        <f>IFERROR(VLOOKUP(B22,'Master data'!$A$1:$F$429,2,FALSE),"")</f>
        <v>B001-088</v>
      </c>
      <c r="D22" s="70" t="str">
        <f>IFERROR(VLOOKUP(B22,'Master data'!$A$1:$F$429,6,FALSE),"")</f>
        <v>bahan baku</v>
      </c>
      <c r="E22" s="71">
        <v>5005.0</v>
      </c>
      <c r="F22" s="70" t="str">
        <f>IFERROR(VLOOKUP(B22,'Master data'!$A$1:$F$429,3,FALSE),"")</f>
        <v>GR</v>
      </c>
      <c r="G22" s="99" t="s">
        <v>1788</v>
      </c>
      <c r="H22" s="69" t="s">
        <v>1441</v>
      </c>
      <c r="I22" s="7" t="s">
        <v>1556</v>
      </c>
      <c r="J22" s="7" t="s">
        <v>61</v>
      </c>
      <c r="K22" s="7" t="b">
        <v>0</v>
      </c>
      <c r="L22" s="7" t="b">
        <v>1</v>
      </c>
      <c r="M22" s="16"/>
      <c r="N22" s="72"/>
    </row>
    <row r="23">
      <c r="B23" s="7" t="s">
        <v>148</v>
      </c>
      <c r="C23" s="70" t="str">
        <f>IFERROR(VLOOKUP(B23,'Master data'!$A$1:$F$429,2,FALSE),"")</f>
        <v>B001-064</v>
      </c>
      <c r="D23" s="70" t="str">
        <f>IFERROR(VLOOKUP(B23,'Master data'!$A$1:$F$429,6,FALSE),"")</f>
        <v>bahan baku</v>
      </c>
      <c r="E23" s="71">
        <v>21.0</v>
      </c>
      <c r="F23" s="70" t="str">
        <f>IFERROR(VLOOKUP(B23,'Master data'!$A$1:$F$429,3,FALSE),"")</f>
        <v>GR</v>
      </c>
      <c r="G23" s="99" t="s">
        <v>1370</v>
      </c>
      <c r="H23" s="69" t="s">
        <v>1305</v>
      </c>
      <c r="I23" s="7" t="s">
        <v>1542</v>
      </c>
      <c r="J23" s="7" t="s">
        <v>61</v>
      </c>
      <c r="K23" s="7" t="b">
        <v>0</v>
      </c>
      <c r="L23" s="7" t="b">
        <v>1</v>
      </c>
      <c r="M23" s="16"/>
      <c r="N23" s="72"/>
    </row>
    <row r="24">
      <c r="B24" s="7" t="s">
        <v>664</v>
      </c>
      <c r="C24" s="70" t="str">
        <f>IFERROR(VLOOKUP(B24,'Master data'!$A$1:$F$429,2,FALSE),"")</f>
        <v>P004-025</v>
      </c>
      <c r="D24" s="70" t="str">
        <f>IFERROR(VLOOKUP(B24,'Master data'!$A$1:$F$429,6,FALSE),"")</f>
        <v>barang jadi &amp; bahan baku</v>
      </c>
      <c r="E24" s="71">
        <v>748.0</v>
      </c>
      <c r="F24" s="70" t="s">
        <v>78</v>
      </c>
      <c r="G24" s="99" t="s">
        <v>1216</v>
      </c>
      <c r="H24" s="69" t="s">
        <v>1789</v>
      </c>
      <c r="I24" s="7" t="s">
        <v>1552</v>
      </c>
      <c r="J24" s="7" t="s">
        <v>1561</v>
      </c>
      <c r="K24" s="7" t="b">
        <v>0</v>
      </c>
      <c r="L24" s="7" t="b">
        <v>1</v>
      </c>
      <c r="M24" s="16"/>
      <c r="N24" s="72"/>
    </row>
    <row r="25">
      <c r="B25" s="7" t="s">
        <v>660</v>
      </c>
      <c r="C25" s="70" t="str">
        <f>IFERROR(VLOOKUP(B25,'Master data'!$A$1:$F$429,2,FALSE),"")</f>
        <v>P004-024</v>
      </c>
      <c r="D25" s="70" t="str">
        <f>IFERROR(VLOOKUP(B25,'Master data'!$A$1:$F$429,6,FALSE),"")</f>
        <v>barang jadi &amp; bahan baku</v>
      </c>
      <c r="E25" s="71">
        <v>1487.0</v>
      </c>
      <c r="F25" s="70" t="str">
        <f>IFERROR(VLOOKUP(B25,'Master data'!$A$1:$F$429,3,FALSE),"")</f>
        <v>ML</v>
      </c>
      <c r="G25" s="99" t="s">
        <v>1216</v>
      </c>
      <c r="I25" s="7" t="s">
        <v>1552</v>
      </c>
      <c r="J25" s="7" t="s">
        <v>1561</v>
      </c>
      <c r="K25" s="7" t="b">
        <v>0</v>
      </c>
      <c r="L25" s="7" t="b">
        <v>1</v>
      </c>
      <c r="M25" s="16"/>
      <c r="N25" s="72"/>
    </row>
    <row r="26">
      <c r="A26" s="69">
        <v>4.0</v>
      </c>
      <c r="B26" s="7" t="s">
        <v>28</v>
      </c>
      <c r="C26" s="70" t="str">
        <f>IFERROR(VLOOKUP(B26,'Master data'!$A$1:$F$429,2,FALSE),"")</f>
        <v>B001-006</v>
      </c>
      <c r="D26" s="70" t="str">
        <f>IFERROR(VLOOKUP(B26,'Master data'!$A$1:$F$429,6,FALSE),"")</f>
        <v>bahan baku</v>
      </c>
      <c r="E26" s="71">
        <v>12.0</v>
      </c>
      <c r="F26" s="70" t="str">
        <f>IFERROR(VLOOKUP(B26,'Master data'!$A$1:$F$429,3,FALSE),"")</f>
        <v>GR</v>
      </c>
      <c r="G26" s="99" t="s">
        <v>1370</v>
      </c>
      <c r="H26" s="69" t="s">
        <v>1539</v>
      </c>
      <c r="I26" s="7" t="s">
        <v>1542</v>
      </c>
      <c r="J26" s="7" t="s">
        <v>61</v>
      </c>
      <c r="K26" s="7" t="b">
        <v>0</v>
      </c>
      <c r="L26" s="7" t="b">
        <v>1</v>
      </c>
      <c r="M26" s="16"/>
      <c r="N26" s="72"/>
    </row>
    <row r="27">
      <c r="B27" s="7" t="s">
        <v>52</v>
      </c>
      <c r="C27" s="70" t="str">
        <f>IFERROR(VLOOKUP(B27,'Master data'!$A$1:$F$429,2,FALSE),"")</f>
        <v>B001-018</v>
      </c>
      <c r="D27" s="70" t="str">
        <f>IFERROR(VLOOKUP(B27,'Master data'!$A$1:$F$429,6,FALSE),"")</f>
        <v>bahan baku</v>
      </c>
      <c r="E27" s="71">
        <v>120.0</v>
      </c>
      <c r="F27" s="70" t="str">
        <f>IFERROR(VLOOKUP(B27,'Master data'!$A$1:$F$429,3,FALSE),"")</f>
        <v>GR</v>
      </c>
      <c r="G27" s="99" t="s">
        <v>1370</v>
      </c>
      <c r="I27" s="7" t="s">
        <v>1542</v>
      </c>
      <c r="J27" s="7" t="s">
        <v>61</v>
      </c>
      <c r="K27" s="7" t="b">
        <v>0</v>
      </c>
      <c r="L27" s="7" t="b">
        <v>1</v>
      </c>
      <c r="M27" s="16"/>
      <c r="N27" s="72"/>
    </row>
    <row r="28">
      <c r="B28" s="7" t="s">
        <v>211</v>
      </c>
      <c r="C28" s="70" t="str">
        <f>IFERROR(VLOOKUP(B28,'Master data'!$A$1:$F$429,2,FALSE),"")</f>
        <v>B001-088</v>
      </c>
      <c r="D28" s="70" t="str">
        <f>IFERROR(VLOOKUP(B28,'Master data'!$A$1:$F$429,6,FALSE),"")</f>
        <v>bahan baku</v>
      </c>
      <c r="E28" s="71">
        <v>3515.0</v>
      </c>
      <c r="F28" s="70" t="str">
        <f>IFERROR(VLOOKUP(B28,'Master data'!$A$1:$F$429,3,FALSE),"")</f>
        <v>GR</v>
      </c>
      <c r="G28" s="99" t="s">
        <v>1475</v>
      </c>
      <c r="H28" s="69" t="s">
        <v>1441</v>
      </c>
      <c r="I28" s="7" t="s">
        <v>1556</v>
      </c>
      <c r="J28" s="7" t="s">
        <v>61</v>
      </c>
      <c r="K28" s="7" t="b">
        <v>0</v>
      </c>
      <c r="L28" s="7" t="b">
        <v>1</v>
      </c>
      <c r="M28" s="16"/>
      <c r="N28" s="72"/>
    </row>
    <row r="29">
      <c r="B29" s="7" t="s">
        <v>148</v>
      </c>
      <c r="C29" s="70" t="str">
        <f>IFERROR(VLOOKUP(B29,'Master data'!$A$1:$F$429,2,FALSE),"")</f>
        <v>B001-064</v>
      </c>
      <c r="D29" s="70" t="str">
        <f>IFERROR(VLOOKUP(B29,'Master data'!$A$1:$F$429,6,FALSE),"")</f>
        <v>bahan baku</v>
      </c>
      <c r="E29" s="71">
        <v>49.0</v>
      </c>
      <c r="F29" s="70" t="str">
        <f>IFERROR(VLOOKUP(B29,'Master data'!$A$1:$F$429,3,FALSE),"")</f>
        <v>GR</v>
      </c>
      <c r="G29" s="99" t="s">
        <v>1370</v>
      </c>
      <c r="H29" s="69" t="s">
        <v>1305</v>
      </c>
      <c r="I29" s="7" t="s">
        <v>1542</v>
      </c>
      <c r="J29" s="7" t="s">
        <v>61</v>
      </c>
      <c r="K29" s="7" t="b">
        <v>0</v>
      </c>
      <c r="L29" s="7" t="b">
        <v>1</v>
      </c>
      <c r="M29" s="16"/>
      <c r="N29" s="72"/>
    </row>
    <row r="30">
      <c r="B30" s="7" t="s">
        <v>28</v>
      </c>
      <c r="C30" s="70" t="str">
        <f>IFERROR(VLOOKUP(B30,'Master data'!$A$1:$F$429,2,FALSE),"")</f>
        <v>B001-006</v>
      </c>
      <c r="D30" s="70" t="str">
        <f>IFERROR(VLOOKUP(B30,'Master data'!$A$1:$F$429,6,FALSE),"")</f>
        <v>bahan baku</v>
      </c>
      <c r="E30" s="71">
        <v>9.0</v>
      </c>
      <c r="F30" s="70" t="str">
        <f>IFERROR(VLOOKUP(B30,'Master data'!$A$1:$F$429,3,FALSE),"")</f>
        <v>GR</v>
      </c>
      <c r="G30" s="99" t="s">
        <v>1370</v>
      </c>
      <c r="I30" s="7" t="s">
        <v>1542</v>
      </c>
      <c r="J30" s="7" t="s">
        <v>61</v>
      </c>
      <c r="K30" s="7" t="b">
        <v>0</v>
      </c>
      <c r="L30" s="7" t="b">
        <v>1</v>
      </c>
      <c r="M30" s="16"/>
      <c r="N30" s="72"/>
    </row>
    <row r="31">
      <c r="B31" s="7" t="s">
        <v>148</v>
      </c>
      <c r="C31" s="70" t="str">
        <f>IFERROR(VLOOKUP(B31,'Master data'!$A$1:$F$429,2,FALSE),"")</f>
        <v>B001-064</v>
      </c>
      <c r="D31" s="70" t="str">
        <f>IFERROR(VLOOKUP(B31,'Master data'!$A$1:$F$429,6,FALSE),"")</f>
        <v>bahan baku</v>
      </c>
      <c r="E31" s="71">
        <v>300.0</v>
      </c>
      <c r="F31" s="70" t="str">
        <f>IFERROR(VLOOKUP(B31,'Master data'!$A$1:$F$429,3,FALSE),"")</f>
        <v>GR</v>
      </c>
      <c r="G31" s="99" t="s">
        <v>1224</v>
      </c>
      <c r="I31" s="7" t="s">
        <v>1542</v>
      </c>
      <c r="J31" s="7" t="s">
        <v>1561</v>
      </c>
      <c r="K31" s="7" t="b">
        <v>0</v>
      </c>
      <c r="L31" s="7" t="b">
        <v>1</v>
      </c>
      <c r="M31" s="16"/>
      <c r="N31" s="72"/>
    </row>
    <row r="32">
      <c r="A32" s="69">
        <v>5.0</v>
      </c>
      <c r="B32" s="7" t="s">
        <v>211</v>
      </c>
      <c r="C32" s="70" t="str">
        <f>IFERROR(VLOOKUP(B32,'Master data'!$A$1:$F$429,2,FALSE),"")</f>
        <v>B001-088</v>
      </c>
      <c r="D32" s="70" t="str">
        <f>IFERROR(VLOOKUP(B32,'Master data'!$A$1:$F$429,6,FALSE),"")</f>
        <v>bahan baku</v>
      </c>
      <c r="E32" s="71">
        <v>8165.0</v>
      </c>
      <c r="F32" s="70" t="str">
        <f>IFERROR(VLOOKUP(B32,'Master data'!$A$1:$F$429,3,FALSE),"")</f>
        <v>GR</v>
      </c>
      <c r="G32" s="99" t="s">
        <v>1475</v>
      </c>
      <c r="H32" s="69" t="s">
        <v>1384</v>
      </c>
      <c r="I32" s="7" t="s">
        <v>1556</v>
      </c>
      <c r="J32" s="7" t="s">
        <v>61</v>
      </c>
      <c r="K32" s="7" t="b">
        <v>0</v>
      </c>
      <c r="L32" s="7" t="b">
        <v>1</v>
      </c>
      <c r="M32" s="16"/>
      <c r="N32" s="72"/>
    </row>
    <row r="33">
      <c r="B33" s="7" t="s">
        <v>502</v>
      </c>
      <c r="C33" s="70" t="str">
        <f>IFERROR(VLOOKUP(B33,'Master data'!$A$1:$F$429,2,FALSE),"")</f>
        <v>S001-002</v>
      </c>
      <c r="D33" s="70" t="str">
        <f>IFERROR(VLOOKUP(B33,'Master data'!$A$1:$F$429,6,FALSE),"")</f>
        <v>barang jadi &amp; bahan baku</v>
      </c>
      <c r="E33" s="71">
        <v>1.0</v>
      </c>
      <c r="F33" s="70" t="str">
        <f>IFERROR(VLOOKUP(B33,'Master data'!$A$1:$F$429,3,FALSE),"")</f>
        <v>PCS</v>
      </c>
      <c r="G33" s="99" t="s">
        <v>1790</v>
      </c>
      <c r="H33" s="69" t="s">
        <v>1417</v>
      </c>
      <c r="I33" s="7" t="s">
        <v>1548</v>
      </c>
      <c r="J33" s="7" t="s">
        <v>1561</v>
      </c>
      <c r="K33" s="7" t="b">
        <v>0</v>
      </c>
      <c r="L33" s="7" t="b">
        <v>1</v>
      </c>
      <c r="M33" s="16"/>
      <c r="N33" s="72"/>
    </row>
    <row r="34">
      <c r="B34" s="7" t="s">
        <v>28</v>
      </c>
      <c r="C34" s="70" t="str">
        <f>IFERROR(VLOOKUP(B34,'Master data'!$A$1:$F$429,2,FALSE),"")</f>
        <v>B001-006</v>
      </c>
      <c r="D34" s="70" t="str">
        <f>IFERROR(VLOOKUP(B34,'Master data'!$A$1:$F$429,6,FALSE),"")</f>
        <v>bahan baku</v>
      </c>
      <c r="E34" s="71">
        <v>4.0</v>
      </c>
      <c r="F34" s="70" t="str">
        <f>IFERROR(VLOOKUP(B34,'Master data'!$A$1:$F$429,3,FALSE),"")</f>
        <v>GR</v>
      </c>
      <c r="G34" s="99" t="s">
        <v>1370</v>
      </c>
      <c r="H34" s="69" t="s">
        <v>1305</v>
      </c>
      <c r="I34" s="7" t="s">
        <v>1542</v>
      </c>
      <c r="J34" s="7" t="s">
        <v>61</v>
      </c>
      <c r="K34" s="7" t="b">
        <v>0</v>
      </c>
      <c r="L34" s="7" t="b">
        <v>1</v>
      </c>
      <c r="M34" s="16"/>
      <c r="N34" s="72"/>
    </row>
    <row r="35">
      <c r="B35" s="7" t="s">
        <v>653</v>
      </c>
      <c r="C35" s="70" t="str">
        <f>IFERROR(VLOOKUP(B35,'Master data'!$A$1:$F$429,2,FALSE),"")</f>
        <v>P004-022</v>
      </c>
      <c r="D35" s="70" t="str">
        <f>IFERROR(VLOOKUP(B35,'Master data'!$A$1:$F$429,6,FALSE),"")</f>
        <v>barang jadi &amp; bahan baku</v>
      </c>
      <c r="E35" s="71">
        <v>184.0</v>
      </c>
      <c r="F35" s="70" t="str">
        <f>IFERROR(VLOOKUP(B35,'Master data'!$A$1:$F$429,3,FALSE),"")</f>
        <v>GR</v>
      </c>
      <c r="G35" s="99" t="s">
        <v>1216</v>
      </c>
      <c r="H35" s="69" t="s">
        <v>1789</v>
      </c>
      <c r="I35" s="7" t="s">
        <v>1552</v>
      </c>
      <c r="J35" s="7" t="s">
        <v>1561</v>
      </c>
      <c r="K35" s="7" t="b">
        <v>0</v>
      </c>
      <c r="L35" s="7" t="b">
        <v>1</v>
      </c>
      <c r="M35" s="16"/>
      <c r="N35" s="72"/>
    </row>
    <row r="36">
      <c r="B36" s="7" t="s">
        <v>657</v>
      </c>
      <c r="C36" s="70" t="str">
        <f>IFERROR(VLOOKUP(B36,'Master data'!$A$1:$F$429,2,FALSE),"")</f>
        <v>P004-023</v>
      </c>
      <c r="D36" s="70" t="str">
        <f>IFERROR(VLOOKUP(B36,'Master data'!$A$1:$F$429,6,FALSE),"")</f>
        <v>barang jadi &amp; bahan baku</v>
      </c>
      <c r="E36" s="71">
        <v>165.0</v>
      </c>
      <c r="F36" s="70" t="str">
        <f>IFERROR(VLOOKUP(B36,'Master data'!$A$1:$F$429,3,FALSE),"")</f>
        <v>GR</v>
      </c>
      <c r="G36" s="99" t="s">
        <v>1216</v>
      </c>
      <c r="I36" s="7" t="s">
        <v>1552</v>
      </c>
      <c r="J36" s="7" t="s">
        <v>1561</v>
      </c>
      <c r="K36" s="7" t="b">
        <v>0</v>
      </c>
      <c r="L36" s="7" t="b">
        <v>1</v>
      </c>
      <c r="M36" s="16"/>
      <c r="N36" s="72"/>
    </row>
    <row r="37">
      <c r="B37" s="7" t="s">
        <v>148</v>
      </c>
      <c r="C37" s="70" t="str">
        <f>IFERROR(VLOOKUP(B37,'Master data'!$A$1:$F$429,2,FALSE),"")</f>
        <v>B001-064</v>
      </c>
      <c r="D37" s="70" t="str">
        <f>IFERROR(VLOOKUP(B37,'Master data'!$A$1:$F$429,6,FALSE),"")</f>
        <v>bahan baku</v>
      </c>
      <c r="E37" s="71">
        <v>38.0</v>
      </c>
      <c r="F37" s="70" t="str">
        <f>IFERROR(VLOOKUP(B37,'Master data'!$A$1:$F$429,3,FALSE),"")</f>
        <v>GR</v>
      </c>
      <c r="G37" s="99" t="s">
        <v>1370</v>
      </c>
      <c r="H37" s="69" t="s">
        <v>1305</v>
      </c>
      <c r="I37" s="7" t="s">
        <v>1542</v>
      </c>
      <c r="J37" s="7" t="s">
        <v>61</v>
      </c>
      <c r="K37" s="7" t="b">
        <v>0</v>
      </c>
      <c r="L37" s="7" t="b">
        <v>1</v>
      </c>
      <c r="M37" s="16"/>
      <c r="N37" s="72"/>
    </row>
    <row r="38">
      <c r="B38" s="7" t="s">
        <v>660</v>
      </c>
      <c r="C38" s="70" t="str">
        <f>IFERROR(VLOOKUP(B38,'Master data'!$A$1:$F$429,2,FALSE),"")</f>
        <v>P004-024</v>
      </c>
      <c r="D38" s="70" t="str">
        <f>IFERROR(VLOOKUP(B38,'Master data'!$A$1:$F$429,6,FALSE),"")</f>
        <v>barang jadi &amp; bahan baku</v>
      </c>
      <c r="E38" s="71">
        <v>200.0</v>
      </c>
      <c r="F38" s="70" t="str">
        <f>IFERROR(VLOOKUP(B38,'Master data'!$A$1:$F$429,3,FALSE),"")</f>
        <v>ML</v>
      </c>
      <c r="G38" s="99" t="s">
        <v>1216</v>
      </c>
      <c r="H38" s="69" t="s">
        <v>1789</v>
      </c>
      <c r="I38" s="7" t="s">
        <v>1552</v>
      </c>
      <c r="J38" s="7" t="s">
        <v>1561</v>
      </c>
      <c r="K38" s="7" t="b">
        <v>0</v>
      </c>
      <c r="L38" s="7" t="b">
        <v>1</v>
      </c>
      <c r="M38" s="16"/>
      <c r="N38" s="72"/>
    </row>
    <row r="39">
      <c r="B39" s="7" t="s">
        <v>23</v>
      </c>
      <c r="C39" s="70" t="str">
        <f>IFERROR(VLOOKUP(B39,'Master data'!$A$1:$F$429,2,FALSE),"")</f>
        <v>B001-004</v>
      </c>
      <c r="D39" s="70" t="str">
        <f>IFERROR(VLOOKUP(B39,'Master data'!$A$1:$F$429,6,FALSE),"")</f>
        <v>bahan baku</v>
      </c>
      <c r="E39" s="71">
        <v>2.0</v>
      </c>
      <c r="F39" s="70" t="str">
        <f>IFERROR(VLOOKUP(B39,'Master data'!$A$1:$F$429,3,FALSE),"")</f>
        <v>PCS</v>
      </c>
      <c r="G39" s="99" t="s">
        <v>1216</v>
      </c>
      <c r="H39" s="69" t="s">
        <v>1417</v>
      </c>
      <c r="I39" s="7" t="s">
        <v>1548</v>
      </c>
      <c r="J39" s="7" t="s">
        <v>1561</v>
      </c>
      <c r="K39" s="7" t="b">
        <v>0</v>
      </c>
      <c r="L39" s="7" t="b">
        <v>1</v>
      </c>
      <c r="M39" s="16"/>
      <c r="N39" s="72"/>
    </row>
    <row r="40">
      <c r="B40" s="7" t="s">
        <v>148</v>
      </c>
      <c r="C40" s="70" t="str">
        <f>IFERROR(VLOOKUP(B40,'Master data'!$A$1:$F$429,2,FALSE),"")</f>
        <v>B001-064</v>
      </c>
      <c r="D40" s="70" t="str">
        <f>IFERROR(VLOOKUP(B40,'Master data'!$A$1:$F$429,6,FALSE),"")</f>
        <v>bahan baku</v>
      </c>
      <c r="E40" s="71">
        <v>43.0</v>
      </c>
      <c r="F40" s="70" t="str">
        <f>IFERROR(VLOOKUP(B40,'Master data'!$A$1:$F$429,3,FALSE),"")</f>
        <v>GR</v>
      </c>
      <c r="G40" s="99" t="s">
        <v>1370</v>
      </c>
      <c r="H40" s="69" t="s">
        <v>1539</v>
      </c>
      <c r="I40" s="7" t="s">
        <v>1542</v>
      </c>
      <c r="J40" s="7" t="s">
        <v>61</v>
      </c>
      <c r="K40" s="7" t="b">
        <v>0</v>
      </c>
      <c r="L40" s="7" t="b">
        <v>1</v>
      </c>
      <c r="M40" s="16"/>
      <c r="N40" s="72"/>
    </row>
    <row r="41">
      <c r="B41" s="7" t="s">
        <v>28</v>
      </c>
      <c r="C41" s="70" t="str">
        <f>IFERROR(VLOOKUP(B41,'Master data'!$A$1:$F$429,2,FALSE),"")</f>
        <v>B001-006</v>
      </c>
      <c r="D41" s="70" t="str">
        <f>IFERROR(VLOOKUP(B41,'Master data'!$A$1:$F$429,6,FALSE),"")</f>
        <v>bahan baku</v>
      </c>
      <c r="E41" s="71">
        <v>22.0</v>
      </c>
      <c r="F41" s="70" t="str">
        <f>IFERROR(VLOOKUP(B41,'Master data'!$A$1:$F$429,3,FALSE),"")</f>
        <v>GR</v>
      </c>
      <c r="G41" s="99" t="s">
        <v>1370</v>
      </c>
      <c r="I41" s="7" t="s">
        <v>1542</v>
      </c>
      <c r="J41" s="7" t="s">
        <v>61</v>
      </c>
      <c r="K41" s="7" t="b">
        <v>0</v>
      </c>
      <c r="L41" s="7" t="b">
        <v>1</v>
      </c>
      <c r="M41" s="16"/>
      <c r="N41" s="72"/>
    </row>
    <row r="42">
      <c r="A42" s="69">
        <v>6.0</v>
      </c>
      <c r="B42" s="7" t="s">
        <v>28</v>
      </c>
      <c r="C42" s="70" t="str">
        <f>IFERROR(VLOOKUP(B42,'Master data'!$A$1:$F$429,2,FALSE),"")</f>
        <v>B001-006</v>
      </c>
      <c r="D42" s="70" t="str">
        <f>IFERROR(VLOOKUP(B42,'Master data'!$A$1:$F$429,6,FALSE),"")</f>
        <v>bahan baku</v>
      </c>
      <c r="E42" s="71">
        <v>19.0</v>
      </c>
      <c r="F42" s="70" t="str">
        <f>IFERROR(VLOOKUP(B42,'Master data'!$A$1:$F$429,3,FALSE),"")</f>
        <v>GR</v>
      </c>
      <c r="G42" s="99" t="s">
        <v>1370</v>
      </c>
      <c r="H42" s="69" t="s">
        <v>1305</v>
      </c>
      <c r="I42" s="7" t="s">
        <v>1542</v>
      </c>
      <c r="J42" s="7" t="s">
        <v>61</v>
      </c>
      <c r="K42" s="7" t="b">
        <v>0</v>
      </c>
      <c r="L42" s="7" t="b">
        <v>1</v>
      </c>
      <c r="M42" s="16"/>
      <c r="N42" s="72"/>
    </row>
    <row r="43">
      <c r="B43" s="7" t="s">
        <v>664</v>
      </c>
      <c r="C43" s="70" t="str">
        <f>IFERROR(VLOOKUP(B43,'Master data'!$A$1:$F$429,2,FALSE),"")</f>
        <v>P004-025</v>
      </c>
      <c r="D43" s="70" t="str">
        <f>IFERROR(VLOOKUP(B43,'Master data'!$A$1:$F$429,6,FALSE),"")</f>
        <v>barang jadi &amp; bahan baku</v>
      </c>
      <c r="E43" s="71">
        <v>214.0</v>
      </c>
      <c r="F43" s="70" t="s">
        <v>78</v>
      </c>
      <c r="G43" s="99" t="s">
        <v>1216</v>
      </c>
      <c r="H43" s="69" t="s">
        <v>1773</v>
      </c>
      <c r="I43" s="7" t="s">
        <v>1552</v>
      </c>
      <c r="J43" s="7" t="s">
        <v>1561</v>
      </c>
      <c r="K43" s="7" t="b">
        <v>0</v>
      </c>
      <c r="L43" s="7" t="b">
        <v>1</v>
      </c>
      <c r="M43" s="16"/>
      <c r="N43" s="72"/>
    </row>
    <row r="44">
      <c r="B44" s="7" t="s">
        <v>657</v>
      </c>
      <c r="C44" s="70" t="str">
        <f>IFERROR(VLOOKUP(B44,'Master data'!$A$1:$F$429,2,FALSE),"")</f>
        <v>P004-023</v>
      </c>
      <c r="D44" s="70" t="str">
        <f>IFERROR(VLOOKUP(B44,'Master data'!$A$1:$F$429,6,FALSE),"")</f>
        <v>barang jadi &amp; bahan baku</v>
      </c>
      <c r="E44" s="71">
        <v>279.0</v>
      </c>
      <c r="F44" s="70" t="str">
        <f>IFERROR(VLOOKUP(B44,'Master data'!$A$1:$F$429,3,FALSE),"")</f>
        <v>GR</v>
      </c>
      <c r="G44" s="99" t="s">
        <v>1216</v>
      </c>
      <c r="I44" s="7" t="s">
        <v>1552</v>
      </c>
      <c r="J44" s="7" t="s">
        <v>1561</v>
      </c>
      <c r="K44" s="7" t="b">
        <v>0</v>
      </c>
      <c r="L44" s="7" t="b">
        <v>1</v>
      </c>
      <c r="M44" s="16"/>
      <c r="N44" s="72"/>
    </row>
    <row r="45">
      <c r="A45" s="69">
        <v>7.0</v>
      </c>
      <c r="B45" s="7" t="s">
        <v>33</v>
      </c>
      <c r="C45" s="70" t="str">
        <f>IFERROR(VLOOKUP(B45,'Master data'!$A$1:$F$429,2,FALSE),"")</f>
        <v>B001-008</v>
      </c>
      <c r="D45" s="70" t="str">
        <f>IFERROR(VLOOKUP(B45,'Master data'!$A$1:$F$429,6,FALSE),"")</f>
        <v>bahan baku</v>
      </c>
      <c r="E45" s="71">
        <f>800/1.56</f>
        <v>512.8205128</v>
      </c>
      <c r="F45" s="70" t="str">
        <f>IFERROR(VLOOKUP(B45,'Master data'!$A$1:$F$429,3,FALSE),"")</f>
        <v>GR</v>
      </c>
      <c r="G45" s="99" t="s">
        <v>1791</v>
      </c>
      <c r="H45" s="69" t="s">
        <v>1792</v>
      </c>
      <c r="I45" s="7" t="s">
        <v>1548</v>
      </c>
      <c r="J45" s="7" t="s">
        <v>1561</v>
      </c>
      <c r="K45" s="7" t="b">
        <v>0</v>
      </c>
      <c r="L45" s="7" t="b">
        <v>1</v>
      </c>
      <c r="M45" s="16"/>
      <c r="N45" s="72"/>
    </row>
    <row r="46">
      <c r="B46" s="7" t="s">
        <v>129</v>
      </c>
      <c r="C46" s="70" t="str">
        <f>IFERROR(VLOOKUP(B46,'Master data'!$A$1:$F$429,2,FALSE),"")</f>
        <v>B001-056</v>
      </c>
      <c r="D46" s="70" t="str">
        <f>IFERROR(VLOOKUP(B46,'Master data'!$A$1:$F$429,6,FALSE),"")</f>
        <v>bahan baku</v>
      </c>
      <c r="E46" s="71">
        <v>5.0</v>
      </c>
      <c r="F46" s="70" t="str">
        <f>IFERROR(VLOOKUP(B46,'Master data'!$A$1:$F$429,3,FALSE),"")</f>
        <v>ML</v>
      </c>
      <c r="I46" s="7" t="s">
        <v>1548</v>
      </c>
      <c r="J46" s="7" t="s">
        <v>1561</v>
      </c>
      <c r="K46" s="7" t="b">
        <v>0</v>
      </c>
      <c r="L46" s="7" t="b">
        <v>1</v>
      </c>
      <c r="M46" s="16"/>
      <c r="N46" s="72"/>
    </row>
    <row r="47">
      <c r="B47" s="7" t="s">
        <v>664</v>
      </c>
      <c r="C47" s="70" t="str">
        <f>IFERROR(VLOOKUP(B47,'Master data'!$A$1:$F$429,2,FALSE),"")</f>
        <v>P004-025</v>
      </c>
      <c r="D47" s="70" t="str">
        <f>IFERROR(VLOOKUP(B47,'Master data'!$A$1:$F$429,6,FALSE),"")</f>
        <v>barang jadi &amp; bahan baku</v>
      </c>
      <c r="E47" s="71">
        <v>465.0</v>
      </c>
      <c r="F47" s="70" t="s">
        <v>78</v>
      </c>
      <c r="G47" s="99" t="s">
        <v>1216</v>
      </c>
      <c r="H47" s="69" t="s">
        <v>1789</v>
      </c>
      <c r="I47" s="7" t="s">
        <v>1552</v>
      </c>
      <c r="J47" s="7" t="s">
        <v>1561</v>
      </c>
      <c r="K47" s="7" t="b">
        <v>0</v>
      </c>
      <c r="L47" s="7" t="b">
        <v>1</v>
      </c>
      <c r="M47" s="16"/>
      <c r="N47" s="72"/>
    </row>
    <row r="48">
      <c r="B48" s="7" t="s">
        <v>137</v>
      </c>
      <c r="C48" s="70" t="str">
        <f>IFERROR(VLOOKUP(B48,'Master data'!$A$1:$F$429,2,FALSE),"")</f>
        <v>B001-060</v>
      </c>
      <c r="D48" s="70" t="str">
        <f>IFERROR(VLOOKUP(B48,'Master data'!$A$1:$F$429,6,FALSE),"")</f>
        <v>bahan baku</v>
      </c>
      <c r="E48" s="71">
        <v>37.0</v>
      </c>
      <c r="F48" s="70" t="str">
        <f>IFERROR(VLOOKUP(B48,'Master data'!$A$1:$F$429,3,FALSE),"")</f>
        <v>GR</v>
      </c>
      <c r="G48" s="86" t="s">
        <v>1525</v>
      </c>
      <c r="H48" s="69" t="s">
        <v>1290</v>
      </c>
      <c r="I48" s="7" t="s">
        <v>1542</v>
      </c>
      <c r="J48" s="7" t="s">
        <v>61</v>
      </c>
      <c r="K48" s="7" t="b">
        <v>0</v>
      </c>
      <c r="L48" s="7" t="b">
        <v>1</v>
      </c>
      <c r="M48" s="16"/>
      <c r="N48" s="72"/>
    </row>
    <row r="49">
      <c r="B49" s="7" t="s">
        <v>298</v>
      </c>
      <c r="C49" s="70" t="str">
        <f>IFERROR(VLOOKUP(B49,'Master data'!$A$1:$F$429,2,FALSE),"")</f>
        <v>B001-125</v>
      </c>
      <c r="D49" s="70" t="str">
        <f>IFERROR(VLOOKUP(B49,'Master data'!$A$1:$F$429,6,FALSE),"")</f>
        <v>bahan baku</v>
      </c>
      <c r="E49" s="71">
        <v>130.0</v>
      </c>
      <c r="F49" s="70" t="str">
        <f>IFERROR(VLOOKUP(B49,'Master data'!$A$1:$F$429,3,FALSE),"")</f>
        <v>GR</v>
      </c>
      <c r="G49" s="86" t="s">
        <v>1793</v>
      </c>
      <c r="I49" s="7" t="s">
        <v>1542</v>
      </c>
      <c r="J49" s="7" t="s">
        <v>1561</v>
      </c>
      <c r="K49" s="7" t="b">
        <v>0</v>
      </c>
      <c r="L49" s="7" t="b">
        <v>1</v>
      </c>
      <c r="M49" s="16"/>
      <c r="N49" s="72"/>
    </row>
    <row r="50">
      <c r="B50" s="7" t="s">
        <v>139</v>
      </c>
      <c r="C50" s="70" t="str">
        <f>IFERROR(VLOOKUP(B50,'Master data'!$A$1:$F$429,2,FALSE),"")</f>
        <v>B001-061</v>
      </c>
      <c r="D50" s="70" t="str">
        <f>IFERROR(VLOOKUP(B50,'Master data'!$A$1:$F$429,6,FALSE),"")</f>
        <v>bahan baku</v>
      </c>
      <c r="E50" s="71">
        <v>37.0</v>
      </c>
      <c r="F50" s="70" t="str">
        <f>IFERROR(VLOOKUP(B50,'Master data'!$A$1:$F$429,3,FALSE),"")</f>
        <v>GR</v>
      </c>
      <c r="G50" s="86" t="s">
        <v>1525</v>
      </c>
      <c r="I50" s="7" t="s">
        <v>1542</v>
      </c>
      <c r="J50" s="7" t="s">
        <v>61</v>
      </c>
      <c r="K50" s="7" t="b">
        <v>0</v>
      </c>
      <c r="L50" s="7" t="b">
        <v>1</v>
      </c>
      <c r="M50" s="16"/>
      <c r="N50" s="72"/>
    </row>
    <row r="51">
      <c r="B51" s="7" t="s">
        <v>918</v>
      </c>
      <c r="C51" s="70" t="str">
        <f>IFERROR(VLOOKUP(B51,'Master data'!$A$1:$F$429,2,FALSE),"")</f>
        <v>B001-162</v>
      </c>
      <c r="D51" s="70" t="str">
        <f>IFERROR(VLOOKUP(B51,'Master data'!$A$1:$F$429,6,FALSE),"")</f>
        <v>bahan baku</v>
      </c>
      <c r="E51" s="71">
        <v>100.0</v>
      </c>
      <c r="F51" s="70" t="s">
        <v>20</v>
      </c>
      <c r="G51" s="99" t="s">
        <v>1224</v>
      </c>
      <c r="I51" s="7" t="s">
        <v>1542</v>
      </c>
      <c r="J51" s="7" t="s">
        <v>1561</v>
      </c>
      <c r="K51" s="7" t="b">
        <v>0</v>
      </c>
      <c r="L51" s="7" t="b">
        <v>1</v>
      </c>
      <c r="M51" s="69"/>
      <c r="N51" s="72"/>
    </row>
    <row r="52">
      <c r="B52" s="7" t="s">
        <v>33</v>
      </c>
      <c r="C52" s="70" t="str">
        <f>IFERROR(VLOOKUP(B52,'Master data'!$A$1:$F$429,2,FALSE),"")</f>
        <v>B001-008</v>
      </c>
      <c r="D52" s="70" t="str">
        <f>IFERROR(VLOOKUP(B52,'Master data'!$A$1:$F$429,6,FALSE),"")</f>
        <v>bahan baku</v>
      </c>
      <c r="E52" s="71">
        <f>600/1.56</f>
        <v>384.6153846</v>
      </c>
      <c r="F52" s="70" t="str">
        <f>IFERROR(VLOOKUP(B52,'Master data'!$A$1:$F$429,3,FALSE),"")</f>
        <v>GR</v>
      </c>
      <c r="G52" s="86" t="s">
        <v>1794</v>
      </c>
      <c r="H52" s="69" t="s">
        <v>1795</v>
      </c>
      <c r="I52" s="7" t="s">
        <v>1548</v>
      </c>
      <c r="J52" s="7" t="s">
        <v>817</v>
      </c>
      <c r="K52" s="7" t="b">
        <v>0</v>
      </c>
      <c r="L52" s="7" t="b">
        <v>1</v>
      </c>
      <c r="M52" s="16"/>
      <c r="N52" s="72"/>
    </row>
    <row r="53">
      <c r="B53" s="7" t="s">
        <v>129</v>
      </c>
      <c r="C53" s="70" t="str">
        <f>IFERROR(VLOOKUP(B53,'Master data'!$A$1:$F$429,2,FALSE),"")</f>
        <v>B001-056</v>
      </c>
      <c r="D53" s="70" t="str">
        <f>IFERROR(VLOOKUP(B53,'Master data'!$A$1:$F$429,6,FALSE),"")</f>
        <v>bahan baku</v>
      </c>
      <c r="E53" s="71">
        <v>3.0</v>
      </c>
      <c r="F53" s="70" t="str">
        <f>IFERROR(VLOOKUP(B53,'Master data'!$A$1:$F$429,3,FALSE),"")</f>
        <v>ML</v>
      </c>
      <c r="I53" s="7" t="s">
        <v>1548</v>
      </c>
      <c r="J53" s="7" t="s">
        <v>817</v>
      </c>
      <c r="K53" s="7" t="b">
        <v>0</v>
      </c>
      <c r="L53" s="7" t="b">
        <v>1</v>
      </c>
      <c r="M53" s="16"/>
      <c r="N53" s="72"/>
    </row>
    <row r="54">
      <c r="B54" s="7" t="s">
        <v>23</v>
      </c>
      <c r="C54" s="70" t="str">
        <f>IFERROR(VLOOKUP(B54,'Master data'!$A$1:$F$429,2,FALSE),"")</f>
        <v>B001-004</v>
      </c>
      <c r="D54" s="70" t="str">
        <f>IFERROR(VLOOKUP(B54,'Master data'!$A$1:$F$429,6,FALSE),"")</f>
        <v>bahan baku</v>
      </c>
      <c r="E54" s="71">
        <v>4.0</v>
      </c>
      <c r="F54" s="70" t="str">
        <f>IFERROR(VLOOKUP(B54,'Master data'!$A$1:$F$429,3,FALSE),"")</f>
        <v>PCS</v>
      </c>
      <c r="I54" s="7" t="s">
        <v>1548</v>
      </c>
      <c r="J54" s="7" t="s">
        <v>817</v>
      </c>
      <c r="K54" s="7" t="b">
        <v>0</v>
      </c>
      <c r="L54" s="7" t="b">
        <v>1</v>
      </c>
      <c r="M54" s="16"/>
      <c r="N54" s="72"/>
    </row>
    <row r="55">
      <c r="B55" s="7" t="s">
        <v>69</v>
      </c>
      <c r="C55" s="70" t="str">
        <f>IFERROR(VLOOKUP(B55,'Master data'!$A$1:$F$429,2,FALSE),"")</f>
        <v>B001-026</v>
      </c>
      <c r="D55" s="70" t="str">
        <f>IFERROR(VLOOKUP(B55,'Master data'!$A$1:$F$429,6,FALSE),"")</f>
        <v>bahan baku</v>
      </c>
      <c r="E55" s="71">
        <v>60.0</v>
      </c>
      <c r="F55" s="70" t="str">
        <f>IFERROR(VLOOKUP(B55,'Master data'!$A$1:$F$429,3,FALSE),"")</f>
        <v>GR</v>
      </c>
      <c r="I55" s="7" t="s">
        <v>1548</v>
      </c>
      <c r="J55" s="7" t="s">
        <v>817</v>
      </c>
      <c r="K55" s="7" t="b">
        <v>0</v>
      </c>
      <c r="L55" s="7" t="b">
        <v>1</v>
      </c>
      <c r="M55" s="16"/>
      <c r="N55" s="72"/>
    </row>
    <row r="56">
      <c r="B56" s="7" t="s">
        <v>1796</v>
      </c>
      <c r="C56" s="70" t="str">
        <f>IFERROR(VLOOKUP(B56,'Master data'!$A$1:$F$429,2,FALSE),"")</f>
        <v>B001-166</v>
      </c>
      <c r="D56" s="70" t="str">
        <f>IFERROR(VLOOKUP(B56,'Master data'!$A$1:$F$429,6,FALSE),"")</f>
        <v>bahan baku</v>
      </c>
      <c r="E56" s="71">
        <v>160.0</v>
      </c>
      <c r="F56" s="70" t="s">
        <v>20</v>
      </c>
      <c r="I56" s="7" t="s">
        <v>1548</v>
      </c>
      <c r="J56" s="7" t="s">
        <v>817</v>
      </c>
      <c r="K56" s="7" t="b">
        <v>0</v>
      </c>
      <c r="L56" s="7" t="b">
        <v>1</v>
      </c>
      <c r="M56" s="69"/>
      <c r="N56" s="72"/>
    </row>
    <row r="57">
      <c r="B57" s="7" t="s">
        <v>1797</v>
      </c>
      <c r="C57" s="70" t="str">
        <f>IFERROR(VLOOKUP(B57,'Master data'!$A$1:$F$429,2,FALSE),"")</f>
        <v>B001-165</v>
      </c>
      <c r="D57" s="70" t="str">
        <f>IFERROR(VLOOKUP(B57,'Master data'!$A$1:$F$429,6,FALSE),"")</f>
        <v>bahan baku</v>
      </c>
      <c r="E57" s="71">
        <v>80.0</v>
      </c>
      <c r="F57" s="70" t="s">
        <v>20</v>
      </c>
      <c r="I57" s="7" t="s">
        <v>1548</v>
      </c>
      <c r="J57" s="7" t="s">
        <v>817</v>
      </c>
      <c r="K57" s="7" t="b">
        <v>0</v>
      </c>
      <c r="L57" s="7" t="b">
        <v>1</v>
      </c>
      <c r="M57" s="69"/>
      <c r="N57" s="72"/>
    </row>
    <row r="58">
      <c r="B58" s="7" t="s">
        <v>1291</v>
      </c>
      <c r="C58" s="70" t="str">
        <f>IFERROR(VLOOKUP(B58,'Master data'!$A$1:$F$429,2,FALSE),"")</f>
        <v>P004-055</v>
      </c>
      <c r="D58" s="70" t="str">
        <f>IFERROR(VLOOKUP(B58,'Master data'!$A$1:$F$429,6,FALSE),"")</f>
        <v>barang jadi &amp; bahan baku</v>
      </c>
      <c r="E58" s="71">
        <v>30.0</v>
      </c>
      <c r="F58" s="70" t="s">
        <v>20</v>
      </c>
      <c r="I58" s="7" t="s">
        <v>1548</v>
      </c>
      <c r="J58" s="7" t="s">
        <v>817</v>
      </c>
      <c r="K58" s="7" t="b">
        <v>0</v>
      </c>
      <c r="L58" s="7" t="b">
        <v>1</v>
      </c>
      <c r="M58" s="69"/>
      <c r="N58" s="72"/>
    </row>
    <row r="59">
      <c r="B59" s="7" t="s">
        <v>1287</v>
      </c>
      <c r="C59" s="70" t="str">
        <f>IFERROR(VLOOKUP(B59,'Master data'!$A$1:$F$429,2,FALSE),"")</f>
        <v>P004-054</v>
      </c>
      <c r="D59" s="70" t="str">
        <f>IFERROR(VLOOKUP(B59,'Master data'!$A$1:$F$429,6,FALSE),"")</f>
        <v>barang jadi &amp; bahan baku</v>
      </c>
      <c r="E59" s="71">
        <v>30.0</v>
      </c>
      <c r="F59" s="70" t="s">
        <v>20</v>
      </c>
      <c r="I59" s="7" t="s">
        <v>1548</v>
      </c>
      <c r="J59" s="7" t="s">
        <v>817</v>
      </c>
      <c r="K59" s="7" t="b">
        <v>0</v>
      </c>
      <c r="L59" s="7" t="b">
        <v>1</v>
      </c>
      <c r="M59" s="69"/>
      <c r="N59" s="72"/>
    </row>
    <row r="60">
      <c r="B60" s="7" t="s">
        <v>687</v>
      </c>
      <c r="C60" s="70" t="str">
        <f>IFERROR(VLOOKUP(B60,'Master data'!$A$1:$F$429,2,FALSE),"")</f>
        <v>P004-035</v>
      </c>
      <c r="D60" s="70" t="str">
        <f>IFERROR(VLOOKUP(B60,'Master data'!$A$1:$F$429,6,FALSE),"")</f>
        <v>barang jadi &amp; bahan baku</v>
      </c>
      <c r="E60" s="71">
        <v>30.0</v>
      </c>
      <c r="F60" s="70" t="s">
        <v>20</v>
      </c>
      <c r="I60" s="7" t="s">
        <v>1548</v>
      </c>
      <c r="J60" s="7" t="s">
        <v>817</v>
      </c>
      <c r="K60" s="7" t="b">
        <v>0</v>
      </c>
      <c r="L60" s="7" t="b">
        <v>1</v>
      </c>
      <c r="M60" s="16"/>
      <c r="N60" s="72"/>
    </row>
    <row r="61">
      <c r="B61" s="7" t="s">
        <v>636</v>
      </c>
      <c r="C61" s="70" t="str">
        <f>IFERROR(VLOOKUP(B61,'Master data'!$A$1:$F$429,2,FALSE),"")</f>
        <v>P004-015</v>
      </c>
      <c r="D61" s="70" t="str">
        <f>IFERROR(VLOOKUP(B61,'Master data'!$A$1:$F$429,6,FALSE),"")</f>
        <v>barang jadi &amp; bahan baku</v>
      </c>
      <c r="E61" s="71">
        <v>30.0</v>
      </c>
      <c r="F61" s="70" t="s">
        <v>20</v>
      </c>
      <c r="I61" s="7" t="s">
        <v>1548</v>
      </c>
      <c r="J61" s="7" t="s">
        <v>817</v>
      </c>
      <c r="K61" s="7" t="b">
        <v>0</v>
      </c>
      <c r="L61" s="7" t="b">
        <v>1</v>
      </c>
      <c r="M61" s="16"/>
      <c r="N61" s="72"/>
    </row>
    <row r="62">
      <c r="A62" s="69">
        <v>8.0</v>
      </c>
      <c r="B62" s="7" t="s">
        <v>33</v>
      </c>
      <c r="C62" s="70" t="str">
        <f>IFERROR(VLOOKUP(B62,'Master data'!$A$1:$F$429,2,FALSE),"")</f>
        <v>B001-008</v>
      </c>
      <c r="D62" s="70" t="str">
        <f>IFERROR(VLOOKUP(B62,'Master data'!$A$1:$F$429,6,FALSE),"")</f>
        <v>bahan baku</v>
      </c>
      <c r="E62" s="71">
        <f>150/1.56</f>
        <v>96.15384615</v>
      </c>
      <c r="F62" s="70" t="str">
        <f>IFERROR(VLOOKUP(B62,'Master data'!$A$1:$F$429,3,FALSE),"")</f>
        <v>GR</v>
      </c>
      <c r="G62" s="86" t="s">
        <v>1798</v>
      </c>
      <c r="H62" s="69" t="s">
        <v>1388</v>
      </c>
      <c r="I62" s="7" t="s">
        <v>1548</v>
      </c>
      <c r="J62" s="7" t="s">
        <v>817</v>
      </c>
      <c r="K62" s="7" t="b">
        <v>0</v>
      </c>
      <c r="L62" s="7" t="b">
        <v>1</v>
      </c>
      <c r="M62" s="16"/>
      <c r="N62" s="72"/>
    </row>
    <row r="63">
      <c r="B63" s="7" t="s">
        <v>129</v>
      </c>
      <c r="C63" s="70" t="str">
        <f>IFERROR(VLOOKUP(B63,'Master data'!$A$1:$F$429,2,FALSE),"")</f>
        <v>B001-056</v>
      </c>
      <c r="D63" s="70" t="str">
        <f>IFERROR(VLOOKUP(B63,'Master data'!$A$1:$F$429,6,FALSE),"")</f>
        <v>bahan baku</v>
      </c>
      <c r="E63" s="71" t="s">
        <v>1799</v>
      </c>
      <c r="F63" s="70" t="str">
        <f>IFERROR(VLOOKUP(B63,'Master data'!$A$1:$F$429,3,FALSE),"")</f>
        <v>ML</v>
      </c>
      <c r="I63" s="7" t="s">
        <v>1548</v>
      </c>
      <c r="J63" s="7" t="s">
        <v>817</v>
      </c>
      <c r="K63" s="7" t="b">
        <v>0</v>
      </c>
      <c r="L63" s="7" t="b">
        <v>1</v>
      </c>
      <c r="M63" s="16"/>
      <c r="N63" s="72"/>
    </row>
    <row r="64">
      <c r="B64" s="7" t="s">
        <v>23</v>
      </c>
      <c r="C64" s="70" t="str">
        <f>IFERROR(VLOOKUP(B64,'Master data'!$A$1:$F$429,2,FALSE),"")</f>
        <v>B001-004</v>
      </c>
      <c r="D64" s="70" t="str">
        <f>IFERROR(VLOOKUP(B64,'Master data'!$A$1:$F$429,6,FALSE),"")</f>
        <v>bahan baku</v>
      </c>
      <c r="E64" s="71">
        <v>1.0</v>
      </c>
      <c r="F64" s="70" t="str">
        <f>IFERROR(VLOOKUP(B64,'Master data'!$A$1:$F$429,3,FALSE),"")</f>
        <v>PCS</v>
      </c>
      <c r="I64" s="7" t="s">
        <v>1548</v>
      </c>
      <c r="J64" s="7" t="s">
        <v>817</v>
      </c>
      <c r="K64" s="7" t="b">
        <v>0</v>
      </c>
      <c r="L64" s="7" t="b">
        <v>1</v>
      </c>
      <c r="M64" s="16"/>
      <c r="N64" s="72"/>
    </row>
    <row r="65">
      <c r="B65" s="7" t="s">
        <v>69</v>
      </c>
      <c r="C65" s="70" t="str">
        <f>IFERROR(VLOOKUP(B65,'Master data'!$A$1:$F$429,2,FALSE),"")</f>
        <v>B001-026</v>
      </c>
      <c r="D65" s="70" t="str">
        <f>IFERROR(VLOOKUP(B65,'Master data'!$A$1:$F$429,6,FALSE),"")</f>
        <v>bahan baku</v>
      </c>
      <c r="E65" s="71">
        <v>15.0</v>
      </c>
      <c r="F65" s="70" t="str">
        <f>IFERROR(VLOOKUP(B65,'Master data'!$A$1:$F$429,3,FALSE),"")</f>
        <v>GR</v>
      </c>
      <c r="I65" s="7" t="s">
        <v>1548</v>
      </c>
      <c r="J65" s="7" t="s">
        <v>817</v>
      </c>
      <c r="K65" s="7" t="b">
        <v>0</v>
      </c>
      <c r="L65" s="7" t="b">
        <v>1</v>
      </c>
      <c r="M65" s="16"/>
      <c r="N65" s="72"/>
    </row>
    <row r="66">
      <c r="B66" s="7" t="s">
        <v>1796</v>
      </c>
      <c r="C66" s="70" t="str">
        <f>IFERROR(VLOOKUP(B66,'Master data'!$A$1:$F$429,2,FALSE),"")</f>
        <v>B001-166</v>
      </c>
      <c r="D66" s="70" t="str">
        <f>IFERROR(VLOOKUP(B66,'Master data'!$A$1:$F$429,6,FALSE),"")</f>
        <v>bahan baku</v>
      </c>
      <c r="E66" s="71">
        <v>40.0</v>
      </c>
      <c r="F66" s="70" t="s">
        <v>20</v>
      </c>
      <c r="I66" s="7" t="s">
        <v>1548</v>
      </c>
      <c r="J66" s="7" t="s">
        <v>817</v>
      </c>
      <c r="K66" s="7" t="b">
        <v>0</v>
      </c>
      <c r="L66" s="7" t="b">
        <v>1</v>
      </c>
      <c r="M66" s="69"/>
      <c r="N66" s="72"/>
    </row>
    <row r="67">
      <c r="B67" s="7" t="s">
        <v>1797</v>
      </c>
      <c r="C67" s="70" t="str">
        <f>IFERROR(VLOOKUP(B67,'Master data'!$A$1:$F$429,2,FALSE),"")</f>
        <v>B001-165</v>
      </c>
      <c r="D67" s="70" t="str">
        <f>IFERROR(VLOOKUP(B67,'Master data'!$A$1:$F$429,6,FALSE),"")</f>
        <v>bahan baku</v>
      </c>
      <c r="E67" s="71">
        <v>20.0</v>
      </c>
      <c r="F67" s="70" t="s">
        <v>20</v>
      </c>
      <c r="I67" s="7" t="s">
        <v>1548</v>
      </c>
      <c r="J67" s="7" t="s">
        <v>817</v>
      </c>
      <c r="K67" s="7" t="b">
        <v>0</v>
      </c>
      <c r="L67" s="7" t="b">
        <v>1</v>
      </c>
      <c r="M67" s="69"/>
      <c r="N67" s="72"/>
    </row>
    <row r="68">
      <c r="B68" s="7" t="s">
        <v>1291</v>
      </c>
      <c r="C68" s="70" t="str">
        <f>IFERROR(VLOOKUP(B68,'Master data'!$A$1:$F$429,2,FALSE),"")</f>
        <v>P004-055</v>
      </c>
      <c r="D68" s="70" t="str">
        <f>IFERROR(VLOOKUP(B68,'Master data'!$A$1:$F$429,6,FALSE),"")</f>
        <v>barang jadi &amp; bahan baku</v>
      </c>
      <c r="E68" s="71">
        <v>30.0</v>
      </c>
      <c r="F68" s="70" t="s">
        <v>20</v>
      </c>
      <c r="I68" s="7" t="s">
        <v>1548</v>
      </c>
      <c r="J68" s="7" t="s">
        <v>817</v>
      </c>
      <c r="K68" s="7" t="b">
        <v>0</v>
      </c>
      <c r="L68" s="7" t="b">
        <v>1</v>
      </c>
      <c r="M68" s="69"/>
      <c r="N68" s="72"/>
    </row>
    <row r="69">
      <c r="B69" s="7" t="s">
        <v>28</v>
      </c>
      <c r="C69" s="70" t="str">
        <f>IFERROR(VLOOKUP(B69,'Master data'!$A$1:$F$429,2,FALSE),"")</f>
        <v>B001-006</v>
      </c>
      <c r="D69" s="70" t="str">
        <f>IFERROR(VLOOKUP(B69,'Master data'!$A$1:$F$429,6,FALSE),"")</f>
        <v>bahan baku</v>
      </c>
      <c r="E69" s="71">
        <v>30.0</v>
      </c>
      <c r="F69" s="70" t="str">
        <f>IFERROR(VLOOKUP(B69,'Master data'!$A$1:$F$429,3,FALSE),"")</f>
        <v>GR</v>
      </c>
      <c r="G69" s="99" t="s">
        <v>1370</v>
      </c>
      <c r="H69" s="69" t="s">
        <v>1305</v>
      </c>
      <c r="I69" s="7" t="s">
        <v>1542</v>
      </c>
      <c r="J69" s="7" t="s">
        <v>61</v>
      </c>
      <c r="K69" s="7" t="b">
        <v>0</v>
      </c>
      <c r="L69" s="7" t="b">
        <v>1</v>
      </c>
      <c r="M69" s="16"/>
      <c r="N69" s="72"/>
    </row>
    <row r="70">
      <c r="B70" s="7" t="s">
        <v>33</v>
      </c>
      <c r="C70" s="70" t="str">
        <f>IFERROR(VLOOKUP(B70,'Master data'!$A$1:$F$429,2,FALSE),"")</f>
        <v>B001-008</v>
      </c>
      <c r="D70" s="70" t="str">
        <f>IFERROR(VLOOKUP(B70,'Master data'!$A$1:$F$429,6,FALSE),"")</f>
        <v>bahan baku</v>
      </c>
      <c r="E70" s="71" t="s">
        <v>1800</v>
      </c>
      <c r="F70" s="70" t="str">
        <f>IFERROR(VLOOKUP(B70,'Master data'!$A$1:$F$429,3,FALSE),"")</f>
        <v>GR</v>
      </c>
      <c r="G70" s="99" t="s">
        <v>1801</v>
      </c>
      <c r="H70" s="69" t="s">
        <v>1417</v>
      </c>
      <c r="I70" s="7" t="s">
        <v>1548</v>
      </c>
      <c r="J70" s="7" t="s">
        <v>1561</v>
      </c>
      <c r="K70" s="7" t="b">
        <v>0</v>
      </c>
      <c r="L70" s="7" t="b">
        <v>1</v>
      </c>
      <c r="M70" s="16"/>
      <c r="N70" s="72"/>
    </row>
    <row r="71">
      <c r="B71" s="7" t="s">
        <v>129</v>
      </c>
      <c r="C71" s="70" t="str">
        <f>IFERROR(VLOOKUP(B71,'Master data'!$A$1:$F$429,2,FALSE),"")</f>
        <v>B001-056</v>
      </c>
      <c r="D71" s="70" t="str">
        <f>IFERROR(VLOOKUP(B71,'Master data'!$A$1:$F$429,6,FALSE),"")</f>
        <v>bahan baku</v>
      </c>
      <c r="E71" s="71" t="s">
        <v>1802</v>
      </c>
      <c r="F71" s="70" t="str">
        <f>IFERROR(VLOOKUP(B71,'Master data'!$A$1:$F$429,3,FALSE),"")</f>
        <v>ML</v>
      </c>
      <c r="I71" s="7" t="s">
        <v>1548</v>
      </c>
      <c r="J71" s="7" t="s">
        <v>1561</v>
      </c>
      <c r="K71" s="7" t="b">
        <v>0</v>
      </c>
      <c r="L71" s="7" t="b">
        <v>1</v>
      </c>
      <c r="M71" s="16"/>
      <c r="N71" s="72"/>
    </row>
    <row r="72">
      <c r="B72" s="7" t="s">
        <v>653</v>
      </c>
      <c r="C72" s="70" t="str">
        <f>IFERROR(VLOOKUP(B72,'Master data'!$A$1:$F$429,2,FALSE),"")</f>
        <v>P004-022</v>
      </c>
      <c r="D72" s="70" t="str">
        <f>IFERROR(VLOOKUP(B72,'Master data'!$A$1:$F$429,6,FALSE),"")</f>
        <v>barang jadi &amp; bahan baku</v>
      </c>
      <c r="E72" s="71">
        <v>767.0</v>
      </c>
      <c r="F72" s="70" t="str">
        <f>IFERROR(VLOOKUP(B72,'Master data'!$A$1:$F$429,3,FALSE),"")</f>
        <v>GR</v>
      </c>
      <c r="G72" s="99" t="s">
        <v>1216</v>
      </c>
      <c r="H72" s="69" t="s">
        <v>1789</v>
      </c>
      <c r="I72" s="7" t="s">
        <v>1552</v>
      </c>
      <c r="J72" s="7" t="s">
        <v>1561</v>
      </c>
      <c r="K72" s="7" t="b">
        <v>0</v>
      </c>
      <c r="L72" s="7" t="b">
        <v>1</v>
      </c>
      <c r="M72" s="16"/>
      <c r="N72" s="72"/>
    </row>
    <row r="73">
      <c r="B73" s="7" t="s">
        <v>657</v>
      </c>
      <c r="C73" s="70" t="str">
        <f>IFERROR(VLOOKUP(B73,'Master data'!$A$1:$F$429,2,FALSE),"")</f>
        <v>P004-023</v>
      </c>
      <c r="D73" s="70" t="str">
        <f>IFERROR(VLOOKUP(B73,'Master data'!$A$1:$F$429,6,FALSE),"")</f>
        <v>barang jadi &amp; bahan baku</v>
      </c>
      <c r="E73" s="71">
        <v>1458.0</v>
      </c>
      <c r="F73" s="70" t="str">
        <f>IFERROR(VLOOKUP(B73,'Master data'!$A$1:$F$429,3,FALSE),"")</f>
        <v>GR</v>
      </c>
      <c r="G73" s="99" t="s">
        <v>1216</v>
      </c>
      <c r="I73" s="7" t="s">
        <v>1552</v>
      </c>
      <c r="J73" s="7" t="s">
        <v>1561</v>
      </c>
      <c r="K73" s="7" t="b">
        <v>0</v>
      </c>
      <c r="L73" s="7" t="b">
        <v>1</v>
      </c>
      <c r="M73" s="16"/>
      <c r="N73" s="72"/>
    </row>
    <row r="74">
      <c r="B74" s="7" t="s">
        <v>211</v>
      </c>
      <c r="C74" s="70" t="str">
        <f>IFERROR(VLOOKUP(B74,'Master data'!$A$1:$F$429,2,FALSE),"")</f>
        <v>B001-088</v>
      </c>
      <c r="D74" s="70" t="str">
        <f>IFERROR(VLOOKUP(B74,'Master data'!$A$1:$F$429,6,FALSE),"")</f>
        <v>bahan baku</v>
      </c>
      <c r="E74" s="71">
        <f>3115+3410</f>
        <v>6525</v>
      </c>
      <c r="F74" s="70" t="str">
        <f>IFERROR(VLOOKUP(B74,'Master data'!$A$1:$F$429,3,FALSE),"")</f>
        <v>GR</v>
      </c>
      <c r="G74" s="99" t="s">
        <v>1520</v>
      </c>
      <c r="H74" s="69" t="s">
        <v>1803</v>
      </c>
      <c r="I74" s="7" t="s">
        <v>1556</v>
      </c>
      <c r="J74" s="7" t="s">
        <v>61</v>
      </c>
      <c r="K74" s="7" t="b">
        <v>0</v>
      </c>
      <c r="L74" s="7" t="b">
        <v>1</v>
      </c>
      <c r="M74" s="16"/>
      <c r="N74" s="72"/>
    </row>
    <row r="75">
      <c r="A75" s="69">
        <v>9.0</v>
      </c>
      <c r="B75" s="7" t="s">
        <v>918</v>
      </c>
      <c r="C75" s="70" t="str">
        <f>IFERROR(VLOOKUP(B75,'Master data'!$A$1:$F$429,2,FALSE),"")</f>
        <v>B001-162</v>
      </c>
      <c r="D75" s="70" t="str">
        <f>IFERROR(VLOOKUP(B75,'Master data'!$A$1:$F$429,6,FALSE),"")</f>
        <v>bahan baku</v>
      </c>
      <c r="E75" s="71">
        <v>57.0</v>
      </c>
      <c r="F75" s="70" t="s">
        <v>20</v>
      </c>
      <c r="G75" s="99" t="s">
        <v>1380</v>
      </c>
      <c r="H75" s="69" t="s">
        <v>1539</v>
      </c>
      <c r="I75" s="7" t="s">
        <v>1542</v>
      </c>
      <c r="J75" s="7" t="s">
        <v>1561</v>
      </c>
      <c r="K75" s="7" t="b">
        <v>0</v>
      </c>
      <c r="L75" s="7" t="b">
        <v>1</v>
      </c>
      <c r="M75" s="69"/>
      <c r="N75" s="72"/>
    </row>
    <row r="76">
      <c r="B76" s="7" t="s">
        <v>1796</v>
      </c>
      <c r="C76" s="70" t="str">
        <f>IFERROR(VLOOKUP(B76,'Master data'!$A$1:$F$429,2,FALSE),"")</f>
        <v>B001-166</v>
      </c>
      <c r="D76" s="70" t="str">
        <f>IFERROR(VLOOKUP(B76,'Master data'!$A$1:$F$429,6,FALSE),"")</f>
        <v>bahan baku</v>
      </c>
      <c r="E76" s="71">
        <f>115+49</f>
        <v>164</v>
      </c>
      <c r="F76" s="70" t="s">
        <v>20</v>
      </c>
      <c r="G76" s="99" t="s">
        <v>1445</v>
      </c>
      <c r="H76" s="69" t="s">
        <v>1225</v>
      </c>
      <c r="I76" s="7" t="s">
        <v>1548</v>
      </c>
      <c r="J76" s="7" t="s">
        <v>61</v>
      </c>
      <c r="K76" s="7" t="b">
        <v>0</v>
      </c>
      <c r="L76" s="7" t="b">
        <v>1</v>
      </c>
      <c r="M76" s="69"/>
      <c r="N76" s="72"/>
    </row>
    <row r="77">
      <c r="B77" s="7" t="s">
        <v>1287</v>
      </c>
      <c r="C77" s="70" t="str">
        <f>IFERROR(VLOOKUP(B77,'Master data'!$A$1:$F$429,2,FALSE),"")</f>
        <v>P004-054</v>
      </c>
      <c r="D77" s="70" t="str">
        <f>IFERROR(VLOOKUP(B77,'Master data'!$A$1:$F$429,6,FALSE),"")</f>
        <v>barang jadi &amp; bahan baku</v>
      </c>
      <c r="E77" s="71">
        <v>60.0</v>
      </c>
      <c r="F77" s="70" t="s">
        <v>20</v>
      </c>
      <c r="G77" s="99" t="s">
        <v>1245</v>
      </c>
      <c r="I77" s="7" t="s">
        <v>1548</v>
      </c>
      <c r="J77" s="7" t="s">
        <v>1561</v>
      </c>
      <c r="K77" s="7" t="b">
        <v>0</v>
      </c>
      <c r="L77" s="7" t="b">
        <v>1</v>
      </c>
      <c r="M77" s="69"/>
      <c r="N77" s="72"/>
    </row>
    <row r="78">
      <c r="B78" s="7" t="s">
        <v>28</v>
      </c>
      <c r="C78" s="70" t="str">
        <f>IFERROR(VLOOKUP(B78,'Master data'!$A$1:$F$429,2,FALSE),"")</f>
        <v>B001-006</v>
      </c>
      <c r="D78" s="70" t="str">
        <f>IFERROR(VLOOKUP(B78,'Master data'!$A$1:$F$429,6,FALSE),"")</f>
        <v>bahan baku</v>
      </c>
      <c r="E78" s="71">
        <v>8.0</v>
      </c>
      <c r="F78" s="70" t="str">
        <f>IFERROR(VLOOKUP(B78,'Master data'!$A$1:$F$429,3,FALSE),"")</f>
        <v>GR</v>
      </c>
      <c r="G78" s="99" t="s">
        <v>1370</v>
      </c>
      <c r="H78" s="69" t="s">
        <v>1305</v>
      </c>
      <c r="I78" s="7" t="s">
        <v>1542</v>
      </c>
      <c r="J78" s="7" t="s">
        <v>61</v>
      </c>
      <c r="K78" s="7" t="b">
        <v>0</v>
      </c>
      <c r="L78" s="7" t="b">
        <v>1</v>
      </c>
      <c r="M78" s="16"/>
      <c r="N78" s="72"/>
    </row>
    <row r="79">
      <c r="B79" s="7" t="s">
        <v>132</v>
      </c>
      <c r="C79" s="70" t="str">
        <f>IFERROR(VLOOKUP(B79,'Master data'!$A$1:$F$429,2,FALSE),"")</f>
        <v>B001-057</v>
      </c>
      <c r="D79" s="70" t="str">
        <f>IFERROR(VLOOKUP(B79,'Master data'!$A$1:$F$429,6,FALSE),"")</f>
        <v>bahan baku</v>
      </c>
      <c r="E79" s="71">
        <v>113.0</v>
      </c>
      <c r="F79" s="70" t="str">
        <f>IFERROR(VLOOKUP(B79,'Master data'!$A$1:$F$429,3,FALSE),"")</f>
        <v>GR</v>
      </c>
      <c r="G79" s="99" t="s">
        <v>1804</v>
      </c>
      <c r="I79" s="7" t="s">
        <v>1542</v>
      </c>
      <c r="J79" s="7" t="s">
        <v>1561</v>
      </c>
      <c r="K79" s="7" t="b">
        <v>0</v>
      </c>
      <c r="L79" s="7" t="b">
        <v>1</v>
      </c>
      <c r="M79" s="16"/>
      <c r="N79" s="72"/>
    </row>
    <row r="80">
      <c r="B80" s="7" t="s">
        <v>660</v>
      </c>
      <c r="C80" s="70" t="str">
        <f>IFERROR(VLOOKUP(B80,'Master data'!$A$1:$F$429,2,FALSE),"")</f>
        <v>P004-024</v>
      </c>
      <c r="D80" s="70" t="str">
        <f>IFERROR(VLOOKUP(B80,'Master data'!$A$1:$F$429,6,FALSE),"")</f>
        <v>barang jadi &amp; bahan baku</v>
      </c>
      <c r="E80" s="71">
        <v>1263.0</v>
      </c>
      <c r="F80" s="70" t="str">
        <f>IFERROR(VLOOKUP(B80,'Master data'!$A$1:$F$429,3,FALSE),"")</f>
        <v>ML</v>
      </c>
      <c r="G80" s="99" t="s">
        <v>1216</v>
      </c>
      <c r="H80" s="69" t="s">
        <v>1773</v>
      </c>
      <c r="I80" s="7" t="s">
        <v>1552</v>
      </c>
      <c r="J80" s="7" t="s">
        <v>1561</v>
      </c>
      <c r="K80" s="7" t="b">
        <v>0</v>
      </c>
      <c r="L80" s="7" t="b">
        <v>1</v>
      </c>
      <c r="M80" s="16"/>
      <c r="N80" s="72"/>
    </row>
    <row r="81">
      <c r="B81" s="7" t="s">
        <v>33</v>
      </c>
      <c r="C81" s="70" t="str">
        <f>IFERROR(VLOOKUP(B81,'Master data'!$A$1:$F$429,2,FALSE),"")</f>
        <v>B001-008</v>
      </c>
      <c r="D81" s="70" t="str">
        <f>IFERROR(VLOOKUP(B81,'Master data'!$A$1:$F$429,6,FALSE),"")</f>
        <v>bahan baku</v>
      </c>
      <c r="E81" s="71" t="s">
        <v>1805</v>
      </c>
      <c r="F81" s="70" t="str">
        <f>IFERROR(VLOOKUP(B81,'Master data'!$A$1:$F$429,3,FALSE),"")</f>
        <v>GR</v>
      </c>
      <c r="G81" s="99" t="s">
        <v>1801</v>
      </c>
      <c r="H81" s="69" t="s">
        <v>1806</v>
      </c>
      <c r="I81" s="7" t="s">
        <v>1548</v>
      </c>
      <c r="J81" s="7" t="s">
        <v>1561</v>
      </c>
      <c r="K81" s="7" t="b">
        <v>0</v>
      </c>
      <c r="L81" s="7" t="b">
        <v>1</v>
      </c>
      <c r="M81" s="16"/>
      <c r="N81" s="72"/>
    </row>
    <row r="82">
      <c r="B82" s="7" t="s">
        <v>129</v>
      </c>
      <c r="C82" s="70" t="str">
        <f>IFERROR(VLOOKUP(B82,'Master data'!$A$1:$F$429,2,FALSE),"")</f>
        <v>B001-056</v>
      </c>
      <c r="D82" s="70" t="str">
        <f>IFERROR(VLOOKUP(B82,'Master data'!$A$1:$F$429,6,FALSE),"")</f>
        <v>bahan baku</v>
      </c>
      <c r="E82" s="71" t="s">
        <v>1807</v>
      </c>
      <c r="F82" s="70" t="str">
        <f>IFERROR(VLOOKUP(B82,'Master data'!$A$1:$F$429,3,FALSE),"")</f>
        <v>ML</v>
      </c>
      <c r="I82" s="7" t="s">
        <v>1548</v>
      </c>
      <c r="J82" s="7" t="s">
        <v>1561</v>
      </c>
      <c r="K82" s="7" t="b">
        <v>0</v>
      </c>
      <c r="L82" s="7" t="b">
        <v>1</v>
      </c>
      <c r="M82" s="16"/>
      <c r="N82" s="72"/>
    </row>
    <row r="83">
      <c r="B83" s="7" t="s">
        <v>211</v>
      </c>
      <c r="C83" s="70" t="str">
        <f>IFERROR(VLOOKUP(B83,'Master data'!$A$1:$F$429,2,FALSE),"")</f>
        <v>B001-088</v>
      </c>
      <c r="D83" s="70" t="str">
        <f>IFERROR(VLOOKUP(B83,'Master data'!$A$1:$F$429,6,FALSE),"")</f>
        <v>bahan baku</v>
      </c>
      <c r="E83" s="71">
        <v>4390.0</v>
      </c>
      <c r="F83" s="70" t="str">
        <f>IFERROR(VLOOKUP(B83,'Master data'!$A$1:$F$429,3,FALSE),"")</f>
        <v>GR</v>
      </c>
      <c r="G83" s="99" t="s">
        <v>1520</v>
      </c>
      <c r="H83" s="69" t="s">
        <v>1290</v>
      </c>
      <c r="I83" s="7" t="s">
        <v>1548</v>
      </c>
      <c r="J83" s="7" t="s">
        <v>61</v>
      </c>
      <c r="K83" s="7" t="b">
        <v>0</v>
      </c>
      <c r="L83" s="7" t="b">
        <v>1</v>
      </c>
      <c r="M83" s="16"/>
      <c r="N83" s="72"/>
    </row>
    <row r="84">
      <c r="A84" s="69">
        <v>10.0</v>
      </c>
      <c r="B84" s="7" t="s">
        <v>54</v>
      </c>
      <c r="C84" s="70" t="str">
        <f>IFERROR(VLOOKUP(B84,'Master data'!$A$1:$F$429,2,FALSE),"")</f>
        <v>B001-019</v>
      </c>
      <c r="D84" s="70" t="str">
        <f>IFERROR(VLOOKUP(B84,'Master data'!$A$1:$F$429,6,FALSE),"")</f>
        <v>bahan baku</v>
      </c>
      <c r="E84" s="71">
        <v>100.0</v>
      </c>
      <c r="F84" s="70" t="str">
        <f>IFERROR(VLOOKUP(B84,'Master data'!$A$1:$F$429,3,FALSE),"")</f>
        <v>GR</v>
      </c>
      <c r="G84" s="99" t="s">
        <v>1808</v>
      </c>
      <c r="H84" s="69" t="s">
        <v>1305</v>
      </c>
      <c r="I84" s="7" t="s">
        <v>1552</v>
      </c>
      <c r="J84" s="7" t="s">
        <v>1561</v>
      </c>
      <c r="K84" s="7" t="b">
        <v>0</v>
      </c>
      <c r="L84" s="7" t="b">
        <v>1</v>
      </c>
      <c r="M84" s="16"/>
      <c r="N84" s="72"/>
    </row>
    <row r="85">
      <c r="B85" s="7" t="s">
        <v>33</v>
      </c>
      <c r="C85" s="70" t="str">
        <f>IFERROR(VLOOKUP(B85,'Master data'!$A$1:$F$429,2,FALSE),"")</f>
        <v>B001-008</v>
      </c>
      <c r="D85" s="70" t="str">
        <f>IFERROR(VLOOKUP(B85,'Master data'!$A$1:$F$429,6,FALSE),"")</f>
        <v>bahan baku</v>
      </c>
      <c r="E85" s="71" t="s">
        <v>1809</v>
      </c>
      <c r="F85" s="70" t="str">
        <f>IFERROR(VLOOKUP(B85,'Master data'!$A$1:$F$429,3,FALSE),"")</f>
        <v>GR</v>
      </c>
      <c r="G85" s="99" t="s">
        <v>1801</v>
      </c>
      <c r="H85" s="69" t="s">
        <v>1417</v>
      </c>
      <c r="I85" s="7" t="s">
        <v>1548</v>
      </c>
      <c r="J85" s="7" t="s">
        <v>1561</v>
      </c>
      <c r="K85" s="7" t="b">
        <v>0</v>
      </c>
      <c r="L85" s="7" t="b">
        <v>1</v>
      </c>
      <c r="M85" s="16"/>
      <c r="N85" s="72"/>
    </row>
    <row r="86">
      <c r="B86" s="7" t="s">
        <v>129</v>
      </c>
      <c r="C86" s="70" t="str">
        <f>IFERROR(VLOOKUP(B86,'Master data'!$A$1:$F$429,2,FALSE),"")</f>
        <v>B001-056</v>
      </c>
      <c r="D86" s="70" t="str">
        <f>IFERROR(VLOOKUP(B86,'Master data'!$A$1:$F$429,6,FALSE),"")</f>
        <v>bahan baku</v>
      </c>
      <c r="E86" s="71" t="s">
        <v>1810</v>
      </c>
      <c r="F86" s="70" t="str">
        <f>IFERROR(VLOOKUP(B86,'Master data'!$A$1:$F$429,3,FALSE),"")</f>
        <v>ML</v>
      </c>
      <c r="I86" s="7" t="s">
        <v>1548</v>
      </c>
      <c r="J86" s="7" t="s">
        <v>1561</v>
      </c>
      <c r="K86" s="7" t="b">
        <v>0</v>
      </c>
      <c r="L86" s="7" t="b">
        <v>1</v>
      </c>
      <c r="M86" s="16"/>
      <c r="N86" s="72"/>
    </row>
    <row r="87">
      <c r="A87" s="69">
        <v>11.0</v>
      </c>
      <c r="B87" s="7" t="s">
        <v>28</v>
      </c>
      <c r="C87" s="70" t="str">
        <f>IFERROR(VLOOKUP(B87,'Master data'!$A$1:$F$429,2,FALSE),"")</f>
        <v>B001-006</v>
      </c>
      <c r="D87" s="70" t="str">
        <f>IFERROR(VLOOKUP(B87,'Master data'!$A$1:$F$429,6,FALSE),"")</f>
        <v>bahan baku</v>
      </c>
      <c r="E87" s="71">
        <v>22.0</v>
      </c>
      <c r="F87" s="70" t="str">
        <f>IFERROR(VLOOKUP(B87,'Master data'!$A$1:$F$429,3,FALSE),"")</f>
        <v>GR</v>
      </c>
      <c r="G87" s="99" t="s">
        <v>1370</v>
      </c>
      <c r="H87" s="69" t="s">
        <v>1305</v>
      </c>
      <c r="I87" s="7" t="s">
        <v>1542</v>
      </c>
      <c r="J87" s="7" t="s">
        <v>61</v>
      </c>
      <c r="K87" s="7" t="b">
        <v>0</v>
      </c>
      <c r="L87" s="7" t="b">
        <v>1</v>
      </c>
      <c r="M87" s="16"/>
      <c r="N87" s="72"/>
    </row>
    <row r="88">
      <c r="B88" s="7" t="s">
        <v>653</v>
      </c>
      <c r="C88" s="70" t="str">
        <f>IFERROR(VLOOKUP(B88,'Master data'!$A$1:$F$429,2,FALSE),"")</f>
        <v>P004-022</v>
      </c>
      <c r="D88" s="70" t="str">
        <f>IFERROR(VLOOKUP(B88,'Master data'!$A$1:$F$429,6,FALSE),"")</f>
        <v>barang jadi &amp; bahan baku</v>
      </c>
      <c r="E88" s="71">
        <v>85.0</v>
      </c>
      <c r="F88" s="70" t="str">
        <f>IFERROR(VLOOKUP(B88,'Master data'!$A$1:$F$429,3,FALSE),"")</f>
        <v>GR</v>
      </c>
      <c r="G88" s="99" t="s">
        <v>1216</v>
      </c>
      <c r="H88" s="69" t="s">
        <v>1384</v>
      </c>
      <c r="I88" s="7" t="s">
        <v>1552</v>
      </c>
      <c r="J88" s="7" t="s">
        <v>1561</v>
      </c>
      <c r="K88" s="7" t="b">
        <v>0</v>
      </c>
      <c r="L88" s="7" t="b">
        <v>1</v>
      </c>
      <c r="M88" s="16"/>
      <c r="N88" s="72"/>
    </row>
    <row r="89">
      <c r="B89" s="7" t="s">
        <v>660</v>
      </c>
      <c r="C89" s="70" t="str">
        <f>IFERROR(VLOOKUP(B89,'Master data'!$A$1:$F$429,2,FALSE),"")</f>
        <v>P004-024</v>
      </c>
      <c r="D89" s="70" t="str">
        <f>IFERROR(VLOOKUP(B89,'Master data'!$A$1:$F$429,6,FALSE),"")</f>
        <v>barang jadi &amp; bahan baku</v>
      </c>
      <c r="E89" s="71">
        <v>219.0</v>
      </c>
      <c r="F89" s="70" t="str">
        <f>IFERROR(VLOOKUP(B89,'Master data'!$A$1:$F$429,3,FALSE),"")</f>
        <v>ML</v>
      </c>
      <c r="G89" s="99" t="s">
        <v>1216</v>
      </c>
      <c r="I89" s="7" t="s">
        <v>1552</v>
      </c>
      <c r="J89" s="7" t="s">
        <v>1561</v>
      </c>
      <c r="K89" s="7" t="b">
        <v>0</v>
      </c>
      <c r="L89" s="7" t="b">
        <v>1</v>
      </c>
      <c r="M89" s="16"/>
      <c r="N89" s="72"/>
    </row>
    <row r="90">
      <c r="B90" s="7" t="s">
        <v>148</v>
      </c>
      <c r="C90" s="70" t="str">
        <f>IFERROR(VLOOKUP(B90,'Master data'!$A$1:$F$429,2,FALSE),"")</f>
        <v>B001-064</v>
      </c>
      <c r="D90" s="70" t="str">
        <f>IFERROR(VLOOKUP(B90,'Master data'!$A$1:$F$429,6,FALSE),"")</f>
        <v>bahan baku</v>
      </c>
      <c r="E90" s="71">
        <v>18.0</v>
      </c>
      <c r="F90" s="70" t="str">
        <f>IFERROR(VLOOKUP(B90,'Master data'!$A$1:$F$429,3,FALSE),"")</f>
        <v>GR</v>
      </c>
      <c r="G90" s="99" t="s">
        <v>1370</v>
      </c>
      <c r="H90" s="69" t="s">
        <v>1305</v>
      </c>
      <c r="I90" s="7" t="s">
        <v>1542</v>
      </c>
      <c r="J90" s="7" t="s">
        <v>61</v>
      </c>
      <c r="K90" s="7" t="b">
        <v>0</v>
      </c>
      <c r="L90" s="7" t="b">
        <v>1</v>
      </c>
      <c r="M90" s="16"/>
      <c r="N90" s="72"/>
    </row>
    <row r="91">
      <c r="B91" s="7" t="s">
        <v>211</v>
      </c>
      <c r="C91" s="70" t="str">
        <f>IFERROR(VLOOKUP(B91,'Master data'!$A$1:$F$429,2,FALSE),"")</f>
        <v>B001-088</v>
      </c>
      <c r="D91" s="70" t="str">
        <f>IFERROR(VLOOKUP(B91,'Master data'!$A$1:$F$429,6,FALSE),"")</f>
        <v>bahan baku</v>
      </c>
      <c r="E91" s="71">
        <v>8015.0</v>
      </c>
      <c r="F91" s="70" t="str">
        <f>IFERROR(VLOOKUP(B91,'Master data'!$A$1:$F$429,3,FALSE),"")</f>
        <v>GR</v>
      </c>
      <c r="G91" s="99" t="s">
        <v>1520</v>
      </c>
      <c r="H91" s="69" t="s">
        <v>1225</v>
      </c>
      <c r="I91" s="7" t="s">
        <v>1556</v>
      </c>
      <c r="J91" s="7" t="s">
        <v>61</v>
      </c>
      <c r="K91" s="7" t="b">
        <v>0</v>
      </c>
      <c r="L91" s="7" t="b">
        <v>1</v>
      </c>
      <c r="M91" s="16"/>
      <c r="N91" s="72"/>
    </row>
    <row r="92">
      <c r="B92" s="7" t="s">
        <v>1796</v>
      </c>
      <c r="C92" s="70" t="str">
        <f>IFERROR(VLOOKUP(B92,'Master data'!$A$1:$F$429,2,FALSE),"")</f>
        <v>B001-166</v>
      </c>
      <c r="D92" s="70" t="str">
        <f>IFERROR(VLOOKUP(B92,'Master data'!$A$1:$F$429,6,FALSE),"")</f>
        <v>bahan baku</v>
      </c>
      <c r="E92" s="71">
        <v>415.0</v>
      </c>
      <c r="F92" s="70" t="s">
        <v>20</v>
      </c>
      <c r="G92" s="99" t="s">
        <v>1370</v>
      </c>
      <c r="I92" s="7" t="s">
        <v>1548</v>
      </c>
      <c r="J92" s="7" t="s">
        <v>61</v>
      </c>
      <c r="K92" s="7" t="b">
        <v>0</v>
      </c>
      <c r="L92" s="7" t="b">
        <v>1</v>
      </c>
      <c r="M92" s="69"/>
      <c r="N92" s="72"/>
    </row>
    <row r="93">
      <c r="B93" s="7" t="s">
        <v>211</v>
      </c>
      <c r="C93" s="70" t="str">
        <f>IFERROR(VLOOKUP(B93,'Master data'!$A$1:$F$429,2,FALSE),"")</f>
        <v>B001-088</v>
      </c>
      <c r="D93" s="70" t="str">
        <f>IFERROR(VLOOKUP(B93,'Master data'!$A$1:$F$429,6,FALSE),"")</f>
        <v>bahan baku</v>
      </c>
      <c r="E93" s="71">
        <v>4390.0</v>
      </c>
      <c r="F93" s="70" t="str">
        <f>IFERROR(VLOOKUP(B93,'Master data'!$A$1:$F$429,3,FALSE),"")</f>
        <v>GR</v>
      </c>
      <c r="G93" s="99" t="s">
        <v>1520</v>
      </c>
      <c r="H93" s="69" t="s">
        <v>1290</v>
      </c>
      <c r="I93" s="7" t="s">
        <v>1556</v>
      </c>
      <c r="J93" s="7" t="s">
        <v>61</v>
      </c>
      <c r="K93" s="7" t="b">
        <v>0</v>
      </c>
      <c r="L93" s="7" t="b">
        <v>1</v>
      </c>
      <c r="M93" s="16"/>
      <c r="N93" s="72"/>
    </row>
    <row r="94">
      <c r="B94" s="7" t="s">
        <v>28</v>
      </c>
      <c r="C94" s="70" t="str">
        <f>IFERROR(VLOOKUP(B94,'Master data'!$A$1:$F$429,2,FALSE),"")</f>
        <v>B001-006</v>
      </c>
      <c r="D94" s="70" t="str">
        <f>IFERROR(VLOOKUP(B94,'Master data'!$A$1:$F$429,6,FALSE),"")</f>
        <v>bahan baku</v>
      </c>
      <c r="E94" s="71">
        <v>16.0</v>
      </c>
      <c r="F94" s="70" t="str">
        <f>IFERROR(VLOOKUP(B94,'Master data'!$A$1:$F$429,3,FALSE),"")</f>
        <v>GR</v>
      </c>
      <c r="G94" s="99" t="s">
        <v>1370</v>
      </c>
      <c r="H94" s="69" t="s">
        <v>1539</v>
      </c>
      <c r="I94" s="7" t="s">
        <v>1542</v>
      </c>
      <c r="J94" s="7" t="s">
        <v>61</v>
      </c>
      <c r="K94" s="7" t="b">
        <v>0</v>
      </c>
      <c r="L94" s="7" t="b">
        <v>1</v>
      </c>
      <c r="M94" s="16"/>
      <c r="N94" s="72"/>
    </row>
    <row r="95">
      <c r="B95" s="7" t="s">
        <v>148</v>
      </c>
      <c r="C95" s="70" t="str">
        <f>IFERROR(VLOOKUP(B95,'Master data'!$A$1:$F$429,2,FALSE),"")</f>
        <v>B001-064</v>
      </c>
      <c r="D95" s="70" t="str">
        <f>IFERROR(VLOOKUP(B95,'Master data'!$A$1:$F$429,6,FALSE),"")</f>
        <v>bahan baku</v>
      </c>
      <c r="E95" s="71">
        <v>28.0</v>
      </c>
      <c r="F95" s="70" t="str">
        <f>IFERROR(VLOOKUP(B95,'Master data'!$A$1:$F$429,3,FALSE),"")</f>
        <v>GR</v>
      </c>
      <c r="G95" s="99" t="s">
        <v>1370</v>
      </c>
      <c r="I95" s="7" t="s">
        <v>1542</v>
      </c>
      <c r="J95" s="7" t="s">
        <v>61</v>
      </c>
      <c r="K95" s="7" t="b">
        <v>0</v>
      </c>
      <c r="L95" s="7" t="b">
        <v>1</v>
      </c>
      <c r="M95" s="16"/>
      <c r="N95" s="72"/>
    </row>
    <row r="96">
      <c r="B96" s="7" t="s">
        <v>28</v>
      </c>
      <c r="C96" s="70" t="str">
        <f>IFERROR(VLOOKUP(B96,'Master data'!$A$1:$F$429,2,FALSE),"")</f>
        <v>B001-006</v>
      </c>
      <c r="D96" s="70" t="str">
        <f>IFERROR(VLOOKUP(B96,'Master data'!$A$1:$F$429,6,FALSE),"")</f>
        <v>bahan baku</v>
      </c>
      <c r="E96" s="71">
        <v>10.0</v>
      </c>
      <c r="F96" s="70" t="str">
        <f>IFERROR(VLOOKUP(B96,'Master data'!$A$1:$F$429,3,FALSE),"")</f>
        <v>GR</v>
      </c>
      <c r="G96" s="99" t="s">
        <v>1370</v>
      </c>
      <c r="I96" s="7" t="s">
        <v>1542</v>
      </c>
      <c r="J96" s="7" t="s">
        <v>61</v>
      </c>
      <c r="K96" s="7" t="b">
        <v>0</v>
      </c>
      <c r="L96" s="7" t="b">
        <v>1</v>
      </c>
      <c r="M96" s="16"/>
      <c r="N96" s="72"/>
    </row>
    <row r="97">
      <c r="B97" s="7" t="s">
        <v>1796</v>
      </c>
      <c r="C97" s="70" t="str">
        <f>IFERROR(VLOOKUP(B97,'Master data'!$A$1:$F$429,2,FALSE),"")</f>
        <v>B001-166</v>
      </c>
      <c r="D97" s="70" t="str">
        <f>IFERROR(VLOOKUP(B97,'Master data'!$A$1:$F$429,6,FALSE),"")</f>
        <v>bahan baku</v>
      </c>
      <c r="E97" s="71">
        <v>400.0</v>
      </c>
      <c r="F97" s="70" t="s">
        <v>20</v>
      </c>
      <c r="G97" s="99" t="s">
        <v>1370</v>
      </c>
      <c r="I97" s="7" t="s">
        <v>1542</v>
      </c>
      <c r="J97" s="7" t="s">
        <v>61</v>
      </c>
      <c r="K97" s="7" t="b">
        <v>0</v>
      </c>
      <c r="L97" s="7" t="b">
        <v>1</v>
      </c>
      <c r="M97" s="69"/>
      <c r="N97" s="72"/>
    </row>
    <row r="98">
      <c r="A98" s="69">
        <v>12.0</v>
      </c>
      <c r="B98" s="7" t="s">
        <v>28</v>
      </c>
      <c r="C98" s="70" t="str">
        <f>IFERROR(VLOOKUP(B98,'Master data'!$A$1:$F$429,2,FALSE),"")</f>
        <v>B001-006</v>
      </c>
      <c r="D98" s="70" t="str">
        <f>IFERROR(VLOOKUP(B98,'Master data'!$A$1:$F$429,6,FALSE),"")</f>
        <v>bahan baku</v>
      </c>
      <c r="E98" s="71">
        <v>13.0</v>
      </c>
      <c r="F98" s="70" t="str">
        <f>IFERROR(VLOOKUP(B98,'Master data'!$A$1:$F$429,3,FALSE),"")</f>
        <v>GR</v>
      </c>
      <c r="G98" s="99" t="s">
        <v>1370</v>
      </c>
      <c r="I98" s="7" t="s">
        <v>1542</v>
      </c>
      <c r="J98" s="7" t="s">
        <v>61</v>
      </c>
      <c r="K98" s="7" t="b">
        <v>0</v>
      </c>
      <c r="L98" s="7" t="b">
        <v>1</v>
      </c>
      <c r="M98" s="16"/>
      <c r="N98" s="72"/>
    </row>
    <row r="99">
      <c r="B99" s="7" t="s">
        <v>298</v>
      </c>
      <c r="C99" s="70" t="str">
        <f>IFERROR(VLOOKUP(B99,'Master data'!$A$1:$F$429,2,FALSE),"")</f>
        <v>B001-125</v>
      </c>
      <c r="D99" s="70" t="str">
        <f>IFERROR(VLOOKUP(B99,'Master data'!$A$1:$F$429,6,FALSE),"")</f>
        <v>bahan baku</v>
      </c>
      <c r="E99" s="71">
        <v>35.0</v>
      </c>
      <c r="F99" s="70" t="str">
        <f>IFERROR(VLOOKUP(B99,'Master data'!$A$1:$F$429,3,FALSE),"")</f>
        <v>GR</v>
      </c>
      <c r="G99" s="99" t="s">
        <v>1370</v>
      </c>
      <c r="I99" s="7" t="s">
        <v>1542</v>
      </c>
      <c r="J99" s="7" t="s">
        <v>61</v>
      </c>
      <c r="K99" s="7" t="b">
        <v>0</v>
      </c>
      <c r="L99" s="7" t="b">
        <v>1</v>
      </c>
      <c r="M99" s="16"/>
      <c r="N99" s="72"/>
    </row>
    <row r="100">
      <c r="B100" s="7" t="s">
        <v>28</v>
      </c>
      <c r="C100" s="70" t="str">
        <f>IFERROR(VLOOKUP(B100,'Master data'!$A$1:$F$429,2,FALSE),"")</f>
        <v>B001-006</v>
      </c>
      <c r="D100" s="70" t="str">
        <f>IFERROR(VLOOKUP(B100,'Master data'!$A$1:$F$429,6,FALSE),"")</f>
        <v>bahan baku</v>
      </c>
      <c r="E100" s="71">
        <v>8.0</v>
      </c>
      <c r="F100" s="70" t="str">
        <f>IFERROR(VLOOKUP(B100,'Master data'!$A$1:$F$429,3,FALSE),"")</f>
        <v>GR</v>
      </c>
      <c r="G100" s="99" t="s">
        <v>1370</v>
      </c>
      <c r="H100" s="69" t="s">
        <v>1305</v>
      </c>
      <c r="I100" s="7" t="s">
        <v>1542</v>
      </c>
      <c r="J100" s="7" t="s">
        <v>61</v>
      </c>
      <c r="K100" s="7" t="b">
        <v>0</v>
      </c>
      <c r="L100" s="7" t="b">
        <v>1</v>
      </c>
      <c r="M100" s="16"/>
      <c r="N100" s="72"/>
    </row>
    <row r="101">
      <c r="B101" s="7" t="s">
        <v>660</v>
      </c>
      <c r="C101" s="70" t="str">
        <f>IFERROR(VLOOKUP(B101,'Master data'!$A$1:$F$429,2,FALSE),"")</f>
        <v>P004-024</v>
      </c>
      <c r="D101" s="70" t="str">
        <f>IFERROR(VLOOKUP(B101,'Master data'!$A$1:$F$429,6,FALSE),"")</f>
        <v>barang jadi &amp; bahan baku</v>
      </c>
      <c r="E101" s="71">
        <f>570+1016</f>
        <v>1586</v>
      </c>
      <c r="F101" s="70" t="str">
        <f>IFERROR(VLOOKUP(B101,'Master data'!$A$1:$F$429,3,FALSE),"")</f>
        <v>ML</v>
      </c>
      <c r="G101" s="99" t="s">
        <v>1216</v>
      </c>
      <c r="H101" s="69" t="s">
        <v>1384</v>
      </c>
      <c r="I101" s="7" t="s">
        <v>1552</v>
      </c>
      <c r="J101" s="7" t="s">
        <v>1561</v>
      </c>
      <c r="K101" s="7" t="b">
        <v>0</v>
      </c>
      <c r="L101" s="7" t="b">
        <v>1</v>
      </c>
      <c r="M101" s="16"/>
      <c r="N101" s="72"/>
    </row>
    <row r="102">
      <c r="B102" s="7" t="s">
        <v>653</v>
      </c>
      <c r="C102" s="70" t="str">
        <f>IFERROR(VLOOKUP(B102,'Master data'!$A$1:$F$429,2,FALSE),"")</f>
        <v>P004-022</v>
      </c>
      <c r="D102" s="70" t="str">
        <f>IFERROR(VLOOKUP(B102,'Master data'!$A$1:$F$429,6,FALSE),"")</f>
        <v>barang jadi &amp; bahan baku</v>
      </c>
      <c r="E102" s="71">
        <v>232.0</v>
      </c>
      <c r="F102" s="70" t="str">
        <f>IFERROR(VLOOKUP(B102,'Master data'!$A$1:$F$429,3,FALSE),"")</f>
        <v>GR</v>
      </c>
      <c r="G102" s="99" t="s">
        <v>1216</v>
      </c>
      <c r="I102" s="7" t="s">
        <v>1552</v>
      </c>
      <c r="J102" s="7" t="s">
        <v>1561</v>
      </c>
      <c r="K102" s="7" t="b">
        <v>0</v>
      </c>
      <c r="L102" s="7" t="b">
        <v>1</v>
      </c>
      <c r="M102" s="16"/>
      <c r="N102" s="72"/>
    </row>
    <row r="103">
      <c r="B103" s="7" t="s">
        <v>657</v>
      </c>
      <c r="C103" s="70" t="str">
        <f>IFERROR(VLOOKUP(B103,'Master data'!$A$1:$F$429,2,FALSE),"")</f>
        <v>P004-023</v>
      </c>
      <c r="D103" s="70" t="str">
        <f>IFERROR(VLOOKUP(B103,'Master data'!$A$1:$F$429,6,FALSE),"")</f>
        <v>barang jadi &amp; bahan baku</v>
      </c>
      <c r="E103" s="71">
        <v>644.0</v>
      </c>
      <c r="F103" s="70" t="str">
        <f>IFERROR(VLOOKUP(B103,'Master data'!$A$1:$F$429,3,FALSE),"")</f>
        <v>GR</v>
      </c>
      <c r="G103" s="99" t="s">
        <v>1216</v>
      </c>
      <c r="I103" s="7" t="s">
        <v>1552</v>
      </c>
      <c r="J103" s="7" t="s">
        <v>1561</v>
      </c>
      <c r="K103" s="7" t="b">
        <v>0</v>
      </c>
      <c r="L103" s="7" t="b">
        <v>1</v>
      </c>
      <c r="M103" s="16"/>
      <c r="N103" s="72"/>
    </row>
    <row r="104">
      <c r="B104" s="7" t="s">
        <v>930</v>
      </c>
      <c r="C104" s="70" t="str">
        <f>IFERROR(VLOOKUP(B104,'Master data'!$A$1:$F$429,2,FALSE),"")</f>
        <v>B001-166</v>
      </c>
      <c r="D104" s="70" t="str">
        <f>IFERROR(VLOOKUP(B104,'Master data'!$A$1:$F$429,6,FALSE),"")</f>
        <v>bahan baku</v>
      </c>
      <c r="E104" s="71">
        <v>144.0</v>
      </c>
      <c r="F104" s="70" t="s">
        <v>20</v>
      </c>
      <c r="G104" s="99" t="s">
        <v>1370</v>
      </c>
      <c r="H104" s="69" t="s">
        <v>1305</v>
      </c>
      <c r="I104" s="7" t="s">
        <v>1542</v>
      </c>
      <c r="J104" s="7" t="s">
        <v>61</v>
      </c>
      <c r="K104" s="7" t="b">
        <v>0</v>
      </c>
      <c r="L104" s="7" t="b">
        <v>1</v>
      </c>
      <c r="M104" s="69"/>
      <c r="N104" s="72"/>
    </row>
    <row r="105">
      <c r="B105" s="7" t="s">
        <v>926</v>
      </c>
      <c r="C105" s="70" t="str">
        <f>IFERROR(VLOOKUP(B105,'Master data'!$A$1:$F$429,2,FALSE),"")</f>
        <v>B001-165</v>
      </c>
      <c r="D105" s="70" t="str">
        <f>IFERROR(VLOOKUP(B105,'Master data'!$A$1:$F$429,6,FALSE),"")</f>
        <v>bahan baku</v>
      </c>
      <c r="E105" s="71">
        <v>38.0</v>
      </c>
      <c r="F105" s="70" t="s">
        <v>20</v>
      </c>
      <c r="G105" s="99" t="s">
        <v>1370</v>
      </c>
      <c r="I105" s="7" t="s">
        <v>1542</v>
      </c>
      <c r="J105" s="7" t="s">
        <v>61</v>
      </c>
      <c r="K105" s="7" t="b">
        <v>0</v>
      </c>
      <c r="L105" s="7" t="b">
        <v>1</v>
      </c>
      <c r="M105" s="69"/>
      <c r="N105" s="72"/>
    </row>
    <row r="106">
      <c r="B106" s="7" t="s">
        <v>148</v>
      </c>
      <c r="C106" s="70" t="str">
        <f>IFERROR(VLOOKUP(B106,'Master data'!$A$1:$F$429,2,FALSE),"")</f>
        <v>B001-064</v>
      </c>
      <c r="D106" s="70" t="str">
        <f>IFERROR(VLOOKUP(B106,'Master data'!$A$1:$F$429,6,FALSE),"")</f>
        <v>bahan baku</v>
      </c>
      <c r="E106" s="71">
        <v>29.0</v>
      </c>
      <c r="F106" s="70" t="str">
        <f>IFERROR(VLOOKUP(B106,'Master data'!$A$1:$F$429,3,FALSE),"")</f>
        <v>GR</v>
      </c>
      <c r="G106" s="99" t="s">
        <v>1370</v>
      </c>
      <c r="I106" s="7" t="s">
        <v>1542</v>
      </c>
      <c r="J106" s="7" t="s">
        <v>61</v>
      </c>
      <c r="K106" s="7" t="b">
        <v>0</v>
      </c>
      <c r="L106" s="7" t="b">
        <v>1</v>
      </c>
      <c r="M106" s="16"/>
      <c r="N106" s="72"/>
    </row>
    <row r="107">
      <c r="B107" s="7" t="s">
        <v>211</v>
      </c>
      <c r="C107" s="70" t="str">
        <f>IFERROR(VLOOKUP(B107,'Master data'!$A$1:$F$429,2,FALSE),"")</f>
        <v>B001-088</v>
      </c>
      <c r="D107" s="70" t="str">
        <f>IFERROR(VLOOKUP(B107,'Master data'!$A$1:$F$429,6,FALSE),"")</f>
        <v>bahan baku</v>
      </c>
      <c r="E107" s="71">
        <v>7880.0</v>
      </c>
      <c r="F107" s="70" t="str">
        <f>IFERROR(VLOOKUP(B107,'Master data'!$A$1:$F$429,3,FALSE),"")</f>
        <v>GR</v>
      </c>
      <c r="G107" s="99" t="s">
        <v>1520</v>
      </c>
      <c r="H107" s="69" t="s">
        <v>1290</v>
      </c>
      <c r="I107" s="7" t="s">
        <v>1556</v>
      </c>
      <c r="J107" s="7" t="s">
        <v>61</v>
      </c>
      <c r="K107" s="7" t="b">
        <v>0</v>
      </c>
      <c r="L107" s="7" t="b">
        <v>1</v>
      </c>
      <c r="M107" s="16"/>
      <c r="N107" s="72"/>
    </row>
    <row r="108">
      <c r="B108" s="7" t="s">
        <v>664</v>
      </c>
      <c r="C108" s="70" t="str">
        <f>IFERROR(VLOOKUP(B108,'Master data'!$A$1:$F$429,2,FALSE),"")</f>
        <v>P004-025</v>
      </c>
      <c r="D108" s="70" t="str">
        <f>IFERROR(VLOOKUP(B108,'Master data'!$A$1:$F$429,6,FALSE),"")</f>
        <v>barang jadi &amp; bahan baku</v>
      </c>
      <c r="E108" s="71">
        <v>753.0</v>
      </c>
      <c r="F108" s="70" t="s">
        <v>78</v>
      </c>
      <c r="G108" s="99" t="s">
        <v>1216</v>
      </c>
      <c r="H108" s="69" t="s">
        <v>1789</v>
      </c>
      <c r="I108" s="7" t="s">
        <v>1552</v>
      </c>
      <c r="J108" s="7" t="s">
        <v>1561</v>
      </c>
      <c r="K108" s="7" t="b">
        <v>0</v>
      </c>
      <c r="L108" s="7" t="b">
        <v>1</v>
      </c>
      <c r="M108" s="16"/>
      <c r="N108" s="72"/>
    </row>
    <row r="109">
      <c r="B109" s="7" t="s">
        <v>570</v>
      </c>
      <c r="C109" s="70" t="str">
        <f>IFERROR(VLOOKUP(B109,'Master data'!$A$1:$F$429,2,FALSE),"")</f>
        <v>B001-054</v>
      </c>
      <c r="D109" s="70" t="str">
        <f>IFERROR(VLOOKUP(B109,'Master data'!$A$1:$F$429,6,FALSE),"")</f>
        <v>bahan baku</v>
      </c>
      <c r="E109" s="71">
        <v>26000.0</v>
      </c>
      <c r="F109" s="70" t="str">
        <f>IFERROR(VLOOKUP(B109,'Master data'!$A$1:$F$429,3,FALSE),"")</f>
        <v>GR</v>
      </c>
      <c r="G109" s="99" t="s">
        <v>1786</v>
      </c>
      <c r="H109" s="69" t="s">
        <v>1787</v>
      </c>
      <c r="I109" s="7" t="s">
        <v>1556</v>
      </c>
      <c r="J109" s="7" t="s">
        <v>61</v>
      </c>
      <c r="K109" s="7" t="b">
        <v>0</v>
      </c>
      <c r="L109" s="7" t="b">
        <v>0</v>
      </c>
      <c r="M109" s="16"/>
      <c r="N109" s="72"/>
    </row>
    <row r="110">
      <c r="A110" s="69">
        <v>13.0</v>
      </c>
      <c r="B110" s="7" t="s">
        <v>52</v>
      </c>
      <c r="C110" s="70" t="str">
        <f>IFERROR(VLOOKUP(B110,'Master data'!$A$1:$F$429,2,FALSE),"")</f>
        <v>B001-018</v>
      </c>
      <c r="D110" s="70" t="str">
        <f>IFERROR(VLOOKUP(B110,'Master data'!$A$1:$F$429,6,FALSE),"")</f>
        <v>bahan baku</v>
      </c>
      <c r="E110" s="71">
        <v>150.0</v>
      </c>
      <c r="F110" s="70" t="str">
        <f>IFERROR(VLOOKUP(B110,'Master data'!$A$1:$F$429,3,FALSE),"")</f>
        <v>GR</v>
      </c>
      <c r="G110" s="99" t="s">
        <v>1370</v>
      </c>
      <c r="H110" s="69" t="s">
        <v>1539</v>
      </c>
      <c r="I110" s="7" t="s">
        <v>1542</v>
      </c>
      <c r="J110" s="7" t="s">
        <v>61</v>
      </c>
      <c r="K110" s="7" t="b">
        <v>0</v>
      </c>
      <c r="L110" s="7" t="b">
        <v>1</v>
      </c>
      <c r="M110" s="16"/>
      <c r="N110" s="72"/>
    </row>
    <row r="111">
      <c r="B111" s="7" t="s">
        <v>28</v>
      </c>
      <c r="C111" s="70" t="str">
        <f>IFERROR(VLOOKUP(B111,'Master data'!$A$1:$F$429,2,FALSE),"")</f>
        <v>B001-006</v>
      </c>
      <c r="D111" s="70" t="str">
        <f>IFERROR(VLOOKUP(B111,'Master data'!$A$1:$F$429,6,FALSE),"")</f>
        <v>bahan baku</v>
      </c>
      <c r="E111" s="71">
        <v>21.0</v>
      </c>
      <c r="F111" s="70" t="str">
        <f>IFERROR(VLOOKUP(B111,'Master data'!$A$1:$F$429,3,FALSE),"")</f>
        <v>GR</v>
      </c>
      <c r="G111" s="99" t="s">
        <v>1370</v>
      </c>
      <c r="I111" s="7" t="s">
        <v>1542</v>
      </c>
      <c r="J111" s="7" t="s">
        <v>61</v>
      </c>
      <c r="K111" s="7" t="b">
        <v>0</v>
      </c>
      <c r="L111" s="7" t="b">
        <v>1</v>
      </c>
      <c r="M111" s="16"/>
      <c r="N111" s="72"/>
    </row>
    <row r="112">
      <c r="B112" s="7" t="s">
        <v>926</v>
      </c>
      <c r="C112" s="70" t="str">
        <f>IFERROR(VLOOKUP(B112,'Master data'!$A$1:$F$429,2,FALSE),"")</f>
        <v>B001-165</v>
      </c>
      <c r="D112" s="70" t="str">
        <f>IFERROR(VLOOKUP(B112,'Master data'!$A$1:$F$429,6,FALSE),"")</f>
        <v>bahan baku</v>
      </c>
      <c r="E112" s="71">
        <v>81.0</v>
      </c>
      <c r="F112" s="70" t="s">
        <v>20</v>
      </c>
      <c r="G112" s="99" t="s">
        <v>1811</v>
      </c>
      <c r="I112" s="7" t="s">
        <v>1542</v>
      </c>
      <c r="J112" s="7" t="s">
        <v>61</v>
      </c>
      <c r="K112" s="7" t="b">
        <v>0</v>
      </c>
      <c r="L112" s="7" t="b">
        <v>1</v>
      </c>
      <c r="M112" s="69"/>
      <c r="N112" s="72"/>
    </row>
    <row r="113">
      <c r="B113" s="7" t="s">
        <v>28</v>
      </c>
      <c r="C113" s="70" t="str">
        <f>IFERROR(VLOOKUP(B113,'Master data'!$A$1:$F$429,2,FALSE),"")</f>
        <v>B001-006</v>
      </c>
      <c r="D113" s="70" t="str">
        <f>IFERROR(VLOOKUP(B113,'Master data'!$A$1:$F$429,6,FALSE),"")</f>
        <v>bahan baku</v>
      </c>
      <c r="E113" s="71">
        <v>18.0</v>
      </c>
      <c r="F113" s="70" t="str">
        <f>IFERROR(VLOOKUP(B113,'Master data'!$A$1:$F$429,3,FALSE),"")</f>
        <v>GR</v>
      </c>
      <c r="G113" s="99" t="s">
        <v>1370</v>
      </c>
      <c r="I113" s="7" t="s">
        <v>1542</v>
      </c>
      <c r="J113" s="7" t="s">
        <v>61</v>
      </c>
      <c r="K113" s="7" t="b">
        <v>0</v>
      </c>
      <c r="L113" s="7" t="b">
        <v>1</v>
      </c>
      <c r="M113" s="16"/>
      <c r="N113" s="72"/>
    </row>
    <row r="114">
      <c r="B114" s="7" t="s">
        <v>1812</v>
      </c>
      <c r="C114" s="70" t="str">
        <f>IFERROR(VLOOKUP(B114,'Master data'!$A$1:$F$429,2,FALSE),"")</f>
        <v>B001-166</v>
      </c>
      <c r="D114" s="70" t="str">
        <f>IFERROR(VLOOKUP(B114,'Master data'!$A$1:$F$429,6,FALSE),"")</f>
        <v>bahan baku</v>
      </c>
      <c r="E114" s="71">
        <v>84.0</v>
      </c>
      <c r="F114" s="70" t="s">
        <v>20</v>
      </c>
      <c r="G114" s="99" t="s">
        <v>1813</v>
      </c>
      <c r="I114" s="7" t="s">
        <v>1542</v>
      </c>
      <c r="J114" s="7" t="s">
        <v>61</v>
      </c>
      <c r="K114" s="7" t="b">
        <v>0</v>
      </c>
      <c r="L114" s="7" t="b">
        <v>1</v>
      </c>
      <c r="M114" s="69"/>
      <c r="N114" s="72"/>
    </row>
    <row r="115">
      <c r="B115" s="7" t="s">
        <v>148</v>
      </c>
      <c r="C115" s="70" t="str">
        <f>IFERROR(VLOOKUP(B115,'Master data'!$A$1:$F$429,2,FALSE),"")</f>
        <v>B001-064</v>
      </c>
      <c r="D115" s="70" t="str">
        <f>IFERROR(VLOOKUP(B115,'Master data'!$A$1:$F$429,6,FALSE),"")</f>
        <v>bahan baku</v>
      </c>
      <c r="E115" s="71">
        <v>280.0</v>
      </c>
      <c r="F115" s="70" t="str">
        <f>IFERROR(VLOOKUP(B115,'Master data'!$A$1:$F$429,3,FALSE),"")</f>
        <v>GR</v>
      </c>
      <c r="G115" s="99" t="s">
        <v>1224</v>
      </c>
      <c r="I115" s="7" t="s">
        <v>1542</v>
      </c>
      <c r="J115" s="7" t="s">
        <v>1561</v>
      </c>
      <c r="K115" s="7" t="b">
        <v>0</v>
      </c>
      <c r="L115" s="7" t="b">
        <v>1</v>
      </c>
      <c r="M115" s="16"/>
      <c r="N115" s="72"/>
    </row>
    <row r="116">
      <c r="B116" s="7" t="s">
        <v>502</v>
      </c>
      <c r="C116" s="70" t="str">
        <f>IFERROR(VLOOKUP(B116,'Master data'!$A$1:$F$429,2,FALSE),"")</f>
        <v>S001-002</v>
      </c>
      <c r="D116" s="70" t="str">
        <f>IFERROR(VLOOKUP(B116,'Master data'!$A$1:$F$429,6,FALSE),"")</f>
        <v>barang jadi &amp; bahan baku</v>
      </c>
      <c r="E116" s="71">
        <v>3.0</v>
      </c>
      <c r="F116" s="70" t="str">
        <f>IFERROR(VLOOKUP(B116,'Master data'!$A$1:$F$429,3,FALSE),"")</f>
        <v>PCS</v>
      </c>
      <c r="G116" s="99" t="s">
        <v>1164</v>
      </c>
      <c r="H116" s="69" t="s">
        <v>1225</v>
      </c>
      <c r="I116" s="7" t="s">
        <v>1548</v>
      </c>
      <c r="J116" s="7" t="s">
        <v>1561</v>
      </c>
      <c r="K116" s="7" t="b">
        <v>0</v>
      </c>
      <c r="L116" s="7" t="b">
        <v>1</v>
      </c>
      <c r="M116" s="16"/>
      <c r="N116" s="72"/>
    </row>
    <row r="117">
      <c r="B117" s="7" t="s">
        <v>1257</v>
      </c>
      <c r="C117" s="70" t="str">
        <f>IFERROR(VLOOKUP(B117,'Master data'!$A$1:$F$429,2,FALSE),"")</f>
        <v>P004-043</v>
      </c>
      <c r="D117" s="70" t="str">
        <f>IFERROR(VLOOKUP(B117,'Master data'!$A$1:$F$429,6,FALSE),"")</f>
        <v>barang jadi &amp; bahan baku</v>
      </c>
      <c r="E117" s="71">
        <v>87.0</v>
      </c>
      <c r="F117" s="70" t="s">
        <v>20</v>
      </c>
      <c r="G117" s="99" t="s">
        <v>1164</v>
      </c>
      <c r="H117" s="69" t="s">
        <v>1814</v>
      </c>
      <c r="I117" s="7" t="s">
        <v>1542</v>
      </c>
      <c r="J117" s="7" t="s">
        <v>1561</v>
      </c>
      <c r="K117" s="7" t="b">
        <v>0</v>
      </c>
      <c r="L117" s="7" t="b">
        <v>1</v>
      </c>
      <c r="M117" s="16"/>
      <c r="N117" s="72"/>
    </row>
    <row r="118">
      <c r="B118" s="7" t="s">
        <v>146</v>
      </c>
      <c r="C118" s="70" t="str">
        <f>IFERROR(VLOOKUP(B118,'Master data'!$A$1:$F$429,2,FALSE),"")</f>
        <v>B001-063</v>
      </c>
      <c r="D118" s="70" t="str">
        <f>IFERROR(VLOOKUP(B118,'Master data'!$A$1:$F$429,6,FALSE),"")</f>
        <v>bahan baku</v>
      </c>
      <c r="E118" s="71">
        <v>212.0</v>
      </c>
      <c r="F118" s="70" t="str">
        <f>IFERROR(VLOOKUP(B118,'Master data'!$A$1:$F$429,3,FALSE),"")</f>
        <v>GR</v>
      </c>
      <c r="G118" s="99" t="s">
        <v>1164</v>
      </c>
      <c r="I118" s="7" t="s">
        <v>1542</v>
      </c>
      <c r="J118" s="7" t="s">
        <v>1561</v>
      </c>
      <c r="K118" s="7" t="b">
        <v>0</v>
      </c>
      <c r="L118" s="7" t="b">
        <v>1</v>
      </c>
      <c r="M118" s="16"/>
      <c r="N118" s="72"/>
    </row>
    <row r="119">
      <c r="B119" s="7" t="s">
        <v>50</v>
      </c>
      <c r="C119" s="70" t="str">
        <f>IFERROR(VLOOKUP(B119,'Master data'!$A$1:$F$429,2,FALSE),"")</f>
        <v>B001-017</v>
      </c>
      <c r="D119" s="70" t="str">
        <f>IFERROR(VLOOKUP(B119,'Master data'!$A$1:$F$429,6,FALSE),"")</f>
        <v>bahan baku</v>
      </c>
      <c r="E119" s="71">
        <v>46.0</v>
      </c>
      <c r="F119" s="70" t="str">
        <f>IFERROR(VLOOKUP(B119,'Master data'!$A$1:$F$429,3,FALSE),"")</f>
        <v>GR</v>
      </c>
      <c r="G119" s="99" t="s">
        <v>1680</v>
      </c>
      <c r="I119" s="7" t="s">
        <v>1542</v>
      </c>
      <c r="J119" s="7" t="s">
        <v>61</v>
      </c>
      <c r="K119" s="7" t="b">
        <v>0</v>
      </c>
      <c r="L119" s="7" t="b">
        <v>1</v>
      </c>
      <c r="M119" s="16"/>
      <c r="N119" s="72"/>
    </row>
    <row r="120">
      <c r="B120" s="7" t="s">
        <v>137</v>
      </c>
      <c r="C120" s="70" t="str">
        <f>IFERROR(VLOOKUP(B120,'Master data'!$A$1:$F$429,2,FALSE),"")</f>
        <v>B001-060</v>
      </c>
      <c r="D120" s="70" t="str">
        <f>IFERROR(VLOOKUP(B120,'Master data'!$A$1:$F$429,6,FALSE),"")</f>
        <v>bahan baku</v>
      </c>
      <c r="E120" s="71">
        <v>16.0</v>
      </c>
      <c r="F120" s="70" t="str">
        <f>IFERROR(VLOOKUP(B120,'Master data'!$A$1:$F$429,3,FALSE),"")</f>
        <v>GR</v>
      </c>
      <c r="G120" s="99" t="s">
        <v>1164</v>
      </c>
      <c r="I120" s="7" t="s">
        <v>1542</v>
      </c>
      <c r="J120" s="7" t="s">
        <v>1561</v>
      </c>
      <c r="K120" s="7" t="b">
        <v>0</v>
      </c>
      <c r="L120" s="7" t="b">
        <v>1</v>
      </c>
      <c r="M120" s="16"/>
      <c r="N120" s="72"/>
    </row>
    <row r="121">
      <c r="B121" s="7" t="s">
        <v>211</v>
      </c>
      <c r="C121" s="70" t="str">
        <f>IFERROR(VLOOKUP(B121,'Master data'!$A$1:$F$429,2,FALSE),"")</f>
        <v>B001-088</v>
      </c>
      <c r="D121" s="70" t="str">
        <f>IFERROR(VLOOKUP(B121,'Master data'!$A$1:$F$429,6,FALSE),"")</f>
        <v>bahan baku</v>
      </c>
      <c r="E121" s="71">
        <v>2380.0</v>
      </c>
      <c r="F121" s="70" t="str">
        <f>IFERROR(VLOOKUP(B121,'Master data'!$A$1:$F$429,3,FALSE),"")</f>
        <v>GR</v>
      </c>
      <c r="G121" s="99" t="s">
        <v>1520</v>
      </c>
      <c r="H121" s="69" t="s">
        <v>876</v>
      </c>
      <c r="I121" s="7" t="s">
        <v>1556</v>
      </c>
      <c r="J121" s="7" t="s">
        <v>61</v>
      </c>
      <c r="K121" s="7" t="b">
        <v>0</v>
      </c>
      <c r="L121" s="7" t="b">
        <v>1</v>
      </c>
      <c r="M121" s="16"/>
      <c r="N121" s="72"/>
    </row>
    <row r="122">
      <c r="B122" s="7" t="s">
        <v>660</v>
      </c>
      <c r="C122" s="70" t="str">
        <f>IFERROR(VLOOKUP(B122,'Master data'!$A$1:$F$429,2,FALSE),"")</f>
        <v>P004-024</v>
      </c>
      <c r="D122" s="70" t="str">
        <f>IFERROR(VLOOKUP(B122,'Master data'!$A$1:$F$429,6,FALSE),"")</f>
        <v>barang jadi &amp; bahan baku</v>
      </c>
      <c r="E122" s="71">
        <v>1016.0</v>
      </c>
      <c r="F122" s="70" t="str">
        <f>IFERROR(VLOOKUP(B122,'Master data'!$A$1:$F$429,3,FALSE),"")</f>
        <v>ML</v>
      </c>
      <c r="G122" s="99" t="s">
        <v>1216</v>
      </c>
      <c r="H122" s="69" t="s">
        <v>1789</v>
      </c>
      <c r="I122" s="7" t="s">
        <v>1552</v>
      </c>
      <c r="J122" s="7" t="s">
        <v>1561</v>
      </c>
      <c r="K122" s="7" t="b">
        <v>0</v>
      </c>
      <c r="L122" s="7" t="b">
        <v>0</v>
      </c>
      <c r="M122" s="16"/>
      <c r="N122" s="72"/>
    </row>
    <row r="123">
      <c r="B123" s="7" t="s">
        <v>33</v>
      </c>
      <c r="C123" s="70" t="str">
        <f>IFERROR(VLOOKUP(B123,'Master data'!$A$1:$F$429,2,FALSE),"")</f>
        <v>B001-008</v>
      </c>
      <c r="D123" s="70" t="str">
        <f>IFERROR(VLOOKUP(B123,'Master data'!$A$1:$F$429,6,FALSE),"")</f>
        <v>bahan baku</v>
      </c>
      <c r="E123" s="71" t="s">
        <v>1815</v>
      </c>
      <c r="F123" s="70" t="str">
        <f>IFERROR(VLOOKUP(B123,'Master data'!$A$1:$F$429,3,FALSE),"")</f>
        <v>GR</v>
      </c>
      <c r="G123" s="99" t="s">
        <v>1816</v>
      </c>
      <c r="H123" s="69" t="s">
        <v>1417</v>
      </c>
      <c r="I123" s="7" t="s">
        <v>1548</v>
      </c>
      <c r="J123" s="7" t="s">
        <v>1561</v>
      </c>
      <c r="K123" s="7" t="b">
        <v>0</v>
      </c>
      <c r="L123" s="7" t="b">
        <v>1</v>
      </c>
      <c r="M123" s="16"/>
      <c r="N123" s="72"/>
    </row>
    <row r="124">
      <c r="B124" s="7" t="s">
        <v>129</v>
      </c>
      <c r="C124" s="70" t="str">
        <f>IFERROR(VLOOKUP(B124,'Master data'!$A$1:$F$429,2,FALSE),"")</f>
        <v>B001-056</v>
      </c>
      <c r="D124" s="70" t="str">
        <f>IFERROR(VLOOKUP(B124,'Master data'!$A$1:$F$429,6,FALSE),"")</f>
        <v>bahan baku</v>
      </c>
      <c r="E124" s="71" t="s">
        <v>1817</v>
      </c>
      <c r="F124" s="70" t="str">
        <f>IFERROR(VLOOKUP(B124,'Master data'!$A$1:$F$429,3,FALSE),"")</f>
        <v>ML</v>
      </c>
      <c r="G124" s="99" t="s">
        <v>1816</v>
      </c>
      <c r="I124" s="7" t="s">
        <v>1548</v>
      </c>
      <c r="J124" s="7" t="s">
        <v>1561</v>
      </c>
      <c r="K124" s="7" t="b">
        <v>0</v>
      </c>
      <c r="L124" s="7" t="b">
        <v>1</v>
      </c>
      <c r="M124" s="16"/>
      <c r="N124" s="72"/>
    </row>
    <row r="125">
      <c r="A125" s="69">
        <v>14.0</v>
      </c>
      <c r="B125" s="7" t="s">
        <v>28</v>
      </c>
      <c r="C125" s="70" t="str">
        <f>IFERROR(VLOOKUP(B125,'Master data'!$A$1:$F$429,2,FALSE),"")</f>
        <v>B001-006</v>
      </c>
      <c r="D125" s="70" t="str">
        <f>IFERROR(VLOOKUP(B125,'Master data'!$A$1:$F$429,6,FALSE),"")</f>
        <v>bahan baku</v>
      </c>
      <c r="E125" s="71">
        <v>24.0</v>
      </c>
      <c r="F125" s="70" t="str">
        <f>IFERROR(VLOOKUP(B125,'Master data'!$A$1:$F$429,3,FALSE),"")</f>
        <v>GR</v>
      </c>
      <c r="G125" s="99" t="s">
        <v>1520</v>
      </c>
      <c r="H125" s="69" t="s">
        <v>1305</v>
      </c>
      <c r="I125" s="7" t="s">
        <v>1542</v>
      </c>
      <c r="J125" s="7" t="s">
        <v>61</v>
      </c>
      <c r="K125" s="7" t="b">
        <v>0</v>
      </c>
      <c r="L125" s="7" t="b">
        <v>1</v>
      </c>
      <c r="M125" s="16"/>
      <c r="N125" s="72"/>
    </row>
    <row r="126">
      <c r="B126" s="7" t="s">
        <v>653</v>
      </c>
      <c r="C126" s="70" t="str">
        <f>IFERROR(VLOOKUP(B126,'Master data'!$A$1:$F$429,2,FALSE),"")</f>
        <v>P004-022</v>
      </c>
      <c r="D126" s="70" t="str">
        <f>IFERROR(VLOOKUP(B126,'Master data'!$A$1:$F$429,6,FALSE),"")</f>
        <v>barang jadi &amp; bahan baku</v>
      </c>
      <c r="E126" s="71">
        <v>176.0</v>
      </c>
      <c r="F126" s="70" t="str">
        <f>IFERROR(VLOOKUP(B126,'Master data'!$A$1:$F$429,3,FALSE),"")</f>
        <v>GR</v>
      </c>
      <c r="G126" s="99" t="s">
        <v>1216</v>
      </c>
      <c r="H126" s="69" t="s">
        <v>1789</v>
      </c>
      <c r="I126" s="7" t="s">
        <v>1552</v>
      </c>
      <c r="J126" s="7" t="s">
        <v>1561</v>
      </c>
      <c r="K126" s="7" t="b">
        <v>0</v>
      </c>
      <c r="L126" s="7" t="b">
        <v>1</v>
      </c>
      <c r="M126" s="16"/>
      <c r="N126" s="72"/>
    </row>
    <row r="127">
      <c r="B127" s="7" t="s">
        <v>657</v>
      </c>
      <c r="C127" s="70" t="str">
        <f>IFERROR(VLOOKUP(B127,'Master data'!$A$1:$F$429,2,FALSE),"")</f>
        <v>P004-023</v>
      </c>
      <c r="D127" s="70" t="str">
        <f>IFERROR(VLOOKUP(B127,'Master data'!$A$1:$F$429,6,FALSE),"")</f>
        <v>barang jadi &amp; bahan baku</v>
      </c>
      <c r="E127" s="71">
        <v>283.0</v>
      </c>
      <c r="F127" s="70" t="str">
        <f>IFERROR(VLOOKUP(B127,'Master data'!$A$1:$F$429,3,FALSE),"")</f>
        <v>GR</v>
      </c>
      <c r="G127" s="99" t="s">
        <v>1216</v>
      </c>
      <c r="I127" s="7" t="s">
        <v>1552</v>
      </c>
      <c r="J127" s="7" t="s">
        <v>1561</v>
      </c>
      <c r="K127" s="7" t="b">
        <v>0</v>
      </c>
      <c r="L127" s="7" t="b">
        <v>1</v>
      </c>
      <c r="M127" s="16"/>
      <c r="N127" s="72"/>
    </row>
    <row r="128">
      <c r="B128" s="7" t="s">
        <v>211</v>
      </c>
      <c r="C128" s="70" t="str">
        <f>IFERROR(VLOOKUP(B128,'Master data'!$A$1:$F$429,2,FALSE),"")</f>
        <v>B001-088</v>
      </c>
      <c r="D128" s="70" t="str">
        <f>IFERROR(VLOOKUP(B128,'Master data'!$A$1:$F$429,6,FALSE),"")</f>
        <v>bahan baku</v>
      </c>
      <c r="E128" s="71">
        <v>1870.0</v>
      </c>
      <c r="F128" s="70" t="str">
        <f>IFERROR(VLOOKUP(B128,'Master data'!$A$1:$F$429,3,FALSE),"")</f>
        <v>GR</v>
      </c>
      <c r="G128" s="99" t="s">
        <v>1520</v>
      </c>
      <c r="H128" s="69" t="s">
        <v>1290</v>
      </c>
      <c r="I128" s="7" t="s">
        <v>1556</v>
      </c>
      <c r="J128" s="7" t="s">
        <v>61</v>
      </c>
      <c r="K128" s="7" t="b">
        <v>0</v>
      </c>
      <c r="L128" s="7" t="b">
        <v>1</v>
      </c>
      <c r="M128" s="16"/>
      <c r="N128" s="72"/>
    </row>
    <row r="129">
      <c r="B129" s="7" t="s">
        <v>33</v>
      </c>
      <c r="C129" s="70" t="str">
        <f>IFERROR(VLOOKUP(B129,'Master data'!$A$1:$F$429,2,FALSE),"")</f>
        <v>B001-008</v>
      </c>
      <c r="D129" s="70" t="str">
        <f>IFERROR(VLOOKUP(B129,'Master data'!$A$1:$F$429,6,FALSE),"")</f>
        <v>bahan baku</v>
      </c>
      <c r="E129" s="71" t="s">
        <v>1818</v>
      </c>
      <c r="F129" s="70" t="str">
        <f>IFERROR(VLOOKUP(B129,'Master data'!$A$1:$F$429,3,FALSE),"")</f>
        <v>GR</v>
      </c>
      <c r="G129" s="99" t="s">
        <v>1819</v>
      </c>
      <c r="H129" s="69" t="s">
        <v>1417</v>
      </c>
      <c r="I129" s="7" t="s">
        <v>1548</v>
      </c>
      <c r="J129" s="7" t="s">
        <v>1561</v>
      </c>
      <c r="K129" s="7" t="b">
        <v>0</v>
      </c>
      <c r="L129" s="7" t="b">
        <v>1</v>
      </c>
      <c r="M129" s="16"/>
      <c r="N129" s="72"/>
    </row>
    <row r="130">
      <c r="B130" s="7" t="s">
        <v>129</v>
      </c>
      <c r="C130" s="70" t="str">
        <f>IFERROR(VLOOKUP(B130,'Master data'!$A$1:$F$429,2,FALSE),"")</f>
        <v>B001-056</v>
      </c>
      <c r="D130" s="70" t="str">
        <f>IFERROR(VLOOKUP(B130,'Master data'!$A$1:$F$429,6,FALSE),"")</f>
        <v>bahan baku</v>
      </c>
      <c r="E130" s="71" t="s">
        <v>1820</v>
      </c>
      <c r="F130" s="70" t="str">
        <f>IFERROR(VLOOKUP(B130,'Master data'!$A$1:$F$429,3,FALSE),"")</f>
        <v>ML</v>
      </c>
      <c r="G130" s="99" t="s">
        <v>1819</v>
      </c>
      <c r="I130" s="7" t="s">
        <v>1548</v>
      </c>
      <c r="J130" s="7" t="s">
        <v>1561</v>
      </c>
      <c r="K130" s="7" t="b">
        <v>0</v>
      </c>
      <c r="L130" s="7" t="b">
        <v>1</v>
      </c>
      <c r="M130" s="16"/>
      <c r="N130" s="72"/>
    </row>
    <row r="131">
      <c r="A131" s="69">
        <v>15.0</v>
      </c>
      <c r="B131" s="7" t="s">
        <v>52</v>
      </c>
      <c r="C131" s="70" t="str">
        <f>IFERROR(VLOOKUP(B131,'Master data'!$A$1:$F$429,2,FALSE),"")</f>
        <v>B001-018</v>
      </c>
      <c r="D131" s="70" t="str">
        <f>IFERROR(VLOOKUP(B131,'Master data'!$A$1:$F$429,6,FALSE),"")</f>
        <v>bahan baku</v>
      </c>
      <c r="E131" s="71">
        <v>59.0</v>
      </c>
      <c r="F131" s="70" t="str">
        <f>IFERROR(VLOOKUP(B131,'Master data'!$A$1:$F$429,3,FALSE),"")</f>
        <v>GR</v>
      </c>
      <c r="G131" s="99" t="s">
        <v>1680</v>
      </c>
      <c r="H131" s="69" t="s">
        <v>1305</v>
      </c>
      <c r="I131" s="7" t="s">
        <v>1542</v>
      </c>
      <c r="J131" s="7" t="s">
        <v>61</v>
      </c>
      <c r="K131" s="7" t="b">
        <v>0</v>
      </c>
      <c r="L131" s="7" t="b">
        <v>1</v>
      </c>
      <c r="M131" s="16"/>
      <c r="N131" s="72"/>
    </row>
    <row r="132">
      <c r="B132" s="7" t="s">
        <v>65</v>
      </c>
      <c r="C132" s="70" t="str">
        <f>IFERROR(VLOOKUP(B132,'Master data'!$A$1:$F$429,2,FALSE),"")</f>
        <v>B001-023</v>
      </c>
      <c r="D132" s="70" t="str">
        <f>IFERROR(VLOOKUP(B132,'Master data'!$A$1:$F$429,6,FALSE),"")</f>
        <v>bahan baku</v>
      </c>
      <c r="E132" s="71">
        <v>426.0</v>
      </c>
      <c r="F132" s="70" t="str">
        <f>IFERROR(VLOOKUP(B132,'Master data'!$A$1:$F$429,3,FALSE),"")</f>
        <v>GR</v>
      </c>
      <c r="G132" s="99" t="s">
        <v>1164</v>
      </c>
      <c r="I132" s="7" t="s">
        <v>1542</v>
      </c>
      <c r="J132" s="7" t="s">
        <v>1561</v>
      </c>
      <c r="K132" s="7" t="b">
        <v>0</v>
      </c>
      <c r="L132" s="7" t="b">
        <v>1</v>
      </c>
      <c r="M132" s="16"/>
      <c r="N132" s="72"/>
    </row>
    <row r="133">
      <c r="B133" s="7" t="s">
        <v>930</v>
      </c>
      <c r="C133" s="70" t="str">
        <f>IFERROR(VLOOKUP(B133,'Master data'!$A$1:$F$429,2,FALSE),"")</f>
        <v>B001-166</v>
      </c>
      <c r="D133" s="70" t="str">
        <f>IFERROR(VLOOKUP(B133,'Master data'!$A$1:$F$429,6,FALSE),"")</f>
        <v>bahan baku</v>
      </c>
      <c r="E133" s="71">
        <v>44.0</v>
      </c>
      <c r="F133" s="70" t="s">
        <v>20</v>
      </c>
      <c r="G133" s="99" t="s">
        <v>1370</v>
      </c>
      <c r="I133" s="7" t="s">
        <v>1542</v>
      </c>
      <c r="J133" s="7" t="s">
        <v>61</v>
      </c>
      <c r="K133" s="7" t="b">
        <v>0</v>
      </c>
      <c r="L133" s="7" t="b">
        <v>0</v>
      </c>
      <c r="M133" s="27"/>
      <c r="N133" s="72"/>
    </row>
    <row r="134">
      <c r="B134" s="7" t="s">
        <v>229</v>
      </c>
      <c r="C134" s="70" t="str">
        <f>IFERROR(VLOOKUP(B134,'Master data'!$A$1:$F$429,2,FALSE),"")</f>
        <v>B001-103</v>
      </c>
      <c r="D134" s="70" t="str">
        <f>IFERROR(VLOOKUP(B134,'Master data'!$A$1:$F$429,6,FALSE),"")</f>
        <v>bahan baku</v>
      </c>
      <c r="E134" s="71">
        <v>17.0</v>
      </c>
      <c r="F134" s="70" t="str">
        <f>IFERROR(VLOOKUP(B134,'Master data'!$A$1:$F$429,3,FALSE),"")</f>
        <v>GR</v>
      </c>
      <c r="G134" s="99" t="s">
        <v>1333</v>
      </c>
      <c r="I134" s="7" t="s">
        <v>1542</v>
      </c>
      <c r="J134" s="7" t="s">
        <v>1561</v>
      </c>
      <c r="K134" s="7" t="b">
        <v>0</v>
      </c>
      <c r="L134" s="7" t="b">
        <v>1</v>
      </c>
      <c r="M134" s="27"/>
      <c r="N134" s="72"/>
    </row>
    <row r="135">
      <c r="B135" s="7" t="s">
        <v>33</v>
      </c>
      <c r="C135" s="70" t="str">
        <f>IFERROR(VLOOKUP(B135,'Master data'!$A$1:$F$429,2,FALSE),"")</f>
        <v>B001-008</v>
      </c>
      <c r="D135" s="70" t="str">
        <f>IFERROR(VLOOKUP(B135,'Master data'!$A$1:$F$429,6,FALSE),"")</f>
        <v>bahan baku</v>
      </c>
      <c r="E135" s="71" t="s">
        <v>1821</v>
      </c>
      <c r="F135" s="70" t="str">
        <f>IFERROR(VLOOKUP(B135,'Master data'!$A$1:$F$429,3,FALSE),"")</f>
        <v>GR</v>
      </c>
      <c r="G135" s="99" t="s">
        <v>1816</v>
      </c>
      <c r="H135" s="69" t="s">
        <v>1822</v>
      </c>
      <c r="I135" s="7" t="s">
        <v>1548</v>
      </c>
      <c r="J135" s="7" t="s">
        <v>1561</v>
      </c>
      <c r="K135" s="7" t="b">
        <v>0</v>
      </c>
      <c r="L135" s="7" t="b">
        <v>1</v>
      </c>
      <c r="M135" s="16"/>
      <c r="N135" s="72"/>
    </row>
    <row r="136">
      <c r="B136" s="7" t="s">
        <v>129</v>
      </c>
      <c r="C136" s="70" t="str">
        <f>IFERROR(VLOOKUP(B136,'Master data'!$A$1:$F$429,2,FALSE),"")</f>
        <v>B001-056</v>
      </c>
      <c r="D136" s="70" t="str">
        <f>IFERROR(VLOOKUP(B136,'Master data'!$A$1:$F$429,6,FALSE),"")</f>
        <v>bahan baku</v>
      </c>
      <c r="E136" s="71" t="s">
        <v>1823</v>
      </c>
      <c r="F136" s="70" t="str">
        <f>IFERROR(VLOOKUP(B136,'Master data'!$A$1:$F$429,3,FALSE),"")</f>
        <v>ML</v>
      </c>
      <c r="G136" s="99" t="s">
        <v>1816</v>
      </c>
      <c r="I136" s="7" t="s">
        <v>1548</v>
      </c>
      <c r="J136" s="7" t="s">
        <v>1561</v>
      </c>
      <c r="K136" s="7" t="b">
        <v>0</v>
      </c>
      <c r="L136" s="7" t="b">
        <v>1</v>
      </c>
      <c r="M136" s="16"/>
      <c r="N136" s="72"/>
    </row>
    <row r="137">
      <c r="B137" s="7" t="s">
        <v>653</v>
      </c>
      <c r="C137" s="70" t="str">
        <f>IFERROR(VLOOKUP(B137,'Master data'!$A$1:$F$429,2,FALSE),"")</f>
        <v>P004-022</v>
      </c>
      <c r="D137" s="70" t="str">
        <f>IFERROR(VLOOKUP(B137,'Master data'!$A$1:$F$429,6,FALSE),"")</f>
        <v>barang jadi &amp; bahan baku</v>
      </c>
      <c r="E137" s="71">
        <v>842.0</v>
      </c>
      <c r="F137" s="70" t="str">
        <f>IFERROR(VLOOKUP(B137,'Master data'!$A$1:$F$429,3,FALSE),"")</f>
        <v>GR</v>
      </c>
      <c r="G137" s="99" t="s">
        <v>1216</v>
      </c>
      <c r="H137" s="69" t="s">
        <v>1523</v>
      </c>
      <c r="I137" s="7" t="s">
        <v>1552</v>
      </c>
      <c r="J137" s="7" t="s">
        <v>1561</v>
      </c>
      <c r="K137" s="7" t="b">
        <v>0</v>
      </c>
      <c r="L137" s="7" t="b">
        <v>1</v>
      </c>
      <c r="M137" s="16"/>
      <c r="N137" s="72"/>
    </row>
    <row r="138">
      <c r="B138" s="7" t="s">
        <v>657</v>
      </c>
      <c r="C138" s="70" t="str">
        <f>IFERROR(VLOOKUP(B138,'Master data'!$A$1:$F$429,2,FALSE),"")</f>
        <v>P004-023</v>
      </c>
      <c r="D138" s="70" t="str">
        <f>IFERROR(VLOOKUP(B138,'Master data'!$A$1:$F$429,6,FALSE),"")</f>
        <v>barang jadi &amp; bahan baku</v>
      </c>
      <c r="E138" s="71">
        <v>392.0</v>
      </c>
      <c r="F138" s="70" t="str">
        <f>IFERROR(VLOOKUP(B138,'Master data'!$A$1:$F$429,3,FALSE),"")</f>
        <v>GR</v>
      </c>
      <c r="G138" s="99" t="s">
        <v>1216</v>
      </c>
      <c r="I138" s="7" t="s">
        <v>1552</v>
      </c>
      <c r="J138" s="7" t="s">
        <v>1561</v>
      </c>
      <c r="K138" s="7" t="b">
        <v>0</v>
      </c>
      <c r="L138" s="7" t="b">
        <v>1</v>
      </c>
      <c r="M138" s="16"/>
      <c r="N138" s="72"/>
    </row>
    <row r="139">
      <c r="B139" s="7" t="s">
        <v>28</v>
      </c>
      <c r="C139" s="70" t="str">
        <f>IFERROR(VLOOKUP(B139,'Master data'!$A$1:$F$429,2,FALSE),"")</f>
        <v>B001-006</v>
      </c>
      <c r="D139" s="70" t="str">
        <f>IFERROR(VLOOKUP(B139,'Master data'!$A$1:$F$429,6,FALSE),"")</f>
        <v>bahan baku</v>
      </c>
      <c r="E139" s="71">
        <v>10.0</v>
      </c>
      <c r="F139" s="70" t="str">
        <f>IFERROR(VLOOKUP(B139,'Master data'!$A$1:$F$429,3,FALSE),"")</f>
        <v>GR</v>
      </c>
      <c r="G139" s="99" t="s">
        <v>1824</v>
      </c>
      <c r="H139" s="69" t="s">
        <v>1539</v>
      </c>
      <c r="I139" s="7" t="s">
        <v>1542</v>
      </c>
      <c r="J139" s="7" t="s">
        <v>61</v>
      </c>
      <c r="K139" s="7" t="b">
        <v>0</v>
      </c>
      <c r="L139" s="7" t="b">
        <v>1</v>
      </c>
      <c r="M139" s="16"/>
      <c r="N139" s="72"/>
    </row>
    <row r="140">
      <c r="B140" s="7" t="s">
        <v>211</v>
      </c>
      <c r="C140" s="70" t="str">
        <f>IFERROR(VLOOKUP(B140,'Master data'!$A$1:$F$429,2,FALSE),"")</f>
        <v>B001-088</v>
      </c>
      <c r="D140" s="70" t="str">
        <f>IFERROR(VLOOKUP(B140,'Master data'!$A$1:$F$429,6,FALSE),"")</f>
        <v>bahan baku</v>
      </c>
      <c r="E140" s="71">
        <v>2005.0</v>
      </c>
      <c r="F140" s="70" t="str">
        <f>IFERROR(VLOOKUP(B140,'Master data'!$A$1:$F$429,3,FALSE),"")</f>
        <v>GR</v>
      </c>
      <c r="G140" s="99" t="s">
        <v>1390</v>
      </c>
      <c r="H140" s="69" t="s">
        <v>1567</v>
      </c>
      <c r="I140" s="7" t="s">
        <v>1556</v>
      </c>
      <c r="J140" s="7" t="s">
        <v>61</v>
      </c>
      <c r="K140" s="7" t="b">
        <v>0</v>
      </c>
      <c r="L140" s="7" t="b">
        <v>1</v>
      </c>
      <c r="M140" s="16"/>
      <c r="N140" s="72"/>
    </row>
    <row r="141">
      <c r="A141" s="69">
        <v>16.0</v>
      </c>
      <c r="B141" s="7" t="s">
        <v>52</v>
      </c>
      <c r="C141" s="70" t="str">
        <f>IFERROR(VLOOKUP(B141,'Master data'!$A$1:$F$429,2,FALSE),"")</f>
        <v>B001-018</v>
      </c>
      <c r="D141" s="70" t="str">
        <f>IFERROR(VLOOKUP(B141,'Master data'!$A$1:$F$429,6,FALSE),"")</f>
        <v>bahan baku</v>
      </c>
      <c r="E141" s="71">
        <v>150.0</v>
      </c>
      <c r="F141" s="70" t="str">
        <f>IFERROR(VLOOKUP(B141,'Master data'!$A$1:$F$429,3,FALSE),"")</f>
        <v>GR</v>
      </c>
      <c r="G141" s="99" t="s">
        <v>1680</v>
      </c>
      <c r="H141" s="69" t="s">
        <v>1305</v>
      </c>
      <c r="I141" s="7" t="s">
        <v>1542</v>
      </c>
      <c r="J141" s="7" t="s">
        <v>61</v>
      </c>
      <c r="K141" s="7" t="b">
        <v>0</v>
      </c>
      <c r="L141" s="7" t="b">
        <v>1</v>
      </c>
      <c r="N141" s="72"/>
    </row>
    <row r="142">
      <c r="B142" s="7" t="s">
        <v>28</v>
      </c>
      <c r="C142" s="70" t="str">
        <f>IFERROR(VLOOKUP(B142,'Master data'!$A$1:$F$429,2,FALSE),"")</f>
        <v>B001-006</v>
      </c>
      <c r="D142" s="70" t="str">
        <f>IFERROR(VLOOKUP(B142,'Master data'!$A$1:$F$429,6,FALSE),"")</f>
        <v>bahan baku</v>
      </c>
      <c r="E142" s="71">
        <v>11.0</v>
      </c>
      <c r="F142" s="70" t="str">
        <f>IFERROR(VLOOKUP(B142,'Master data'!$A$1:$F$429,3,FALSE),"")</f>
        <v>GR</v>
      </c>
      <c r="G142" s="99" t="s">
        <v>1824</v>
      </c>
      <c r="I142" s="7" t="s">
        <v>1542</v>
      </c>
      <c r="J142" s="7" t="s">
        <v>61</v>
      </c>
      <c r="K142" s="7" t="b">
        <v>0</v>
      </c>
      <c r="L142" s="7" t="b">
        <v>1</v>
      </c>
      <c r="N142" s="72"/>
    </row>
    <row r="143">
      <c r="B143" s="7" t="s">
        <v>930</v>
      </c>
      <c r="C143" s="70" t="str">
        <f>IFERROR(VLOOKUP(B143,'Master data'!$A$1:$F$429,2,FALSE),"")</f>
        <v>B001-166</v>
      </c>
      <c r="D143" s="70" t="str">
        <f>IFERROR(VLOOKUP(B143,'Master data'!$A$1:$F$429,6,FALSE),"")</f>
        <v>bahan baku</v>
      </c>
      <c r="E143" s="71">
        <v>44.0</v>
      </c>
      <c r="F143" s="70" t="s">
        <v>20</v>
      </c>
      <c r="G143" s="99" t="s">
        <v>1164</v>
      </c>
      <c r="I143" s="7" t="s">
        <v>1542</v>
      </c>
      <c r="J143" s="7" t="s">
        <v>61</v>
      </c>
      <c r="K143" s="7" t="b">
        <v>0</v>
      </c>
      <c r="L143" s="7" t="b">
        <v>1</v>
      </c>
      <c r="N143" s="72"/>
    </row>
    <row r="144">
      <c r="B144" s="7" t="s">
        <v>33</v>
      </c>
      <c r="C144" s="70" t="str">
        <f>IFERROR(VLOOKUP(B144,'Master data'!$A$1:$F$429,2,FALSE),"")</f>
        <v>B001-008</v>
      </c>
      <c r="D144" s="70" t="str">
        <f>IFERROR(VLOOKUP(B144,'Master data'!$A$1:$F$429,6,FALSE),"")</f>
        <v>bahan baku</v>
      </c>
      <c r="E144" s="71" t="s">
        <v>1825</v>
      </c>
      <c r="F144" s="70" t="str">
        <f>IFERROR(VLOOKUP(B144,'Master data'!$A$1:$F$429,3,FALSE),"")</f>
        <v>GR</v>
      </c>
      <c r="G144" s="99" t="s">
        <v>1816</v>
      </c>
      <c r="H144" s="69" t="s">
        <v>1225</v>
      </c>
      <c r="I144" s="7" t="s">
        <v>1548</v>
      </c>
      <c r="J144" s="7" t="s">
        <v>1561</v>
      </c>
      <c r="K144" s="7" t="b">
        <v>0</v>
      </c>
      <c r="L144" s="7" t="b">
        <v>1</v>
      </c>
      <c r="N144" s="72"/>
    </row>
    <row r="145">
      <c r="B145" s="7" t="s">
        <v>129</v>
      </c>
      <c r="C145" s="70" t="str">
        <f>IFERROR(VLOOKUP(B145,'Master data'!$A$1:$F$429,2,FALSE),"")</f>
        <v>B001-056</v>
      </c>
      <c r="D145" s="70" t="str">
        <f>IFERROR(VLOOKUP(B145,'Master data'!$A$1:$F$429,6,FALSE),"")</f>
        <v>bahan baku</v>
      </c>
      <c r="E145" s="71" t="s">
        <v>1826</v>
      </c>
      <c r="F145" s="70" t="str">
        <f>IFERROR(VLOOKUP(B145,'Master data'!$A$1:$F$429,3,FALSE),"")</f>
        <v>ML</v>
      </c>
      <c r="G145" s="99" t="s">
        <v>1816</v>
      </c>
      <c r="I145" s="7" t="s">
        <v>1548</v>
      </c>
      <c r="J145" s="7" t="s">
        <v>1561</v>
      </c>
      <c r="K145" s="7" t="b">
        <v>0</v>
      </c>
      <c r="L145" s="7" t="b">
        <v>1</v>
      </c>
      <c r="N145" s="72"/>
    </row>
    <row r="146">
      <c r="B146" s="7" t="s">
        <v>86</v>
      </c>
      <c r="C146" s="70" t="str">
        <f>IFERROR(VLOOKUP(B146,'Master data'!$A$1:$F$429,2,FALSE),"")</f>
        <v>B001-036</v>
      </c>
      <c r="D146" s="70" t="str">
        <f>IFERROR(VLOOKUP(B146,'Master data'!$A$1:$F$429,6,FALSE),"")</f>
        <v>bahan baku</v>
      </c>
      <c r="E146" s="71">
        <v>8.0</v>
      </c>
      <c r="F146" s="70" t="str">
        <f>IFERROR(VLOOKUP(B146,'Master data'!$A$1:$F$429,3,FALSE),"")</f>
        <v>GR</v>
      </c>
      <c r="G146" s="99" t="s">
        <v>1723</v>
      </c>
      <c r="H146" s="69" t="s">
        <v>1512</v>
      </c>
      <c r="I146" s="7" t="s">
        <v>1552</v>
      </c>
      <c r="J146" s="7" t="s">
        <v>1561</v>
      </c>
      <c r="K146" s="7" t="b">
        <v>0</v>
      </c>
      <c r="L146" s="7" t="b">
        <v>1</v>
      </c>
      <c r="N146" s="72"/>
    </row>
    <row r="147">
      <c r="B147" s="7" t="s">
        <v>653</v>
      </c>
      <c r="C147" s="70" t="str">
        <f>IFERROR(VLOOKUP(B147,'Master data'!$A$1:$F$429,2,FALSE),"")</f>
        <v>P004-022</v>
      </c>
      <c r="D147" s="70" t="str">
        <f>IFERROR(VLOOKUP(B147,'Master data'!$A$1:$F$429,6,FALSE),"")</f>
        <v>barang jadi &amp; bahan baku</v>
      </c>
      <c r="E147" s="71">
        <v>157.0</v>
      </c>
      <c r="F147" s="70" t="str">
        <f>IFERROR(VLOOKUP(B147,'Master data'!$A$1:$F$429,3,FALSE),"")</f>
        <v>GR</v>
      </c>
      <c r="G147" s="99" t="s">
        <v>1216</v>
      </c>
      <c r="H147" s="69" t="s">
        <v>1523</v>
      </c>
      <c r="I147" s="7" t="s">
        <v>1552</v>
      </c>
      <c r="J147" s="7" t="s">
        <v>1561</v>
      </c>
      <c r="K147" s="7" t="b">
        <v>0</v>
      </c>
      <c r="L147" s="7" t="b">
        <v>1</v>
      </c>
      <c r="N147" s="72"/>
    </row>
    <row r="148">
      <c r="B148" s="7" t="s">
        <v>657</v>
      </c>
      <c r="C148" s="70" t="str">
        <f>IFERROR(VLOOKUP(B148,'Master data'!$A$1:$F$429,2,FALSE),"")</f>
        <v>P004-023</v>
      </c>
      <c r="D148" s="70" t="str">
        <f>IFERROR(VLOOKUP(B148,'Master data'!$A$1:$F$429,6,FALSE),"")</f>
        <v>barang jadi &amp; bahan baku</v>
      </c>
      <c r="E148" s="71">
        <v>152.0</v>
      </c>
      <c r="F148" s="70" t="str">
        <f>IFERROR(VLOOKUP(B148,'Master data'!$A$1:$F$429,3,FALSE),"")</f>
        <v>GR</v>
      </c>
      <c r="G148" s="99" t="s">
        <v>1216</v>
      </c>
      <c r="I148" s="7" t="s">
        <v>1552</v>
      </c>
      <c r="J148" s="7" t="s">
        <v>1561</v>
      </c>
      <c r="K148" s="7" t="b">
        <v>0</v>
      </c>
      <c r="L148" s="7" t="b">
        <v>1</v>
      </c>
      <c r="N148" s="72"/>
    </row>
    <row r="149">
      <c r="B149" s="7" t="s">
        <v>660</v>
      </c>
      <c r="C149" s="70" t="str">
        <f>IFERROR(VLOOKUP(B149,'Master data'!$A$1:$F$429,2,FALSE),"")</f>
        <v>P004-024</v>
      </c>
      <c r="D149" s="70" t="str">
        <f>IFERROR(VLOOKUP(B149,'Master data'!$A$1:$F$429,6,FALSE),"")</f>
        <v>barang jadi &amp; bahan baku</v>
      </c>
      <c r="E149" s="71">
        <v>1071.0</v>
      </c>
      <c r="F149" s="70" t="str">
        <f>IFERROR(VLOOKUP(B149,'Master data'!$A$1:$F$429,3,FALSE),"")</f>
        <v>ML</v>
      </c>
      <c r="G149" s="99" t="s">
        <v>1216</v>
      </c>
      <c r="I149" s="7" t="s">
        <v>1552</v>
      </c>
      <c r="J149" s="7" t="s">
        <v>1561</v>
      </c>
      <c r="K149" s="7" t="b">
        <v>0</v>
      </c>
      <c r="L149" s="7" t="b">
        <v>1</v>
      </c>
      <c r="N149" s="72"/>
    </row>
    <row r="150">
      <c r="A150" s="69">
        <v>17.0</v>
      </c>
      <c r="B150" s="7" t="s">
        <v>298</v>
      </c>
      <c r="C150" s="70" t="str">
        <f>IFERROR(VLOOKUP(B150,'Master data'!$A$1:$F$429,2,FALSE),"")</f>
        <v>B001-125</v>
      </c>
      <c r="D150" s="70" t="str">
        <f>IFERROR(VLOOKUP(B150,'Master data'!$A$1:$F$429,6,FALSE),"")</f>
        <v>bahan baku</v>
      </c>
      <c r="E150" s="71">
        <v>26.0</v>
      </c>
      <c r="F150" s="70" t="str">
        <f>IFERROR(VLOOKUP(B150,'Master data'!$A$1:$F$429,3,FALSE),"")</f>
        <v>GR</v>
      </c>
      <c r="G150" s="99" t="s">
        <v>1525</v>
      </c>
      <c r="H150" s="69" t="s">
        <v>1539</v>
      </c>
      <c r="I150" s="7" t="s">
        <v>1542</v>
      </c>
      <c r="J150" s="7" t="s">
        <v>61</v>
      </c>
      <c r="K150" s="7" t="b">
        <v>0</v>
      </c>
      <c r="L150" s="7" t="b">
        <v>1</v>
      </c>
      <c r="N150" s="72"/>
    </row>
    <row r="151">
      <c r="B151" s="7" t="s">
        <v>298</v>
      </c>
      <c r="C151" s="70" t="str">
        <f>IFERROR(VLOOKUP(B151,'Master data'!$A$1:$F$429,2,FALSE),"")</f>
        <v>B001-125</v>
      </c>
      <c r="D151" s="70" t="str">
        <f>IFERROR(VLOOKUP(B151,'Master data'!$A$1:$F$429,6,FALSE),"")</f>
        <v>bahan baku</v>
      </c>
      <c r="E151" s="71">
        <v>72.0</v>
      </c>
      <c r="F151" s="70" t="str">
        <f>IFERROR(VLOOKUP(B151,'Master data'!$A$1:$F$429,3,FALSE),"")</f>
        <v>GR</v>
      </c>
      <c r="G151" s="99" t="s">
        <v>1224</v>
      </c>
      <c r="I151" s="7" t="s">
        <v>1542</v>
      </c>
      <c r="J151" s="7" t="s">
        <v>1561</v>
      </c>
      <c r="K151" s="7" t="b">
        <v>0</v>
      </c>
      <c r="L151" s="7" t="b">
        <v>1</v>
      </c>
      <c r="N151" s="72"/>
    </row>
    <row r="152">
      <c r="B152" s="7" t="s">
        <v>615</v>
      </c>
      <c r="C152" s="70" t="str">
        <f>IFERROR(VLOOKUP(B152,'Master data'!$A$1:$F$429,2,FALSE),"")</f>
        <v>B001-062</v>
      </c>
      <c r="D152" s="70" t="str">
        <f>IFERROR(VLOOKUP(B152,'Master data'!$A$1:$F$429,6,FALSE),"")</f>
        <v>bahan baku</v>
      </c>
      <c r="E152" s="71">
        <v>17.0</v>
      </c>
      <c r="F152" s="70" t="str">
        <f>IFERROR(VLOOKUP(B152,'Master data'!$A$1:$F$429,3,FALSE),"")</f>
        <v>GR</v>
      </c>
      <c r="G152" s="99" t="s">
        <v>1164</v>
      </c>
      <c r="I152" s="7" t="s">
        <v>1542</v>
      </c>
      <c r="J152" s="7" t="s">
        <v>1561</v>
      </c>
      <c r="K152" s="7" t="b">
        <v>0</v>
      </c>
      <c r="L152" s="7" t="b">
        <v>1</v>
      </c>
      <c r="N152" s="72"/>
    </row>
    <row r="153">
      <c r="B153" s="7" t="s">
        <v>48</v>
      </c>
      <c r="C153" s="70" t="str">
        <f>IFERROR(VLOOKUP(B153,'Master data'!$A$1:$F$429,2,FALSE),"")</f>
        <v>B001-016</v>
      </c>
      <c r="D153" s="70" t="str">
        <f>IFERROR(VLOOKUP(B153,'Master data'!$A$1:$F$429,6,FALSE),"")</f>
        <v>bahan baku</v>
      </c>
      <c r="E153" s="71">
        <v>87.0</v>
      </c>
      <c r="F153" s="70" t="str">
        <f>IFERROR(VLOOKUP(B153,'Master data'!$A$1:$F$429,3,FALSE),"")</f>
        <v>GR</v>
      </c>
      <c r="G153" s="99" t="s">
        <v>1462</v>
      </c>
      <c r="I153" s="7" t="s">
        <v>1542</v>
      </c>
      <c r="J153" s="7" t="s">
        <v>1561</v>
      </c>
      <c r="K153" s="7" t="b">
        <v>0</v>
      </c>
      <c r="L153" s="7" t="b">
        <v>1</v>
      </c>
      <c r="N153" s="72"/>
    </row>
    <row r="154">
      <c r="B154" s="7" t="s">
        <v>894</v>
      </c>
      <c r="C154" s="70" t="str">
        <f>IFERROR(VLOOKUP(B154,'Master data'!$A$1:$F$429,2,FALSE),"")</f>
        <v>B001-151</v>
      </c>
      <c r="D154" s="70" t="str">
        <f>IFERROR(VLOOKUP(B154,'Master data'!$A$1:$F$429,6,FALSE),"")</f>
        <v>bahan baku</v>
      </c>
      <c r="E154" s="71">
        <v>15.0</v>
      </c>
      <c r="F154" s="70" t="str">
        <f>IFERROR(VLOOKUP(B154,'Master data'!$A$1:$F$429,3,FALSE),"")</f>
        <v>GR</v>
      </c>
      <c r="G154" s="99" t="s">
        <v>1723</v>
      </c>
      <c r="I154" s="7" t="s">
        <v>1542</v>
      </c>
      <c r="J154" s="7" t="s">
        <v>1561</v>
      </c>
      <c r="K154" s="7" t="b">
        <v>0</v>
      </c>
      <c r="L154" s="7" t="b">
        <v>1</v>
      </c>
      <c r="N154" s="72"/>
    </row>
    <row r="155">
      <c r="B155" s="7" t="s">
        <v>1280</v>
      </c>
      <c r="C155" s="70" t="str">
        <f>IFERROR(VLOOKUP(B155,'Master data'!$A$1:$F$429,2,FALSE),"")</f>
        <v>P004-051</v>
      </c>
      <c r="D155" s="70" t="str">
        <f>IFERROR(VLOOKUP(B155,'Master data'!$A$1:$F$429,6,FALSE),"")</f>
        <v>barang jadi &amp; bahan baku</v>
      </c>
      <c r="E155" s="71">
        <v>36.0</v>
      </c>
      <c r="F155" s="70" t="s">
        <v>20</v>
      </c>
      <c r="G155" s="99" t="s">
        <v>1164</v>
      </c>
      <c r="I155" s="7" t="s">
        <v>1542</v>
      </c>
      <c r="J155" s="7" t="s">
        <v>1561</v>
      </c>
      <c r="K155" s="7" t="b">
        <v>0</v>
      </c>
      <c r="L155" s="7" t="b">
        <v>1</v>
      </c>
      <c r="N155" s="72"/>
    </row>
    <row r="156">
      <c r="B156" s="7" t="s">
        <v>625</v>
      </c>
      <c r="C156" s="70" t="str">
        <f>IFERROR(VLOOKUP(B156,'Master data'!$A$1:$F$429,2,FALSE),"")</f>
        <v>P004-011</v>
      </c>
      <c r="D156" s="70" t="str">
        <f>IFERROR(VLOOKUP(B156,'Master data'!$A$1:$F$429,6,FALSE),"")</f>
        <v>barang jadi &amp; bahan baku</v>
      </c>
      <c r="E156" s="71">
        <v>70.0</v>
      </c>
      <c r="F156" s="70" t="str">
        <f>IFERROR(VLOOKUP(B156,'Master data'!$A$1:$F$429,3,FALSE),"")</f>
        <v>GR</v>
      </c>
      <c r="G156" s="99" t="s">
        <v>1164</v>
      </c>
      <c r="I156" s="7" t="s">
        <v>1542</v>
      </c>
      <c r="J156" s="7" t="s">
        <v>1561</v>
      </c>
      <c r="K156" s="7" t="b">
        <v>0</v>
      </c>
      <c r="L156" s="7" t="b">
        <v>1</v>
      </c>
      <c r="N156" s="72"/>
    </row>
    <row r="157">
      <c r="B157" s="7" t="s">
        <v>28</v>
      </c>
      <c r="C157" s="70" t="str">
        <f>IFERROR(VLOOKUP(B157,'Master data'!$A$1:$F$429,2,FALSE),"")</f>
        <v>B001-006</v>
      </c>
      <c r="D157" s="70" t="str">
        <f>IFERROR(VLOOKUP(B157,'Master data'!$A$1:$F$429,6,FALSE),"")</f>
        <v>bahan baku</v>
      </c>
      <c r="E157" s="71">
        <v>16.0</v>
      </c>
      <c r="F157" s="70" t="str">
        <f>IFERROR(VLOOKUP(B157,'Master data'!$A$1:$F$429,3,FALSE),"")</f>
        <v>GR</v>
      </c>
      <c r="G157" s="99" t="s">
        <v>1370</v>
      </c>
      <c r="H157" s="69" t="s">
        <v>1305</v>
      </c>
      <c r="I157" s="7" t="s">
        <v>1542</v>
      </c>
      <c r="J157" s="7" t="s">
        <v>61</v>
      </c>
      <c r="K157" s="7" t="b">
        <v>0</v>
      </c>
      <c r="L157" s="7" t="b">
        <v>1</v>
      </c>
      <c r="M157" s="72"/>
    </row>
    <row r="158">
      <c r="B158" s="7" t="s">
        <v>926</v>
      </c>
      <c r="C158" s="70" t="str">
        <f>IFERROR(VLOOKUP(B158,'Master data'!$A$1:$F$429,2,FALSE),"")</f>
        <v>B001-165</v>
      </c>
      <c r="D158" s="70" t="str">
        <f>IFERROR(VLOOKUP(B158,'Master data'!$A$1:$F$429,6,FALSE),"")</f>
        <v>bahan baku</v>
      </c>
      <c r="E158" s="71">
        <v>137.0</v>
      </c>
      <c r="F158" s="70" t="s">
        <v>20</v>
      </c>
      <c r="G158" s="99" t="s">
        <v>1370</v>
      </c>
      <c r="I158" s="7" t="s">
        <v>1542</v>
      </c>
      <c r="J158" s="7" t="s">
        <v>61</v>
      </c>
      <c r="K158" s="7" t="b">
        <v>0</v>
      </c>
      <c r="L158" s="7" t="b">
        <v>1</v>
      </c>
    </row>
    <row r="159">
      <c r="B159" s="7" t="s">
        <v>930</v>
      </c>
      <c r="C159" s="70" t="str">
        <f>IFERROR(VLOOKUP(B159,'Master data'!$A$1:$F$429,2,FALSE),"")</f>
        <v>B001-166</v>
      </c>
      <c r="D159" s="70" t="str">
        <f>IFERROR(VLOOKUP(B159,'Master data'!$A$1:$F$429,6,FALSE),"")</f>
        <v>bahan baku</v>
      </c>
      <c r="E159" s="71">
        <v>31.0</v>
      </c>
      <c r="F159" s="70" t="s">
        <v>20</v>
      </c>
      <c r="G159" s="99" t="s">
        <v>1370</v>
      </c>
      <c r="I159" s="7" t="s">
        <v>1542</v>
      </c>
      <c r="J159" s="7" t="s">
        <v>61</v>
      </c>
      <c r="K159" s="7" t="b">
        <v>0</v>
      </c>
      <c r="L159" s="7" t="b">
        <v>1</v>
      </c>
    </row>
    <row r="160">
      <c r="B160" s="7" t="s">
        <v>28</v>
      </c>
      <c r="C160" s="70" t="str">
        <f>IFERROR(VLOOKUP(B160,'Master data'!$A$1:$F$429,2,FALSE),"")</f>
        <v>B001-006</v>
      </c>
      <c r="D160" s="70" t="str">
        <f>IFERROR(VLOOKUP(B160,'Master data'!$A$1:$F$429,6,FALSE),"")</f>
        <v>bahan baku</v>
      </c>
      <c r="E160" s="71">
        <v>6.0</v>
      </c>
      <c r="F160" s="70" t="str">
        <f>IFERROR(VLOOKUP(B160,'Master data'!$A$1:$F$429,3,FALSE),"")</f>
        <v>GR</v>
      </c>
      <c r="G160" s="99" t="s">
        <v>1370</v>
      </c>
      <c r="I160" s="7" t="s">
        <v>1542</v>
      </c>
      <c r="J160" s="7" t="s">
        <v>61</v>
      </c>
      <c r="K160" s="7" t="b">
        <v>0</v>
      </c>
      <c r="L160" s="7" t="b">
        <v>1</v>
      </c>
    </row>
    <row r="161">
      <c r="B161" s="7" t="s">
        <v>640</v>
      </c>
      <c r="C161" s="70" t="str">
        <f>IFERROR(VLOOKUP(B161,'Master data'!$A$1:$F$429,2,FALSE),"")</f>
        <v>P004-016</v>
      </c>
      <c r="D161" s="70" t="str">
        <f>IFERROR(VLOOKUP(B161,'Master data'!$A$1:$F$429,6,FALSE),"")</f>
        <v>barang jadi &amp; bahan baku</v>
      </c>
      <c r="E161" s="71">
        <v>100.0</v>
      </c>
      <c r="F161" s="70" t="s">
        <v>20</v>
      </c>
      <c r="G161" s="99" t="s">
        <v>1164</v>
      </c>
      <c r="I161" s="7" t="s">
        <v>1542</v>
      </c>
      <c r="J161" s="7" t="s">
        <v>1561</v>
      </c>
      <c r="K161" s="7" t="b">
        <v>0</v>
      </c>
      <c r="L161" s="7" t="b">
        <v>1</v>
      </c>
    </row>
    <row r="162">
      <c r="B162" s="7" t="s">
        <v>33</v>
      </c>
      <c r="C162" s="70" t="str">
        <f>IFERROR(VLOOKUP(B162,'Master data'!$A$1:$F$429,2,FALSE),"")</f>
        <v>B001-008</v>
      </c>
      <c r="D162" s="70" t="str">
        <f>IFERROR(VLOOKUP(B162,'Master data'!$A$1:$F$429,6,FALSE),"")</f>
        <v>bahan baku</v>
      </c>
      <c r="E162" s="71">
        <f>610/1.56</f>
        <v>391.025641</v>
      </c>
      <c r="F162" s="70" t="str">
        <f>IFERROR(VLOOKUP(B162,'Master data'!$A$1:$F$429,3,FALSE),"")</f>
        <v>GR</v>
      </c>
      <c r="G162" s="99" t="s">
        <v>1827</v>
      </c>
      <c r="H162" s="69" t="s">
        <v>1225</v>
      </c>
      <c r="I162" s="7" t="s">
        <v>1548</v>
      </c>
      <c r="J162" s="7" t="s">
        <v>1561</v>
      </c>
      <c r="K162" s="7" t="b">
        <v>0</v>
      </c>
      <c r="L162" s="7" t="b">
        <v>1</v>
      </c>
    </row>
    <row r="163">
      <c r="B163" s="7" t="s">
        <v>129</v>
      </c>
      <c r="C163" s="70" t="str">
        <f>IFERROR(VLOOKUP(B163,'Master data'!$A$1:$F$429,2,FALSE),"")</f>
        <v>B001-056</v>
      </c>
      <c r="D163" s="70" t="str">
        <f>IFERROR(VLOOKUP(B163,'Master data'!$A$1:$F$429,6,FALSE),"")</f>
        <v>bahan baku</v>
      </c>
      <c r="E163" s="71">
        <v>4.0</v>
      </c>
      <c r="F163" s="70" t="str">
        <f>IFERROR(VLOOKUP(B163,'Master data'!$A$1:$F$429,3,FALSE),"")</f>
        <v>ML</v>
      </c>
      <c r="G163" s="99" t="s">
        <v>1827</v>
      </c>
      <c r="I163" s="7" t="s">
        <v>1548</v>
      </c>
      <c r="J163" s="7" t="s">
        <v>1561</v>
      </c>
      <c r="K163" s="7" t="b">
        <v>0</v>
      </c>
      <c r="L163" s="7" t="b">
        <v>1</v>
      </c>
    </row>
    <row r="164">
      <c r="B164" s="7" t="s">
        <v>211</v>
      </c>
      <c r="C164" s="70" t="str">
        <f>IFERROR(VLOOKUP(B164,'Master data'!$A$1:$F$429,2,FALSE),"")</f>
        <v>B001-088</v>
      </c>
      <c r="D164" s="70" t="str">
        <f>IFERROR(VLOOKUP(B164,'Master data'!$A$1:$F$429,6,FALSE),"")</f>
        <v>bahan baku</v>
      </c>
      <c r="E164" s="71">
        <v>2365.0</v>
      </c>
      <c r="F164" s="70" t="str">
        <f>IFERROR(VLOOKUP(B164,'Master data'!$A$1:$F$429,3,FALSE),"")</f>
        <v>GR</v>
      </c>
      <c r="G164" s="99" t="s">
        <v>1520</v>
      </c>
      <c r="H164" s="69" t="s">
        <v>1567</v>
      </c>
      <c r="I164" s="7" t="s">
        <v>1556</v>
      </c>
      <c r="J164" s="7" t="s">
        <v>61</v>
      </c>
      <c r="K164" s="7" t="b">
        <v>0</v>
      </c>
      <c r="L164" s="7" t="b">
        <v>1</v>
      </c>
    </row>
    <row r="165">
      <c r="B165" s="7" t="s">
        <v>660</v>
      </c>
      <c r="C165" s="70" t="str">
        <f>IFERROR(VLOOKUP(B165,'Master data'!$A$1:$F$429,2,FALSE),"")</f>
        <v>P004-024</v>
      </c>
      <c r="D165" s="70" t="str">
        <f>IFERROR(VLOOKUP(B165,'Master data'!$A$1:$F$429,6,FALSE),"")</f>
        <v>barang jadi &amp; bahan baku</v>
      </c>
      <c r="E165" s="71">
        <v>317.0</v>
      </c>
      <c r="F165" s="70" t="str">
        <f>IFERROR(VLOOKUP(B165,'Master data'!$A$1:$F$429,3,FALSE),"")</f>
        <v>ML</v>
      </c>
      <c r="G165" s="99" t="s">
        <v>1216</v>
      </c>
      <c r="H165" s="69" t="s">
        <v>1789</v>
      </c>
      <c r="I165" s="7" t="s">
        <v>1552</v>
      </c>
      <c r="J165" s="7" t="s">
        <v>1561</v>
      </c>
      <c r="K165" s="7" t="b">
        <v>0</v>
      </c>
      <c r="L165" s="7" t="b">
        <v>1</v>
      </c>
    </row>
    <row r="166">
      <c r="B166" s="7" t="s">
        <v>653</v>
      </c>
      <c r="C166" s="70" t="str">
        <f>IFERROR(VLOOKUP(B166,'Master data'!$A$1:$F$429,2,FALSE),"")</f>
        <v>P004-022</v>
      </c>
      <c r="D166" s="70" t="str">
        <f>IFERROR(VLOOKUP(B166,'Master data'!$A$1:$F$429,6,FALSE),"")</f>
        <v>barang jadi &amp; bahan baku</v>
      </c>
      <c r="E166" s="71">
        <v>812.0</v>
      </c>
      <c r="F166" s="70" t="str">
        <f>IFERROR(VLOOKUP(B166,'Master data'!$A$1:$F$429,3,FALSE),"")</f>
        <v>GR</v>
      </c>
      <c r="G166" s="99" t="s">
        <v>1216</v>
      </c>
      <c r="I166" s="7" t="s">
        <v>1552</v>
      </c>
      <c r="J166" s="7" t="s">
        <v>1561</v>
      </c>
      <c r="K166" s="7" t="b">
        <v>0</v>
      </c>
      <c r="L166" s="7" t="b">
        <v>1</v>
      </c>
    </row>
    <row r="167">
      <c r="A167" s="69">
        <v>18.0</v>
      </c>
      <c r="B167" s="7" t="s">
        <v>930</v>
      </c>
      <c r="C167" s="70" t="str">
        <f>IFERROR(VLOOKUP(B167,'Master data'!$A$1:$F$429,2,FALSE),"")</f>
        <v>B001-166</v>
      </c>
      <c r="D167" s="70" t="str">
        <f>IFERROR(VLOOKUP(B167,'Master data'!$A$1:$F$429,6,FALSE),"")</f>
        <v>bahan baku</v>
      </c>
      <c r="E167" s="71">
        <v>41.0</v>
      </c>
      <c r="F167" s="70" t="s">
        <v>20</v>
      </c>
      <c r="G167" s="99" t="s">
        <v>1828</v>
      </c>
      <c r="H167" s="69" t="s">
        <v>1225</v>
      </c>
      <c r="I167" s="7" t="s">
        <v>1548</v>
      </c>
      <c r="J167" s="7" t="s">
        <v>61</v>
      </c>
      <c r="K167" s="7" t="b">
        <v>0</v>
      </c>
      <c r="L167" s="7" t="b">
        <v>1</v>
      </c>
    </row>
    <row r="168">
      <c r="B168" s="7" t="s">
        <v>918</v>
      </c>
      <c r="C168" s="70" t="str">
        <f>IFERROR(VLOOKUP(B168,'Master data'!$A$1:$F$429,2,FALSE),"")</f>
        <v>B001-162</v>
      </c>
      <c r="D168" s="70" t="str">
        <f>IFERROR(VLOOKUP(B168,'Master data'!$A$1:$F$429,6,FALSE),"")</f>
        <v>bahan baku</v>
      </c>
      <c r="E168" s="71">
        <v>76.0</v>
      </c>
      <c r="F168" s="70" t="s">
        <v>20</v>
      </c>
      <c r="G168" s="99" t="s">
        <v>1224</v>
      </c>
      <c r="I168" s="7" t="s">
        <v>1548</v>
      </c>
      <c r="J168" s="7" t="s">
        <v>1561</v>
      </c>
      <c r="K168" s="7" t="b">
        <v>0</v>
      </c>
      <c r="L168" s="7" t="b">
        <v>1</v>
      </c>
    </row>
    <row r="169">
      <c r="B169" s="7" t="s">
        <v>851</v>
      </c>
      <c r="C169" s="70" t="str">
        <f>IFERROR(VLOOKUP(B169,'Master data'!$A$1:$F$429,2,FALSE),"")</f>
        <v>B001-137</v>
      </c>
      <c r="D169" s="70" t="str">
        <f>IFERROR(VLOOKUP(B169,'Master data'!$A$1:$F$429,6,FALSE),"")</f>
        <v>bahan baku</v>
      </c>
      <c r="E169" s="71">
        <v>2.0</v>
      </c>
      <c r="F169" s="70" t="str">
        <f>IFERROR(VLOOKUP(B169,'Master data'!$A$1:$F$429,3,FALSE),"")</f>
        <v>PCS</v>
      </c>
      <c r="G169" s="99" t="s">
        <v>1402</v>
      </c>
      <c r="H169" s="69" t="s">
        <v>1305</v>
      </c>
      <c r="I169" s="7" t="s">
        <v>1542</v>
      </c>
      <c r="J169" s="7" t="s">
        <v>1561</v>
      </c>
      <c r="K169" s="7" t="b">
        <v>0</v>
      </c>
      <c r="L169" s="7" t="b">
        <v>1</v>
      </c>
    </row>
    <row r="170">
      <c r="B170" s="7" t="s">
        <v>28</v>
      </c>
      <c r="C170" s="70" t="str">
        <f>IFERROR(VLOOKUP(B170,'Master data'!$A$1:$F$429,2,FALSE),"")</f>
        <v>B001-006</v>
      </c>
      <c r="D170" s="70" t="str">
        <f>IFERROR(VLOOKUP(B170,'Master data'!$A$1:$F$429,6,FALSE),"")</f>
        <v>bahan baku</v>
      </c>
      <c r="E170" s="71">
        <v>15.0</v>
      </c>
      <c r="F170" s="70" t="str">
        <f>IFERROR(VLOOKUP(B170,'Master data'!$A$1:$F$429,3,FALSE),"")</f>
        <v>GR</v>
      </c>
      <c r="G170" s="99" t="s">
        <v>1370</v>
      </c>
      <c r="I170" s="7" t="s">
        <v>1542</v>
      </c>
      <c r="J170" s="7" t="s">
        <v>61</v>
      </c>
      <c r="K170" s="7" t="b">
        <v>0</v>
      </c>
      <c r="L170" s="7" t="b">
        <v>1</v>
      </c>
    </row>
    <row r="171">
      <c r="B171" s="7" t="s">
        <v>211</v>
      </c>
      <c r="C171" s="70" t="str">
        <f>IFERROR(VLOOKUP(B171,'Master data'!$A$1:$F$429,2,FALSE),"")</f>
        <v>B001-088</v>
      </c>
      <c r="D171" s="70" t="str">
        <f>IFERROR(VLOOKUP(B171,'Master data'!$A$1:$F$429,6,FALSE),"")</f>
        <v>bahan baku</v>
      </c>
      <c r="E171" s="71">
        <v>4100.0</v>
      </c>
      <c r="F171" s="70" t="str">
        <f>IFERROR(VLOOKUP(B171,'Master data'!$A$1:$F$429,3,FALSE),"")</f>
        <v>GR</v>
      </c>
      <c r="G171" s="99" t="s">
        <v>1475</v>
      </c>
      <c r="H171" s="69" t="s">
        <v>1567</v>
      </c>
      <c r="I171" s="7" t="s">
        <v>1556</v>
      </c>
      <c r="J171" s="7" t="s">
        <v>61</v>
      </c>
      <c r="K171" s="7" t="b">
        <v>0</v>
      </c>
      <c r="L171" s="7" t="b">
        <v>1</v>
      </c>
    </row>
    <row r="172">
      <c r="B172" s="7" t="s">
        <v>664</v>
      </c>
      <c r="C172" s="70" t="str">
        <f>IFERROR(VLOOKUP(B172,'Master data'!$A$1:$F$429,2,FALSE),"")</f>
        <v>P004-025</v>
      </c>
      <c r="D172" s="70" t="str">
        <f>IFERROR(VLOOKUP(B172,'Master data'!$A$1:$F$429,6,FALSE),"")</f>
        <v>barang jadi &amp; bahan baku</v>
      </c>
      <c r="E172" s="71">
        <v>216.0</v>
      </c>
      <c r="F172" s="70" t="s">
        <v>78</v>
      </c>
      <c r="G172" s="99" t="s">
        <v>1216</v>
      </c>
      <c r="H172" s="69" t="s">
        <v>1512</v>
      </c>
      <c r="I172" s="7" t="s">
        <v>1552</v>
      </c>
      <c r="J172" s="7" t="s">
        <v>1561</v>
      </c>
      <c r="K172" s="7" t="b">
        <v>0</v>
      </c>
      <c r="L172" s="7" t="b">
        <v>1</v>
      </c>
    </row>
    <row r="173">
      <c r="B173" s="7" t="s">
        <v>653</v>
      </c>
      <c r="C173" s="70" t="str">
        <f>IFERROR(VLOOKUP(B173,'Master data'!$A$1:$F$429,2,FALSE),"")</f>
        <v>P004-022</v>
      </c>
      <c r="D173" s="70" t="str">
        <f>IFERROR(VLOOKUP(B173,'Master data'!$A$1:$F$429,6,FALSE),"")</f>
        <v>barang jadi &amp; bahan baku</v>
      </c>
      <c r="E173" s="71">
        <v>8.0</v>
      </c>
      <c r="F173" s="70" t="str">
        <f>IFERROR(VLOOKUP(B173,'Master data'!$A$1:$F$429,3,FALSE),"")</f>
        <v>GR</v>
      </c>
      <c r="G173" s="99" t="s">
        <v>1216</v>
      </c>
      <c r="I173" s="7" t="s">
        <v>1552</v>
      </c>
      <c r="J173" s="7" t="s">
        <v>1561</v>
      </c>
      <c r="K173" s="7" t="b">
        <v>0</v>
      </c>
      <c r="L173" s="7" t="b">
        <v>1</v>
      </c>
    </row>
    <row r="174">
      <c r="B174" s="7" t="s">
        <v>657</v>
      </c>
      <c r="C174" s="70" t="str">
        <f>IFERROR(VLOOKUP(B174,'Master data'!$A$1:$F$429,2,FALSE),"")</f>
        <v>P004-023</v>
      </c>
      <c r="D174" s="70" t="str">
        <f>IFERROR(VLOOKUP(B174,'Master data'!$A$1:$F$429,6,FALSE),"")</f>
        <v>barang jadi &amp; bahan baku</v>
      </c>
      <c r="E174" s="71">
        <v>540.0</v>
      </c>
      <c r="F174" s="70" t="str">
        <f>IFERROR(VLOOKUP(B174,'Master data'!$A$1:$F$429,3,FALSE),"")</f>
        <v>GR</v>
      </c>
      <c r="G174" s="99" t="s">
        <v>1216</v>
      </c>
      <c r="I174" s="7" t="s">
        <v>1552</v>
      </c>
      <c r="J174" s="7" t="s">
        <v>1561</v>
      </c>
      <c r="K174" s="7" t="b">
        <v>0</v>
      </c>
      <c r="L174" s="7" t="b">
        <v>1</v>
      </c>
    </row>
    <row r="175">
      <c r="B175" s="7" t="s">
        <v>698</v>
      </c>
      <c r="C175" s="70" t="str">
        <f>IFERROR(VLOOKUP(B175,'Master data'!$A$1:$F$429,2,FALSE),"")</f>
        <v>P004-038</v>
      </c>
      <c r="D175" s="70" t="str">
        <f>IFERROR(VLOOKUP(B175,'Master data'!$A$1:$F$429,6,FALSE),"")</f>
        <v>barang jadi &amp; bahan baku</v>
      </c>
      <c r="E175" s="71">
        <v>1.0</v>
      </c>
      <c r="F175" s="70" t="str">
        <f>IFERROR(VLOOKUP(B175,'Master data'!$A$1:$F$429,3,FALSE),"")</f>
        <v>PRS</v>
      </c>
      <c r="G175" s="86" t="s">
        <v>1829</v>
      </c>
      <c r="H175" s="69" t="s">
        <v>1814</v>
      </c>
      <c r="I175" s="7" t="s">
        <v>1548</v>
      </c>
      <c r="J175" s="7" t="s">
        <v>817</v>
      </c>
      <c r="K175" s="7" t="b">
        <v>0</v>
      </c>
      <c r="L175" s="7" t="b">
        <v>1</v>
      </c>
    </row>
    <row r="176">
      <c r="B176" s="7" t="s">
        <v>923</v>
      </c>
      <c r="C176" s="70" t="str">
        <f>IFERROR(VLOOKUP(B176,'Master data'!$A$1:$F$429,2,FALSE),"")</f>
        <v>B001-164</v>
      </c>
      <c r="D176" s="70" t="str">
        <f>IFERROR(VLOOKUP(B176,'Master data'!$A$1:$F$429,6,FALSE),"")</f>
        <v>bahan baku</v>
      </c>
      <c r="E176" s="71">
        <v>1.0</v>
      </c>
      <c r="F176" s="70" t="str">
        <f>IFERROR(VLOOKUP(B176,'Master data'!$A$1:$F$429,3,FALSE),"")</f>
        <v>PCS</v>
      </c>
      <c r="I176" s="7" t="s">
        <v>1548</v>
      </c>
      <c r="J176" s="7" t="s">
        <v>817</v>
      </c>
      <c r="K176" s="7" t="b">
        <v>0</v>
      </c>
      <c r="L176" s="7" t="b">
        <v>1</v>
      </c>
    </row>
    <row r="177">
      <c r="B177" s="7" t="s">
        <v>298</v>
      </c>
      <c r="C177" s="70" t="str">
        <f>IFERROR(VLOOKUP(B177,'Master data'!$A$1:$F$429,2,FALSE),"")</f>
        <v>B001-125</v>
      </c>
      <c r="D177" s="70" t="str">
        <f>IFERROR(VLOOKUP(B177,'Master data'!$A$1:$F$429,6,FALSE),"")</f>
        <v>bahan baku</v>
      </c>
      <c r="E177" s="71">
        <v>20.0</v>
      </c>
      <c r="F177" s="70" t="str">
        <f>IFERROR(VLOOKUP(B177,'Master data'!$A$1:$F$429,3,FALSE),"")</f>
        <v>GR</v>
      </c>
      <c r="I177" s="7" t="s">
        <v>1548</v>
      </c>
      <c r="J177" s="7" t="s">
        <v>817</v>
      </c>
      <c r="K177" s="7" t="b">
        <v>0</v>
      </c>
      <c r="L177" s="7" t="b">
        <v>1</v>
      </c>
    </row>
    <row r="178">
      <c r="B178" s="7" t="s">
        <v>918</v>
      </c>
      <c r="C178" s="70" t="str">
        <f>IFERROR(VLOOKUP(B178,'Master data'!$A$1:$F$429,2,FALSE),"")</f>
        <v>B001-162</v>
      </c>
      <c r="D178" s="70" t="str">
        <f>IFERROR(VLOOKUP(B178,'Master data'!$A$1:$F$429,6,FALSE),"")</f>
        <v>bahan baku</v>
      </c>
      <c r="E178" s="71">
        <v>20.0</v>
      </c>
      <c r="F178" s="70" t="s">
        <v>20</v>
      </c>
      <c r="I178" s="7" t="s">
        <v>1548</v>
      </c>
      <c r="J178" s="7" t="s">
        <v>817</v>
      </c>
      <c r="K178" s="7" t="b">
        <v>0</v>
      </c>
      <c r="L178" s="7" t="b">
        <v>1</v>
      </c>
    </row>
    <row r="179">
      <c r="B179" s="7" t="s">
        <v>1285</v>
      </c>
      <c r="C179" s="70" t="str">
        <f>IFERROR(VLOOKUP(B179,'Master data'!$A$1:$F$429,2,FALSE),"")</f>
        <v>P004-053</v>
      </c>
      <c r="D179" s="70" t="str">
        <f>IFERROR(VLOOKUP(B179,'Master data'!$A$1:$F$429,6,FALSE),"")</f>
        <v>barang jadi &amp; bahan baku</v>
      </c>
      <c r="E179" s="71">
        <v>30.0</v>
      </c>
      <c r="F179" s="70" t="s">
        <v>20</v>
      </c>
      <c r="I179" s="7" t="s">
        <v>1548</v>
      </c>
      <c r="J179" s="7" t="s">
        <v>817</v>
      </c>
      <c r="K179" s="7" t="b">
        <v>0</v>
      </c>
      <c r="L179" s="7" t="b">
        <v>1</v>
      </c>
    </row>
    <row r="180">
      <c r="B180" s="7" t="s">
        <v>197</v>
      </c>
      <c r="C180" s="70" t="str">
        <f>IFERROR(VLOOKUP(B180,'Master data'!$A$1:$F$429,2,FALSE),"")</f>
        <v>B001-082</v>
      </c>
      <c r="D180" s="70" t="str">
        <f>IFERROR(VLOOKUP(B180,'Master data'!$A$1:$F$429,6,FALSE),"")</f>
        <v>bahan baku</v>
      </c>
      <c r="E180" s="71">
        <v>140.0</v>
      </c>
      <c r="F180" s="70" t="str">
        <f>IFERROR(VLOOKUP(B180,'Master data'!$A$1:$F$429,3,FALSE),"")</f>
        <v>ML</v>
      </c>
      <c r="G180" s="86" t="s">
        <v>1830</v>
      </c>
      <c r="I180" s="7" t="s">
        <v>1552</v>
      </c>
      <c r="J180" s="7" t="s">
        <v>817</v>
      </c>
      <c r="K180" s="7" t="b">
        <v>0</v>
      </c>
      <c r="L180" s="7" t="b">
        <v>1</v>
      </c>
    </row>
    <row r="181">
      <c r="B181" s="7" t="s">
        <v>36</v>
      </c>
      <c r="C181" s="70" t="str">
        <f>IFERROR(VLOOKUP(B181,'Master data'!$A$1:$F$429,2,FALSE),"")</f>
        <v>B001-009</v>
      </c>
      <c r="D181" s="70" t="str">
        <f>IFERROR(VLOOKUP(B181,'Master data'!$A$1:$F$429,6,FALSE),"")</f>
        <v>bahan baku</v>
      </c>
      <c r="E181" s="71">
        <v>26.0</v>
      </c>
      <c r="F181" s="70" t="str">
        <f>IFERROR(VLOOKUP(B181,'Master data'!$A$1:$F$429,3,FALSE),"")</f>
        <v>GR</v>
      </c>
      <c r="I181" s="7" t="s">
        <v>1552</v>
      </c>
      <c r="J181" s="7" t="s">
        <v>817</v>
      </c>
      <c r="K181" s="7" t="b">
        <v>0</v>
      </c>
      <c r="L181" s="7" t="b">
        <v>1</v>
      </c>
    </row>
    <row r="182">
      <c r="B182" s="7" t="s">
        <v>939</v>
      </c>
      <c r="C182" s="70" t="str">
        <f>IFERROR(VLOOKUP(B182,'Master data'!$A$1:$F$429,2,FALSE),"")</f>
        <v>B001-171</v>
      </c>
      <c r="D182" s="70" t="str">
        <f>IFERROR(VLOOKUP(B182,'Master data'!$A$1:$F$429,6,FALSE),"")</f>
        <v>bahan baku</v>
      </c>
      <c r="E182" s="71">
        <v>100.0</v>
      </c>
      <c r="F182" s="70" t="s">
        <v>20</v>
      </c>
      <c r="G182" s="86" t="s">
        <v>1831</v>
      </c>
      <c r="I182" s="7" t="s">
        <v>1552</v>
      </c>
      <c r="J182" s="7" t="s">
        <v>817</v>
      </c>
      <c r="K182" s="7" t="b">
        <v>0</v>
      </c>
      <c r="L182" s="7" t="b">
        <v>1</v>
      </c>
    </row>
    <row r="183">
      <c r="B183" s="69" t="s">
        <v>1832</v>
      </c>
      <c r="C183" s="70" t="str">
        <f>IFERROR(VLOOKUP(B183,'Master data'!$A$1:$F$429,2,FALSE),"")</f>
        <v/>
      </c>
      <c r="D183" s="70" t="str">
        <f>IFERROR(VLOOKUP(B183,'Master data'!$A$1:$F$429,6,FALSE),"")</f>
        <v/>
      </c>
      <c r="E183" s="71">
        <v>1.0</v>
      </c>
      <c r="F183" s="70" t="s">
        <v>25</v>
      </c>
      <c r="I183" s="7" t="s">
        <v>1552</v>
      </c>
      <c r="J183" s="7" t="s">
        <v>817</v>
      </c>
      <c r="K183" s="7" t="b">
        <v>0</v>
      </c>
      <c r="L183" s="7" t="b">
        <v>1</v>
      </c>
    </row>
    <row r="184">
      <c r="B184" s="7" t="s">
        <v>111</v>
      </c>
      <c r="C184" s="70" t="str">
        <f>IFERROR(VLOOKUP(B184,'Master data'!$A$1:$F$429,2,FALSE),"")</f>
        <v>B001-047</v>
      </c>
      <c r="D184" s="70" t="str">
        <f>IFERROR(VLOOKUP(B184,'Master data'!$A$1:$F$429,6,FALSE),"")</f>
        <v>bahan baku</v>
      </c>
      <c r="E184" s="71">
        <v>5.0</v>
      </c>
      <c r="F184" s="70" t="str">
        <f>IFERROR(VLOOKUP(B184,'Master data'!$A$1:$F$429,3,FALSE),"")</f>
        <v>GR</v>
      </c>
      <c r="I184" s="7" t="s">
        <v>1552</v>
      </c>
      <c r="J184" s="7" t="s">
        <v>817</v>
      </c>
      <c r="K184" s="7" t="b">
        <v>0</v>
      </c>
      <c r="L184" s="7" t="b">
        <v>1</v>
      </c>
    </row>
    <row r="185">
      <c r="A185" s="69">
        <v>19.0</v>
      </c>
      <c r="B185" s="7" t="s">
        <v>651</v>
      </c>
      <c r="C185" s="70" t="str">
        <f>IFERROR(VLOOKUP(B185,'Master data'!$A$1:$F$429,2,FALSE),"")</f>
        <v>P004-021</v>
      </c>
      <c r="D185" s="70" t="str">
        <f>IFERROR(VLOOKUP(B185,'Master data'!$A$1:$F$429,6,FALSE),"")</f>
        <v>barang jadi &amp; bahan baku</v>
      </c>
      <c r="E185" s="71">
        <v>1.0</v>
      </c>
      <c r="F185" s="70" t="str">
        <f>IFERROR(VLOOKUP(B185,'Master data'!$A$1:$F$429,3,FALSE),"")</f>
        <v>PRS</v>
      </c>
      <c r="G185" s="86" t="s">
        <v>1833</v>
      </c>
      <c r="I185" s="7" t="s">
        <v>1542</v>
      </c>
      <c r="J185" s="7" t="s">
        <v>817</v>
      </c>
      <c r="K185" s="7" t="b">
        <v>0</v>
      </c>
      <c r="L185" s="7" t="b">
        <v>1</v>
      </c>
    </row>
    <row r="186">
      <c r="B186" s="7" t="s">
        <v>129</v>
      </c>
      <c r="C186" s="70" t="str">
        <f>IFERROR(VLOOKUP(B186,'Master data'!$A$1:$F$429,2,FALSE),"")</f>
        <v>B001-056</v>
      </c>
      <c r="D186" s="70" t="str">
        <f>IFERROR(VLOOKUP(B186,'Master data'!$A$1:$F$429,6,FALSE),"")</f>
        <v>bahan baku</v>
      </c>
      <c r="E186" s="71">
        <v>15.0</v>
      </c>
      <c r="F186" s="70" t="str">
        <f>IFERROR(VLOOKUP(B186,'Master data'!$A$1:$F$429,3,FALSE),"")</f>
        <v>ML</v>
      </c>
      <c r="I186" s="7" t="s">
        <v>1542</v>
      </c>
      <c r="J186" s="7" t="s">
        <v>817</v>
      </c>
      <c r="K186" s="7" t="b">
        <v>0</v>
      </c>
      <c r="L186" s="7" t="b">
        <v>1</v>
      </c>
    </row>
    <row r="187">
      <c r="B187" s="7" t="s">
        <v>892</v>
      </c>
      <c r="C187" s="70" t="str">
        <f>IFERROR(VLOOKUP(B187,'Master data'!$A$1:$F$429,2,FALSE),"")</f>
        <v>B001-150</v>
      </c>
      <c r="D187" s="70" t="str">
        <f>IFERROR(VLOOKUP(B187,'Master data'!$A$1:$F$429,6,FALSE),"")</f>
        <v>bahan baku</v>
      </c>
      <c r="E187" s="71">
        <v>20.0</v>
      </c>
      <c r="F187" s="70" t="str">
        <f>IFERROR(VLOOKUP(B187,'Master data'!$A$1:$F$429,3,FALSE),"")</f>
        <v>GR</v>
      </c>
      <c r="I187" s="7" t="s">
        <v>1542</v>
      </c>
      <c r="J187" s="7" t="s">
        <v>817</v>
      </c>
      <c r="K187" s="7" t="b">
        <v>0</v>
      </c>
      <c r="L187" s="7" t="b">
        <v>1</v>
      </c>
    </row>
    <row r="188">
      <c r="B188" s="7" t="s">
        <v>50</v>
      </c>
      <c r="C188" s="70" t="str">
        <f>IFERROR(VLOOKUP(B188,'Master data'!$A$1:$F$429,2,FALSE),"")</f>
        <v>B001-017</v>
      </c>
      <c r="D188" s="70" t="str">
        <f>IFERROR(VLOOKUP(B188,'Master data'!$A$1:$F$429,6,FALSE),"")</f>
        <v>bahan baku</v>
      </c>
      <c r="E188" s="71">
        <v>10.0</v>
      </c>
      <c r="F188" s="70" t="str">
        <f>IFERROR(VLOOKUP(B188,'Master data'!$A$1:$F$429,3,FALSE),"")</f>
        <v>GR</v>
      </c>
      <c r="I188" s="7" t="s">
        <v>1542</v>
      </c>
      <c r="J188" s="7" t="s">
        <v>817</v>
      </c>
      <c r="K188" s="7" t="b">
        <v>0</v>
      </c>
      <c r="L188" s="7" t="b">
        <v>1</v>
      </c>
    </row>
    <row r="189">
      <c r="B189" s="7" t="s">
        <v>118</v>
      </c>
      <c r="C189" s="70" t="str">
        <f>IFERROR(VLOOKUP(B189,'Master data'!$A$1:$F$429,2,FALSE),"")</f>
        <v>B001-007</v>
      </c>
      <c r="D189" s="70" t="str">
        <f>IFERROR(VLOOKUP(B189,'Master data'!$A$1:$F$429,6,FALSE),"")</f>
        <v>bahan baku</v>
      </c>
      <c r="E189" s="71">
        <v>10.0</v>
      </c>
      <c r="F189" s="70" t="str">
        <f>IFERROR(VLOOKUP(B189,'Master data'!$A$1:$F$429,3,FALSE),"")</f>
        <v>GR</v>
      </c>
      <c r="I189" s="7" t="s">
        <v>1542</v>
      </c>
      <c r="J189" s="7" t="s">
        <v>817</v>
      </c>
      <c r="K189" s="7" t="b">
        <v>0</v>
      </c>
      <c r="L189" s="7" t="b">
        <v>1</v>
      </c>
    </row>
    <row r="190">
      <c r="B190" s="7" t="s">
        <v>935</v>
      </c>
      <c r="C190" s="70" t="str">
        <f>IFERROR(VLOOKUP(B190,'Master data'!$A$1:$F$429,2,FALSE),"")</f>
        <v>B001-169</v>
      </c>
      <c r="D190" s="70" t="str">
        <f>IFERROR(VLOOKUP(B190,'Master data'!$A$1:$F$429,6,FALSE),"")</f>
        <v>bahan baku</v>
      </c>
      <c r="E190" s="71">
        <v>5.0</v>
      </c>
      <c r="F190" s="70" t="s">
        <v>20</v>
      </c>
      <c r="I190" s="7" t="s">
        <v>1542</v>
      </c>
      <c r="J190" s="7" t="s">
        <v>817</v>
      </c>
      <c r="K190" s="7" t="b">
        <v>0</v>
      </c>
      <c r="L190" s="7" t="b">
        <v>1</v>
      </c>
    </row>
    <row r="191">
      <c r="B191" s="7" t="s">
        <v>894</v>
      </c>
      <c r="C191" s="70" t="str">
        <f>IFERROR(VLOOKUP(B191,'Master data'!$A$1:$F$429,2,FALSE),"")</f>
        <v>B001-151</v>
      </c>
      <c r="D191" s="70" t="str">
        <f>IFERROR(VLOOKUP(B191,'Master data'!$A$1:$F$429,6,FALSE),"")</f>
        <v>bahan baku</v>
      </c>
      <c r="E191" s="71">
        <v>3.0</v>
      </c>
      <c r="F191" s="70" t="str">
        <f>IFERROR(VLOOKUP(B191,'Master data'!$A$1:$F$429,3,FALSE),"")</f>
        <v>GR</v>
      </c>
      <c r="I191" s="7" t="s">
        <v>1542</v>
      </c>
      <c r="J191" s="7" t="s">
        <v>817</v>
      </c>
      <c r="K191" s="7" t="b">
        <v>0</v>
      </c>
      <c r="L191" s="7" t="b">
        <v>1</v>
      </c>
    </row>
    <row r="192">
      <c r="B192" s="7" t="s">
        <v>923</v>
      </c>
      <c r="C192" s="70" t="str">
        <f>IFERROR(VLOOKUP(B192,'Master data'!$A$1:$F$429,2,FALSE),"")</f>
        <v>B001-164</v>
      </c>
      <c r="D192" s="70" t="str">
        <f>IFERROR(VLOOKUP(B192,'Master data'!$A$1:$F$429,6,FALSE),"")</f>
        <v>bahan baku</v>
      </c>
      <c r="E192" s="71">
        <v>1.0</v>
      </c>
      <c r="F192" s="70" t="str">
        <f>IFERROR(VLOOKUP(B192,'Master data'!$A$1:$F$429,3,FALSE),"")</f>
        <v>PCS</v>
      </c>
      <c r="G192" s="86" t="s">
        <v>1834</v>
      </c>
      <c r="I192" s="7" t="s">
        <v>1542</v>
      </c>
      <c r="J192" s="7" t="s">
        <v>817</v>
      </c>
      <c r="K192" s="7" t="b">
        <v>0</v>
      </c>
      <c r="L192" s="7" t="b">
        <v>1</v>
      </c>
    </row>
    <row r="193">
      <c r="B193" s="7" t="s">
        <v>632</v>
      </c>
      <c r="C193" s="70" t="str">
        <f>IFERROR(VLOOKUP(B193,'Master data'!$A$1:$F$429,2,FALSE),"")</f>
        <v>P004-013</v>
      </c>
      <c r="D193" s="70" t="str">
        <f>IFERROR(VLOOKUP(B193,'Master data'!$A$1:$F$429,6,FALSE),"")</f>
        <v>barang jadi &amp; bahan baku</v>
      </c>
      <c r="E193" s="71">
        <v>160.0</v>
      </c>
      <c r="F193" s="70" t="str">
        <f>IFERROR(VLOOKUP(B193,'Master data'!$A$1:$F$429,3,FALSE),"")</f>
        <v>GR</v>
      </c>
      <c r="I193" s="7" t="s">
        <v>1542</v>
      </c>
      <c r="J193" s="7" t="s">
        <v>817</v>
      </c>
      <c r="K193" s="7" t="b">
        <v>0</v>
      </c>
      <c r="L193" s="7" t="b">
        <v>1</v>
      </c>
    </row>
    <row r="194">
      <c r="B194" s="7" t="s">
        <v>921</v>
      </c>
      <c r="C194" s="70" t="str">
        <f>IFERROR(VLOOKUP(B194,'Master data'!$A$1:$F$429,2,FALSE),"")</f>
        <v>B001-163</v>
      </c>
      <c r="D194" s="70" t="str">
        <f>IFERROR(VLOOKUP(B194,'Master data'!$A$1:$F$429,6,FALSE),"")</f>
        <v>bahan baku</v>
      </c>
      <c r="E194" s="71">
        <v>2.0</v>
      </c>
      <c r="F194" s="70" t="str">
        <f>IFERROR(VLOOKUP(B194,'Master data'!$A$1:$F$429,3,FALSE),"")</f>
        <v>PCS</v>
      </c>
      <c r="I194" s="7" t="s">
        <v>1542</v>
      </c>
      <c r="J194" s="7" t="s">
        <v>817</v>
      </c>
      <c r="K194" s="7" t="b">
        <v>0</v>
      </c>
      <c r="L194" s="7" t="b">
        <v>1</v>
      </c>
    </row>
    <row r="195">
      <c r="B195" s="7" t="s">
        <v>208</v>
      </c>
      <c r="C195" s="70" t="str">
        <f>IFERROR(VLOOKUP(B195,'Master data'!$A$1:$F$429,2,FALSE),"")</f>
        <v>B001-087</v>
      </c>
      <c r="D195" s="70" t="str">
        <f>IFERROR(VLOOKUP(B195,'Master data'!$A$1:$F$429,6,FALSE),"")</f>
        <v>bahan baku</v>
      </c>
      <c r="E195" s="71">
        <v>1.0</v>
      </c>
      <c r="F195" s="70" t="str">
        <f>IFERROR(VLOOKUP(B195,'Master data'!$A$1:$F$429,3,FALSE),"")</f>
        <v>PCS</v>
      </c>
      <c r="I195" s="7" t="s">
        <v>1542</v>
      </c>
      <c r="J195" s="7" t="s">
        <v>817</v>
      </c>
      <c r="K195" s="7" t="b">
        <v>0</v>
      </c>
      <c r="L195" s="7" t="b">
        <v>1</v>
      </c>
    </row>
    <row r="196">
      <c r="B196" s="7" t="s">
        <v>132</v>
      </c>
      <c r="C196" s="70" t="str">
        <f>IFERROR(VLOOKUP(B196,'Master data'!$A$1:$F$429,2,FALSE),"")</f>
        <v>B001-057</v>
      </c>
      <c r="D196" s="70" t="str">
        <f>IFERROR(VLOOKUP(B196,'Master data'!$A$1:$F$429,6,FALSE),"")</f>
        <v>bahan baku</v>
      </c>
      <c r="E196" s="71">
        <v>20.0</v>
      </c>
      <c r="F196" s="70" t="str">
        <f>IFERROR(VLOOKUP(B196,'Master data'!$A$1:$F$429,3,FALSE),"")</f>
        <v>GR</v>
      </c>
      <c r="I196" s="7" t="s">
        <v>1542</v>
      </c>
      <c r="J196" s="7" t="s">
        <v>817</v>
      </c>
      <c r="K196" s="7" t="b">
        <v>0</v>
      </c>
      <c r="L196" s="7" t="b">
        <v>1</v>
      </c>
    </row>
    <row r="197">
      <c r="B197" s="7" t="s">
        <v>1257</v>
      </c>
      <c r="C197" s="70" t="str">
        <f>IFERROR(VLOOKUP(B197,'Master data'!$A$1:$F$429,2,FALSE),"")</f>
        <v>P004-043</v>
      </c>
      <c r="D197" s="70" t="str">
        <f>IFERROR(VLOOKUP(B197,'Master data'!$A$1:$F$429,6,FALSE),"")</f>
        <v>barang jadi &amp; bahan baku</v>
      </c>
      <c r="E197" s="71">
        <v>100.0</v>
      </c>
      <c r="F197" s="70" t="s">
        <v>20</v>
      </c>
      <c r="I197" s="7" t="s">
        <v>1542</v>
      </c>
      <c r="J197" s="7" t="s">
        <v>817</v>
      </c>
      <c r="K197" s="7" t="b">
        <v>0</v>
      </c>
      <c r="L197" s="7" t="b">
        <v>1</v>
      </c>
    </row>
    <row r="198">
      <c r="B198" s="7" t="s">
        <v>28</v>
      </c>
      <c r="C198" s="70" t="str">
        <f>IFERROR(VLOOKUP(B198,'Master data'!$A$1:$F$429,2,FALSE),"")</f>
        <v>B001-006</v>
      </c>
      <c r="D198" s="70" t="str">
        <f>IFERROR(VLOOKUP(B198,'Master data'!$A$1:$F$429,6,FALSE),"")</f>
        <v>bahan baku</v>
      </c>
      <c r="E198" s="71">
        <v>19.0</v>
      </c>
      <c r="F198" s="70" t="str">
        <f>IFERROR(VLOOKUP(B198,'Master data'!$A$1:$F$429,3,FALSE),"")</f>
        <v>GR</v>
      </c>
      <c r="G198" s="99" t="s">
        <v>1370</v>
      </c>
      <c r="H198" s="69" t="s">
        <v>1539</v>
      </c>
      <c r="I198" s="7" t="s">
        <v>1542</v>
      </c>
      <c r="J198" s="7" t="s">
        <v>61</v>
      </c>
      <c r="K198" s="7" t="b">
        <v>0</v>
      </c>
      <c r="L198" s="7" t="b">
        <v>1</v>
      </c>
    </row>
    <row r="199">
      <c r="B199" s="7" t="s">
        <v>298</v>
      </c>
      <c r="C199" s="70" t="str">
        <f>IFERROR(VLOOKUP(B199,'Master data'!$A$1:$F$429,2,FALSE),"")</f>
        <v>B001-125</v>
      </c>
      <c r="D199" s="70" t="str">
        <f>IFERROR(VLOOKUP(B199,'Master data'!$A$1:$F$429,6,FALSE),"")</f>
        <v>bahan baku</v>
      </c>
      <c r="E199" s="71">
        <v>39.0</v>
      </c>
      <c r="F199" s="70" t="str">
        <f>IFERROR(VLOOKUP(B199,'Master data'!$A$1:$F$429,3,FALSE),"")</f>
        <v>GR</v>
      </c>
      <c r="G199" s="99" t="s">
        <v>1370</v>
      </c>
      <c r="I199" s="7" t="s">
        <v>1542</v>
      </c>
      <c r="J199" s="7" t="s">
        <v>61</v>
      </c>
      <c r="K199" s="7" t="b">
        <v>0</v>
      </c>
      <c r="L199" s="7" t="b">
        <v>1</v>
      </c>
    </row>
    <row r="200">
      <c r="B200" s="7" t="s">
        <v>930</v>
      </c>
      <c r="C200" s="70" t="str">
        <f>IFERROR(VLOOKUP(B200,'Master data'!$A$1:$F$429,2,FALSE),"")</f>
        <v>B001-166</v>
      </c>
      <c r="D200" s="70" t="str">
        <f>IFERROR(VLOOKUP(B200,'Master data'!$A$1:$F$429,6,FALSE),"")</f>
        <v>bahan baku</v>
      </c>
      <c r="E200" s="71">
        <v>93.0</v>
      </c>
      <c r="F200" s="70" t="s">
        <v>20</v>
      </c>
      <c r="G200" s="99" t="s">
        <v>1370</v>
      </c>
      <c r="I200" s="7" t="s">
        <v>1542</v>
      </c>
      <c r="J200" s="7" t="s">
        <v>61</v>
      </c>
      <c r="K200" s="7" t="b">
        <v>0</v>
      </c>
      <c r="L200" s="7" t="b">
        <v>1</v>
      </c>
    </row>
    <row r="201">
      <c r="B201" s="7" t="s">
        <v>933</v>
      </c>
      <c r="C201" s="70" t="str">
        <f>IFERROR(VLOOKUP(B201,'Master data'!$A$1:$F$429,2,FALSE),"")</f>
        <v>B001-167</v>
      </c>
      <c r="D201" s="70" t="str">
        <f>IFERROR(VLOOKUP(B201,'Master data'!$A$1:$F$429,6,FALSE),"")</f>
        <v>bahan baku</v>
      </c>
      <c r="E201" s="71">
        <v>66.0</v>
      </c>
      <c r="F201" s="70" t="s">
        <v>20</v>
      </c>
      <c r="G201" s="99" t="s">
        <v>1370</v>
      </c>
      <c r="I201" s="7" t="s">
        <v>1542</v>
      </c>
      <c r="J201" s="7" t="s">
        <v>61</v>
      </c>
      <c r="K201" s="7" t="b">
        <v>0</v>
      </c>
      <c r="L201" s="7" t="b">
        <v>1</v>
      </c>
    </row>
    <row r="202">
      <c r="B202" s="7" t="s">
        <v>664</v>
      </c>
      <c r="C202" s="70" t="str">
        <f>IFERROR(VLOOKUP(B202,'Master data'!$A$1:$F$429,2,FALSE),"")</f>
        <v>P004-025</v>
      </c>
      <c r="D202" s="70" t="str">
        <f>IFERROR(VLOOKUP(B202,'Master data'!$A$1:$F$429,6,FALSE),"")</f>
        <v>barang jadi &amp; bahan baku</v>
      </c>
      <c r="E202" s="71">
        <v>776.0</v>
      </c>
      <c r="F202" s="70" t="s">
        <v>78</v>
      </c>
      <c r="G202" s="99" t="s">
        <v>1216</v>
      </c>
      <c r="H202" s="69" t="s">
        <v>1835</v>
      </c>
      <c r="I202" s="7" t="s">
        <v>1552</v>
      </c>
      <c r="J202" s="7" t="s">
        <v>1561</v>
      </c>
      <c r="K202" s="7" t="b">
        <v>0</v>
      </c>
      <c r="L202" s="7" t="b">
        <v>1</v>
      </c>
    </row>
    <row r="203">
      <c r="B203" s="7" t="s">
        <v>660</v>
      </c>
      <c r="C203" s="70" t="str">
        <f>IFERROR(VLOOKUP(B203,'Master data'!$A$1:$F$429,2,FALSE),"")</f>
        <v>P004-024</v>
      </c>
      <c r="D203" s="70" t="str">
        <f>IFERROR(VLOOKUP(B203,'Master data'!$A$1:$F$429,6,FALSE),"")</f>
        <v>barang jadi &amp; bahan baku</v>
      </c>
      <c r="E203" s="71">
        <v>253.0</v>
      </c>
      <c r="F203" s="70" t="str">
        <f>IFERROR(VLOOKUP(B203,'Master data'!$A$1:$F$429,3,FALSE),"")</f>
        <v>ML</v>
      </c>
      <c r="G203" s="99" t="s">
        <v>1216</v>
      </c>
      <c r="I203" s="7" t="s">
        <v>1552</v>
      </c>
      <c r="J203" s="7" t="s">
        <v>1561</v>
      </c>
      <c r="K203" s="7" t="b">
        <v>0</v>
      </c>
      <c r="L203" s="7" t="b">
        <v>1</v>
      </c>
    </row>
    <row r="204">
      <c r="B204" s="7" t="s">
        <v>211</v>
      </c>
      <c r="C204" s="70" t="str">
        <f>IFERROR(VLOOKUP(B204,'Master data'!$A$1:$F$429,2,FALSE),"")</f>
        <v>B001-088</v>
      </c>
      <c r="D204" s="70" t="str">
        <f>IFERROR(VLOOKUP(B204,'Master data'!$A$1:$F$429,6,FALSE),"")</f>
        <v>bahan baku</v>
      </c>
      <c r="E204" s="71">
        <v>4110.0</v>
      </c>
      <c r="F204" s="70" t="str">
        <f>IFERROR(VLOOKUP(B204,'Master data'!$A$1:$F$429,3,FALSE),"")</f>
        <v>GR</v>
      </c>
      <c r="G204" s="99" t="s">
        <v>1788</v>
      </c>
      <c r="H204" s="69" t="s">
        <v>1567</v>
      </c>
      <c r="I204" s="7" t="s">
        <v>1556</v>
      </c>
      <c r="J204" s="7" t="s">
        <v>61</v>
      </c>
      <c r="K204" s="7" t="b">
        <v>0</v>
      </c>
      <c r="L204" s="7" t="b">
        <v>1</v>
      </c>
    </row>
    <row r="205">
      <c r="B205" s="7" t="s">
        <v>33</v>
      </c>
      <c r="C205" s="70" t="str">
        <f>IFERROR(VLOOKUP(B205,'Master data'!$A$1:$F$429,2,FALSE),"")</f>
        <v>B001-008</v>
      </c>
      <c r="D205" s="70" t="str">
        <f>IFERROR(VLOOKUP(B205,'Master data'!$A$1:$F$429,6,FALSE),"")</f>
        <v>bahan baku</v>
      </c>
      <c r="E205" s="71">
        <f>1495/1.56</f>
        <v>958.3333333</v>
      </c>
      <c r="F205" s="70" t="str">
        <f>IFERROR(VLOOKUP(B205,'Master data'!$A$1:$F$429,3,FALSE),"")</f>
        <v>GR</v>
      </c>
      <c r="G205" s="99" t="s">
        <v>1681</v>
      </c>
      <c r="H205" s="69" t="s">
        <v>1225</v>
      </c>
      <c r="I205" s="7" t="s">
        <v>1548</v>
      </c>
      <c r="J205" s="7" t="s">
        <v>1561</v>
      </c>
      <c r="K205" s="7" t="b">
        <v>0</v>
      </c>
      <c r="L205" s="7" t="b">
        <v>1</v>
      </c>
    </row>
    <row r="206">
      <c r="B206" s="7" t="s">
        <v>129</v>
      </c>
      <c r="C206" s="70" t="str">
        <f>IFERROR(VLOOKUP(B206,'Master data'!$A$1:$F$429,2,FALSE),"")</f>
        <v>B001-056</v>
      </c>
      <c r="D206" s="70" t="str">
        <f>IFERROR(VLOOKUP(B206,'Master data'!$A$1:$F$429,6,FALSE),"")</f>
        <v>bahan baku</v>
      </c>
      <c r="E206" s="71">
        <v>9.0</v>
      </c>
      <c r="F206" s="70" t="str">
        <f>IFERROR(VLOOKUP(B206,'Master data'!$A$1:$F$429,3,FALSE),"")</f>
        <v>ML</v>
      </c>
      <c r="G206" s="99" t="s">
        <v>1681</v>
      </c>
      <c r="I206" s="7" t="s">
        <v>1548</v>
      </c>
      <c r="J206" s="7" t="s">
        <v>1561</v>
      </c>
      <c r="K206" s="7" t="b">
        <v>0</v>
      </c>
      <c r="L206" s="7" t="b">
        <v>1</v>
      </c>
    </row>
    <row r="207">
      <c r="B207" s="7" t="s">
        <v>926</v>
      </c>
      <c r="C207" s="70" t="str">
        <f>IFERROR(VLOOKUP(B207,'Master data'!$A$1:$F$429,2,FALSE),"")</f>
        <v>B001-165</v>
      </c>
      <c r="D207" s="70" t="str">
        <f>IFERROR(VLOOKUP(B207,'Master data'!$A$1:$F$429,6,FALSE),"")</f>
        <v>bahan baku</v>
      </c>
      <c r="E207" s="71">
        <v>80.0</v>
      </c>
      <c r="F207" s="70" t="s">
        <v>20</v>
      </c>
      <c r="G207" s="99" t="s">
        <v>1836</v>
      </c>
      <c r="I207" s="7" t="s">
        <v>1548</v>
      </c>
      <c r="J207" s="7" t="s">
        <v>61</v>
      </c>
      <c r="K207" s="7" t="b">
        <v>0</v>
      </c>
      <c r="L207" s="7" t="b">
        <v>1</v>
      </c>
    </row>
    <row r="208">
      <c r="B208" s="7" t="s">
        <v>28</v>
      </c>
      <c r="C208" s="70" t="str">
        <f>IFERROR(VLOOKUP(B208,'Master data'!$A$1:$F$429,2,FALSE),"")</f>
        <v>B001-006</v>
      </c>
      <c r="D208" s="70" t="str">
        <f>IFERROR(VLOOKUP(B208,'Master data'!$A$1:$F$429,6,FALSE),"")</f>
        <v>bahan baku</v>
      </c>
      <c r="E208" s="71">
        <v>30.0</v>
      </c>
      <c r="F208" s="70" t="str">
        <f>IFERROR(VLOOKUP(B208,'Master data'!$A$1:$F$429,3,FALSE),"")</f>
        <v>GR</v>
      </c>
      <c r="G208" s="99" t="s">
        <v>1370</v>
      </c>
      <c r="H208" s="69" t="s">
        <v>1305</v>
      </c>
      <c r="I208" s="7" t="s">
        <v>1542</v>
      </c>
      <c r="J208" s="7" t="s">
        <v>61</v>
      </c>
      <c r="K208" s="7" t="b">
        <v>0</v>
      </c>
      <c r="L208" s="7" t="b">
        <v>1</v>
      </c>
    </row>
    <row r="209">
      <c r="A209" s="69">
        <v>20.0</v>
      </c>
      <c r="B209" s="7" t="s">
        <v>28</v>
      </c>
      <c r="C209" s="70" t="str">
        <f>IFERROR(VLOOKUP(B209,'Master data'!$A$1:$F$429,2,FALSE),"")</f>
        <v>B001-006</v>
      </c>
      <c r="D209" s="70" t="str">
        <f>IFERROR(VLOOKUP(B209,'Master data'!$A$1:$F$429,6,FALSE),"")</f>
        <v>bahan baku</v>
      </c>
      <c r="E209" s="71">
        <v>12.0</v>
      </c>
      <c r="F209" s="70" t="str">
        <f>IFERROR(VLOOKUP(B209,'Master data'!$A$1:$F$429,3,FALSE),"")</f>
        <v>GR</v>
      </c>
      <c r="G209" s="99" t="s">
        <v>1370</v>
      </c>
      <c r="I209" s="16"/>
      <c r="J209" s="7" t="s">
        <v>61</v>
      </c>
      <c r="K209" s="7" t="b">
        <v>0</v>
      </c>
      <c r="L209" s="7" t="b">
        <v>1</v>
      </c>
    </row>
    <row r="210">
      <c r="B210" s="7" t="s">
        <v>148</v>
      </c>
      <c r="C210" s="70" t="str">
        <f>IFERROR(VLOOKUP(B210,'Master data'!$A$1:$F$429,2,FALSE),"")</f>
        <v>B001-064</v>
      </c>
      <c r="D210" s="70" t="str">
        <f>IFERROR(VLOOKUP(B210,'Master data'!$A$1:$F$429,6,FALSE),"")</f>
        <v>bahan baku</v>
      </c>
      <c r="E210" s="71">
        <v>42.0</v>
      </c>
      <c r="F210" s="70" t="str">
        <f>IFERROR(VLOOKUP(B210,'Master data'!$A$1:$F$429,3,FALSE),"")</f>
        <v>GR</v>
      </c>
      <c r="G210" s="99" t="s">
        <v>1370</v>
      </c>
      <c r="I210" s="16"/>
      <c r="J210" s="7" t="s">
        <v>61</v>
      </c>
      <c r="K210" s="7" t="b">
        <v>0</v>
      </c>
      <c r="L210" s="7" t="b">
        <v>1</v>
      </c>
    </row>
    <row r="211">
      <c r="B211" s="7" t="s">
        <v>36</v>
      </c>
      <c r="C211" s="70" t="str">
        <f>IFERROR(VLOOKUP(B211,'Master data'!$A$1:$F$429,2,FALSE),"")</f>
        <v>B001-009</v>
      </c>
      <c r="D211" s="70" t="str">
        <f>IFERROR(VLOOKUP(B211,'Master data'!$A$1:$F$429,6,FALSE),"")</f>
        <v>bahan baku</v>
      </c>
      <c r="E211" s="71">
        <v>14.0</v>
      </c>
      <c r="F211" s="70" t="str">
        <f>IFERROR(VLOOKUP(B211,'Master data'!$A$1:$F$429,3,FALSE),"")</f>
        <v>GR</v>
      </c>
      <c r="G211" s="99" t="s">
        <v>1721</v>
      </c>
      <c r="H211" s="69" t="s">
        <v>1539</v>
      </c>
      <c r="I211" s="7" t="s">
        <v>1552</v>
      </c>
      <c r="J211" s="7" t="s">
        <v>1558</v>
      </c>
      <c r="K211" s="7" t="b">
        <v>0</v>
      </c>
      <c r="L211" s="7" t="b">
        <v>1</v>
      </c>
    </row>
    <row r="212">
      <c r="B212" s="7" t="s">
        <v>211</v>
      </c>
      <c r="C212" s="70" t="str">
        <f>IFERROR(VLOOKUP(B212,'Master data'!$A$1:$F$429,2,FALSE),"")</f>
        <v>B001-088</v>
      </c>
      <c r="D212" s="70" t="str">
        <f>IFERROR(VLOOKUP(B212,'Master data'!$A$1:$F$429,6,FALSE),"")</f>
        <v>bahan baku</v>
      </c>
      <c r="E212" s="71">
        <v>1105.0</v>
      </c>
      <c r="F212" s="70" t="str">
        <f>IFERROR(VLOOKUP(B212,'Master data'!$A$1:$F$429,3,FALSE),"")</f>
        <v>GR</v>
      </c>
      <c r="G212" s="99" t="s">
        <v>1520</v>
      </c>
      <c r="H212" s="69" t="s">
        <v>1567</v>
      </c>
      <c r="I212" s="7" t="s">
        <v>1556</v>
      </c>
      <c r="J212" s="7" t="s">
        <v>61</v>
      </c>
      <c r="K212" s="7" t="b">
        <v>0</v>
      </c>
      <c r="L212" s="7" t="b">
        <v>1</v>
      </c>
    </row>
    <row r="213">
      <c r="B213" s="7" t="s">
        <v>33</v>
      </c>
      <c r="C213" s="70" t="str">
        <f>IFERROR(VLOOKUP(B213,'Master data'!$A$1:$F$429,2,FALSE),"")</f>
        <v>B001-008</v>
      </c>
      <c r="D213" s="70" t="str">
        <f>IFERROR(VLOOKUP(B213,'Master data'!$A$1:$F$429,6,FALSE),"")</f>
        <v>bahan baku</v>
      </c>
      <c r="E213" s="71">
        <f>1000/1.56</f>
        <v>641.025641</v>
      </c>
      <c r="F213" s="70" t="str">
        <f>IFERROR(VLOOKUP(B213,'Master data'!$A$1:$F$429,3,FALSE),"")</f>
        <v>GR</v>
      </c>
      <c r="G213" s="99" t="s">
        <v>1681</v>
      </c>
      <c r="H213" s="69" t="s">
        <v>1225</v>
      </c>
      <c r="I213" s="7" t="s">
        <v>1548</v>
      </c>
      <c r="J213" s="7" t="s">
        <v>1561</v>
      </c>
      <c r="K213" s="7" t="b">
        <v>0</v>
      </c>
      <c r="L213" s="7" t="b">
        <v>1</v>
      </c>
    </row>
    <row r="214">
      <c r="B214" s="7" t="s">
        <v>129</v>
      </c>
      <c r="C214" s="70" t="str">
        <f>IFERROR(VLOOKUP(B214,'Master data'!$A$1:$F$429,2,FALSE),"")</f>
        <v>B001-056</v>
      </c>
      <c r="D214" s="70" t="str">
        <f>IFERROR(VLOOKUP(B214,'Master data'!$A$1:$F$429,6,FALSE),"")</f>
        <v>bahan baku</v>
      </c>
      <c r="E214" s="71">
        <v>6.0</v>
      </c>
      <c r="F214" s="70" t="str">
        <f>IFERROR(VLOOKUP(B214,'Master data'!$A$1:$F$429,3,FALSE),"")</f>
        <v>ML</v>
      </c>
      <c r="G214" s="99" t="s">
        <v>1681</v>
      </c>
      <c r="I214" s="7" t="s">
        <v>1548</v>
      </c>
      <c r="J214" s="7" t="s">
        <v>1561</v>
      </c>
      <c r="K214" s="7" t="b">
        <v>0</v>
      </c>
      <c r="L214" s="7" t="b">
        <v>1</v>
      </c>
    </row>
    <row r="215">
      <c r="B215" s="7" t="s">
        <v>653</v>
      </c>
      <c r="C215" s="70" t="str">
        <f>IFERROR(VLOOKUP(B215,'Master data'!$A$1:$F$429,2,FALSE),"")</f>
        <v>P004-022</v>
      </c>
      <c r="D215" s="70" t="str">
        <f>IFERROR(VLOOKUP(B215,'Master data'!$A$1:$F$429,6,FALSE),"")</f>
        <v>barang jadi &amp; bahan baku</v>
      </c>
      <c r="E215" s="71">
        <v>300.0</v>
      </c>
      <c r="F215" s="70" t="str">
        <f>IFERROR(VLOOKUP(B215,'Master data'!$A$1:$F$429,3,FALSE),"")</f>
        <v>GR</v>
      </c>
      <c r="G215" s="99" t="s">
        <v>1216</v>
      </c>
      <c r="H215" s="69" t="s">
        <v>1512</v>
      </c>
      <c r="I215" s="7" t="s">
        <v>1552</v>
      </c>
      <c r="J215" s="7" t="s">
        <v>1561</v>
      </c>
      <c r="K215" s="7" t="b">
        <v>0</v>
      </c>
      <c r="L215" s="7" t="b">
        <v>1</v>
      </c>
    </row>
    <row r="216">
      <c r="B216" s="7" t="s">
        <v>657</v>
      </c>
      <c r="C216" s="70" t="str">
        <f>IFERROR(VLOOKUP(B216,'Master data'!$A$1:$F$429,2,FALSE),"")</f>
        <v>P004-023</v>
      </c>
      <c r="D216" s="70" t="str">
        <f>IFERROR(VLOOKUP(B216,'Master data'!$A$1:$F$429,6,FALSE),"")</f>
        <v>barang jadi &amp; bahan baku</v>
      </c>
      <c r="E216" s="71">
        <v>351.0</v>
      </c>
      <c r="F216" s="70" t="str">
        <f>IFERROR(VLOOKUP(B216,'Master data'!$A$1:$F$429,3,FALSE),"")</f>
        <v>GR</v>
      </c>
      <c r="G216" s="99" t="s">
        <v>1216</v>
      </c>
      <c r="I216" s="7" t="s">
        <v>1552</v>
      </c>
      <c r="J216" s="7" t="s">
        <v>1561</v>
      </c>
      <c r="K216" s="7" t="b">
        <v>0</v>
      </c>
      <c r="L216" s="7" t="b">
        <v>1</v>
      </c>
    </row>
    <row r="217">
      <c r="B217" s="7" t="s">
        <v>664</v>
      </c>
      <c r="C217" s="70" t="str">
        <f>IFERROR(VLOOKUP(B217,'Master data'!$A$1:$F$429,2,FALSE),"")</f>
        <v>P004-025</v>
      </c>
      <c r="D217" s="70" t="str">
        <f>IFERROR(VLOOKUP(B217,'Master data'!$A$1:$F$429,6,FALSE),"")</f>
        <v>barang jadi &amp; bahan baku</v>
      </c>
      <c r="E217" s="71">
        <v>311.0</v>
      </c>
      <c r="F217" s="70" t="s">
        <v>78</v>
      </c>
      <c r="G217" s="99" t="s">
        <v>1216</v>
      </c>
      <c r="I217" s="7" t="s">
        <v>1552</v>
      </c>
      <c r="J217" s="7" t="s">
        <v>1561</v>
      </c>
      <c r="K217" s="7" t="b">
        <v>0</v>
      </c>
      <c r="L217" s="7" t="b">
        <v>1</v>
      </c>
    </row>
    <row r="218">
      <c r="B218" s="7" t="s">
        <v>570</v>
      </c>
      <c r="C218" s="70" t="str">
        <f>IFERROR(VLOOKUP(B218,'Master data'!$A$1:$F$429,2,FALSE),"")</f>
        <v>B001-054</v>
      </c>
      <c r="D218" s="70" t="str">
        <f>IFERROR(VLOOKUP(B218,'Master data'!$A$1:$F$429,6,FALSE),"")</f>
        <v>bahan baku</v>
      </c>
      <c r="E218" s="71">
        <v>85000.0</v>
      </c>
      <c r="F218" s="70" t="str">
        <f>IFERROR(VLOOKUP(B218,'Master data'!$A$1:$F$429,3,FALSE),"")</f>
        <v>GR</v>
      </c>
      <c r="G218" s="99" t="s">
        <v>1837</v>
      </c>
      <c r="H218" s="69" t="s">
        <v>1787</v>
      </c>
      <c r="I218" s="7" t="s">
        <v>1556</v>
      </c>
      <c r="J218" s="7" t="s">
        <v>61</v>
      </c>
      <c r="K218" s="7" t="b">
        <v>0</v>
      </c>
      <c r="L218" s="7" t="b">
        <v>0</v>
      </c>
    </row>
    <row r="219">
      <c r="A219" s="69">
        <v>21.0</v>
      </c>
      <c r="B219" s="7" t="s">
        <v>653</v>
      </c>
      <c r="C219" s="70" t="str">
        <f>IFERROR(VLOOKUP(B219,'Master data'!$A$1:$F$429,2,FALSE),"")</f>
        <v>P004-022</v>
      </c>
      <c r="D219" s="70" t="str">
        <f>IFERROR(VLOOKUP(B219,'Master data'!$A$1:$F$429,6,FALSE),"")</f>
        <v>barang jadi &amp; bahan baku</v>
      </c>
      <c r="E219" s="71">
        <v>275.0</v>
      </c>
      <c r="F219" s="70" t="str">
        <f>IFERROR(VLOOKUP(B219,'Master data'!$A$1:$F$429,3,FALSE),"")</f>
        <v>GR</v>
      </c>
      <c r="G219" s="99" t="s">
        <v>1216</v>
      </c>
      <c r="H219" s="69" t="s">
        <v>1512</v>
      </c>
      <c r="I219" s="7" t="s">
        <v>1552</v>
      </c>
      <c r="J219" s="7" t="s">
        <v>1561</v>
      </c>
      <c r="K219" s="7" t="b">
        <v>0</v>
      </c>
      <c r="L219" s="7" t="b">
        <v>1</v>
      </c>
    </row>
    <row r="220">
      <c r="B220" s="7" t="s">
        <v>211</v>
      </c>
      <c r="C220" s="70" t="str">
        <f>IFERROR(VLOOKUP(B220,'Master data'!$A$1:$F$429,2,FALSE),"")</f>
        <v>B001-088</v>
      </c>
      <c r="D220" s="70" t="str">
        <f>IFERROR(VLOOKUP(B220,'Master data'!$A$1:$F$429,6,FALSE),"")</f>
        <v>bahan baku</v>
      </c>
      <c r="E220" s="71">
        <v>1980.0</v>
      </c>
      <c r="F220" s="70" t="str">
        <f>IFERROR(VLOOKUP(B220,'Master data'!$A$1:$F$429,3,FALSE),"")</f>
        <v>GR</v>
      </c>
      <c r="G220" s="99" t="s">
        <v>1520</v>
      </c>
      <c r="H220" s="69" t="s">
        <v>1567</v>
      </c>
      <c r="I220" s="7" t="s">
        <v>1556</v>
      </c>
      <c r="J220" s="7" t="s">
        <v>61</v>
      </c>
      <c r="K220" s="7" t="b">
        <v>0</v>
      </c>
      <c r="L220" s="7" t="b">
        <v>1</v>
      </c>
    </row>
    <row r="221">
      <c r="B221" s="7" t="s">
        <v>148</v>
      </c>
      <c r="C221" s="70" t="str">
        <f>IFERROR(VLOOKUP(B221,'Master data'!$A$1:$F$429,2,FALSE),"")</f>
        <v>B001-064</v>
      </c>
      <c r="D221" s="70" t="str">
        <f>IFERROR(VLOOKUP(B221,'Master data'!$A$1:$F$429,6,FALSE),"")</f>
        <v>bahan baku</v>
      </c>
      <c r="E221" s="71">
        <v>25.0</v>
      </c>
      <c r="F221" s="70" t="str">
        <f>IFERROR(VLOOKUP(B221,'Master data'!$A$1:$F$429,3,FALSE),"")</f>
        <v>GR</v>
      </c>
      <c r="G221" s="99" t="s">
        <v>1370</v>
      </c>
      <c r="H221" s="69" t="s">
        <v>1305</v>
      </c>
      <c r="I221" s="7" t="s">
        <v>1542</v>
      </c>
      <c r="J221" s="7" t="s">
        <v>61</v>
      </c>
      <c r="K221" s="7" t="b">
        <v>0</v>
      </c>
      <c r="L221" s="7" t="b">
        <v>1</v>
      </c>
    </row>
    <row r="222">
      <c r="B222" s="7" t="s">
        <v>137</v>
      </c>
      <c r="C222" s="70" t="str">
        <f>IFERROR(VLOOKUP(B222,'Master data'!$A$1:$F$429,2,FALSE),"")</f>
        <v>B001-060</v>
      </c>
      <c r="D222" s="70" t="str">
        <f>IFERROR(VLOOKUP(B222,'Master data'!$A$1:$F$429,6,FALSE),"")</f>
        <v>bahan baku</v>
      </c>
      <c r="E222" s="71">
        <v>46.0</v>
      </c>
      <c r="F222" s="70" t="str">
        <f>IFERROR(VLOOKUP(B222,'Master data'!$A$1:$F$429,3,FALSE),"")</f>
        <v>GR</v>
      </c>
      <c r="G222" s="99" t="s">
        <v>1224</v>
      </c>
      <c r="I222" s="7" t="s">
        <v>1542</v>
      </c>
      <c r="J222" s="7" t="s">
        <v>1561</v>
      </c>
      <c r="K222" s="7" t="b">
        <v>0</v>
      </c>
      <c r="L222" s="7" t="b">
        <v>1</v>
      </c>
    </row>
    <row r="223">
      <c r="B223" s="7" t="s">
        <v>918</v>
      </c>
      <c r="C223" s="70" t="str">
        <f>IFERROR(VLOOKUP(B223,'Master data'!$A$1:$F$429,2,FALSE),"")</f>
        <v>B001-162</v>
      </c>
      <c r="D223" s="70" t="str">
        <f>IFERROR(VLOOKUP(B223,'Master data'!$A$1:$F$429,6,FALSE),"")</f>
        <v>bahan baku</v>
      </c>
      <c r="E223" s="71">
        <v>46.0</v>
      </c>
      <c r="F223" s="70" t="s">
        <v>20</v>
      </c>
      <c r="G223" s="99" t="s">
        <v>1224</v>
      </c>
      <c r="I223" s="7" t="s">
        <v>1542</v>
      </c>
      <c r="J223" s="7" t="s">
        <v>1561</v>
      </c>
      <c r="K223" s="7" t="b">
        <v>0</v>
      </c>
      <c r="L223" s="7" t="b">
        <v>1</v>
      </c>
    </row>
    <row r="224">
      <c r="A224" s="69">
        <v>22.0</v>
      </c>
      <c r="B224" s="7" t="s">
        <v>28</v>
      </c>
      <c r="C224" s="70" t="str">
        <f>IFERROR(VLOOKUP(B224,'Master data'!$A$1:$F$429,2,FALSE),"")</f>
        <v>B001-006</v>
      </c>
      <c r="D224" s="70" t="str">
        <f>IFERROR(VLOOKUP(B224,'Master data'!$A$1:$F$429,6,FALSE),"")</f>
        <v>bahan baku</v>
      </c>
      <c r="E224" s="71">
        <v>7.0</v>
      </c>
      <c r="F224" s="70" t="str">
        <f>IFERROR(VLOOKUP(B224,'Master data'!$A$1:$F$429,3,FALSE),"")</f>
        <v>GR</v>
      </c>
      <c r="G224" s="99" t="s">
        <v>1370</v>
      </c>
      <c r="I224" s="7" t="s">
        <v>1542</v>
      </c>
      <c r="J224" s="7" t="s">
        <v>61</v>
      </c>
      <c r="K224" s="7" t="b">
        <v>0</v>
      </c>
      <c r="L224" s="7" t="b">
        <v>1</v>
      </c>
    </row>
    <row r="225">
      <c r="B225" s="7" t="s">
        <v>148</v>
      </c>
      <c r="C225" s="70" t="str">
        <f>IFERROR(VLOOKUP(B225,'Master data'!$A$1:$F$429,2,FALSE),"")</f>
        <v>B001-064</v>
      </c>
      <c r="D225" s="70" t="str">
        <f>IFERROR(VLOOKUP(B225,'Master data'!$A$1:$F$429,6,FALSE),"")</f>
        <v>bahan baku</v>
      </c>
      <c r="E225" s="71">
        <v>48.0</v>
      </c>
      <c r="F225" s="70" t="str">
        <f>IFERROR(VLOOKUP(B225,'Master data'!$A$1:$F$429,3,FALSE),"")</f>
        <v>GR</v>
      </c>
      <c r="G225" s="99" t="s">
        <v>1370</v>
      </c>
      <c r="I225" s="7" t="s">
        <v>1542</v>
      </c>
      <c r="J225" s="7" t="s">
        <v>61</v>
      </c>
      <c r="K225" s="7" t="b">
        <v>0</v>
      </c>
      <c r="L225" s="7" t="b">
        <v>1</v>
      </c>
    </row>
    <row r="226">
      <c r="A226" s="69" t="b">
        <v>0</v>
      </c>
      <c r="B226" s="7" t="s">
        <v>636</v>
      </c>
      <c r="C226" s="70" t="str">
        <f>IFERROR(VLOOKUP(B226,'Master data'!$A$1:$F$429,2,FALSE),"")</f>
        <v>P004-015</v>
      </c>
      <c r="D226" s="70" t="str">
        <f>IFERROR(VLOOKUP(B226,'Master data'!$A$1:$F$429,6,FALSE),"")</f>
        <v>barang jadi &amp; bahan baku</v>
      </c>
      <c r="E226" s="71">
        <v>100.0</v>
      </c>
      <c r="F226" s="70" t="s">
        <v>20</v>
      </c>
      <c r="G226" s="99" t="s">
        <v>1462</v>
      </c>
      <c r="I226" s="7" t="s">
        <v>1542</v>
      </c>
      <c r="J226" s="7" t="s">
        <v>1561</v>
      </c>
      <c r="K226" s="7" t="b">
        <v>0</v>
      </c>
      <c r="L226" s="7" t="b">
        <v>1</v>
      </c>
    </row>
    <row r="227">
      <c r="B227" s="7" t="s">
        <v>1291</v>
      </c>
      <c r="C227" s="70" t="str">
        <f>IFERROR(VLOOKUP(B227,'Master data'!$A$1:$F$429,2,FALSE),"")</f>
        <v>P004-055</v>
      </c>
      <c r="D227" s="70" t="str">
        <f>IFERROR(VLOOKUP(B227,'Master data'!$A$1:$F$429,6,FALSE),"")</f>
        <v>barang jadi &amp; bahan baku</v>
      </c>
      <c r="E227" s="71">
        <v>360.0</v>
      </c>
      <c r="F227" s="70" t="s">
        <v>20</v>
      </c>
      <c r="G227" s="99" t="s">
        <v>1164</v>
      </c>
      <c r="I227" s="7" t="s">
        <v>1542</v>
      </c>
      <c r="J227" s="7" t="s">
        <v>1561</v>
      </c>
      <c r="K227" s="7" t="b">
        <v>0</v>
      </c>
      <c r="L227" s="7" t="b">
        <v>1</v>
      </c>
    </row>
    <row r="228">
      <c r="B228" s="7" t="s">
        <v>298</v>
      </c>
      <c r="C228" s="70" t="str">
        <f>IFERROR(VLOOKUP(B228,'Master data'!$A$1:$F$429,2,FALSE),"")</f>
        <v>B001-125</v>
      </c>
      <c r="D228" s="70" t="str">
        <f>IFERROR(VLOOKUP(B228,'Master data'!$A$1:$F$429,6,FALSE),"")</f>
        <v>bahan baku</v>
      </c>
      <c r="E228" s="71">
        <v>157.0</v>
      </c>
      <c r="F228" s="70" t="str">
        <f>IFERROR(VLOOKUP(B228,'Master data'!$A$1:$F$429,3,FALSE),"")</f>
        <v>GR</v>
      </c>
      <c r="G228" s="99" t="s">
        <v>1224</v>
      </c>
      <c r="I228" s="7" t="s">
        <v>1542</v>
      </c>
      <c r="J228" s="7" t="s">
        <v>1561</v>
      </c>
      <c r="K228" s="7" t="b">
        <v>0</v>
      </c>
      <c r="L228" s="7" t="b">
        <v>1</v>
      </c>
    </row>
    <row r="229">
      <c r="B229" s="7" t="s">
        <v>894</v>
      </c>
      <c r="C229" s="70" t="str">
        <f>IFERROR(VLOOKUP(B229,'Master data'!$A$1:$F$429,2,FALSE),"")</f>
        <v>B001-151</v>
      </c>
      <c r="D229" s="70" t="str">
        <f>IFERROR(VLOOKUP(B229,'Master data'!$A$1:$F$429,6,FALSE),"")</f>
        <v>bahan baku</v>
      </c>
      <c r="E229" s="71">
        <v>23.0</v>
      </c>
      <c r="F229" s="70" t="str">
        <f>IFERROR(VLOOKUP(B229,'Master data'!$A$1:$F$429,3,FALSE),"")</f>
        <v>GR</v>
      </c>
      <c r="G229" s="99" t="s">
        <v>1370</v>
      </c>
      <c r="H229" s="69" t="s">
        <v>1814</v>
      </c>
      <c r="I229" s="7" t="s">
        <v>1542</v>
      </c>
      <c r="J229" s="7" t="s">
        <v>61</v>
      </c>
      <c r="K229" s="7" t="b">
        <v>0</v>
      </c>
      <c r="L229" s="7" t="b">
        <v>1</v>
      </c>
    </row>
    <row r="230">
      <c r="B230" s="7" t="s">
        <v>687</v>
      </c>
      <c r="C230" s="70" t="str">
        <f>IFERROR(VLOOKUP(B230,'Master data'!$A$1:$F$429,2,FALSE),"")</f>
        <v>P004-035</v>
      </c>
      <c r="D230" s="70" t="str">
        <f>IFERROR(VLOOKUP(B230,'Master data'!$A$1:$F$429,6,FALSE),"")</f>
        <v>barang jadi &amp; bahan baku</v>
      </c>
      <c r="E230" s="71">
        <v>222.0</v>
      </c>
      <c r="F230" s="70" t="s">
        <v>20</v>
      </c>
      <c r="G230" s="99" t="s">
        <v>1245</v>
      </c>
      <c r="H230" s="69" t="s">
        <v>1305</v>
      </c>
      <c r="I230" s="7" t="s">
        <v>1542</v>
      </c>
      <c r="J230" s="7" t="s">
        <v>1561</v>
      </c>
      <c r="K230" s="7" t="b">
        <v>0</v>
      </c>
      <c r="L230" s="7" t="b">
        <v>1</v>
      </c>
    </row>
    <row r="231">
      <c r="B231" s="7" t="s">
        <v>28</v>
      </c>
      <c r="C231" s="70" t="str">
        <f>IFERROR(VLOOKUP(B231,'Master data'!$A$1:$F$429,2,FALSE),"")</f>
        <v>B001-006</v>
      </c>
      <c r="D231" s="70" t="str">
        <f>IFERROR(VLOOKUP(B231,'Master data'!$A$1:$F$429,6,FALSE),"")</f>
        <v>bahan baku</v>
      </c>
      <c r="E231" s="71">
        <v>17.0</v>
      </c>
      <c r="F231" s="70" t="str">
        <f>IFERROR(VLOOKUP(B231,'Master data'!$A$1:$F$429,3,FALSE),"")</f>
        <v>GR</v>
      </c>
      <c r="G231" s="99" t="s">
        <v>1370</v>
      </c>
      <c r="I231" s="7" t="s">
        <v>1542</v>
      </c>
      <c r="J231" s="7" t="s">
        <v>61</v>
      </c>
      <c r="K231" s="7" t="b">
        <v>0</v>
      </c>
      <c r="L231" s="7" t="b">
        <v>1</v>
      </c>
    </row>
    <row r="232">
      <c r="B232" s="7" t="s">
        <v>930</v>
      </c>
      <c r="C232" s="70" t="str">
        <f>IFERROR(VLOOKUP(B232,'Master data'!$A$1:$F$429,2,FALSE),"")</f>
        <v>B001-166</v>
      </c>
      <c r="D232" s="70" t="str">
        <f>IFERROR(VLOOKUP(B232,'Master data'!$A$1:$F$429,6,FALSE),"")</f>
        <v>bahan baku</v>
      </c>
      <c r="E232" s="71">
        <v>36.0</v>
      </c>
      <c r="F232" s="70" t="s">
        <v>20</v>
      </c>
      <c r="G232" s="99" t="s">
        <v>1370</v>
      </c>
      <c r="H232" s="69" t="s">
        <v>1225</v>
      </c>
      <c r="I232" s="7" t="s">
        <v>1548</v>
      </c>
      <c r="J232" s="7" t="s">
        <v>61</v>
      </c>
      <c r="K232" s="7" t="b">
        <v>0</v>
      </c>
      <c r="L232" s="7" t="b">
        <v>1</v>
      </c>
    </row>
    <row r="233">
      <c r="B233" s="7" t="s">
        <v>926</v>
      </c>
      <c r="C233" s="70" t="str">
        <f>IFERROR(VLOOKUP(B233,'Master data'!$A$1:$F$429,2,FALSE),"")</f>
        <v>B001-165</v>
      </c>
      <c r="D233" s="70" t="str">
        <f>IFERROR(VLOOKUP(B233,'Master data'!$A$1:$F$429,6,FALSE),"")</f>
        <v>bahan baku</v>
      </c>
      <c r="E233" s="71">
        <v>87.0</v>
      </c>
      <c r="F233" s="70" t="s">
        <v>20</v>
      </c>
      <c r="G233" s="99" t="s">
        <v>1836</v>
      </c>
      <c r="I233" s="7" t="s">
        <v>1548</v>
      </c>
      <c r="J233" s="7" t="s">
        <v>61</v>
      </c>
      <c r="K233" s="7" t="b">
        <v>0</v>
      </c>
      <c r="L233" s="7" t="b">
        <v>1</v>
      </c>
    </row>
    <row r="234">
      <c r="B234" s="7" t="s">
        <v>502</v>
      </c>
      <c r="C234" s="70" t="str">
        <f>IFERROR(VLOOKUP(B234,'Master data'!$A$1:$F$429,2,FALSE),"")</f>
        <v>S001-002</v>
      </c>
      <c r="D234" s="70" t="str">
        <f>IFERROR(VLOOKUP(B234,'Master data'!$A$1:$F$429,6,FALSE),"")</f>
        <v>barang jadi &amp; bahan baku</v>
      </c>
      <c r="E234" s="71">
        <v>2.0</v>
      </c>
      <c r="F234" s="70" t="str">
        <f>IFERROR(VLOOKUP(B234,'Master data'!$A$1:$F$429,3,FALSE),"")</f>
        <v>PCS</v>
      </c>
      <c r="G234" s="99" t="s">
        <v>1164</v>
      </c>
      <c r="I234" s="7" t="s">
        <v>1548</v>
      </c>
      <c r="J234" s="7" t="s">
        <v>1561</v>
      </c>
      <c r="K234" s="7" t="b">
        <v>0</v>
      </c>
      <c r="L234" s="7" t="b">
        <v>1</v>
      </c>
    </row>
    <row r="235">
      <c r="A235" s="69">
        <v>24.0</v>
      </c>
      <c r="B235" s="7" t="s">
        <v>28</v>
      </c>
      <c r="C235" s="70" t="str">
        <f>IFERROR(VLOOKUP(B235,'Master data'!$A$1:$F$429,2,FALSE),"")</f>
        <v>B001-006</v>
      </c>
      <c r="D235" s="70" t="str">
        <f>IFERROR(VLOOKUP(B235,'Master data'!$A$1:$F$429,6,FALSE),"")</f>
        <v>bahan baku</v>
      </c>
      <c r="E235" s="71">
        <v>14.0</v>
      </c>
      <c r="F235" s="70" t="str">
        <f>IFERROR(VLOOKUP(B235,'Master data'!$A$1:$F$429,3,FALSE),"")</f>
        <v>GR</v>
      </c>
      <c r="G235" s="99" t="s">
        <v>1370</v>
      </c>
      <c r="H235" s="69" t="s">
        <v>1441</v>
      </c>
      <c r="I235" s="7" t="s">
        <v>1542</v>
      </c>
      <c r="J235" s="7" t="s">
        <v>61</v>
      </c>
      <c r="K235" s="7" t="b">
        <v>0</v>
      </c>
      <c r="L235" s="7" t="b">
        <v>1</v>
      </c>
    </row>
    <row r="236">
      <c r="B236" s="7" t="s">
        <v>653</v>
      </c>
      <c r="C236" s="70" t="str">
        <f>IFERROR(VLOOKUP(B236,'Master data'!$A$1:$F$429,2,FALSE),"")</f>
        <v>P004-022</v>
      </c>
      <c r="D236" s="70" t="str">
        <f>IFERROR(VLOOKUP(B236,'Master data'!$A$1:$F$429,6,FALSE),"")</f>
        <v>barang jadi &amp; bahan baku</v>
      </c>
      <c r="E236" s="71">
        <v>220.0</v>
      </c>
      <c r="F236" s="70" t="str">
        <f>IFERROR(VLOOKUP(B236,'Master data'!$A$1:$F$429,3,FALSE),"")</f>
        <v>GR</v>
      </c>
      <c r="G236" s="99" t="s">
        <v>1216</v>
      </c>
      <c r="H236" s="69" t="s">
        <v>1512</v>
      </c>
      <c r="I236" s="7" t="s">
        <v>1552</v>
      </c>
      <c r="J236" s="7" t="s">
        <v>1561</v>
      </c>
      <c r="K236" s="7" t="b">
        <v>0</v>
      </c>
      <c r="L236" s="7" t="b">
        <v>1</v>
      </c>
    </row>
    <row r="237">
      <c r="B237" s="7" t="s">
        <v>664</v>
      </c>
      <c r="C237" s="70" t="str">
        <f>IFERROR(VLOOKUP(B237,'Master data'!$A$1:$F$429,2,FALSE),"")</f>
        <v>P004-025</v>
      </c>
      <c r="D237" s="70" t="str">
        <f>IFERROR(VLOOKUP(B237,'Master data'!$A$1:$F$429,6,FALSE),"")</f>
        <v>barang jadi &amp; bahan baku</v>
      </c>
      <c r="E237" s="71">
        <v>200.0</v>
      </c>
      <c r="F237" s="70" t="s">
        <v>78</v>
      </c>
      <c r="G237" s="99" t="s">
        <v>1216</v>
      </c>
      <c r="I237" s="7" t="s">
        <v>1552</v>
      </c>
      <c r="J237" s="7" t="s">
        <v>1561</v>
      </c>
      <c r="K237" s="7" t="b">
        <v>0</v>
      </c>
      <c r="L237" s="7" t="b">
        <v>1</v>
      </c>
    </row>
    <row r="238">
      <c r="B238" s="7" t="s">
        <v>657</v>
      </c>
      <c r="C238" s="70" t="str">
        <f>IFERROR(VLOOKUP(B238,'Master data'!$A$1:$F$429,2,FALSE),"")</f>
        <v>P004-023</v>
      </c>
      <c r="D238" s="70" t="str">
        <f>IFERROR(VLOOKUP(B238,'Master data'!$A$1:$F$429,6,FALSE),"")</f>
        <v>barang jadi &amp; bahan baku</v>
      </c>
      <c r="E238" s="71">
        <v>193.0</v>
      </c>
      <c r="F238" s="70" t="str">
        <f>IFERROR(VLOOKUP(B238,'Master data'!$A$1:$F$429,3,FALSE),"")</f>
        <v>GR</v>
      </c>
      <c r="G238" s="99" t="s">
        <v>1216</v>
      </c>
      <c r="I238" s="7" t="s">
        <v>1552</v>
      </c>
      <c r="J238" s="7" t="s">
        <v>1561</v>
      </c>
      <c r="K238" s="7" t="b">
        <v>0</v>
      </c>
      <c r="L238" s="7" t="b">
        <v>1</v>
      </c>
    </row>
    <row r="239">
      <c r="B239" s="7" t="s">
        <v>653</v>
      </c>
      <c r="C239" s="70" t="str">
        <f>IFERROR(VLOOKUP(B239,'Master data'!$A$1:$F$429,2,FALSE),"")</f>
        <v>P004-022</v>
      </c>
      <c r="D239" s="70" t="str">
        <f>IFERROR(VLOOKUP(B239,'Master data'!$A$1:$F$429,6,FALSE),"")</f>
        <v>barang jadi &amp; bahan baku</v>
      </c>
      <c r="E239" s="71">
        <v>80.0</v>
      </c>
      <c r="F239" s="70" t="str">
        <f>IFERROR(VLOOKUP(B239,'Master data'!$A$1:$F$429,3,FALSE),"")</f>
        <v>GR</v>
      </c>
      <c r="G239" s="99" t="s">
        <v>1164</v>
      </c>
      <c r="H239" s="69" t="s">
        <v>1838</v>
      </c>
      <c r="I239" s="7" t="s">
        <v>1552</v>
      </c>
      <c r="J239" s="7" t="s">
        <v>1561</v>
      </c>
      <c r="K239" s="7" t="b">
        <v>0</v>
      </c>
      <c r="L239" s="7" t="b">
        <v>1</v>
      </c>
    </row>
    <row r="240">
      <c r="B240" s="7" t="s">
        <v>657</v>
      </c>
      <c r="C240" s="70" t="str">
        <f>IFERROR(VLOOKUP(B240,'Master data'!$A$1:$F$429,2,FALSE),"")</f>
        <v>P004-023</v>
      </c>
      <c r="D240" s="70" t="str">
        <f>IFERROR(VLOOKUP(B240,'Master data'!$A$1:$F$429,6,FALSE),"")</f>
        <v>barang jadi &amp; bahan baku</v>
      </c>
      <c r="E240" s="71">
        <v>148.0</v>
      </c>
      <c r="F240" s="70" t="str">
        <f>IFERROR(VLOOKUP(B240,'Master data'!$A$1:$F$429,3,FALSE),"")</f>
        <v>GR</v>
      </c>
      <c r="G240" s="99" t="s">
        <v>1164</v>
      </c>
      <c r="I240" s="7" t="s">
        <v>1552</v>
      </c>
      <c r="J240" s="7" t="s">
        <v>1561</v>
      </c>
      <c r="K240" s="7" t="b">
        <v>0</v>
      </c>
      <c r="L240" s="7" t="b">
        <v>1</v>
      </c>
    </row>
    <row r="241">
      <c r="B241" s="7" t="s">
        <v>664</v>
      </c>
      <c r="C241" s="70" t="str">
        <f>IFERROR(VLOOKUP(B241,'Master data'!$A$1:$F$429,2,FALSE),"")</f>
        <v>P004-025</v>
      </c>
      <c r="D241" s="70" t="str">
        <f>IFERROR(VLOOKUP(B241,'Master data'!$A$1:$F$429,6,FALSE),"")</f>
        <v>barang jadi &amp; bahan baku</v>
      </c>
      <c r="E241" s="71">
        <v>360.0</v>
      </c>
      <c r="F241" s="70" t="s">
        <v>78</v>
      </c>
      <c r="G241" s="99" t="s">
        <v>1164</v>
      </c>
      <c r="I241" s="7" t="s">
        <v>1552</v>
      </c>
      <c r="J241" s="7" t="s">
        <v>1561</v>
      </c>
      <c r="K241" s="7" t="b">
        <v>0</v>
      </c>
      <c r="L241" s="7" t="b">
        <v>1</v>
      </c>
    </row>
    <row r="242">
      <c r="A242" s="69">
        <v>25.0</v>
      </c>
      <c r="B242" s="7" t="s">
        <v>28</v>
      </c>
      <c r="C242" s="70" t="str">
        <f>IFERROR(VLOOKUP(B242,'Master data'!$A$1:$F$429,2,FALSE),"")</f>
        <v>B001-006</v>
      </c>
      <c r="D242" s="70" t="str">
        <f>IFERROR(VLOOKUP(B242,'Master data'!$A$1:$F$429,6,FALSE),"")</f>
        <v>bahan baku</v>
      </c>
      <c r="E242" s="71">
        <v>56.0</v>
      </c>
      <c r="F242" s="70" t="str">
        <f>IFERROR(VLOOKUP(B242,'Master data'!$A$1:$F$429,3,FALSE),"")</f>
        <v>GR</v>
      </c>
      <c r="G242" s="99" t="s">
        <v>1370</v>
      </c>
      <c r="H242" s="69" t="s">
        <v>1384</v>
      </c>
      <c r="I242" s="7" t="s">
        <v>1542</v>
      </c>
      <c r="J242" s="7" t="s">
        <v>61</v>
      </c>
      <c r="K242" s="7" t="b">
        <v>0</v>
      </c>
      <c r="L242" s="7" t="b">
        <v>1</v>
      </c>
    </row>
    <row r="243">
      <c r="B243" s="7" t="s">
        <v>65</v>
      </c>
      <c r="C243" s="70" t="str">
        <f>IFERROR(VLOOKUP(B243,'Master data'!$A$1:$F$429,2,FALSE),"")</f>
        <v>B001-023</v>
      </c>
      <c r="D243" s="70" t="str">
        <f>IFERROR(VLOOKUP(B243,'Master data'!$A$1:$F$429,6,FALSE),"")</f>
        <v>bahan baku</v>
      </c>
      <c r="E243" s="71">
        <v>40.0</v>
      </c>
      <c r="F243" s="70" t="str">
        <f>IFERROR(VLOOKUP(B243,'Master data'!$A$1:$F$429,3,FALSE),"")</f>
        <v>GR</v>
      </c>
      <c r="G243" s="99" t="s">
        <v>1839</v>
      </c>
      <c r="I243" s="7" t="s">
        <v>1542</v>
      </c>
      <c r="J243" s="7" t="s">
        <v>1561</v>
      </c>
      <c r="K243" s="7" t="b">
        <v>0</v>
      </c>
      <c r="L243" s="7" t="b">
        <v>1</v>
      </c>
    </row>
    <row r="244">
      <c r="B244" s="7" t="s">
        <v>620</v>
      </c>
      <c r="C244" s="70" t="str">
        <f>IFERROR(VLOOKUP(B244,'Master data'!$A$1:$F$429,2,FALSE),"")</f>
        <v>P004-009</v>
      </c>
      <c r="D244" s="70" t="str">
        <f>IFERROR(VLOOKUP(B244,'Master data'!$A$1:$F$429,6,FALSE),"")</f>
        <v>barang jadi &amp; bahan baku</v>
      </c>
      <c r="E244" s="71">
        <v>694.0</v>
      </c>
      <c r="F244" s="70" t="str">
        <f>IFERROR(VLOOKUP(B244,'Master data'!$A$1:$F$429,3,FALSE),"")</f>
        <v>GR</v>
      </c>
      <c r="G244" s="99" t="s">
        <v>1164</v>
      </c>
      <c r="I244" s="7" t="s">
        <v>1542</v>
      </c>
      <c r="J244" s="7" t="s">
        <v>1561</v>
      </c>
      <c r="K244" s="7" t="b">
        <v>0</v>
      </c>
      <c r="L244" s="7" t="b">
        <v>1</v>
      </c>
    </row>
    <row r="245">
      <c r="B245" s="7" t="s">
        <v>298</v>
      </c>
      <c r="C245" s="70" t="str">
        <f>IFERROR(VLOOKUP(B245,'Master data'!$A$1:$F$429,2,FALSE),"")</f>
        <v>B001-125</v>
      </c>
      <c r="D245" s="70" t="str">
        <f>IFERROR(VLOOKUP(B245,'Master data'!$A$1:$F$429,6,FALSE),"")</f>
        <v>bahan baku</v>
      </c>
      <c r="E245" s="71">
        <v>55.0</v>
      </c>
      <c r="F245" s="70" t="str">
        <f>IFERROR(VLOOKUP(B245,'Master data'!$A$1:$F$429,3,FALSE),"")</f>
        <v>GR</v>
      </c>
      <c r="G245" s="99" t="s">
        <v>1224</v>
      </c>
      <c r="I245" s="7" t="s">
        <v>1542</v>
      </c>
      <c r="J245" s="7" t="s">
        <v>1561</v>
      </c>
      <c r="K245" s="7" t="b">
        <v>0</v>
      </c>
      <c r="L245" s="7" t="b">
        <v>1</v>
      </c>
    </row>
    <row r="246">
      <c r="B246" s="7" t="s">
        <v>211</v>
      </c>
      <c r="C246" s="70" t="str">
        <f>IFERROR(VLOOKUP(B246,'Master data'!$A$1:$F$429,2,FALSE),"")</f>
        <v>B001-088</v>
      </c>
      <c r="D246" s="70" t="str">
        <f>IFERROR(VLOOKUP(B246,'Master data'!$A$1:$F$429,6,FALSE),"")</f>
        <v>bahan baku</v>
      </c>
      <c r="E246" s="71">
        <v>4270.0</v>
      </c>
      <c r="F246" s="70" t="str">
        <f>IFERROR(VLOOKUP(B246,'Master data'!$A$1:$F$429,3,FALSE),"")</f>
        <v>GR</v>
      </c>
      <c r="G246" s="99" t="s">
        <v>1788</v>
      </c>
      <c r="H246" s="69" t="s">
        <v>1567</v>
      </c>
      <c r="I246" s="7" t="s">
        <v>1556</v>
      </c>
      <c r="J246" s="7" t="s">
        <v>61</v>
      </c>
      <c r="K246" s="7" t="b">
        <v>0</v>
      </c>
      <c r="L246" s="7" t="b">
        <v>1</v>
      </c>
    </row>
    <row r="247">
      <c r="A247" s="69">
        <v>26.0</v>
      </c>
      <c r="B247" s="7" t="s">
        <v>28</v>
      </c>
      <c r="C247" s="70" t="str">
        <f>IFERROR(VLOOKUP(B247,'Master data'!$A$1:$F$429,2,FALSE),"")</f>
        <v>B001-006</v>
      </c>
      <c r="D247" s="70" t="str">
        <f>IFERROR(VLOOKUP(B247,'Master data'!$A$1:$F$429,6,FALSE),"")</f>
        <v>bahan baku</v>
      </c>
      <c r="E247" s="71">
        <v>26.0</v>
      </c>
      <c r="F247" s="70" t="str">
        <f>IFERROR(VLOOKUP(B247,'Master data'!$A$1:$F$429,3,FALSE),"")</f>
        <v>GR</v>
      </c>
      <c r="G247" s="99" t="s">
        <v>1370</v>
      </c>
      <c r="H247" s="69" t="s">
        <v>1384</v>
      </c>
      <c r="I247" s="7" t="s">
        <v>1542</v>
      </c>
      <c r="J247" s="7" t="s">
        <v>61</v>
      </c>
      <c r="K247" s="7" t="b">
        <v>0</v>
      </c>
      <c r="L247" s="7" t="b">
        <v>1</v>
      </c>
    </row>
    <row r="248">
      <c r="B248" s="7" t="s">
        <v>148</v>
      </c>
      <c r="C248" s="70" t="str">
        <f>IFERROR(VLOOKUP(B248,'Master data'!$A$1:$F$429,2,FALSE),"")</f>
        <v>B001-064</v>
      </c>
      <c r="D248" s="70" t="str">
        <f>IFERROR(VLOOKUP(B248,'Master data'!$A$1:$F$429,6,FALSE),"")</f>
        <v>bahan baku</v>
      </c>
      <c r="E248" s="71">
        <v>26.0</v>
      </c>
      <c r="F248" s="70" t="str">
        <f>IFERROR(VLOOKUP(B248,'Master data'!$A$1:$F$429,3,FALSE),"")</f>
        <v>GR</v>
      </c>
      <c r="G248" s="99" t="s">
        <v>1370</v>
      </c>
      <c r="I248" s="7" t="s">
        <v>1542</v>
      </c>
      <c r="J248" s="7" t="s">
        <v>61</v>
      </c>
      <c r="K248" s="7" t="b">
        <v>0</v>
      </c>
      <c r="L248" s="7" t="b">
        <v>1</v>
      </c>
    </row>
    <row r="249">
      <c r="B249" s="7" t="s">
        <v>211</v>
      </c>
      <c r="C249" s="70" t="str">
        <f>IFERROR(VLOOKUP(B249,'Master data'!$A$1:$F$429,2,FALSE),"")</f>
        <v>B001-088</v>
      </c>
      <c r="D249" s="70" t="str">
        <f>IFERROR(VLOOKUP(B249,'Master data'!$A$1:$F$429,6,FALSE),"")</f>
        <v>bahan baku</v>
      </c>
      <c r="E249" s="71">
        <v>5900.0</v>
      </c>
      <c r="F249" s="70" t="str">
        <f>IFERROR(VLOOKUP(B249,'Master data'!$A$1:$F$429,3,FALSE),"")</f>
        <v>GR</v>
      </c>
      <c r="G249" s="99" t="s">
        <v>1788</v>
      </c>
      <c r="H249" s="69" t="s">
        <v>1290</v>
      </c>
      <c r="I249" s="7" t="s">
        <v>1556</v>
      </c>
      <c r="J249" s="7" t="s">
        <v>61</v>
      </c>
      <c r="K249" s="7" t="b">
        <v>0</v>
      </c>
      <c r="L249" s="7" t="b">
        <v>1</v>
      </c>
    </row>
    <row r="250">
      <c r="A250" s="69">
        <v>27.0</v>
      </c>
      <c r="B250" s="7" t="s">
        <v>28</v>
      </c>
      <c r="C250" s="70" t="str">
        <f>IFERROR(VLOOKUP(B250,'Master data'!$A$1:$F$429,2,FALSE),"")</f>
        <v>B001-006</v>
      </c>
      <c r="D250" s="70" t="str">
        <f>IFERROR(VLOOKUP(B250,'Master data'!$A$1:$F$429,6,FALSE),"")</f>
        <v>bahan baku</v>
      </c>
      <c r="E250" s="71">
        <v>18.0</v>
      </c>
      <c r="F250" s="70" t="str">
        <f>IFERROR(VLOOKUP(B250,'Master data'!$A$1:$F$429,3,FALSE),"")</f>
        <v>GR</v>
      </c>
      <c r="G250" s="99" t="s">
        <v>1370</v>
      </c>
      <c r="H250" s="69" t="s">
        <v>1539</v>
      </c>
      <c r="I250" s="7" t="s">
        <v>1542</v>
      </c>
      <c r="J250" s="7" t="s">
        <v>61</v>
      </c>
      <c r="K250" s="7" t="b">
        <v>0</v>
      </c>
      <c r="L250" s="7" t="b">
        <v>1</v>
      </c>
    </row>
    <row r="251">
      <c r="B251" s="7" t="s">
        <v>926</v>
      </c>
      <c r="C251" s="70" t="str">
        <f>IFERROR(VLOOKUP(B251,'Master data'!$A$1:$F$429,2,FALSE),"")</f>
        <v>B001-165</v>
      </c>
      <c r="D251" s="70" t="str">
        <f>IFERROR(VLOOKUP(B251,'Master data'!$A$1:$F$429,6,FALSE),"")</f>
        <v>bahan baku</v>
      </c>
      <c r="E251" s="71">
        <v>139.0</v>
      </c>
      <c r="F251" s="70" t="s">
        <v>20</v>
      </c>
      <c r="G251" s="99" t="s">
        <v>1836</v>
      </c>
      <c r="H251" s="69" t="s">
        <v>1225</v>
      </c>
      <c r="I251" s="7" t="s">
        <v>1548</v>
      </c>
      <c r="J251" s="7" t="s">
        <v>61</v>
      </c>
      <c r="K251" s="7" t="b">
        <v>0</v>
      </c>
      <c r="L251" s="7" t="b">
        <v>1</v>
      </c>
    </row>
    <row r="252">
      <c r="B252" s="7" t="s">
        <v>930</v>
      </c>
      <c r="C252" s="70" t="str">
        <f>IFERROR(VLOOKUP(B252,'Master data'!$A$1:$F$429,2,FALSE),"")</f>
        <v>B001-166</v>
      </c>
      <c r="D252" s="70" t="str">
        <f>IFERROR(VLOOKUP(B252,'Master data'!$A$1:$F$429,6,FALSE),"")</f>
        <v>bahan baku</v>
      </c>
      <c r="E252" s="71">
        <v>55.0</v>
      </c>
      <c r="F252" s="70" t="s">
        <v>20</v>
      </c>
      <c r="G252" s="99" t="s">
        <v>1370</v>
      </c>
      <c r="I252" s="7" t="s">
        <v>1548</v>
      </c>
      <c r="J252" s="7" t="s">
        <v>61</v>
      </c>
      <c r="K252" s="7" t="b">
        <v>0</v>
      </c>
      <c r="L252" s="7" t="b">
        <v>1</v>
      </c>
    </row>
    <row r="253">
      <c r="B253" s="7" t="s">
        <v>195</v>
      </c>
      <c r="C253" s="70" t="str">
        <f>IFERROR(VLOOKUP(B253,'Master data'!$A$1:$F$429,2,FALSE),"")</f>
        <v>B001-081</v>
      </c>
      <c r="D253" s="70" t="str">
        <f>IFERROR(VLOOKUP(B253,'Master data'!$A$1:$F$429,6,FALSE),"")</f>
        <v>bahan baku</v>
      </c>
      <c r="E253" s="71">
        <v>215.0</v>
      </c>
      <c r="F253" s="70" t="str">
        <f>IFERROR(VLOOKUP(B253,'Master data'!$A$1:$F$429,3,FALSE),"")</f>
        <v>GR</v>
      </c>
      <c r="G253" s="99" t="s">
        <v>1840</v>
      </c>
      <c r="H253" s="69" t="s">
        <v>1512</v>
      </c>
      <c r="I253" s="7" t="s">
        <v>1552</v>
      </c>
      <c r="J253" s="7" t="s">
        <v>1561</v>
      </c>
      <c r="K253" s="7" t="b">
        <v>0</v>
      </c>
      <c r="L253" s="7" t="b">
        <v>1</v>
      </c>
    </row>
    <row r="254">
      <c r="B254" s="7" t="s">
        <v>148</v>
      </c>
      <c r="C254" s="70" t="str">
        <f>IFERROR(VLOOKUP(B254,'Master data'!$A$1:$F$429,2,FALSE),"")</f>
        <v>B001-064</v>
      </c>
      <c r="D254" s="70" t="str">
        <f>IFERROR(VLOOKUP(B254,'Master data'!$A$1:$F$429,6,FALSE),"")</f>
        <v>bahan baku</v>
      </c>
      <c r="E254" s="71">
        <v>25.0</v>
      </c>
      <c r="F254" s="70" t="str">
        <f>IFERROR(VLOOKUP(B254,'Master data'!$A$1:$F$429,3,FALSE),"")</f>
        <v>GR</v>
      </c>
      <c r="G254" s="99" t="s">
        <v>1370</v>
      </c>
      <c r="H254" s="69" t="s">
        <v>1384</v>
      </c>
      <c r="I254" s="7" t="s">
        <v>1542</v>
      </c>
      <c r="J254" s="7" t="s">
        <v>61</v>
      </c>
      <c r="K254" s="7" t="b">
        <v>0</v>
      </c>
      <c r="L254" s="7" t="b">
        <v>1</v>
      </c>
    </row>
    <row r="255">
      <c r="B255" s="7" t="s">
        <v>52</v>
      </c>
      <c r="C255" s="70" t="str">
        <f>IFERROR(VLOOKUP(B255,'Master data'!$A$1:$F$429,2,FALSE),"")</f>
        <v>B001-018</v>
      </c>
      <c r="D255" s="70" t="str">
        <f>IFERROR(VLOOKUP(B255,'Master data'!$A$1:$F$429,6,FALSE),"")</f>
        <v>bahan baku</v>
      </c>
      <c r="E255" s="71">
        <v>84.0</v>
      </c>
      <c r="F255" s="70" t="str">
        <f>IFERROR(VLOOKUP(B255,'Master data'!$A$1:$F$429,3,FALSE),"")</f>
        <v>GR</v>
      </c>
      <c r="G255" s="99" t="s">
        <v>1841</v>
      </c>
      <c r="I255" s="7" t="s">
        <v>1542</v>
      </c>
      <c r="J255" s="7" t="s">
        <v>61</v>
      </c>
      <c r="K255" s="7" t="b">
        <v>0</v>
      </c>
      <c r="L255" s="7" t="b">
        <v>1</v>
      </c>
    </row>
    <row r="256">
      <c r="B256" s="7" t="s">
        <v>298</v>
      </c>
      <c r="C256" s="70" t="str">
        <f>IFERROR(VLOOKUP(B256,'Master data'!$A$1:$F$429,2,FALSE),"")</f>
        <v>B001-125</v>
      </c>
      <c r="D256" s="70" t="str">
        <f>IFERROR(VLOOKUP(B256,'Master data'!$A$1:$F$429,6,FALSE),"")</f>
        <v>bahan baku</v>
      </c>
      <c r="E256" s="71">
        <v>70.0</v>
      </c>
      <c r="F256" s="70" t="str">
        <f>IFERROR(VLOOKUP(B256,'Master data'!$A$1:$F$429,3,FALSE),"")</f>
        <v>GR</v>
      </c>
      <c r="G256" s="99" t="s">
        <v>1836</v>
      </c>
      <c r="I256" s="7" t="s">
        <v>1542</v>
      </c>
      <c r="J256" s="7" t="s">
        <v>61</v>
      </c>
      <c r="K256" s="7" t="b">
        <v>0</v>
      </c>
      <c r="L256" s="7" t="b">
        <v>1</v>
      </c>
    </row>
    <row r="257">
      <c r="B257" s="7" t="s">
        <v>33</v>
      </c>
      <c r="C257" s="70" t="str">
        <f>IFERROR(VLOOKUP(B257,'Master data'!$A$1:$F$429,2,FALSE),"")</f>
        <v>B001-008</v>
      </c>
      <c r="D257" s="70" t="str">
        <f>IFERROR(VLOOKUP(B257,'Master data'!$A$1:$F$429,6,FALSE),"")</f>
        <v>bahan baku</v>
      </c>
      <c r="E257" s="71">
        <f>490/1.56</f>
        <v>314.1025641</v>
      </c>
      <c r="F257" s="70" t="str">
        <f>IFERROR(VLOOKUP(B257,'Master data'!$A$1:$F$429,3,FALSE),"")</f>
        <v>GR</v>
      </c>
      <c r="G257" s="99" t="s">
        <v>1842</v>
      </c>
      <c r="H257" s="69" t="s">
        <v>1417</v>
      </c>
      <c r="I257" s="7" t="s">
        <v>1548</v>
      </c>
      <c r="J257" s="7" t="s">
        <v>1561</v>
      </c>
      <c r="K257" s="7" t="b">
        <v>0</v>
      </c>
      <c r="L257" s="7" t="b">
        <v>1</v>
      </c>
    </row>
    <row r="258">
      <c r="B258" s="7" t="s">
        <v>129</v>
      </c>
      <c r="C258" s="70" t="str">
        <f>IFERROR(VLOOKUP(B258,'Master data'!$A$1:$F$429,2,FALSE),"")</f>
        <v>B001-056</v>
      </c>
      <c r="D258" s="70" t="str">
        <f>IFERROR(VLOOKUP(B258,'Master data'!$A$1:$F$429,6,FALSE),"")</f>
        <v>bahan baku</v>
      </c>
      <c r="E258" s="71">
        <v>3.0</v>
      </c>
      <c r="F258" s="70" t="str">
        <f>IFERROR(VLOOKUP(B258,'Master data'!$A$1:$F$429,3,FALSE),"")</f>
        <v>ML</v>
      </c>
      <c r="G258" s="99" t="s">
        <v>1842</v>
      </c>
      <c r="I258" s="7" t="s">
        <v>1548</v>
      </c>
      <c r="J258" s="7" t="s">
        <v>1561</v>
      </c>
      <c r="K258" s="7" t="b">
        <v>0</v>
      </c>
      <c r="L258" s="7" t="b">
        <v>1</v>
      </c>
    </row>
    <row r="259">
      <c r="B259" s="7" t="s">
        <v>653</v>
      </c>
      <c r="C259" s="70" t="str">
        <f>IFERROR(VLOOKUP(B259,'Master data'!$A$1:$F$429,2,FALSE),"")</f>
        <v>P004-022</v>
      </c>
      <c r="D259" s="70" t="str">
        <f>IFERROR(VLOOKUP(B259,'Master data'!$A$1:$F$429,6,FALSE),"")</f>
        <v>barang jadi &amp; bahan baku</v>
      </c>
      <c r="E259" s="71">
        <v>307.0</v>
      </c>
      <c r="F259" s="70" t="str">
        <f>IFERROR(VLOOKUP(B259,'Master data'!$A$1:$F$429,3,FALSE),"")</f>
        <v>GR</v>
      </c>
      <c r="G259" s="99" t="s">
        <v>1216</v>
      </c>
      <c r="H259" s="69" t="s">
        <v>1843</v>
      </c>
      <c r="I259" s="7" t="s">
        <v>1552</v>
      </c>
      <c r="J259" s="7" t="s">
        <v>1561</v>
      </c>
      <c r="K259" s="7" t="b">
        <v>0</v>
      </c>
      <c r="L259" s="7" t="b">
        <v>1</v>
      </c>
    </row>
    <row r="260">
      <c r="B260" s="7" t="s">
        <v>660</v>
      </c>
      <c r="C260" s="70" t="str">
        <f>IFERROR(VLOOKUP(B260,'Master data'!$A$1:$F$429,2,FALSE),"")</f>
        <v>P004-024</v>
      </c>
      <c r="D260" s="70" t="str">
        <f>IFERROR(VLOOKUP(B260,'Master data'!$A$1:$F$429,6,FALSE),"")</f>
        <v>barang jadi &amp; bahan baku</v>
      </c>
      <c r="E260" s="71">
        <v>1906.0</v>
      </c>
      <c r="F260" s="70" t="str">
        <f>IFERROR(VLOOKUP(B260,'Master data'!$A$1:$F$429,3,FALSE),"")</f>
        <v>ML</v>
      </c>
      <c r="G260" s="99" t="s">
        <v>1216</v>
      </c>
      <c r="I260" s="7" t="s">
        <v>1552</v>
      </c>
      <c r="J260" s="7" t="s">
        <v>1561</v>
      </c>
      <c r="K260" s="7" t="b">
        <v>0</v>
      </c>
      <c r="L260" s="7" t="b">
        <v>1</v>
      </c>
    </row>
    <row r="261">
      <c r="B261" s="7" t="s">
        <v>664</v>
      </c>
      <c r="C261" s="70" t="str">
        <f>IFERROR(VLOOKUP(B261,'Master data'!$A$1:$F$429,2,FALSE),"")</f>
        <v>P004-025</v>
      </c>
      <c r="D261" s="70" t="str">
        <f>IFERROR(VLOOKUP(B261,'Master data'!$A$1:$F$429,6,FALSE),"")</f>
        <v>barang jadi &amp; bahan baku</v>
      </c>
      <c r="E261" s="71">
        <v>2038.0</v>
      </c>
      <c r="F261" s="70" t="s">
        <v>78</v>
      </c>
      <c r="G261" s="99" t="s">
        <v>1216</v>
      </c>
      <c r="I261" s="7" t="s">
        <v>1552</v>
      </c>
      <c r="J261" s="7" t="s">
        <v>1561</v>
      </c>
      <c r="K261" s="7" t="b">
        <v>0</v>
      </c>
      <c r="L261" s="7" t="b">
        <v>1</v>
      </c>
    </row>
    <row r="262">
      <c r="A262" s="69">
        <v>28.0</v>
      </c>
      <c r="B262" s="7" t="s">
        <v>926</v>
      </c>
      <c r="C262" s="70" t="str">
        <f>IFERROR(VLOOKUP(B262,'Master data'!$A$1:$F$429,2,FALSE),"")</f>
        <v>B001-165</v>
      </c>
      <c r="D262" s="70" t="str">
        <f>IFERROR(VLOOKUP(B262,'Master data'!$A$1:$F$429,6,FALSE),"")</f>
        <v>bahan baku</v>
      </c>
      <c r="E262" s="71">
        <v>137.0</v>
      </c>
      <c r="F262" s="70" t="s">
        <v>20</v>
      </c>
      <c r="G262" s="99" t="s">
        <v>1224</v>
      </c>
      <c r="H262" s="69" t="s">
        <v>1417</v>
      </c>
      <c r="I262" s="7" t="s">
        <v>1548</v>
      </c>
      <c r="J262" s="7" t="s">
        <v>1561</v>
      </c>
      <c r="K262" s="7" t="b">
        <v>0</v>
      </c>
      <c r="L262" s="7" t="b">
        <v>1</v>
      </c>
    </row>
    <row r="263">
      <c r="A263" s="69"/>
      <c r="B263" s="7" t="s">
        <v>629</v>
      </c>
      <c r="C263" s="70" t="str">
        <f>IFERROR(VLOOKUP(B263,'Master data'!$A$1:$F$429,2,FALSE),"")</f>
        <v>P004-012</v>
      </c>
      <c r="D263" s="70" t="str">
        <f>IFERROR(VLOOKUP(B263,'Master data'!$A$1:$F$429,6,FALSE),"")</f>
        <v>barang jadi &amp; bahan baku</v>
      </c>
      <c r="E263" s="71">
        <v>133.0</v>
      </c>
      <c r="F263" s="70" t="str">
        <f>IFERROR(VLOOKUP(B263,'Master data'!$A$1:$F$429,3,FALSE),"")</f>
        <v>GR</v>
      </c>
      <c r="G263" s="99" t="s">
        <v>1164</v>
      </c>
      <c r="H263" s="69" t="s">
        <v>1384</v>
      </c>
      <c r="I263" s="7" t="s">
        <v>1542</v>
      </c>
      <c r="J263" s="7" t="s">
        <v>1561</v>
      </c>
      <c r="K263" s="7" t="b">
        <v>0</v>
      </c>
      <c r="L263" s="7" t="b">
        <v>1</v>
      </c>
    </row>
    <row r="264">
      <c r="A264" s="69"/>
      <c r="B264" s="7" t="s">
        <v>28</v>
      </c>
      <c r="C264" s="70" t="str">
        <f>IFERROR(VLOOKUP(B264,'Master data'!$A$1:$F$429,2,FALSE),"")</f>
        <v>B001-006</v>
      </c>
      <c r="D264" s="70" t="str">
        <f>IFERROR(VLOOKUP(B264,'Master data'!$A$1:$F$429,6,FALSE),"")</f>
        <v>bahan baku</v>
      </c>
      <c r="E264" s="71">
        <v>28.0</v>
      </c>
      <c r="F264" s="70" t="str">
        <f>IFERROR(VLOOKUP(B264,'Master data'!$A$1:$F$429,3,FALSE),"")</f>
        <v>GR</v>
      </c>
      <c r="G264" s="99" t="s">
        <v>1370</v>
      </c>
      <c r="H264" s="69"/>
      <c r="I264" s="7" t="s">
        <v>1542</v>
      </c>
      <c r="J264" s="7" t="s">
        <v>61</v>
      </c>
      <c r="K264" s="7" t="b">
        <v>0</v>
      </c>
      <c r="L264" s="7" t="b">
        <v>1</v>
      </c>
    </row>
    <row r="265">
      <c r="A265" s="69"/>
      <c r="B265" s="7" t="s">
        <v>148</v>
      </c>
      <c r="C265" s="70" t="str">
        <f>IFERROR(VLOOKUP(B265,'Master data'!$A$1:$F$429,2,FALSE),"")</f>
        <v>B001-064</v>
      </c>
      <c r="D265" s="70" t="str">
        <f>IFERROR(VLOOKUP(B265,'Master data'!$A$1:$F$429,6,FALSE),"")</f>
        <v>bahan baku</v>
      </c>
      <c r="E265" s="71">
        <v>14.0</v>
      </c>
      <c r="F265" s="70" t="str">
        <f>IFERROR(VLOOKUP(B265,'Master data'!$A$1:$F$429,3,FALSE),"")</f>
        <v>GR</v>
      </c>
      <c r="G265" s="99" t="s">
        <v>1370</v>
      </c>
      <c r="H265" s="69"/>
      <c r="I265" s="7" t="s">
        <v>1542</v>
      </c>
      <c r="J265" s="7" t="s">
        <v>61</v>
      </c>
      <c r="K265" s="7" t="b">
        <v>0</v>
      </c>
      <c r="L265" s="7" t="b">
        <v>1</v>
      </c>
    </row>
    <row r="266">
      <c r="A266" s="69"/>
      <c r="B266" s="7" t="s">
        <v>33</v>
      </c>
      <c r="C266" s="70" t="str">
        <f>IFERROR(VLOOKUP(B266,'Master data'!$A$1:$F$429,2,FALSE),"")</f>
        <v>B001-008</v>
      </c>
      <c r="D266" s="70" t="str">
        <f>IFERROR(VLOOKUP(B266,'Master data'!$A$1:$F$429,6,FALSE),"")</f>
        <v>bahan baku</v>
      </c>
      <c r="E266" s="71">
        <f>270/1.56</f>
        <v>173.0769231</v>
      </c>
      <c r="F266" s="70" t="str">
        <f>IFERROR(VLOOKUP(B266,'Master data'!$A$1:$F$429,3,FALSE),"")</f>
        <v>GR</v>
      </c>
      <c r="G266" s="99" t="s">
        <v>1827</v>
      </c>
      <c r="H266" s="69" t="s">
        <v>1417</v>
      </c>
      <c r="I266" s="7" t="s">
        <v>1548</v>
      </c>
      <c r="J266" s="7" t="s">
        <v>1561</v>
      </c>
      <c r="K266" s="7" t="b">
        <v>0</v>
      </c>
      <c r="L266" s="7" t="b">
        <v>1</v>
      </c>
    </row>
    <row r="267">
      <c r="A267" s="69"/>
      <c r="B267" s="7" t="s">
        <v>129</v>
      </c>
      <c r="C267" s="70" t="str">
        <f>IFERROR(VLOOKUP(B267,'Master data'!$A$1:$F$429,2,FALSE),"")</f>
        <v>B001-056</v>
      </c>
      <c r="D267" s="70" t="str">
        <f>IFERROR(VLOOKUP(B267,'Master data'!$A$1:$F$429,6,FALSE),"")</f>
        <v>bahan baku</v>
      </c>
      <c r="E267" s="71">
        <v>1.0</v>
      </c>
      <c r="F267" s="70" t="str">
        <f>IFERROR(VLOOKUP(B267,'Master data'!$A$1:$F$429,3,FALSE),"")</f>
        <v>ML</v>
      </c>
      <c r="G267" s="99" t="s">
        <v>1827</v>
      </c>
      <c r="H267" s="69"/>
      <c r="I267" s="7" t="s">
        <v>1548</v>
      </c>
      <c r="J267" s="7" t="s">
        <v>1561</v>
      </c>
      <c r="K267" s="7" t="b">
        <v>0</v>
      </c>
      <c r="L267" s="7" t="b">
        <v>1</v>
      </c>
    </row>
    <row r="268">
      <c r="A268" s="69"/>
      <c r="B268" s="7" t="s">
        <v>653</v>
      </c>
      <c r="C268" s="70" t="str">
        <f>IFERROR(VLOOKUP(B268,'Master data'!$A$1:$F$429,2,FALSE),"")</f>
        <v>P004-022</v>
      </c>
      <c r="D268" s="70" t="str">
        <f>IFERROR(VLOOKUP(B268,'Master data'!$A$1:$F$429,6,FALSE),"")</f>
        <v>barang jadi &amp; bahan baku</v>
      </c>
      <c r="E268" s="71">
        <v>519.0</v>
      </c>
      <c r="F268" s="70" t="str">
        <f>IFERROR(VLOOKUP(B268,'Master data'!$A$1:$F$429,3,FALSE),"")</f>
        <v>GR</v>
      </c>
      <c r="G268" s="99" t="s">
        <v>1216</v>
      </c>
      <c r="H268" s="69" t="s">
        <v>1843</v>
      </c>
      <c r="I268" s="7" t="s">
        <v>1552</v>
      </c>
      <c r="J268" s="7" t="s">
        <v>1561</v>
      </c>
      <c r="K268" s="7" t="b">
        <v>0</v>
      </c>
      <c r="L268" s="7" t="b">
        <v>1</v>
      </c>
    </row>
    <row r="269">
      <c r="A269" s="69"/>
      <c r="B269" s="7" t="s">
        <v>657</v>
      </c>
      <c r="C269" s="70" t="str">
        <f>IFERROR(VLOOKUP(B269,'Master data'!$A$1:$F$429,2,FALSE),"")</f>
        <v>P004-023</v>
      </c>
      <c r="D269" s="70" t="str">
        <f>IFERROR(VLOOKUP(B269,'Master data'!$A$1:$F$429,6,FALSE),"")</f>
        <v>barang jadi &amp; bahan baku</v>
      </c>
      <c r="E269" s="71">
        <v>673.0</v>
      </c>
      <c r="F269" s="70" t="str">
        <f>IFERROR(VLOOKUP(B269,'Master data'!$A$1:$F$429,3,FALSE),"")</f>
        <v>GR</v>
      </c>
      <c r="G269" s="99" t="s">
        <v>1216</v>
      </c>
      <c r="H269" s="69"/>
      <c r="I269" s="7" t="s">
        <v>1552</v>
      </c>
      <c r="J269" s="7" t="s">
        <v>1561</v>
      </c>
      <c r="K269" s="7" t="b">
        <v>0</v>
      </c>
      <c r="L269" s="7" t="b">
        <v>1</v>
      </c>
    </row>
    <row r="270">
      <c r="A270" s="69"/>
      <c r="B270" s="7" t="s">
        <v>660</v>
      </c>
      <c r="C270" s="70" t="str">
        <f>IFERROR(VLOOKUP(B270,'Master data'!$A$1:$F$429,2,FALSE),"")</f>
        <v>P004-024</v>
      </c>
      <c r="D270" s="70" t="str">
        <f>IFERROR(VLOOKUP(B270,'Master data'!$A$1:$F$429,6,FALSE),"")</f>
        <v>barang jadi &amp; bahan baku</v>
      </c>
      <c r="E270" s="71">
        <v>978.0</v>
      </c>
      <c r="F270" s="70" t="str">
        <f>IFERROR(VLOOKUP(B270,'Master data'!$A$1:$F$429,3,FALSE),"")</f>
        <v>ML</v>
      </c>
      <c r="G270" s="99" t="s">
        <v>1216</v>
      </c>
      <c r="H270" s="69"/>
      <c r="I270" s="7" t="s">
        <v>1552</v>
      </c>
      <c r="J270" s="7" t="s">
        <v>1561</v>
      </c>
      <c r="K270" s="7" t="b">
        <v>0</v>
      </c>
      <c r="L270" s="7" t="b">
        <v>1</v>
      </c>
    </row>
    <row r="271">
      <c r="A271" s="69"/>
      <c r="B271" s="7" t="s">
        <v>664</v>
      </c>
      <c r="C271" s="70" t="str">
        <f>IFERROR(VLOOKUP(B271,'Master data'!$A$1:$F$429,2,FALSE),"")</f>
        <v>P004-025</v>
      </c>
      <c r="D271" s="70" t="str">
        <f>IFERROR(VLOOKUP(B271,'Master data'!$A$1:$F$429,6,FALSE),"")</f>
        <v>barang jadi &amp; bahan baku</v>
      </c>
      <c r="E271" s="71">
        <v>551.0</v>
      </c>
      <c r="F271" s="70" t="s">
        <v>78</v>
      </c>
      <c r="G271" s="99" t="s">
        <v>1216</v>
      </c>
      <c r="H271" s="69"/>
      <c r="I271" s="7" t="s">
        <v>1552</v>
      </c>
      <c r="J271" s="7" t="s">
        <v>1561</v>
      </c>
      <c r="K271" s="7" t="b">
        <v>0</v>
      </c>
      <c r="L271" s="7" t="b">
        <v>1</v>
      </c>
    </row>
    <row r="272">
      <c r="A272" s="69"/>
      <c r="B272" s="7" t="s">
        <v>211</v>
      </c>
      <c r="C272" s="70" t="str">
        <f>IFERROR(VLOOKUP(B272,'Master data'!$A$1:$F$429,2,FALSE),"")</f>
        <v>B001-088</v>
      </c>
      <c r="D272" s="70" t="str">
        <f>IFERROR(VLOOKUP(B272,'Master data'!$A$1:$F$429,6,FALSE),"")</f>
        <v>bahan baku</v>
      </c>
      <c r="E272" s="71">
        <f>1840</f>
        <v>1840</v>
      </c>
      <c r="F272" s="70" t="str">
        <f>IFERROR(VLOOKUP(B272,'Master data'!$A$1:$F$429,3,FALSE),"")</f>
        <v>GR</v>
      </c>
      <c r="G272" s="99" t="s">
        <v>1788</v>
      </c>
      <c r="H272" s="69" t="s">
        <v>1803</v>
      </c>
      <c r="I272" s="7" t="s">
        <v>1556</v>
      </c>
      <c r="J272" s="7" t="s">
        <v>61</v>
      </c>
      <c r="K272" s="7" t="b">
        <v>0</v>
      </c>
      <c r="L272" s="7" t="b">
        <v>1</v>
      </c>
    </row>
    <row r="273">
      <c r="A273" s="69"/>
      <c r="B273" s="7" t="s">
        <v>211</v>
      </c>
      <c r="C273" s="70" t="str">
        <f>IFERROR(VLOOKUP(B273,'Master data'!$A$1:$F$429,2,FALSE),"")</f>
        <v>B001-088</v>
      </c>
      <c r="D273" s="70" t="str">
        <f>IFERROR(VLOOKUP(B273,'Master data'!$A$1:$F$429,6,FALSE),"")</f>
        <v>bahan baku</v>
      </c>
      <c r="E273" s="71">
        <v>1755.0</v>
      </c>
      <c r="F273" s="70" t="str">
        <f>IFERROR(VLOOKUP(B273,'Master data'!$A$1:$F$429,3,FALSE),"")</f>
        <v>GR</v>
      </c>
      <c r="G273" s="99" t="s">
        <v>1788</v>
      </c>
      <c r="H273" s="69" t="s">
        <v>1290</v>
      </c>
      <c r="I273" s="7" t="s">
        <v>1556</v>
      </c>
      <c r="J273" s="7" t="s">
        <v>61</v>
      </c>
      <c r="K273" s="7" t="b">
        <v>0</v>
      </c>
      <c r="L273" s="7" t="b">
        <v>1</v>
      </c>
    </row>
    <row r="274">
      <c r="A274" s="69"/>
      <c r="B274" s="7" t="s">
        <v>26</v>
      </c>
      <c r="C274" s="70" t="str">
        <f>IFERROR(VLOOKUP(B274,'Master data'!$A$1:$F$429,2,FALSE),"")</f>
        <v>B001-005</v>
      </c>
      <c r="D274" s="70" t="str">
        <f>IFERROR(VLOOKUP(B274,'Master data'!$A$1:$F$429,6,FALSE),"")</f>
        <v>bahan baku</v>
      </c>
      <c r="E274" s="71" t="s">
        <v>1844</v>
      </c>
      <c r="F274" s="70" t="str">
        <f>IFERROR(VLOOKUP(B274,'Master data'!$A$1:$F$429,3,FALSE),"")</f>
        <v>PCS</v>
      </c>
      <c r="G274" s="99" t="s">
        <v>1845</v>
      </c>
      <c r="H274" s="69"/>
      <c r="I274" s="7" t="s">
        <v>1556</v>
      </c>
      <c r="J274" s="7" t="s">
        <v>1561</v>
      </c>
      <c r="K274" s="7" t="b">
        <v>0</v>
      </c>
      <c r="L274" s="7" t="b">
        <v>1</v>
      </c>
    </row>
    <row r="275">
      <c r="A275" s="69">
        <v>29.0</v>
      </c>
      <c r="B275" s="7" t="s">
        <v>211</v>
      </c>
      <c r="C275" s="70" t="str">
        <f>IFERROR(VLOOKUP(B275,'Master data'!$A$1:$F$429,2,FALSE),"")</f>
        <v>B001-088</v>
      </c>
      <c r="D275" s="70" t="str">
        <f>IFERROR(VLOOKUP(B275,'Master data'!$A$1:$F$429,6,FALSE),"")</f>
        <v>bahan baku</v>
      </c>
      <c r="E275" s="71">
        <v>2670.0</v>
      </c>
      <c r="F275" s="70" t="str">
        <f>IFERROR(VLOOKUP(B275,'Master data'!$A$1:$F$429,3,FALSE),"")</f>
        <v>GR</v>
      </c>
      <c r="G275" s="99" t="s">
        <v>1788</v>
      </c>
      <c r="H275" s="69"/>
      <c r="I275" s="7" t="s">
        <v>1556</v>
      </c>
      <c r="J275" s="7" t="s">
        <v>61</v>
      </c>
      <c r="K275" s="7" t="b">
        <v>0</v>
      </c>
      <c r="L275" s="7" t="b">
        <v>1</v>
      </c>
    </row>
    <row r="276">
      <c r="A276" s="69"/>
      <c r="B276" s="7" t="s">
        <v>657</v>
      </c>
      <c r="C276" s="70" t="str">
        <f>IFERROR(VLOOKUP(B276,'Master data'!$A$1:$F$429,2,FALSE),"")</f>
        <v>P004-023</v>
      </c>
      <c r="D276" s="70" t="str">
        <f>IFERROR(VLOOKUP(B276,'Master data'!$A$1:$F$429,6,FALSE),"")</f>
        <v>barang jadi &amp; bahan baku</v>
      </c>
      <c r="E276" s="71">
        <v>1208.0</v>
      </c>
      <c r="F276" s="70" t="str">
        <f>IFERROR(VLOOKUP(B276,'Master data'!$A$1:$F$429,3,FALSE),"")</f>
        <v>GR</v>
      </c>
      <c r="G276" s="99" t="s">
        <v>1216</v>
      </c>
      <c r="H276" s="69" t="s">
        <v>1523</v>
      </c>
      <c r="I276" s="7" t="s">
        <v>1552</v>
      </c>
      <c r="J276" s="7" t="s">
        <v>1561</v>
      </c>
      <c r="K276" s="7" t="b">
        <v>0</v>
      </c>
      <c r="L276" s="7" t="b">
        <v>1</v>
      </c>
    </row>
    <row r="277">
      <c r="A277" s="69"/>
      <c r="B277" s="7" t="s">
        <v>653</v>
      </c>
      <c r="C277" s="70" t="str">
        <f>IFERROR(VLOOKUP(B277,'Master data'!$A$1:$F$429,2,FALSE),"")</f>
        <v>P004-022</v>
      </c>
      <c r="D277" s="70" t="str">
        <f>IFERROR(VLOOKUP(B277,'Master data'!$A$1:$F$429,6,FALSE),"")</f>
        <v>barang jadi &amp; bahan baku</v>
      </c>
      <c r="E277" s="71">
        <v>510.0</v>
      </c>
      <c r="F277" s="70" t="str">
        <f>IFERROR(VLOOKUP(B277,'Master data'!$A$1:$F$429,3,FALSE),"")</f>
        <v>GR</v>
      </c>
      <c r="G277" s="99" t="s">
        <v>1216</v>
      </c>
      <c r="H277" s="69"/>
      <c r="I277" s="7" t="s">
        <v>1552</v>
      </c>
      <c r="J277" s="7" t="s">
        <v>1561</v>
      </c>
      <c r="K277" s="7" t="b">
        <v>0</v>
      </c>
      <c r="L277" s="7" t="b">
        <v>1</v>
      </c>
    </row>
    <row r="278">
      <c r="A278" s="69"/>
      <c r="B278" s="7" t="s">
        <v>664</v>
      </c>
      <c r="C278" s="70" t="str">
        <f>IFERROR(VLOOKUP(B278,'Master data'!$A$1:$F$429,2,FALSE),"")</f>
        <v>P004-025</v>
      </c>
      <c r="D278" s="70" t="str">
        <f>IFERROR(VLOOKUP(B278,'Master data'!$A$1:$F$429,6,FALSE),"")</f>
        <v>barang jadi &amp; bahan baku</v>
      </c>
      <c r="E278" s="71">
        <v>485.0</v>
      </c>
      <c r="F278" s="70" t="s">
        <v>78</v>
      </c>
      <c r="G278" s="99" t="s">
        <v>1216</v>
      </c>
      <c r="H278" s="69"/>
      <c r="I278" s="7" t="s">
        <v>1552</v>
      </c>
      <c r="J278" s="7" t="s">
        <v>1561</v>
      </c>
      <c r="K278" s="7" t="b">
        <v>0</v>
      </c>
      <c r="L278" s="7" t="b">
        <v>1</v>
      </c>
    </row>
    <row r="279">
      <c r="A279" s="69"/>
      <c r="B279" s="7" t="s">
        <v>660</v>
      </c>
      <c r="C279" s="70" t="str">
        <f>IFERROR(VLOOKUP(B279,'Master data'!$A$1:$F$429,2,FALSE),"")</f>
        <v>P004-024</v>
      </c>
      <c r="D279" s="70" t="str">
        <f>IFERROR(VLOOKUP(B279,'Master data'!$A$1:$F$429,6,FALSE),"")</f>
        <v>barang jadi &amp; bahan baku</v>
      </c>
      <c r="E279" s="71">
        <v>2270.0</v>
      </c>
      <c r="F279" s="70" t="str">
        <f>IFERROR(VLOOKUP(B279,'Master data'!$A$1:$F$429,3,FALSE),"")</f>
        <v>ML</v>
      </c>
      <c r="G279" s="99" t="s">
        <v>1216</v>
      </c>
      <c r="H279" s="69"/>
      <c r="I279" s="7" t="s">
        <v>1552</v>
      </c>
      <c r="J279" s="7" t="s">
        <v>1561</v>
      </c>
      <c r="K279" s="7" t="b">
        <v>0</v>
      </c>
      <c r="L279" s="7" t="b">
        <v>1</v>
      </c>
    </row>
    <row r="280">
      <c r="A280" s="69"/>
      <c r="B280" s="7" t="s">
        <v>33</v>
      </c>
      <c r="C280" s="70" t="str">
        <f>IFERROR(VLOOKUP(B280,'Master data'!$A$1:$F$429,2,FALSE),"")</f>
        <v>B001-008</v>
      </c>
      <c r="D280" s="70" t="str">
        <f>IFERROR(VLOOKUP(B280,'Master data'!$A$1:$F$429,6,FALSE),"")</f>
        <v>bahan baku</v>
      </c>
      <c r="E280" s="71">
        <f>1040/1.56</f>
        <v>666.6666667</v>
      </c>
      <c r="F280" s="70" t="str">
        <f>IFERROR(VLOOKUP(B280,'Master data'!$A$1:$F$429,3,FALSE),"")</f>
        <v>GR</v>
      </c>
      <c r="G280" s="99" t="s">
        <v>1842</v>
      </c>
      <c r="H280" s="69" t="s">
        <v>1417</v>
      </c>
      <c r="I280" s="7" t="s">
        <v>1548</v>
      </c>
      <c r="J280" s="7" t="s">
        <v>1561</v>
      </c>
      <c r="K280" s="7" t="b">
        <v>0</v>
      </c>
      <c r="L280" s="7" t="b">
        <v>1</v>
      </c>
    </row>
    <row r="281">
      <c r="A281" s="69"/>
      <c r="B281" s="7" t="s">
        <v>129</v>
      </c>
      <c r="C281" s="70" t="str">
        <f>IFERROR(VLOOKUP(B281,'Master data'!$A$1:$F$429,2,FALSE),"")</f>
        <v>B001-056</v>
      </c>
      <c r="D281" s="70" t="str">
        <f>IFERROR(VLOOKUP(B281,'Master data'!$A$1:$F$429,6,FALSE),"")</f>
        <v>bahan baku</v>
      </c>
      <c r="E281" s="71">
        <v>6.0</v>
      </c>
      <c r="F281" s="70" t="str">
        <f>IFERROR(VLOOKUP(B281,'Master data'!$A$1:$F$429,3,FALSE),"")</f>
        <v>ML</v>
      </c>
      <c r="G281" s="99" t="s">
        <v>1842</v>
      </c>
      <c r="H281" s="69"/>
      <c r="I281" s="7" t="s">
        <v>1548</v>
      </c>
      <c r="J281" s="7" t="s">
        <v>1561</v>
      </c>
      <c r="K281" s="7" t="b">
        <v>0</v>
      </c>
      <c r="L281" s="7" t="b">
        <v>1</v>
      </c>
    </row>
    <row r="282">
      <c r="A282" s="69">
        <v>30.0</v>
      </c>
      <c r="B282" s="7" t="s">
        <v>139</v>
      </c>
      <c r="C282" s="70" t="str">
        <f>IFERROR(VLOOKUP(B282,'Master data'!$A$1:$F$429,2,FALSE),"")</f>
        <v>B001-061</v>
      </c>
      <c r="D282" s="70" t="str">
        <f>IFERROR(VLOOKUP(B282,'Master data'!$A$1:$F$429,6,FALSE),"")</f>
        <v>bahan baku</v>
      </c>
      <c r="E282" s="71">
        <v>49.0</v>
      </c>
      <c r="F282" s="70" t="str">
        <f>IFERROR(VLOOKUP(B282,'Master data'!$A$1:$F$429,3,FALSE),"")</f>
        <v>GR</v>
      </c>
      <c r="G282" s="99" t="s">
        <v>1841</v>
      </c>
      <c r="H282" s="69" t="s">
        <v>1539</v>
      </c>
      <c r="I282" s="7" t="s">
        <v>1542</v>
      </c>
      <c r="J282" s="7" t="s">
        <v>61</v>
      </c>
      <c r="K282" s="7" t="b">
        <v>0</v>
      </c>
      <c r="L282" s="7" t="b">
        <v>1</v>
      </c>
    </row>
    <row r="283">
      <c r="A283" s="69"/>
      <c r="B283" s="7" t="s">
        <v>28</v>
      </c>
      <c r="C283" s="7" t="str">
        <f>IFERROR(VLOOKUP(B283,'Master data'!$A$1:$D$397,2,FALSE),"")</f>
        <v>B001-006</v>
      </c>
      <c r="D283" s="70" t="str">
        <f>VLOOKUP(B283,Sheet3!$B$2:$E$312,3,)</f>
        <v>bahan baku</v>
      </c>
      <c r="E283" s="71">
        <v>13.0</v>
      </c>
      <c r="F283" s="70" t="str">
        <f>IFERROR(VLOOKUP(B283,'Master data'!$A$1:$F$429,3,FALSE),"")</f>
        <v>GR</v>
      </c>
      <c r="G283" s="99" t="s">
        <v>1824</v>
      </c>
      <c r="H283" s="69"/>
      <c r="I283" s="7" t="s">
        <v>1542</v>
      </c>
      <c r="J283" s="7" t="s">
        <v>61</v>
      </c>
      <c r="K283" s="7" t="b">
        <v>0</v>
      </c>
      <c r="L283" s="7" t="b">
        <v>1</v>
      </c>
    </row>
    <row r="284">
      <c r="A284" s="69"/>
      <c r="B284" s="7" t="s">
        <v>620</v>
      </c>
      <c r="C284" s="7" t="str">
        <f>IFERROR(VLOOKUP(B284,'Master data'!$A$1:$D$397,2,FALSE),"")</f>
        <v>P004-009</v>
      </c>
      <c r="D284" s="70" t="str">
        <f>VLOOKUP(B284,Sheet3!$B$2:$E$312,3,)</f>
        <v>barang jadi &amp; bahan baku</v>
      </c>
      <c r="E284" s="71">
        <v>171.0</v>
      </c>
      <c r="F284" s="70" t="str">
        <f>IFERROR(VLOOKUP(B284,'Master data'!$A$1:$F$429,3,FALSE),"")</f>
        <v>GR</v>
      </c>
      <c r="G284" s="99" t="s">
        <v>1245</v>
      </c>
      <c r="H284" s="69"/>
      <c r="I284" s="7" t="s">
        <v>1542</v>
      </c>
      <c r="J284" s="7" t="s">
        <v>1561</v>
      </c>
      <c r="K284" s="7" t="b">
        <v>0</v>
      </c>
      <c r="L284" s="7" t="b">
        <v>1</v>
      </c>
    </row>
    <row r="285">
      <c r="A285" s="69"/>
      <c r="B285" s="7" t="s">
        <v>1257</v>
      </c>
      <c r="C285" s="7" t="str">
        <f>IFERROR(VLOOKUP(B285,'Master data'!$A$1:$D$397,2,FALSE),"")</f>
        <v>P004-043</v>
      </c>
      <c r="D285" s="70" t="str">
        <f>VLOOKUP(B285,Sheet3!$B$2:$E$312,3,)</f>
        <v>#N/A</v>
      </c>
      <c r="E285" s="71">
        <v>45.0</v>
      </c>
      <c r="F285" s="70" t="s">
        <v>20</v>
      </c>
      <c r="G285" s="99" t="s">
        <v>1164</v>
      </c>
      <c r="H285" s="69"/>
      <c r="I285" s="7" t="s">
        <v>1542</v>
      </c>
      <c r="J285" s="7" t="s">
        <v>1561</v>
      </c>
      <c r="K285" s="7" t="b">
        <v>0</v>
      </c>
      <c r="L285" s="7" t="b">
        <v>1</v>
      </c>
    </row>
    <row r="286">
      <c r="A286" s="69"/>
      <c r="B286" s="7" t="s">
        <v>33</v>
      </c>
      <c r="C286" s="7" t="str">
        <f>IFERROR(VLOOKUP(B286,'Master data'!$A$1:$D$397,2,FALSE),"")</f>
        <v>B001-008</v>
      </c>
      <c r="D286" s="70" t="str">
        <f>VLOOKUP(B286,Sheet3!$B$2:$E$312,3,)</f>
        <v>bahan baku</v>
      </c>
      <c r="E286" s="71">
        <f>725/1.56</f>
        <v>464.7435897</v>
      </c>
      <c r="F286" s="70" t="str">
        <f>IFERROR(VLOOKUP(B286,'Master data'!$A$1:$F$429,3,FALSE),"")</f>
        <v>GR</v>
      </c>
      <c r="G286" s="99" t="s">
        <v>1842</v>
      </c>
      <c r="H286" s="69" t="s">
        <v>1417</v>
      </c>
      <c r="I286" s="7" t="s">
        <v>1548</v>
      </c>
      <c r="J286" s="7" t="s">
        <v>1561</v>
      </c>
      <c r="K286" s="7" t="b">
        <v>0</v>
      </c>
      <c r="L286" s="7" t="b">
        <v>1</v>
      </c>
    </row>
    <row r="287">
      <c r="A287" s="69"/>
      <c r="B287" s="7" t="s">
        <v>129</v>
      </c>
      <c r="C287" s="7" t="str">
        <f>IFERROR(VLOOKUP(B287,'Master data'!$A$1:$D$397,2,FALSE),"")</f>
        <v>B001-056</v>
      </c>
      <c r="D287" s="70" t="str">
        <f>VLOOKUP(B287,Sheet3!$B$2:$E$312,3,)</f>
        <v>bahan baku</v>
      </c>
      <c r="E287" s="71">
        <v>4.0</v>
      </c>
      <c r="F287" s="70" t="str">
        <f>IFERROR(VLOOKUP(B287,'Master data'!$A$1:$F$429,3,FALSE),"")</f>
        <v>ML</v>
      </c>
      <c r="G287" s="99" t="s">
        <v>1842</v>
      </c>
      <c r="H287" s="69"/>
      <c r="I287" s="7" t="s">
        <v>1548</v>
      </c>
      <c r="J287" s="7" t="s">
        <v>1561</v>
      </c>
      <c r="K287" s="7" t="b">
        <v>0</v>
      </c>
      <c r="L287" s="7" t="b">
        <v>1</v>
      </c>
    </row>
    <row r="288">
      <c r="A288" s="69"/>
      <c r="B288" s="7" t="s">
        <v>664</v>
      </c>
      <c r="C288" s="7" t="str">
        <f>IFERROR(VLOOKUP(B288,'Master data'!$A$1:$D$397,2,FALSE),"")</f>
        <v>P004-025</v>
      </c>
      <c r="D288" s="70" t="str">
        <f>VLOOKUP(B288,Sheet3!$B$2:$E$312,3,)</f>
        <v>barang jadi &amp; bahan baku</v>
      </c>
      <c r="E288" s="71">
        <v>894.0</v>
      </c>
      <c r="F288" s="70" t="s">
        <v>78</v>
      </c>
      <c r="G288" s="99" t="s">
        <v>1216</v>
      </c>
      <c r="H288" s="69" t="s">
        <v>1567</v>
      </c>
      <c r="I288" s="7" t="s">
        <v>1542</v>
      </c>
      <c r="J288" s="7" t="s">
        <v>1561</v>
      </c>
      <c r="K288" s="7" t="b">
        <v>0</v>
      </c>
      <c r="L288" s="7" t="b">
        <v>1</v>
      </c>
    </row>
    <row r="289">
      <c r="A289" s="69"/>
      <c r="B289" s="7" t="s">
        <v>653</v>
      </c>
      <c r="C289" s="7" t="str">
        <f>IFERROR(VLOOKUP(B289,'Master data'!$A$1:$D$397,2,FALSE),"")</f>
        <v>P004-022</v>
      </c>
      <c r="D289" s="70" t="str">
        <f>VLOOKUP(B289,Sheet3!$B$2:$E$312,3,)</f>
        <v>barang jadi &amp; bahan baku</v>
      </c>
      <c r="E289" s="71">
        <v>694.0</v>
      </c>
      <c r="F289" s="70" t="str">
        <f>IFERROR(VLOOKUP(B289,'Master data'!$A$1:$F$429,3,FALSE),"")</f>
        <v>GR</v>
      </c>
      <c r="G289" s="99" t="s">
        <v>1216</v>
      </c>
      <c r="H289" s="69"/>
      <c r="I289" s="7" t="s">
        <v>1542</v>
      </c>
      <c r="J289" s="7" t="s">
        <v>1561</v>
      </c>
      <c r="K289" s="7" t="b">
        <v>0</v>
      </c>
      <c r="L289" s="7" t="b">
        <v>1</v>
      </c>
    </row>
    <row r="290">
      <c r="A290" s="69">
        <v>31.0</v>
      </c>
      <c r="B290" s="7" t="s">
        <v>28</v>
      </c>
      <c r="C290" s="7" t="str">
        <f>IFERROR(VLOOKUP(B290,'Master data'!$A$1:$D$397,2,FALSE),"")</f>
        <v>B001-006</v>
      </c>
      <c r="D290" s="70" t="str">
        <f>VLOOKUP(B290,Sheet3!$B$2:$E$312,3,)</f>
        <v>bahan baku</v>
      </c>
      <c r="E290" s="71">
        <v>7.0</v>
      </c>
      <c r="F290" s="70" t="str">
        <f>IFERROR(VLOOKUP(B290,'Master data'!$A$1:$F$429,3,FALSE),"")</f>
        <v>GR</v>
      </c>
      <c r="G290" s="99" t="s">
        <v>1370</v>
      </c>
      <c r="H290" s="69" t="s">
        <v>1539</v>
      </c>
      <c r="I290" s="7" t="s">
        <v>1542</v>
      </c>
      <c r="J290" s="7" t="s">
        <v>61</v>
      </c>
      <c r="K290" s="7" t="b">
        <v>0</v>
      </c>
      <c r="L290" s="7" t="b">
        <v>1</v>
      </c>
    </row>
    <row r="291">
      <c r="A291" s="69"/>
      <c r="B291" s="7" t="s">
        <v>298</v>
      </c>
      <c r="C291" s="7" t="str">
        <f>IFERROR(VLOOKUP(B291,'Master data'!$A$1:$D$397,2,FALSE),"")</f>
        <v>B001-125</v>
      </c>
      <c r="D291" s="70" t="str">
        <f>VLOOKUP(B291,Sheet3!$B$2:$E$312,3,)</f>
        <v>bahan baku</v>
      </c>
      <c r="E291" s="71">
        <v>112.0</v>
      </c>
      <c r="F291" s="70" t="str">
        <f>IFERROR(VLOOKUP(B291,'Master data'!$A$1:$F$429,3,FALSE),"")</f>
        <v>GR</v>
      </c>
      <c r="G291" s="99" t="s">
        <v>1836</v>
      </c>
      <c r="H291" s="69" t="s">
        <v>1441</v>
      </c>
      <c r="I291" s="7" t="s">
        <v>1542</v>
      </c>
      <c r="J291" s="7" t="s">
        <v>61</v>
      </c>
      <c r="K291" s="7" t="b">
        <v>0</v>
      </c>
      <c r="L291" s="7" t="b">
        <v>1</v>
      </c>
    </row>
    <row r="292">
      <c r="A292" s="69"/>
      <c r="B292" s="7" t="s">
        <v>28</v>
      </c>
      <c r="C292" s="7" t="str">
        <f>IFERROR(VLOOKUP(B292,'Master data'!$A$1:$D$397,2,FALSE),"")</f>
        <v>B001-006</v>
      </c>
      <c r="D292" s="70" t="str">
        <f>VLOOKUP(B292,Sheet3!$B$2:$E$312,3,)</f>
        <v>bahan baku</v>
      </c>
      <c r="E292" s="71">
        <v>10.0</v>
      </c>
      <c r="F292" s="70" t="str">
        <f>IFERROR(VLOOKUP(B292,'Master data'!$A$1:$F$429,3,FALSE),"")</f>
        <v>GR</v>
      </c>
      <c r="G292" s="99" t="s">
        <v>1370</v>
      </c>
      <c r="H292" s="65"/>
      <c r="I292" s="7" t="s">
        <v>1542</v>
      </c>
      <c r="J292" s="7" t="s">
        <v>61</v>
      </c>
      <c r="K292" s="7" t="b">
        <v>0</v>
      </c>
      <c r="L292" s="7" t="b">
        <v>1</v>
      </c>
    </row>
    <row r="293">
      <c r="A293" s="69"/>
      <c r="B293" s="7" t="s">
        <v>664</v>
      </c>
      <c r="C293" s="7" t="str">
        <f>IFERROR(VLOOKUP(B293,'Master data'!$A$1:$D$397,2,FALSE),"")</f>
        <v>P004-025</v>
      </c>
      <c r="D293" s="70" t="str">
        <f>VLOOKUP(B293,Sheet3!$B$2:$E$312,3,)</f>
        <v>barang jadi &amp; bahan baku</v>
      </c>
      <c r="E293" s="71">
        <v>615.0</v>
      </c>
      <c r="F293" s="70" t="s">
        <v>78</v>
      </c>
      <c r="G293" s="99" t="s">
        <v>1216</v>
      </c>
      <c r="H293" s="69" t="s">
        <v>1843</v>
      </c>
      <c r="I293" s="7" t="s">
        <v>1552</v>
      </c>
      <c r="J293" s="7" t="s">
        <v>1561</v>
      </c>
      <c r="K293" s="7" t="b">
        <v>0</v>
      </c>
      <c r="L293" s="7" t="b">
        <v>1</v>
      </c>
    </row>
    <row r="294">
      <c r="A294" s="69"/>
      <c r="B294" s="7" t="s">
        <v>65</v>
      </c>
      <c r="C294" s="7" t="str">
        <f>IFERROR(VLOOKUP(B294,'Master data'!$A$1:$D$397,2,FALSE),"")</f>
        <v>B001-023</v>
      </c>
      <c r="D294" s="70" t="str">
        <f>VLOOKUP(B294,Sheet3!$B$2:$E$312,3,)</f>
        <v>bahan baku</v>
      </c>
      <c r="E294" s="71">
        <v>91.0</v>
      </c>
      <c r="F294" s="70" t="str">
        <f>IFERROR(VLOOKUP(B294,'Master data'!$A$1:$F$429,3,FALSE),"")</f>
        <v>GR</v>
      </c>
      <c r="G294" s="99" t="s">
        <v>1164</v>
      </c>
      <c r="H294" s="69" t="s">
        <v>1441</v>
      </c>
      <c r="I294" s="7" t="s">
        <v>1542</v>
      </c>
      <c r="J294" s="7" t="s">
        <v>1561</v>
      </c>
      <c r="K294" s="7" t="b">
        <v>0</v>
      </c>
      <c r="L294" s="7" t="b">
        <v>1</v>
      </c>
    </row>
    <row r="295">
      <c r="A295" s="69"/>
      <c r="B295" s="7" t="s">
        <v>629</v>
      </c>
      <c r="C295" s="7" t="str">
        <f>IFERROR(VLOOKUP(B295,'Master data'!$A$1:$D$397,2,FALSE),"")</f>
        <v>P004-012</v>
      </c>
      <c r="D295" s="70" t="str">
        <f>VLOOKUP(B295,Sheet3!$B$2:$E$312,3,)</f>
        <v>barang jadi &amp; bahan baku</v>
      </c>
      <c r="E295" s="71">
        <v>16.0</v>
      </c>
      <c r="F295" s="70" t="str">
        <f>IFERROR(VLOOKUP(B295,'Master data'!$A$1:$F$429,3,FALSE),"")</f>
        <v>GR</v>
      </c>
      <c r="G295" s="99" t="s">
        <v>1164</v>
      </c>
      <c r="H295" s="65"/>
      <c r="I295" s="7" t="s">
        <v>1542</v>
      </c>
      <c r="J295" s="7" t="s">
        <v>1561</v>
      </c>
      <c r="K295" s="7" t="b">
        <v>0</v>
      </c>
      <c r="L295" s="7" t="b">
        <v>1</v>
      </c>
    </row>
    <row r="296">
      <c r="A296" s="69"/>
      <c r="B296" s="7" t="s">
        <v>148</v>
      </c>
      <c r="C296" s="7" t="str">
        <f>IFERROR(VLOOKUP(B296,'Master data'!$A$1:$D$397,2,FALSE),"")</f>
        <v>B001-064</v>
      </c>
      <c r="D296" s="70" t="str">
        <f>VLOOKUP(B296,Sheet3!$B$2:$E$312,3,)</f>
        <v>bahan baku</v>
      </c>
      <c r="E296" s="71">
        <v>14.0</v>
      </c>
      <c r="F296" s="70" t="str">
        <f>IFERROR(VLOOKUP(B296,'Master data'!$A$1:$F$429,3,FALSE),"")</f>
        <v>GR</v>
      </c>
      <c r="G296" s="99" t="s">
        <v>1824</v>
      </c>
      <c r="H296" s="65"/>
      <c r="I296" s="7" t="s">
        <v>1542</v>
      </c>
      <c r="J296" s="7" t="s">
        <v>61</v>
      </c>
      <c r="K296" s="7" t="b">
        <v>0</v>
      </c>
      <c r="L296" s="7" t="b">
        <v>1</v>
      </c>
    </row>
    <row r="297">
      <c r="A297" s="69"/>
      <c r="B297" s="7" t="s">
        <v>653</v>
      </c>
      <c r="C297" s="7" t="str">
        <f>IFERROR(VLOOKUP(B297,'Master data'!$A$1:$D$397,2,FALSE),"")</f>
        <v>P004-022</v>
      </c>
      <c r="D297" s="70" t="str">
        <f>VLOOKUP(B297,Sheet3!$B$2:$E$312,3,)</f>
        <v>barang jadi &amp; bahan baku</v>
      </c>
      <c r="E297" s="71">
        <v>254.0</v>
      </c>
      <c r="F297" s="70" t="str">
        <f>IFERROR(VLOOKUP(B297,'Master data'!$A$1:$F$429,3,FALSE),"")</f>
        <v>GR</v>
      </c>
      <c r="G297" s="99" t="s">
        <v>1216</v>
      </c>
      <c r="H297" s="69" t="s">
        <v>1843</v>
      </c>
      <c r="I297" s="7" t="s">
        <v>1552</v>
      </c>
      <c r="J297" s="7" t="s">
        <v>1561</v>
      </c>
      <c r="K297" s="7" t="b">
        <v>0</v>
      </c>
      <c r="L297" s="7" t="b">
        <v>1</v>
      </c>
    </row>
    <row r="298">
      <c r="A298" s="69"/>
      <c r="B298" s="7" t="s">
        <v>660</v>
      </c>
      <c r="C298" s="7" t="str">
        <f>IFERROR(VLOOKUP(B298,'Master data'!$A$1:$D$397,2,FALSE),"")</f>
        <v>P004-024</v>
      </c>
      <c r="D298" s="70" t="str">
        <f>VLOOKUP(B298,Sheet3!$B$2:$E$312,3,)</f>
        <v>barang jadi &amp; bahan baku</v>
      </c>
      <c r="E298" s="71">
        <v>397.0</v>
      </c>
      <c r="F298" s="70" t="str">
        <f>IFERROR(VLOOKUP(B298,'Master data'!$A$1:$F$429,3,FALSE),"")</f>
        <v>ML</v>
      </c>
      <c r="G298" s="99" t="s">
        <v>1216</v>
      </c>
      <c r="H298" s="65"/>
      <c r="I298" s="7" t="s">
        <v>1552</v>
      </c>
      <c r="J298" s="7" t="s">
        <v>1561</v>
      </c>
      <c r="K298" s="7" t="b">
        <v>0</v>
      </c>
      <c r="L298" s="7" t="b">
        <v>1</v>
      </c>
    </row>
    <row r="299">
      <c r="A299" s="69"/>
      <c r="B299" s="7" t="s">
        <v>211</v>
      </c>
      <c r="C299" s="7" t="str">
        <f>IFERROR(VLOOKUP(B299,'Master data'!$A$1:$D$397,2,FALSE),"")</f>
        <v>B001-088</v>
      </c>
      <c r="D299" s="70" t="str">
        <f>VLOOKUP(B299,Sheet3!$B$2:$E$312,3,)</f>
        <v>bahan baku</v>
      </c>
      <c r="E299" s="71">
        <v>3935.0</v>
      </c>
      <c r="F299" s="70" t="str">
        <f>IFERROR(VLOOKUP(B299,'Master data'!$A$1:$F$429,3,FALSE),"")</f>
        <v>GR</v>
      </c>
      <c r="G299" s="99" t="s">
        <v>1788</v>
      </c>
      <c r="H299" s="69" t="s">
        <v>1290</v>
      </c>
      <c r="I299" s="7" t="s">
        <v>1556</v>
      </c>
      <c r="J299" s="7" t="s">
        <v>61</v>
      </c>
      <c r="K299" s="16" t="b">
        <v>0</v>
      </c>
      <c r="L299" s="7" t="b">
        <v>1</v>
      </c>
    </row>
    <row r="300">
      <c r="A300" s="69"/>
      <c r="B300" s="16"/>
      <c r="C300" s="7" t="str">
        <f>IFERROR(VLOOKUP(B300,'Master data'!$A$1:$D$397,2,FALSE),"")</f>
        <v/>
      </c>
      <c r="D300" s="70" t="str">
        <f>VLOOKUP(B300,Sheet3!$B$2:$E$312,3,)</f>
        <v>#N/A</v>
      </c>
      <c r="E300" s="71"/>
      <c r="F300" s="70" t="str">
        <f>IFERROR(VLOOKUP(B300,'Master data'!$A$1:$F$429,3,FALSE),"")</f>
        <v/>
      </c>
      <c r="G300" s="102"/>
      <c r="H300" s="65"/>
      <c r="I300" s="16"/>
      <c r="J300" s="16"/>
      <c r="K300" s="16" t="b">
        <v>0</v>
      </c>
      <c r="L300" s="16" t="b">
        <v>0</v>
      </c>
    </row>
    <row r="301">
      <c r="A301" s="69"/>
      <c r="B301" s="16"/>
      <c r="C301" s="7" t="str">
        <f>IFERROR(VLOOKUP(B301,'Master data'!$A$1:$D$397,2,FALSE),"")</f>
        <v/>
      </c>
      <c r="D301" s="70" t="str">
        <f>VLOOKUP(B301,Sheet3!$B$2:$E$312,3,)</f>
        <v>#N/A</v>
      </c>
      <c r="E301" s="71"/>
      <c r="F301" s="70" t="str">
        <f>IFERROR(VLOOKUP(B301,'Master data'!$A$1:$F$429,3,FALSE),"")</f>
        <v/>
      </c>
      <c r="G301" s="102"/>
      <c r="H301" s="65"/>
      <c r="I301" s="16"/>
      <c r="J301" s="16"/>
      <c r="K301" s="16" t="b">
        <v>0</v>
      </c>
      <c r="L301" s="16" t="b">
        <v>0</v>
      </c>
    </row>
    <row r="302">
      <c r="A302" s="69"/>
      <c r="B302" s="16"/>
      <c r="C302" s="7" t="str">
        <f>IFERROR(VLOOKUP(B302,'Master data'!$A$1:$D$397,2,FALSE),"")</f>
        <v/>
      </c>
      <c r="D302" s="70" t="str">
        <f>VLOOKUP(B302,Sheet3!$B$2:$E$312,3,)</f>
        <v>#N/A</v>
      </c>
      <c r="E302" s="71"/>
      <c r="F302" s="70" t="str">
        <f>IFERROR(VLOOKUP(B302,'Master data'!$A$1:$F$429,3,FALSE),"")</f>
        <v/>
      </c>
      <c r="G302" s="102"/>
      <c r="H302" s="65"/>
      <c r="I302" s="16"/>
      <c r="J302" s="16"/>
      <c r="K302" s="16" t="b">
        <v>0</v>
      </c>
      <c r="L302" s="16" t="b">
        <v>0</v>
      </c>
    </row>
    <row r="303">
      <c r="A303" s="69"/>
      <c r="B303" s="16"/>
      <c r="C303" s="7" t="str">
        <f>IFERROR(VLOOKUP(B303,'Master data'!$A$1:$D$397,2,FALSE),"")</f>
        <v/>
      </c>
      <c r="D303" s="70" t="str">
        <f>VLOOKUP(B303,Sheet3!$B$2:$E$312,3,)</f>
        <v>#N/A</v>
      </c>
      <c r="E303" s="71"/>
      <c r="F303" s="70" t="str">
        <f>IFERROR(VLOOKUP(B303,'Master data'!$A$1:$F$429,3,FALSE),"")</f>
        <v/>
      </c>
      <c r="G303" s="102"/>
      <c r="H303" s="65"/>
      <c r="I303" s="16"/>
      <c r="J303" s="16"/>
      <c r="K303" s="16" t="b">
        <v>0</v>
      </c>
      <c r="L303" s="16" t="b">
        <v>0</v>
      </c>
    </row>
    <row r="304">
      <c r="A304" s="69"/>
      <c r="B304" s="16"/>
      <c r="C304" s="7" t="str">
        <f>IFERROR(VLOOKUP(B304,'Master data'!$A$1:$D$397,2,FALSE),"")</f>
        <v/>
      </c>
      <c r="D304" s="70" t="str">
        <f>VLOOKUP(B304,Sheet3!$B$2:$E$312,3,)</f>
        <v>#N/A</v>
      </c>
      <c r="E304" s="71"/>
      <c r="F304" s="70" t="str">
        <f>IFERROR(VLOOKUP(B304,'Master data'!$A$1:$F$429,3,FALSE),"")</f>
        <v/>
      </c>
      <c r="G304" s="102"/>
      <c r="H304" s="65"/>
      <c r="I304" s="16"/>
      <c r="J304" s="16"/>
      <c r="K304" s="16" t="b">
        <v>0</v>
      </c>
      <c r="L304" s="16" t="b">
        <v>0</v>
      </c>
    </row>
    <row r="305">
      <c r="A305" s="69"/>
      <c r="B305" s="16"/>
      <c r="C305" s="7" t="str">
        <f>IFERROR(VLOOKUP(B305,'Master data'!$A$1:$D$397,2,FALSE),"")</f>
        <v/>
      </c>
      <c r="D305" s="70" t="str">
        <f>VLOOKUP(B305,Sheet3!$B$2:$E$312,3,)</f>
        <v>#N/A</v>
      </c>
      <c r="E305" s="71"/>
      <c r="F305" s="70" t="str">
        <f>IFERROR(VLOOKUP(B305,'Master data'!$A$1:$F$429,3,FALSE),"")</f>
        <v/>
      </c>
      <c r="G305" s="102"/>
      <c r="H305" s="65"/>
      <c r="I305" s="16"/>
      <c r="J305" s="16"/>
      <c r="K305" s="16" t="b">
        <v>0</v>
      </c>
      <c r="L305" s="16" t="b">
        <v>0</v>
      </c>
    </row>
    <row r="306">
      <c r="A306" s="69"/>
      <c r="B306" s="16"/>
      <c r="C306" s="7" t="str">
        <f>IFERROR(VLOOKUP(B306,'Master data'!$A$1:$D$397,2,FALSE),"")</f>
        <v/>
      </c>
      <c r="D306" s="70" t="str">
        <f>VLOOKUP(B306,Sheet3!$B$2:$E$312,3,)</f>
        <v>#N/A</v>
      </c>
      <c r="E306" s="71"/>
      <c r="F306" s="70" t="str">
        <f>IFERROR(VLOOKUP(B306,'Master data'!$A$1:$F$429,3,FALSE),"")</f>
        <v/>
      </c>
      <c r="G306" s="102"/>
      <c r="H306" s="65"/>
      <c r="I306" s="16"/>
      <c r="J306" s="16"/>
      <c r="K306" s="16" t="b">
        <v>0</v>
      </c>
      <c r="L306" s="16" t="b">
        <v>0</v>
      </c>
    </row>
    <row r="307">
      <c r="A307" s="69"/>
      <c r="B307" s="16"/>
      <c r="C307" s="7" t="str">
        <f>IFERROR(VLOOKUP(B307,'Master data'!$A$1:$D$397,2,FALSE),"")</f>
        <v/>
      </c>
      <c r="D307" s="70" t="str">
        <f>VLOOKUP(B307,Sheet3!$B$2:$E$312,3,)</f>
        <v>#N/A</v>
      </c>
      <c r="E307" s="71"/>
      <c r="F307" s="70" t="str">
        <f>IFERROR(VLOOKUP(B307,'Master data'!$A$1:$F$429,3,FALSE),"")</f>
        <v/>
      </c>
      <c r="G307" s="102"/>
      <c r="H307" s="65"/>
      <c r="I307" s="16"/>
      <c r="J307" s="16"/>
      <c r="K307" s="16" t="b">
        <v>0</v>
      </c>
      <c r="L307" s="16" t="b">
        <v>0</v>
      </c>
    </row>
    <row r="308">
      <c r="A308" s="69"/>
      <c r="B308" s="16"/>
      <c r="C308" s="7" t="str">
        <f>IFERROR(VLOOKUP(B308,'Master data'!$A$1:$D$397,2,FALSE),"")</f>
        <v/>
      </c>
      <c r="D308" s="70" t="str">
        <f>VLOOKUP(B308,Sheet3!$B$2:$E$312,3,)</f>
        <v>#N/A</v>
      </c>
      <c r="E308" s="71"/>
      <c r="F308" s="70" t="str">
        <f>IFERROR(VLOOKUP(B308,'Master data'!$A$1:$F$429,3,FALSE),"")</f>
        <v/>
      </c>
      <c r="G308" s="102"/>
      <c r="H308" s="65"/>
      <c r="I308" s="16"/>
      <c r="J308" s="16"/>
      <c r="K308" s="16" t="b">
        <v>0</v>
      </c>
      <c r="L308" s="16" t="b">
        <v>0</v>
      </c>
    </row>
    <row r="309">
      <c r="A309" s="69"/>
      <c r="B309" s="16"/>
      <c r="C309" s="7" t="str">
        <f>IFERROR(VLOOKUP(B309,'Master data'!$A$1:$D$397,2,FALSE),"")</f>
        <v/>
      </c>
      <c r="D309" s="70" t="str">
        <f>VLOOKUP(B309,Sheet3!$B$2:$E$312,3,)</f>
        <v>#N/A</v>
      </c>
      <c r="E309" s="71"/>
      <c r="F309" s="70" t="str">
        <f>IFERROR(VLOOKUP(B309,'Master data'!$A$1:$F$429,3,FALSE),"")</f>
        <v/>
      </c>
      <c r="G309" s="102"/>
      <c r="H309" s="65"/>
      <c r="I309" s="16"/>
      <c r="J309" s="16"/>
      <c r="K309" s="16" t="b">
        <v>0</v>
      </c>
      <c r="L309" s="16" t="b">
        <v>0</v>
      </c>
    </row>
    <row r="310">
      <c r="A310" s="69"/>
      <c r="B310" s="16"/>
      <c r="C310" s="7" t="str">
        <f>IFERROR(VLOOKUP(B310,'Master data'!$A$1:$D$397,2,FALSE),"")</f>
        <v/>
      </c>
      <c r="D310" s="70" t="str">
        <f>VLOOKUP(B310,Sheet3!$B$2:$E$312,3,)</f>
        <v>#N/A</v>
      </c>
      <c r="E310" s="71"/>
      <c r="F310" s="70" t="str">
        <f>IFERROR(VLOOKUP(B310,'Master data'!$A$1:$F$429,3,FALSE),"")</f>
        <v/>
      </c>
      <c r="G310" s="102"/>
      <c r="H310" s="65"/>
      <c r="I310" s="16"/>
      <c r="J310" s="16"/>
      <c r="K310" s="16" t="b">
        <v>0</v>
      </c>
      <c r="L310" s="16" t="b">
        <v>0</v>
      </c>
    </row>
    <row r="311">
      <c r="A311" s="69"/>
      <c r="B311" s="16"/>
      <c r="C311" s="7" t="str">
        <f>IFERROR(VLOOKUP(B311,'Master data'!$A$1:$D$397,2,FALSE),"")</f>
        <v/>
      </c>
      <c r="D311" s="70" t="str">
        <f>VLOOKUP(B311,Sheet3!$B$2:$E$312,3,)</f>
        <v>#N/A</v>
      </c>
      <c r="E311" s="71"/>
      <c r="F311" s="70" t="str">
        <f>IFERROR(VLOOKUP(B311,'Master data'!$A$1:$F$429,3,FALSE),"")</f>
        <v/>
      </c>
      <c r="G311" s="102"/>
      <c r="H311" s="65"/>
      <c r="I311" s="16"/>
      <c r="J311" s="16"/>
      <c r="K311" s="16" t="b">
        <v>0</v>
      </c>
      <c r="L311" s="16" t="b">
        <v>0</v>
      </c>
    </row>
    <row r="312">
      <c r="A312" s="9"/>
      <c r="B312" s="16"/>
      <c r="C312" s="7" t="str">
        <f>IFERROR(VLOOKUP(B312,'Master data'!$A$1:$D$397,2,FALSE),"")</f>
        <v/>
      </c>
      <c r="D312" s="70" t="str">
        <f>VLOOKUP(B312,Sheet3!$B$2:$E$312,3,)</f>
        <v>#N/A</v>
      </c>
      <c r="E312" s="71"/>
      <c r="F312" s="70" t="str">
        <f>IFERROR(VLOOKUP(B312,'Master data'!$A$1:$F$429,3,FALSE),"")</f>
        <v/>
      </c>
      <c r="G312" s="102"/>
      <c r="H312" s="65"/>
      <c r="I312" s="16"/>
      <c r="J312" s="16"/>
      <c r="K312" s="16" t="b">
        <v>0</v>
      </c>
      <c r="L312" s="16" t="b">
        <v>0</v>
      </c>
    </row>
    <row r="313">
      <c r="A313" s="9"/>
      <c r="B313" s="16"/>
      <c r="C313" s="7" t="str">
        <f>IFERROR(VLOOKUP(B313,'Master data'!$A$1:$D$397,2,FALSE),"")</f>
        <v/>
      </c>
      <c r="D313" s="70" t="str">
        <f>VLOOKUP(B313,Sheet3!$B$2:$E$312,3,)</f>
        <v>#N/A</v>
      </c>
      <c r="E313" s="71"/>
      <c r="F313" s="70" t="str">
        <f>IFERROR(VLOOKUP(B313,'Master data'!$A$1:$F$429,3,FALSE),"")</f>
        <v/>
      </c>
      <c r="G313" s="102"/>
      <c r="H313" s="65"/>
      <c r="I313" s="16"/>
      <c r="J313" s="16"/>
      <c r="K313" s="16" t="b">
        <v>0</v>
      </c>
      <c r="L313" s="16" t="b">
        <v>0</v>
      </c>
    </row>
    <row r="314">
      <c r="A314" s="9"/>
      <c r="B314" s="16"/>
      <c r="C314" s="7" t="str">
        <f>IFERROR(VLOOKUP(B314,'Master data'!$A$1:$D$397,2,FALSE),"")</f>
        <v/>
      </c>
      <c r="D314" s="70" t="str">
        <f>VLOOKUP(B314,Sheet3!$B$2:$E$312,3,)</f>
        <v>#N/A</v>
      </c>
      <c r="E314" s="71"/>
      <c r="F314" s="70" t="str">
        <f>IFERROR(VLOOKUP(B314,'Master data'!$A$1:$F$429,3,FALSE),"")</f>
        <v/>
      </c>
      <c r="G314" s="102"/>
      <c r="H314" s="65"/>
      <c r="I314" s="16"/>
      <c r="J314" s="16"/>
      <c r="K314" s="16" t="b">
        <v>0</v>
      </c>
      <c r="L314" s="16" t="b">
        <v>0</v>
      </c>
    </row>
    <row r="315">
      <c r="A315" s="9"/>
      <c r="B315" s="16"/>
      <c r="C315" s="7" t="str">
        <f>IFERROR(VLOOKUP(B315,'Master data'!$A$1:$D$397,2,FALSE),"")</f>
        <v/>
      </c>
      <c r="D315" s="70" t="str">
        <f>VLOOKUP(B315,Sheet3!$B$2:$E$312,3,)</f>
        <v>#N/A</v>
      </c>
      <c r="E315" s="71"/>
      <c r="F315" s="70" t="str">
        <f>IFERROR(VLOOKUP(B315,'Master data'!$A$1:$F$429,3,FALSE),"")</f>
        <v/>
      </c>
      <c r="G315" s="102"/>
      <c r="H315" s="65"/>
      <c r="I315" s="16"/>
      <c r="J315" s="16"/>
      <c r="K315" s="16" t="b">
        <v>0</v>
      </c>
      <c r="L315" s="16" t="b">
        <v>0</v>
      </c>
    </row>
    <row r="316">
      <c r="A316" s="9"/>
      <c r="B316" s="16"/>
      <c r="C316" s="7" t="str">
        <f>IFERROR(VLOOKUP(B316,'Master data'!$A$1:$D$397,2,FALSE),"")</f>
        <v/>
      </c>
      <c r="D316" s="70" t="str">
        <f>VLOOKUP(B316,Sheet3!$B$2:$E$312,3,)</f>
        <v>#N/A</v>
      </c>
      <c r="E316" s="71"/>
      <c r="F316" s="70" t="str">
        <f>IFERROR(VLOOKUP(B316,'Master data'!$A$1:$F$429,3,FALSE),"")</f>
        <v/>
      </c>
      <c r="G316" s="102"/>
      <c r="H316" s="65"/>
      <c r="I316" s="16"/>
      <c r="J316" s="16"/>
      <c r="K316" s="16" t="b">
        <v>0</v>
      </c>
      <c r="L316" s="16" t="b">
        <v>0</v>
      </c>
    </row>
    <row r="317">
      <c r="A317" s="9"/>
      <c r="B317" s="16"/>
      <c r="C317" s="7" t="str">
        <f>IFERROR(VLOOKUP(B317,'Master data'!$A$1:$D$397,2,FALSE),"")</f>
        <v/>
      </c>
      <c r="D317" s="70" t="str">
        <f>VLOOKUP(B317,Sheet3!$B$2:$E$312,3,)</f>
        <v>#N/A</v>
      </c>
      <c r="E317" s="71"/>
      <c r="F317" s="70" t="str">
        <f>IFERROR(VLOOKUP(B317,'Master data'!$A$1:$F$429,3,FALSE),"")</f>
        <v/>
      </c>
      <c r="G317" s="102"/>
      <c r="H317" s="65"/>
      <c r="I317" s="16"/>
      <c r="J317" s="16"/>
      <c r="K317" s="16" t="b">
        <v>0</v>
      </c>
      <c r="L317" s="16" t="b">
        <v>0</v>
      </c>
    </row>
    <row r="318">
      <c r="A318" s="9"/>
      <c r="B318" s="16"/>
      <c r="C318" s="7" t="str">
        <f>IFERROR(VLOOKUP(B318,'Master data'!$A$1:$D$397,2,FALSE),"")</f>
        <v/>
      </c>
      <c r="D318" s="70" t="str">
        <f>VLOOKUP(B318,Sheet3!$B$2:$E$312,3,)</f>
        <v>#N/A</v>
      </c>
      <c r="E318" s="71"/>
      <c r="F318" s="70" t="str">
        <f>IFERROR(VLOOKUP(B318,'Master data'!$A$1:$F$429,3,FALSE),"")</f>
        <v/>
      </c>
      <c r="G318" s="102"/>
      <c r="H318" s="65"/>
      <c r="I318" s="16"/>
      <c r="J318" s="16"/>
      <c r="K318" s="16" t="b">
        <v>0</v>
      </c>
      <c r="L318" s="16" t="b">
        <v>0</v>
      </c>
    </row>
    <row r="319">
      <c r="A319" s="9"/>
      <c r="B319" s="16"/>
      <c r="C319" s="7" t="str">
        <f>IFERROR(VLOOKUP(B319,'Master data'!$A$1:$D$397,2,FALSE),"")</f>
        <v/>
      </c>
      <c r="D319" s="70" t="str">
        <f>VLOOKUP(B319,Sheet3!$B$2:$E$312,3,)</f>
        <v>#N/A</v>
      </c>
      <c r="E319" s="71"/>
      <c r="F319" s="70" t="str">
        <f>IFERROR(VLOOKUP(B319,'Master data'!$A$1:$F$429,3,FALSE),"")</f>
        <v/>
      </c>
      <c r="G319" s="102"/>
      <c r="H319" s="65"/>
      <c r="I319" s="16"/>
      <c r="J319" s="16"/>
      <c r="K319" s="16" t="b">
        <v>0</v>
      </c>
      <c r="L319" s="16" t="b">
        <v>0</v>
      </c>
    </row>
    <row r="320">
      <c r="A320" s="9"/>
      <c r="B320" s="16"/>
      <c r="C320" s="7" t="str">
        <f>IFERROR(VLOOKUP(B320,'Master data'!$A$1:$D$397,2,FALSE),"")</f>
        <v/>
      </c>
      <c r="D320" s="70" t="str">
        <f>VLOOKUP(B320,Sheet3!$B$2:$E$312,3,)</f>
        <v>#N/A</v>
      </c>
      <c r="E320" s="71"/>
      <c r="F320" s="70" t="str">
        <f>IFERROR(VLOOKUP(B320,'Master data'!$A$1:$F$429,3,FALSE),"")</f>
        <v/>
      </c>
      <c r="G320" s="102"/>
      <c r="H320" s="65"/>
      <c r="I320" s="16"/>
      <c r="J320" s="16"/>
      <c r="K320" s="16" t="b">
        <v>0</v>
      </c>
      <c r="L320" s="16" t="b">
        <v>0</v>
      </c>
    </row>
    <row r="321">
      <c r="A321" s="9"/>
      <c r="B321" s="16"/>
      <c r="C321" s="7" t="str">
        <f>IFERROR(VLOOKUP(B321,'Master data'!$A$1:$D$397,2,FALSE),"")</f>
        <v/>
      </c>
      <c r="D321" s="70" t="str">
        <f>VLOOKUP(B321,Sheet3!$B$2:$E$312,3,)</f>
        <v>#N/A</v>
      </c>
      <c r="E321" s="71"/>
      <c r="F321" s="70" t="str">
        <f>IFERROR(VLOOKUP(B321,'Master data'!$A$1:$F$429,3,FALSE),"")</f>
        <v/>
      </c>
      <c r="G321" s="102"/>
      <c r="H321" s="65"/>
      <c r="I321" s="16"/>
      <c r="J321" s="16"/>
      <c r="K321" s="16" t="b">
        <v>0</v>
      </c>
      <c r="L321" s="16" t="b">
        <v>0</v>
      </c>
    </row>
    <row r="322">
      <c r="A322" s="9"/>
      <c r="B322" s="16"/>
      <c r="C322" s="7" t="str">
        <f>IFERROR(VLOOKUP(B322,'Master data'!$A$1:$D$397,2,FALSE),"")</f>
        <v/>
      </c>
      <c r="D322" s="70" t="str">
        <f>VLOOKUP(B322,Sheet3!$B$2:$E$312,3,)</f>
        <v>#N/A</v>
      </c>
      <c r="E322" s="71"/>
      <c r="F322" s="70" t="str">
        <f>IFERROR(VLOOKUP(B322,'Master data'!$A$1:$F$429,3,FALSE),"")</f>
        <v/>
      </c>
      <c r="G322" s="102"/>
      <c r="H322" s="65"/>
      <c r="I322" s="16"/>
      <c r="J322" s="16"/>
      <c r="K322" s="16" t="b">
        <v>0</v>
      </c>
      <c r="L322" s="16" t="b">
        <v>0</v>
      </c>
    </row>
    <row r="323">
      <c r="A323" s="9"/>
      <c r="B323" s="16"/>
      <c r="C323" s="7" t="str">
        <f>IFERROR(VLOOKUP(B323,'Master data'!$A$1:$D$397,2,FALSE),"")</f>
        <v/>
      </c>
      <c r="D323" s="70" t="str">
        <f>VLOOKUP(B323,Sheet3!$B$2:$E$312,3,)</f>
        <v>#N/A</v>
      </c>
      <c r="E323" s="71"/>
      <c r="F323" s="70" t="str">
        <f>IFERROR(VLOOKUP(B323,'Master data'!$A$1:$F$429,3,FALSE),"")</f>
        <v/>
      </c>
      <c r="G323" s="102"/>
      <c r="H323" s="65"/>
      <c r="I323" s="16"/>
      <c r="J323" s="16"/>
      <c r="K323" s="16" t="b">
        <v>0</v>
      </c>
      <c r="L323" s="16" t="b">
        <v>0</v>
      </c>
    </row>
    <row r="324">
      <c r="A324" s="9"/>
      <c r="B324" s="16"/>
      <c r="C324" s="7" t="str">
        <f>IFERROR(VLOOKUP(B324,'Master data'!$A$1:$D$397,2,FALSE),"")</f>
        <v/>
      </c>
      <c r="D324" s="70" t="str">
        <f>VLOOKUP(B324,Sheet3!$B$2:$E$312,3,)</f>
        <v>#N/A</v>
      </c>
      <c r="E324" s="71"/>
      <c r="F324" s="70" t="str">
        <f>IFERROR(VLOOKUP(B324,'Master data'!$A$1:$F$429,3,FALSE),"")</f>
        <v/>
      </c>
      <c r="G324" s="102"/>
      <c r="H324" s="65"/>
      <c r="I324" s="16"/>
      <c r="J324" s="16"/>
      <c r="K324" s="16" t="b">
        <v>0</v>
      </c>
      <c r="L324" s="16" t="b">
        <v>0</v>
      </c>
    </row>
    <row r="325">
      <c r="A325" s="9"/>
      <c r="B325" s="16"/>
      <c r="C325" s="7" t="str">
        <f>IFERROR(VLOOKUP(B325,'Master data'!$A$1:$D$397,2,FALSE),"")</f>
        <v/>
      </c>
      <c r="D325" s="70" t="str">
        <f>VLOOKUP(B325,Sheet3!$B$2:$E$312,3,)</f>
        <v>#N/A</v>
      </c>
      <c r="E325" s="71"/>
      <c r="F325" s="70" t="str">
        <f>IFERROR(VLOOKUP(B325,'Master data'!$A$1:$F$429,3,FALSE),"")</f>
        <v/>
      </c>
      <c r="G325" s="102"/>
      <c r="H325" s="65"/>
      <c r="I325" s="16"/>
      <c r="J325" s="16"/>
      <c r="K325" s="16" t="b">
        <v>0</v>
      </c>
      <c r="L325" s="16" t="b">
        <v>0</v>
      </c>
    </row>
    <row r="326">
      <c r="A326" s="9"/>
      <c r="B326" s="16"/>
      <c r="C326" s="7" t="str">
        <f>IFERROR(VLOOKUP(B326,'Master data'!$A$1:$D$397,2,FALSE),"")</f>
        <v/>
      </c>
      <c r="D326" s="70" t="str">
        <f>VLOOKUP(B326,Sheet3!$B$2:$E$312,3,)</f>
        <v>#N/A</v>
      </c>
      <c r="E326" s="71"/>
      <c r="F326" s="70" t="str">
        <f>IFERROR(VLOOKUP(B326,'Master data'!$A$1:$F$429,3,FALSE),"")</f>
        <v/>
      </c>
      <c r="G326" s="102"/>
      <c r="H326" s="65"/>
      <c r="I326" s="16"/>
      <c r="J326" s="16"/>
      <c r="K326" s="16" t="b">
        <v>0</v>
      </c>
      <c r="L326" s="16" t="b">
        <v>0</v>
      </c>
    </row>
    <row r="327">
      <c r="A327" s="9"/>
      <c r="B327" s="16"/>
      <c r="C327" s="7" t="str">
        <f>IFERROR(VLOOKUP(B327,'Master data'!$A$1:$D$397,2,FALSE),"")</f>
        <v/>
      </c>
      <c r="D327" s="70" t="str">
        <f>VLOOKUP(B327,Sheet3!$B$2:$E$312,3,)</f>
        <v>#N/A</v>
      </c>
      <c r="E327" s="71"/>
      <c r="F327" s="70" t="str">
        <f>IFERROR(VLOOKUP(B327,'Master data'!$A$1:$F$429,3,FALSE),"")</f>
        <v/>
      </c>
      <c r="G327" s="102"/>
      <c r="H327" s="65"/>
      <c r="I327" s="16"/>
      <c r="J327" s="16"/>
      <c r="K327" s="16" t="b">
        <v>0</v>
      </c>
      <c r="L327" s="16" t="b">
        <v>0</v>
      </c>
    </row>
    <row r="328">
      <c r="A328" s="9"/>
      <c r="B328" s="16"/>
      <c r="C328" s="7" t="str">
        <f>IFERROR(VLOOKUP(B328,'Master data'!$A$1:$D$397,2,FALSE),"")</f>
        <v/>
      </c>
      <c r="D328" s="70" t="str">
        <f>VLOOKUP(B328,Sheet3!$B$2:$E$312,3,)</f>
        <v>#N/A</v>
      </c>
      <c r="E328" s="71"/>
      <c r="F328" s="70" t="str">
        <f>IFERROR(VLOOKUP(B328,'Master data'!$A$1:$F$429,3,FALSE),"")</f>
        <v/>
      </c>
      <c r="G328" s="102"/>
      <c r="H328" s="65"/>
      <c r="I328" s="16"/>
      <c r="J328" s="16"/>
      <c r="K328" s="16" t="b">
        <v>0</v>
      </c>
      <c r="L328" s="16" t="b">
        <v>0</v>
      </c>
    </row>
    <row r="329">
      <c r="A329" s="9"/>
      <c r="B329" s="16"/>
      <c r="C329" s="7" t="str">
        <f>IFERROR(VLOOKUP(B329,'Master data'!$A$1:$D$397,2,FALSE),"")</f>
        <v/>
      </c>
      <c r="D329" s="70" t="str">
        <f>VLOOKUP(B329,Sheet3!$B$2:$E$312,3,)</f>
        <v>#N/A</v>
      </c>
      <c r="E329" s="71"/>
      <c r="F329" s="70" t="str">
        <f>IFERROR(VLOOKUP(B329,'Master data'!$A$1:$F$429,3,FALSE),"")</f>
        <v/>
      </c>
      <c r="G329" s="102"/>
      <c r="H329" s="65"/>
      <c r="I329" s="16"/>
      <c r="J329" s="16"/>
      <c r="K329" s="16" t="b">
        <v>0</v>
      </c>
      <c r="L329" s="16" t="b">
        <v>0</v>
      </c>
    </row>
    <row r="330">
      <c r="A330" s="9"/>
      <c r="B330" s="16"/>
      <c r="C330" s="7" t="str">
        <f>IFERROR(VLOOKUP(B330,'Master data'!$A$1:$D$397,2,FALSE),"")</f>
        <v/>
      </c>
      <c r="D330" s="70" t="str">
        <f>VLOOKUP(B330,Sheet3!$B$2:$E$312,3,)</f>
        <v>#N/A</v>
      </c>
      <c r="E330" s="64"/>
      <c r="F330" s="70" t="str">
        <f>IFERROR(VLOOKUP(B330,'Master data'!$A$1:$F$429,3,FALSE),"")</f>
        <v/>
      </c>
      <c r="G330" s="102"/>
      <c r="H330" s="65"/>
      <c r="I330" s="16"/>
      <c r="J330" s="16"/>
      <c r="K330" s="16" t="b">
        <v>0</v>
      </c>
      <c r="L330" s="16" t="b">
        <v>0</v>
      </c>
    </row>
    <row r="331">
      <c r="A331" s="9"/>
      <c r="B331" s="16"/>
      <c r="C331" s="7" t="str">
        <f>IFERROR(VLOOKUP(B331,'Master data'!$A$1:$D$397,2,FALSE),"")</f>
        <v/>
      </c>
      <c r="D331" s="70" t="str">
        <f>VLOOKUP(B331,Sheet3!$B$2:$E$312,3,)</f>
        <v>#N/A</v>
      </c>
      <c r="E331" s="64"/>
      <c r="F331" s="70" t="str">
        <f>IFERROR(VLOOKUP(B331,'Master data'!$A$1:$F$429,3,FALSE),"")</f>
        <v/>
      </c>
      <c r="G331" s="102"/>
      <c r="H331" s="65"/>
      <c r="I331" s="16"/>
      <c r="J331" s="16"/>
      <c r="K331" s="16" t="b">
        <v>0</v>
      </c>
      <c r="L331" s="16" t="b">
        <v>0</v>
      </c>
    </row>
    <row r="332">
      <c r="A332" s="9"/>
      <c r="B332" s="16"/>
      <c r="C332" s="7" t="str">
        <f>IFERROR(VLOOKUP(B332,'Master data'!$A$1:$D$397,2,FALSE),"")</f>
        <v/>
      </c>
      <c r="D332" s="70" t="str">
        <f>VLOOKUP(B332,Sheet3!$B$2:$E$312,3,)</f>
        <v>#N/A</v>
      </c>
      <c r="E332" s="64"/>
      <c r="F332" s="70" t="str">
        <f>IFERROR(VLOOKUP(B332,'Master data'!$A$1:$F$429,3,FALSE),"")</f>
        <v/>
      </c>
      <c r="G332" s="102"/>
      <c r="H332" s="65"/>
      <c r="I332" s="16"/>
      <c r="J332" s="16"/>
      <c r="K332" s="16" t="b">
        <v>0</v>
      </c>
      <c r="L332" s="16" t="b">
        <v>0</v>
      </c>
    </row>
    <row r="333">
      <c r="A333" s="9"/>
      <c r="B333" s="16"/>
      <c r="C333" s="7" t="str">
        <f>IFERROR(VLOOKUP(B333,'Master data'!$A$1:$D$397,2,FALSE),"")</f>
        <v/>
      </c>
      <c r="D333" s="70" t="str">
        <f>VLOOKUP(B333,Sheet3!$B$2:$E$312,3,)</f>
        <v>#N/A</v>
      </c>
      <c r="E333" s="64"/>
      <c r="F333" s="70" t="str">
        <f>IFERROR(VLOOKUP(B333,'Master data'!$A$1:$F$429,3,FALSE),"")</f>
        <v/>
      </c>
      <c r="G333" s="102"/>
      <c r="H333" s="65"/>
      <c r="I333" s="16"/>
      <c r="J333" s="16"/>
      <c r="K333" s="16" t="b">
        <v>0</v>
      </c>
      <c r="L333" s="16" t="b">
        <v>0</v>
      </c>
    </row>
    <row r="334">
      <c r="A334" s="9"/>
      <c r="B334" s="16"/>
      <c r="C334" s="7" t="str">
        <f>IFERROR(VLOOKUP(B334,'Master data'!$A$1:$D$397,2,FALSE),"")</f>
        <v/>
      </c>
      <c r="D334" s="70" t="str">
        <f>VLOOKUP(B334,Sheet3!$B$2:$E$312,3,)</f>
        <v>#N/A</v>
      </c>
      <c r="E334" s="64"/>
      <c r="F334" s="70" t="str">
        <f>IFERROR(VLOOKUP(B334,'Master data'!$A$1:$F$429,3,FALSE),"")</f>
        <v/>
      </c>
      <c r="G334" s="102"/>
      <c r="H334" s="65"/>
      <c r="I334" s="16"/>
      <c r="J334" s="16"/>
      <c r="K334" s="16" t="b">
        <v>0</v>
      </c>
      <c r="L334" s="16" t="b">
        <v>0</v>
      </c>
    </row>
    <row r="335">
      <c r="A335" s="9"/>
      <c r="B335" s="16"/>
      <c r="C335" s="7" t="str">
        <f>IFERROR(VLOOKUP(B335,'Master data'!$A$1:$D$397,2,FALSE),"")</f>
        <v/>
      </c>
      <c r="D335" s="70" t="str">
        <f>VLOOKUP(B335,Sheet3!$B$2:$E$312,3,)</f>
        <v>#N/A</v>
      </c>
      <c r="E335" s="64"/>
      <c r="F335" s="70" t="str">
        <f>IFERROR(VLOOKUP(B335,'Master data'!$A$1:$F$429,3,FALSE),"")</f>
        <v/>
      </c>
      <c r="G335" s="102"/>
      <c r="H335" s="65"/>
      <c r="I335" s="16"/>
      <c r="J335" s="16"/>
      <c r="K335" s="16" t="b">
        <v>0</v>
      </c>
      <c r="L335" s="16" t="b">
        <v>0</v>
      </c>
    </row>
    <row r="336">
      <c r="A336" s="9"/>
      <c r="B336" s="16"/>
      <c r="C336" s="7" t="str">
        <f>IFERROR(VLOOKUP(B336,'Master data'!$A$1:$D$397,2,FALSE),"")</f>
        <v/>
      </c>
      <c r="D336" s="70" t="str">
        <f>VLOOKUP(B336,Sheet3!$B$2:$E$312,3,)</f>
        <v>#N/A</v>
      </c>
      <c r="E336" s="64"/>
      <c r="F336" s="70" t="str">
        <f>IFERROR(VLOOKUP(B336,'Master data'!$A$1:$F$429,3,FALSE),"")</f>
        <v/>
      </c>
      <c r="G336" s="102"/>
      <c r="H336" s="65"/>
      <c r="I336" s="16"/>
      <c r="J336" s="16"/>
      <c r="K336" s="16" t="b">
        <v>0</v>
      </c>
      <c r="L336" s="16" t="b">
        <v>0</v>
      </c>
    </row>
    <row r="337">
      <c r="A337" s="9"/>
      <c r="B337" s="16"/>
      <c r="C337" s="7" t="str">
        <f>IFERROR(VLOOKUP(B337,'Master data'!$A$1:$D$397,2,FALSE),"")</f>
        <v/>
      </c>
      <c r="D337" s="70" t="str">
        <f>VLOOKUP(B337,Sheet3!$B$2:$E$312,3,)</f>
        <v>#N/A</v>
      </c>
      <c r="E337" s="64"/>
      <c r="F337" s="70" t="str">
        <f>IFERROR(VLOOKUP(B337,'Master data'!$A$1:$F$429,3,FALSE),"")</f>
        <v/>
      </c>
      <c r="G337" s="102"/>
      <c r="H337" s="65"/>
      <c r="I337" s="16"/>
      <c r="J337" s="16"/>
      <c r="K337" s="16" t="b">
        <v>0</v>
      </c>
      <c r="L337" s="16" t="b">
        <v>0</v>
      </c>
    </row>
    <row r="338">
      <c r="A338" s="9"/>
      <c r="B338" s="16"/>
      <c r="C338" s="7" t="str">
        <f>IFERROR(VLOOKUP(B338,'Master data'!$A$1:$D$397,2,FALSE),"")</f>
        <v/>
      </c>
      <c r="D338" s="70" t="str">
        <f>VLOOKUP(B338,Sheet3!$B$2:$E$312,3,)</f>
        <v>#N/A</v>
      </c>
      <c r="E338" s="64"/>
      <c r="F338" s="70" t="str">
        <f>IFERROR(VLOOKUP(B338,'Master data'!$A$1:$F$429,3,FALSE),"")</f>
        <v/>
      </c>
      <c r="G338" s="102"/>
      <c r="H338" s="65"/>
      <c r="I338" s="16"/>
      <c r="J338" s="16"/>
      <c r="K338" s="16" t="b">
        <v>0</v>
      </c>
      <c r="L338" s="16" t="b">
        <v>0</v>
      </c>
    </row>
    <row r="339">
      <c r="A339" s="9"/>
      <c r="B339" s="16"/>
      <c r="C339" s="7" t="str">
        <f>IFERROR(VLOOKUP(B339,'Master data'!$A$1:$D$397,2,FALSE),"")</f>
        <v/>
      </c>
      <c r="D339" s="70" t="str">
        <f>VLOOKUP(B339,Sheet3!$B$2:$E$312,3,)</f>
        <v>#N/A</v>
      </c>
      <c r="E339" s="64"/>
      <c r="F339" s="70" t="str">
        <f>IFERROR(VLOOKUP(B339,'Master data'!$A$1:$F$429,3,FALSE),"")</f>
        <v/>
      </c>
      <c r="G339" s="102"/>
      <c r="H339" s="65"/>
      <c r="I339" s="16"/>
      <c r="J339" s="16"/>
      <c r="K339" s="16" t="b">
        <v>0</v>
      </c>
      <c r="L339" s="16" t="b">
        <v>0</v>
      </c>
    </row>
    <row r="340">
      <c r="A340" s="9"/>
      <c r="B340" s="16"/>
      <c r="C340" s="7" t="str">
        <f>IFERROR(VLOOKUP(B340,'Master data'!$A$1:$D$397,2,FALSE),"")</f>
        <v/>
      </c>
      <c r="D340" s="70" t="str">
        <f>VLOOKUP(B340,Sheet3!$B$2:$E$312,3,)</f>
        <v>#N/A</v>
      </c>
      <c r="E340" s="64"/>
      <c r="F340" s="70" t="str">
        <f>IFERROR(VLOOKUP(B340,'Master data'!$A$1:$F$429,3,FALSE),"")</f>
        <v/>
      </c>
      <c r="G340" s="102"/>
      <c r="H340" s="65"/>
      <c r="I340" s="16"/>
      <c r="J340" s="16"/>
      <c r="K340" s="16" t="b">
        <v>0</v>
      </c>
      <c r="L340" s="16" t="b">
        <v>0</v>
      </c>
    </row>
    <row r="341">
      <c r="A341" s="9"/>
      <c r="B341" s="16"/>
      <c r="C341" s="7" t="str">
        <f>IFERROR(VLOOKUP(B341,'Master data'!$A$1:$D$397,2,FALSE),"")</f>
        <v/>
      </c>
      <c r="D341" s="70" t="str">
        <f>VLOOKUP(B341,Sheet3!$B$2:$E$312,3,)</f>
        <v>#N/A</v>
      </c>
      <c r="E341" s="64"/>
      <c r="F341" s="70" t="str">
        <f>IFERROR(VLOOKUP(B341,'Master data'!$A$1:$F$429,3,FALSE),"")</f>
        <v/>
      </c>
      <c r="G341" s="102"/>
      <c r="H341" s="65"/>
      <c r="I341" s="16"/>
      <c r="J341" s="16"/>
      <c r="K341" s="16" t="b">
        <v>0</v>
      </c>
      <c r="L341" s="16" t="b">
        <v>0</v>
      </c>
    </row>
    <row r="342">
      <c r="A342" s="9"/>
      <c r="B342" s="16"/>
      <c r="C342" s="7" t="str">
        <f>IFERROR(VLOOKUP(B342,'Master data'!$A$1:$D$397,2,FALSE),"")</f>
        <v/>
      </c>
      <c r="D342" s="70" t="str">
        <f>VLOOKUP(B342,Sheet3!$B$2:$E$312,3,)</f>
        <v>#N/A</v>
      </c>
      <c r="E342" s="64"/>
      <c r="F342" s="70" t="str">
        <f>IFERROR(VLOOKUP(B342,'Master data'!$A$1:$F$429,3,FALSE),"")</f>
        <v/>
      </c>
      <c r="G342" s="102"/>
      <c r="H342" s="65"/>
      <c r="I342" s="16"/>
      <c r="J342" s="16"/>
      <c r="K342" s="16" t="b">
        <v>0</v>
      </c>
      <c r="L342" s="16" t="b">
        <v>0</v>
      </c>
    </row>
    <row r="343">
      <c r="A343" s="9"/>
      <c r="B343" s="16"/>
      <c r="C343" s="7" t="str">
        <f>IFERROR(VLOOKUP(B343,'Master data'!$A$1:$D$397,2,FALSE),"")</f>
        <v/>
      </c>
      <c r="D343" s="70" t="str">
        <f>VLOOKUP(B343,Sheet3!$B$2:$E$312,3,)</f>
        <v>#N/A</v>
      </c>
      <c r="E343" s="64"/>
      <c r="F343" s="70" t="str">
        <f>IFERROR(VLOOKUP(B343,'Master data'!$A$1:$F$429,3,FALSE),"")</f>
        <v/>
      </c>
      <c r="G343" s="102"/>
      <c r="H343" s="65"/>
      <c r="I343" s="16"/>
      <c r="J343" s="16"/>
      <c r="K343" s="16" t="b">
        <v>0</v>
      </c>
      <c r="L343" s="16" t="b">
        <v>0</v>
      </c>
    </row>
    <row r="344">
      <c r="A344" s="9"/>
      <c r="B344" s="16"/>
      <c r="C344" s="7" t="str">
        <f>IFERROR(VLOOKUP(B344,'Master data'!$A$1:$D$397,2,FALSE),"")</f>
        <v/>
      </c>
      <c r="D344" s="70" t="str">
        <f>VLOOKUP(B344,Sheet3!$B$2:$E$312,3,)</f>
        <v>#N/A</v>
      </c>
      <c r="E344" s="64"/>
      <c r="F344" s="70" t="str">
        <f>IFERROR(VLOOKUP(B344,'Master data'!$A$1:$F$429,3,FALSE),"")</f>
        <v/>
      </c>
      <c r="G344" s="102"/>
      <c r="H344" s="65"/>
      <c r="I344" s="16"/>
      <c r="J344" s="16"/>
      <c r="K344" s="16" t="b">
        <v>0</v>
      </c>
      <c r="L344" s="16" t="b">
        <v>0</v>
      </c>
    </row>
    <row r="345">
      <c r="A345" s="9"/>
      <c r="B345" s="16"/>
      <c r="C345" s="7" t="str">
        <f>IFERROR(VLOOKUP(B345,'Master data'!$A$1:$D$397,2,FALSE),"")</f>
        <v/>
      </c>
      <c r="D345" s="70" t="str">
        <f>VLOOKUP(B345,Sheet3!$B$2:$E$312,3,)</f>
        <v>#N/A</v>
      </c>
      <c r="E345" s="64"/>
      <c r="F345" s="70" t="str">
        <f>IFERROR(VLOOKUP(B345,'Master data'!$A$1:$F$429,3,FALSE),"")</f>
        <v/>
      </c>
      <c r="G345" s="102"/>
      <c r="H345" s="65"/>
      <c r="I345" s="16"/>
      <c r="J345" s="16"/>
      <c r="K345" s="16" t="b">
        <v>0</v>
      </c>
      <c r="L345" s="16" t="b">
        <v>0</v>
      </c>
    </row>
    <row r="346">
      <c r="A346" s="9"/>
      <c r="B346" s="16"/>
      <c r="C346" s="7" t="str">
        <f>IFERROR(VLOOKUP(B346,'Master data'!$A$1:$D$397,2,FALSE),"")</f>
        <v/>
      </c>
      <c r="D346" s="70" t="str">
        <f>VLOOKUP(B346,Sheet3!$B$2:$E$312,3,)</f>
        <v>#N/A</v>
      </c>
      <c r="E346" s="64"/>
      <c r="F346" s="70" t="str">
        <f>IFERROR(VLOOKUP(B346,'Master data'!$A$1:$F$429,3,FALSE),"")</f>
        <v/>
      </c>
      <c r="G346" s="102"/>
      <c r="H346" s="65"/>
      <c r="I346" s="16"/>
      <c r="J346" s="16"/>
      <c r="K346" s="16" t="b">
        <v>0</v>
      </c>
      <c r="L346" s="16" t="b">
        <v>0</v>
      </c>
    </row>
    <row r="347">
      <c r="A347" s="9"/>
      <c r="B347" s="16"/>
      <c r="C347" s="7" t="str">
        <f>IFERROR(VLOOKUP(B347,'Master data'!$A$1:$D$397,2,FALSE),"")</f>
        <v/>
      </c>
      <c r="D347" s="70" t="str">
        <f>VLOOKUP(B347,Sheet3!$B$2:$E$312,3,)</f>
        <v>#N/A</v>
      </c>
      <c r="E347" s="64"/>
      <c r="F347" s="70" t="str">
        <f>IFERROR(VLOOKUP(B347,'Master data'!$A$1:$F$429,3,FALSE),"")</f>
        <v/>
      </c>
      <c r="G347" s="102"/>
      <c r="H347" s="65"/>
      <c r="I347" s="16"/>
      <c r="J347" s="16"/>
      <c r="K347" s="16" t="b">
        <v>0</v>
      </c>
      <c r="L347" s="16" t="b">
        <v>0</v>
      </c>
    </row>
    <row r="348">
      <c r="A348" s="9"/>
      <c r="B348" s="16"/>
      <c r="C348" s="7" t="str">
        <f>IFERROR(VLOOKUP(B348,'Master data'!$A$1:$D$397,2,FALSE),"")</f>
        <v/>
      </c>
      <c r="D348" s="70" t="str">
        <f>VLOOKUP(B348,Sheet3!$B$2:$E$312,3,)</f>
        <v>#N/A</v>
      </c>
      <c r="E348" s="64"/>
      <c r="F348" s="70" t="str">
        <f>IFERROR(VLOOKUP(B348,'Master data'!$A$1:$F$429,3,FALSE),"")</f>
        <v/>
      </c>
      <c r="G348" s="102"/>
      <c r="H348" s="65"/>
      <c r="I348" s="16"/>
      <c r="J348" s="16"/>
      <c r="K348" s="16" t="b">
        <v>0</v>
      </c>
      <c r="L348" s="16" t="b">
        <v>0</v>
      </c>
    </row>
    <row r="349">
      <c r="A349" s="9"/>
      <c r="B349" s="16"/>
      <c r="C349" s="7" t="str">
        <f>IFERROR(VLOOKUP(B349,'Master data'!$A$1:$D$397,2,FALSE),"")</f>
        <v/>
      </c>
      <c r="D349" s="70" t="str">
        <f>VLOOKUP(B349,Sheet3!$B$2:$E$312,3,)</f>
        <v>#N/A</v>
      </c>
      <c r="E349" s="64"/>
      <c r="F349" s="70" t="str">
        <f>IFERROR(VLOOKUP(B349,'Master data'!$A$1:$F$429,3,FALSE),"")</f>
        <v/>
      </c>
      <c r="G349" s="102"/>
      <c r="H349" s="65"/>
      <c r="I349" s="16"/>
      <c r="J349" s="16"/>
      <c r="K349" s="16" t="b">
        <v>0</v>
      </c>
      <c r="L349" s="16" t="b">
        <v>0</v>
      </c>
    </row>
    <row r="350">
      <c r="A350" s="9"/>
      <c r="B350" s="16"/>
      <c r="C350" s="7" t="str">
        <f>IFERROR(VLOOKUP(B350,'Master data'!$A$1:$D$397,2,FALSE),"")</f>
        <v/>
      </c>
      <c r="D350" s="70" t="str">
        <f>VLOOKUP(B350,Sheet3!$B$2:$E$312,3,)</f>
        <v>#N/A</v>
      </c>
      <c r="E350" s="64"/>
      <c r="F350" s="70" t="str">
        <f>IFERROR(VLOOKUP(B350,'Master data'!$A$1:$F$429,3,FALSE),"")</f>
        <v/>
      </c>
      <c r="G350" s="102"/>
      <c r="H350" s="65"/>
      <c r="I350" s="16"/>
      <c r="J350" s="16"/>
      <c r="K350" s="16" t="b">
        <v>0</v>
      </c>
      <c r="L350" s="16" t="b">
        <v>0</v>
      </c>
    </row>
    <row r="351">
      <c r="A351" s="9"/>
      <c r="B351" s="16"/>
      <c r="C351" s="7" t="str">
        <f>IFERROR(VLOOKUP(B351,'Master data'!$A$1:$D$397,2,FALSE),"")</f>
        <v/>
      </c>
      <c r="D351" s="70" t="str">
        <f>VLOOKUP(B351,Sheet3!$B$2:$E$312,3,)</f>
        <v>#N/A</v>
      </c>
      <c r="E351" s="64"/>
      <c r="F351" s="70" t="str">
        <f>IFERROR(VLOOKUP(B351,'Master data'!$A$1:$F$429,3,FALSE),"")</f>
        <v/>
      </c>
      <c r="G351" s="102"/>
      <c r="H351" s="65"/>
      <c r="I351" s="16"/>
      <c r="J351" s="16"/>
      <c r="K351" s="16" t="b">
        <v>0</v>
      </c>
      <c r="L351" s="16" t="b">
        <v>0</v>
      </c>
    </row>
    <row r="352">
      <c r="A352" s="9"/>
      <c r="B352" s="16"/>
      <c r="C352" s="7" t="str">
        <f>IFERROR(VLOOKUP(B352,'Master data'!$A$1:$D$397,2,FALSE),"")</f>
        <v/>
      </c>
      <c r="D352" s="70" t="str">
        <f>VLOOKUP(B352,Sheet3!$B$2:$E$312,3,)</f>
        <v>#N/A</v>
      </c>
      <c r="E352" s="64"/>
      <c r="F352" s="70" t="str">
        <f>IFERROR(VLOOKUP(B352,'Master data'!$A$1:$F$429,3,FALSE),"")</f>
        <v/>
      </c>
      <c r="G352" s="102"/>
      <c r="H352" s="65"/>
      <c r="I352" s="16"/>
      <c r="J352" s="16"/>
      <c r="K352" s="16" t="b">
        <v>0</v>
      </c>
      <c r="L352" s="16" t="b">
        <v>0</v>
      </c>
    </row>
    <row r="353">
      <c r="A353" s="9"/>
      <c r="B353" s="16"/>
      <c r="C353" s="7" t="str">
        <f>IFERROR(VLOOKUP(B353,'Master data'!$A$1:$D$397,2,FALSE),"")</f>
        <v/>
      </c>
      <c r="D353" s="70" t="str">
        <f>VLOOKUP(B353,Sheet3!$B$2:$E$312,3,)</f>
        <v>#N/A</v>
      </c>
      <c r="E353" s="64"/>
      <c r="F353" s="70" t="str">
        <f>IFERROR(VLOOKUP(B353,'Master data'!$A$1:$F$429,3,FALSE),"")</f>
        <v/>
      </c>
      <c r="G353" s="102"/>
      <c r="H353" s="65"/>
      <c r="I353" s="16"/>
      <c r="J353" s="16"/>
      <c r="K353" s="16" t="b">
        <v>0</v>
      </c>
      <c r="L353" s="16" t="b">
        <v>0</v>
      </c>
    </row>
    <row r="354">
      <c r="A354" s="9"/>
      <c r="B354" s="16"/>
      <c r="C354" s="7" t="str">
        <f>IFERROR(VLOOKUP(B354,'Master data'!$A$1:$D$397,2,FALSE),"")</f>
        <v/>
      </c>
      <c r="D354" s="70" t="str">
        <f>VLOOKUP(B354,Sheet3!$B$2:$E$312,3,)</f>
        <v>#N/A</v>
      </c>
      <c r="E354" s="64"/>
      <c r="F354" s="70" t="str">
        <f>IFERROR(VLOOKUP(B354,'Master data'!$A$1:$F$429,3,FALSE),"")</f>
        <v/>
      </c>
      <c r="G354" s="102"/>
      <c r="H354" s="65"/>
      <c r="I354" s="16"/>
      <c r="J354" s="16"/>
      <c r="K354" s="16" t="b">
        <v>0</v>
      </c>
      <c r="L354" s="16" t="b">
        <v>0</v>
      </c>
    </row>
    <row r="355">
      <c r="A355" s="9"/>
      <c r="B355" s="16"/>
      <c r="C355" s="7" t="str">
        <f>IFERROR(VLOOKUP(B355,'Master data'!$A$1:$D$397,2,FALSE),"")</f>
        <v/>
      </c>
      <c r="D355" s="70" t="str">
        <f>VLOOKUP(B355,Sheet3!$B$2:$E$312,3,)</f>
        <v>#N/A</v>
      </c>
      <c r="E355" s="64"/>
      <c r="F355" s="70" t="str">
        <f>IFERROR(VLOOKUP(B355,'Master data'!$A$1:$F$429,3,FALSE),"")</f>
        <v/>
      </c>
      <c r="G355" s="102"/>
      <c r="H355" s="65"/>
      <c r="I355" s="16"/>
      <c r="J355" s="16"/>
      <c r="K355" s="16" t="b">
        <v>0</v>
      </c>
      <c r="L355" s="16" t="b">
        <v>0</v>
      </c>
    </row>
    <row r="356">
      <c r="A356" s="9"/>
      <c r="B356" s="16"/>
      <c r="C356" s="7" t="str">
        <f>IFERROR(VLOOKUP(B356,'Master data'!$A$1:$D$397,2,FALSE),"")</f>
        <v/>
      </c>
      <c r="D356" s="70" t="str">
        <f>VLOOKUP(B356,Sheet3!$B$2:$E$312,3,)</f>
        <v>#N/A</v>
      </c>
      <c r="E356" s="64"/>
      <c r="F356" s="70" t="str">
        <f>IFERROR(VLOOKUP(B356,'Master data'!$A$1:$F$429,3,FALSE),"")</f>
        <v/>
      </c>
      <c r="G356" s="102"/>
      <c r="H356" s="65"/>
      <c r="I356" s="16"/>
      <c r="J356" s="16"/>
      <c r="K356" s="16" t="b">
        <v>0</v>
      </c>
      <c r="L356" s="16" t="b">
        <v>0</v>
      </c>
    </row>
    <row r="357">
      <c r="A357" s="9"/>
      <c r="B357" s="16"/>
      <c r="C357" s="7" t="str">
        <f>IFERROR(VLOOKUP(B357,'Master data'!$A$1:$D$397,2,FALSE),"")</f>
        <v/>
      </c>
      <c r="D357" s="70" t="str">
        <f>VLOOKUP(B357,Sheet3!$B$2:$E$312,3,)</f>
        <v>#N/A</v>
      </c>
      <c r="E357" s="64"/>
      <c r="F357" s="70" t="str">
        <f>IFERROR(VLOOKUP(B357,'Master data'!$A$1:$F$429,3,FALSE),"")</f>
        <v/>
      </c>
      <c r="G357" s="102"/>
      <c r="H357" s="65"/>
      <c r="I357" s="16"/>
      <c r="J357" s="16"/>
      <c r="K357" s="16" t="b">
        <v>0</v>
      </c>
      <c r="L357" s="16" t="b">
        <v>0</v>
      </c>
    </row>
    <row r="358">
      <c r="A358" s="9"/>
      <c r="B358" s="16"/>
      <c r="C358" s="7" t="str">
        <f>IFERROR(VLOOKUP(B358,'Master data'!$A$1:$D$397,2,FALSE),"")</f>
        <v/>
      </c>
      <c r="D358" s="70" t="str">
        <f>VLOOKUP(B358,Sheet3!$B$2:$E$312,3,)</f>
        <v>#N/A</v>
      </c>
      <c r="E358" s="64"/>
      <c r="F358" s="70" t="str">
        <f>IFERROR(VLOOKUP(B358,'Master data'!$A$1:$F$429,3,FALSE),"")</f>
        <v/>
      </c>
      <c r="G358" s="102"/>
      <c r="H358" s="65"/>
      <c r="I358" s="16"/>
      <c r="J358" s="16"/>
      <c r="K358" s="16" t="b">
        <v>0</v>
      </c>
      <c r="L358" s="16" t="b">
        <v>0</v>
      </c>
    </row>
    <row r="359">
      <c r="A359" s="9"/>
      <c r="B359" s="16"/>
      <c r="C359" s="7" t="str">
        <f>IFERROR(VLOOKUP(B359,'Master data'!$A$1:$D$397,2,FALSE),"")</f>
        <v/>
      </c>
      <c r="D359" s="70" t="str">
        <f>VLOOKUP(B359,Sheet3!$B$2:$E$312,3,)</f>
        <v>#N/A</v>
      </c>
      <c r="E359" s="64"/>
      <c r="F359" s="70" t="str">
        <f>IFERROR(VLOOKUP(B359,'Master data'!$A$1:$F$429,3,FALSE),"")</f>
        <v/>
      </c>
      <c r="G359" s="102"/>
      <c r="H359" s="65"/>
      <c r="I359" s="16"/>
      <c r="J359" s="16"/>
      <c r="K359" s="16" t="b">
        <v>0</v>
      </c>
      <c r="L359" s="16" t="b">
        <v>0</v>
      </c>
    </row>
    <row r="360">
      <c r="A360" s="9"/>
      <c r="B360" s="16"/>
      <c r="C360" s="7" t="str">
        <f>IFERROR(VLOOKUP(B360,'Master data'!$A$1:$D$397,2,FALSE),"")</f>
        <v/>
      </c>
      <c r="D360" s="70" t="str">
        <f>VLOOKUP(B360,Sheet3!$B$2:$E$312,3,)</f>
        <v>#N/A</v>
      </c>
      <c r="E360" s="64"/>
      <c r="F360" s="70" t="str">
        <f>IFERROR(VLOOKUP(B360,'Master data'!$A$1:$F$429,3,FALSE),"")</f>
        <v/>
      </c>
      <c r="G360" s="102"/>
      <c r="H360" s="65"/>
      <c r="I360" s="16"/>
      <c r="J360" s="16"/>
      <c r="K360" s="16" t="b">
        <v>0</v>
      </c>
      <c r="L360" s="16" t="b">
        <v>0</v>
      </c>
    </row>
    <row r="361">
      <c r="A361" s="9"/>
      <c r="B361" s="16"/>
      <c r="C361" s="7" t="str">
        <f>IFERROR(VLOOKUP(B361,'Master data'!$A$1:$D$397,2,FALSE),"")</f>
        <v/>
      </c>
      <c r="D361" s="70" t="str">
        <f>VLOOKUP(B361,Sheet3!$B$2:$E$312,3,)</f>
        <v>#N/A</v>
      </c>
      <c r="E361" s="64"/>
      <c r="F361" s="70" t="str">
        <f>IFERROR(VLOOKUP(B361,'Master data'!$A$1:$F$429,3,FALSE),"")</f>
        <v/>
      </c>
      <c r="G361" s="102"/>
      <c r="H361" s="65"/>
      <c r="I361" s="16"/>
      <c r="J361" s="16"/>
      <c r="K361" s="16" t="b">
        <v>0</v>
      </c>
      <c r="L361" s="16" t="b">
        <v>0</v>
      </c>
    </row>
    <row r="362">
      <c r="A362" s="9"/>
      <c r="B362" s="16"/>
      <c r="C362" s="7" t="str">
        <f>IFERROR(VLOOKUP(B362,'Master data'!$A$1:$D$397,2,FALSE),"")</f>
        <v/>
      </c>
      <c r="D362" s="70" t="str">
        <f>VLOOKUP(B362,Sheet3!$B$2:$E$312,3,)</f>
        <v>#N/A</v>
      </c>
      <c r="E362" s="64"/>
      <c r="F362" s="70" t="str">
        <f>IFERROR(VLOOKUP(B362,'Master data'!$A$1:$F$429,3,FALSE),"")</f>
        <v/>
      </c>
      <c r="G362" s="102"/>
      <c r="H362" s="65"/>
      <c r="I362" s="16"/>
      <c r="J362" s="16"/>
      <c r="K362" s="16" t="b">
        <v>0</v>
      </c>
      <c r="L362" s="16" t="b">
        <v>0</v>
      </c>
    </row>
    <row r="363">
      <c r="A363" s="9"/>
      <c r="B363" s="16"/>
      <c r="C363" s="7" t="str">
        <f>IFERROR(VLOOKUP(B363,'Master data'!$A$1:$D$397,2,FALSE),"")</f>
        <v/>
      </c>
      <c r="D363" s="70" t="str">
        <f>VLOOKUP(B363,Sheet3!$B$2:$E$312,3,)</f>
        <v>#N/A</v>
      </c>
      <c r="E363" s="64"/>
      <c r="F363" s="70" t="str">
        <f>IFERROR(VLOOKUP(B363,'Master data'!$A$1:$F$429,3,FALSE),"")</f>
        <v/>
      </c>
      <c r="G363" s="102"/>
      <c r="H363" s="65"/>
      <c r="I363" s="16"/>
      <c r="J363" s="16"/>
      <c r="K363" s="16" t="b">
        <v>0</v>
      </c>
      <c r="L363" s="16" t="b">
        <v>0</v>
      </c>
    </row>
    <row r="364">
      <c r="A364" s="9"/>
      <c r="B364" s="16"/>
      <c r="C364" s="7" t="str">
        <f>IFERROR(VLOOKUP(B364,'Master data'!$A$1:$D$397,2,FALSE),"")</f>
        <v/>
      </c>
      <c r="D364" s="70" t="str">
        <f>VLOOKUP(B364,Sheet3!$B$2:$E$312,3,)</f>
        <v>#N/A</v>
      </c>
      <c r="E364" s="64"/>
      <c r="F364" s="70" t="str">
        <f>IFERROR(VLOOKUP(B364,'Master data'!$A$1:$F$429,3,FALSE),"")</f>
        <v/>
      </c>
      <c r="G364" s="102"/>
      <c r="H364" s="65"/>
      <c r="I364" s="16"/>
      <c r="J364" s="16"/>
      <c r="K364" s="16" t="b">
        <v>0</v>
      </c>
      <c r="L364" s="16" t="b">
        <v>0</v>
      </c>
    </row>
    <row r="365">
      <c r="A365" s="9"/>
      <c r="B365" s="16"/>
      <c r="C365" s="7" t="str">
        <f>IFERROR(VLOOKUP(B365,'Master data'!$A$1:$D$397,2,FALSE),"")</f>
        <v/>
      </c>
      <c r="D365" s="70" t="str">
        <f>VLOOKUP(B365,Sheet3!$B$2:$E$312,3,)</f>
        <v>#N/A</v>
      </c>
      <c r="E365" s="64"/>
      <c r="F365" s="70" t="str">
        <f>IFERROR(VLOOKUP(B365,'Master data'!$A$1:$F$429,3,FALSE),"")</f>
        <v/>
      </c>
      <c r="G365" s="102"/>
      <c r="H365" s="65"/>
      <c r="I365" s="16"/>
      <c r="J365" s="16"/>
      <c r="K365" s="16" t="b">
        <v>0</v>
      </c>
      <c r="L365" s="16" t="b">
        <v>0</v>
      </c>
    </row>
    <row r="366">
      <c r="A366" s="9"/>
      <c r="B366" s="16"/>
      <c r="C366" s="7" t="str">
        <f>IFERROR(VLOOKUP(B366,'Master data'!$A$1:$D$397,2,FALSE),"")</f>
        <v/>
      </c>
      <c r="D366" s="70" t="str">
        <f>VLOOKUP(B366,Sheet3!$B$2:$E$312,3,)</f>
        <v>#N/A</v>
      </c>
      <c r="E366" s="64"/>
      <c r="F366" s="70" t="str">
        <f>IFERROR(VLOOKUP(B366,'Master data'!$A$1:$F$429,3,FALSE),"")</f>
        <v/>
      </c>
      <c r="G366" s="102"/>
      <c r="H366" s="65"/>
      <c r="I366" s="16"/>
      <c r="J366" s="16"/>
      <c r="K366" s="16" t="b">
        <v>0</v>
      </c>
      <c r="L366" s="16" t="b">
        <v>0</v>
      </c>
    </row>
    <row r="367">
      <c r="A367" s="9"/>
      <c r="B367" s="16"/>
      <c r="C367" s="7" t="str">
        <f>IFERROR(VLOOKUP(B367,'Master data'!$A$1:$D$397,2,FALSE),"")</f>
        <v/>
      </c>
      <c r="D367" s="70" t="str">
        <f>VLOOKUP(B367,Sheet3!$B$2:$E$312,3,)</f>
        <v>#N/A</v>
      </c>
      <c r="E367" s="64"/>
      <c r="F367" s="70" t="str">
        <f>IFERROR(VLOOKUP(B367,'Master data'!$A$1:$F$429,3,FALSE),"")</f>
        <v/>
      </c>
      <c r="G367" s="102"/>
      <c r="H367" s="65"/>
      <c r="I367" s="16"/>
      <c r="J367" s="16"/>
      <c r="K367" s="16" t="b">
        <v>0</v>
      </c>
      <c r="L367" s="16" t="b">
        <v>0</v>
      </c>
    </row>
    <row r="368">
      <c r="A368" s="9"/>
      <c r="B368" s="16"/>
      <c r="C368" s="7" t="str">
        <f>IFERROR(VLOOKUP(B368,'Master data'!$A$1:$D$397,2,FALSE),"")</f>
        <v/>
      </c>
      <c r="D368" s="70" t="str">
        <f>VLOOKUP(B368,Sheet3!$B$2:$E$312,3,)</f>
        <v>#N/A</v>
      </c>
      <c r="E368" s="64"/>
      <c r="F368" s="70" t="str">
        <f>IFERROR(VLOOKUP(B368,'Master data'!$A$1:$F$429,3,FALSE),"")</f>
        <v/>
      </c>
      <c r="G368" s="102"/>
      <c r="H368" s="65"/>
      <c r="I368" s="16"/>
      <c r="J368" s="16"/>
      <c r="K368" s="16" t="b">
        <v>0</v>
      </c>
      <c r="L368" s="16" t="b">
        <v>0</v>
      </c>
    </row>
    <row r="369">
      <c r="A369" s="9"/>
      <c r="B369" s="16"/>
      <c r="C369" s="7" t="str">
        <f>IFERROR(VLOOKUP(B369,'Master data'!$A$1:$D$397,2,FALSE),"")</f>
        <v/>
      </c>
      <c r="D369" s="70" t="str">
        <f>VLOOKUP(B369,Sheet3!$B$2:$E$312,3,)</f>
        <v>#N/A</v>
      </c>
      <c r="E369" s="64"/>
      <c r="F369" s="70" t="str">
        <f>IFERROR(VLOOKUP(B369,'Master data'!$A$1:$F$429,3,FALSE),"")</f>
        <v/>
      </c>
      <c r="G369" s="102"/>
      <c r="H369" s="65"/>
      <c r="I369" s="16"/>
      <c r="J369" s="16"/>
      <c r="K369" s="16" t="b">
        <v>0</v>
      </c>
      <c r="L369" s="16" t="b">
        <v>0</v>
      </c>
    </row>
    <row r="370">
      <c r="A370" s="9"/>
      <c r="B370" s="16"/>
      <c r="C370" s="7" t="str">
        <f>IFERROR(VLOOKUP(B370,'Master data'!$A$1:$D$397,2,FALSE),"")</f>
        <v/>
      </c>
      <c r="D370" s="70" t="str">
        <f>VLOOKUP(B370,Sheet3!$B$2:$E$312,3,)</f>
        <v>#N/A</v>
      </c>
      <c r="E370" s="64"/>
      <c r="F370" s="70" t="str">
        <f>IFERROR(VLOOKUP(B370,'Master data'!$A$1:$F$429,3,FALSE),"")</f>
        <v/>
      </c>
      <c r="G370" s="102"/>
      <c r="H370" s="65"/>
      <c r="I370" s="16"/>
      <c r="J370" s="16"/>
      <c r="K370" s="16" t="b">
        <v>0</v>
      </c>
      <c r="L370" s="16" t="b">
        <v>0</v>
      </c>
    </row>
    <row r="371">
      <c r="A371" s="9"/>
      <c r="B371" s="16"/>
      <c r="C371" s="7" t="str">
        <f>IFERROR(VLOOKUP(B371,'Master data'!$A$1:$D$397,2,FALSE),"")</f>
        <v/>
      </c>
      <c r="D371" s="70" t="str">
        <f>VLOOKUP(B371,Sheet3!$B$2:$E$312,3,)</f>
        <v>#N/A</v>
      </c>
      <c r="E371" s="64"/>
      <c r="F371" s="70" t="str">
        <f>IFERROR(VLOOKUP(B371,'Master data'!$A$1:$F$429,3,FALSE),"")</f>
        <v/>
      </c>
      <c r="G371" s="102"/>
      <c r="H371" s="65"/>
      <c r="I371" s="16"/>
      <c r="J371" s="16"/>
      <c r="K371" s="16" t="b">
        <v>0</v>
      </c>
      <c r="L371" s="16" t="b">
        <v>0</v>
      </c>
    </row>
    <row r="372">
      <c r="A372" s="9"/>
      <c r="B372" s="16"/>
      <c r="C372" s="7" t="str">
        <f>IFERROR(VLOOKUP(B372,'Master data'!$A$1:$D$397,2,FALSE),"")</f>
        <v/>
      </c>
      <c r="D372" s="70" t="str">
        <f>VLOOKUP(B372,Sheet3!$B$2:$E$312,3,)</f>
        <v>#N/A</v>
      </c>
      <c r="E372" s="64"/>
      <c r="F372" s="70" t="str">
        <f>IFERROR(VLOOKUP(B372,'Master data'!$A$1:$F$429,3,FALSE),"")</f>
        <v/>
      </c>
      <c r="G372" s="102"/>
      <c r="H372" s="65"/>
      <c r="I372" s="16"/>
      <c r="J372" s="16"/>
      <c r="K372" s="16" t="b">
        <v>0</v>
      </c>
      <c r="L372" s="16" t="b">
        <v>0</v>
      </c>
    </row>
    <row r="373">
      <c r="A373" s="9"/>
      <c r="B373" s="16"/>
      <c r="C373" s="7" t="str">
        <f>IFERROR(VLOOKUP(B373,'Master data'!$A$1:$D$397,2,FALSE),"")</f>
        <v/>
      </c>
      <c r="D373" s="70" t="str">
        <f>VLOOKUP(B373,Sheet3!$B$2:$E$312,3,)</f>
        <v>#N/A</v>
      </c>
      <c r="E373" s="64"/>
      <c r="F373" s="70" t="str">
        <f>IFERROR(VLOOKUP(B373,'Master data'!$A$1:$F$429,3,FALSE),"")</f>
        <v/>
      </c>
      <c r="G373" s="102"/>
      <c r="H373" s="65"/>
      <c r="I373" s="16"/>
      <c r="J373" s="16"/>
      <c r="K373" s="16" t="b">
        <v>0</v>
      </c>
      <c r="L373" s="16" t="b">
        <v>0</v>
      </c>
    </row>
    <row r="374">
      <c r="A374" s="9"/>
      <c r="B374" s="16"/>
      <c r="C374" s="7" t="str">
        <f>IFERROR(VLOOKUP(B374,'Master data'!$A$1:$D$397,2,FALSE),"")</f>
        <v/>
      </c>
      <c r="D374" s="70" t="str">
        <f>VLOOKUP(B374,Sheet3!$B$2:$E$312,3,)</f>
        <v>#N/A</v>
      </c>
      <c r="E374" s="64"/>
      <c r="F374" s="70" t="str">
        <f>IFERROR(VLOOKUP(B374,'Master data'!$A$1:$F$429,3,FALSE),"")</f>
        <v/>
      </c>
      <c r="G374" s="102"/>
      <c r="H374" s="65"/>
      <c r="I374" s="16"/>
      <c r="J374" s="16"/>
      <c r="K374" s="16" t="b">
        <v>0</v>
      </c>
      <c r="L374" s="16" t="b">
        <v>0</v>
      </c>
    </row>
    <row r="375">
      <c r="A375" s="9"/>
      <c r="B375" s="16"/>
      <c r="C375" s="7" t="str">
        <f>IFERROR(VLOOKUP(B375,'Master data'!$A$1:$D$397,2,FALSE),"")</f>
        <v/>
      </c>
      <c r="D375" s="70" t="str">
        <f>VLOOKUP(B375,Sheet3!$B$2:$E$312,3,)</f>
        <v>#N/A</v>
      </c>
      <c r="E375" s="64"/>
      <c r="F375" s="70" t="str">
        <f>IFERROR(VLOOKUP(B375,'Master data'!$A$1:$F$429,3,FALSE),"")</f>
        <v/>
      </c>
      <c r="G375" s="102"/>
      <c r="H375" s="65"/>
      <c r="I375" s="16"/>
      <c r="J375" s="16"/>
      <c r="K375" s="16" t="b">
        <v>0</v>
      </c>
      <c r="L375" s="16" t="b">
        <v>0</v>
      </c>
    </row>
    <row r="376">
      <c r="A376" s="9"/>
      <c r="B376" s="16"/>
      <c r="C376" s="7" t="str">
        <f>IFERROR(VLOOKUP(B376,'Master data'!$A$1:$D$397,2,FALSE),"")</f>
        <v/>
      </c>
      <c r="D376" s="70" t="str">
        <f>VLOOKUP(B376,Sheet3!$B$2:$E$312,3,)</f>
        <v>#N/A</v>
      </c>
      <c r="E376" s="64"/>
      <c r="F376" s="70" t="str">
        <f>IFERROR(VLOOKUP(B376,'Master data'!$A$1:$F$429,3,FALSE),"")</f>
        <v/>
      </c>
      <c r="G376" s="102"/>
      <c r="H376" s="65"/>
      <c r="I376" s="16"/>
      <c r="J376" s="16"/>
      <c r="K376" s="16" t="b">
        <v>0</v>
      </c>
      <c r="L376" s="16" t="b">
        <v>0</v>
      </c>
    </row>
    <row r="377">
      <c r="A377" s="9"/>
      <c r="B377" s="16"/>
      <c r="C377" s="7" t="str">
        <f>IFERROR(VLOOKUP(B377,'Master data'!$A$1:$D$397,2,FALSE),"")</f>
        <v/>
      </c>
      <c r="D377" s="70" t="str">
        <f>VLOOKUP(B377,Sheet3!$B$2:$E$312,3,)</f>
        <v>#N/A</v>
      </c>
      <c r="E377" s="64"/>
      <c r="F377" s="70" t="str">
        <f>IFERROR(VLOOKUP(B377,'Master data'!$A$1:$F$429,3,FALSE),"")</f>
        <v/>
      </c>
      <c r="G377" s="102"/>
      <c r="H377" s="65"/>
      <c r="I377" s="16"/>
      <c r="J377" s="16"/>
      <c r="K377" s="16" t="b">
        <v>0</v>
      </c>
      <c r="L377" s="16" t="b">
        <v>0</v>
      </c>
    </row>
    <row r="378">
      <c r="A378" s="9"/>
      <c r="B378" s="16"/>
      <c r="C378" s="7" t="str">
        <f>IFERROR(VLOOKUP(B378,'Master data'!$A$1:$D$397,2,FALSE),"")</f>
        <v/>
      </c>
      <c r="D378" s="70" t="str">
        <f>VLOOKUP(B378,Sheet3!$B$2:$E$312,3,)</f>
        <v>#N/A</v>
      </c>
      <c r="E378" s="64"/>
      <c r="F378" s="70" t="str">
        <f>IFERROR(VLOOKUP(B378,'Master data'!$A$1:$F$429,3,FALSE),"")</f>
        <v/>
      </c>
      <c r="G378" s="102"/>
      <c r="H378" s="65"/>
      <c r="I378" s="16"/>
      <c r="J378" s="16"/>
      <c r="K378" s="16" t="b">
        <v>0</v>
      </c>
      <c r="L378" s="16" t="b">
        <v>0</v>
      </c>
    </row>
    <row r="379">
      <c r="A379" s="9"/>
      <c r="B379" s="16"/>
      <c r="C379" s="7" t="str">
        <f>IFERROR(VLOOKUP(B379,'Master data'!$A$1:$D$397,2,FALSE),"")</f>
        <v/>
      </c>
      <c r="D379" s="70" t="str">
        <f>VLOOKUP(B379,Sheet3!$B$2:$E$312,3,)</f>
        <v>#N/A</v>
      </c>
      <c r="E379" s="64"/>
      <c r="F379" s="70" t="str">
        <f>IFERROR(VLOOKUP(B379,'Master data'!$A$1:$F$429,3,FALSE),"")</f>
        <v/>
      </c>
      <c r="G379" s="102"/>
      <c r="H379" s="65"/>
      <c r="I379" s="16"/>
      <c r="J379" s="16"/>
      <c r="K379" s="16" t="b">
        <v>0</v>
      </c>
      <c r="L379" s="16" t="b">
        <v>0</v>
      </c>
    </row>
    <row r="380">
      <c r="A380" s="9"/>
      <c r="B380" s="16"/>
      <c r="C380" s="7" t="str">
        <f>IFERROR(VLOOKUP(B380,'Master data'!$A$1:$D$397,2,FALSE),"")</f>
        <v/>
      </c>
      <c r="D380" s="70" t="str">
        <f>VLOOKUP(B380,Sheet3!$B$2:$E$312,3,)</f>
        <v>#N/A</v>
      </c>
      <c r="E380" s="64"/>
      <c r="F380" s="70" t="str">
        <f>IFERROR(VLOOKUP(B380,'Master data'!$A$1:$F$429,3,FALSE),"")</f>
        <v/>
      </c>
      <c r="G380" s="102"/>
      <c r="H380" s="65"/>
      <c r="I380" s="16"/>
      <c r="J380" s="16"/>
      <c r="K380" s="16" t="b">
        <v>0</v>
      </c>
      <c r="L380" s="16" t="b">
        <v>0</v>
      </c>
    </row>
    <row r="381">
      <c r="A381" s="9"/>
      <c r="B381" s="16"/>
      <c r="C381" s="7" t="str">
        <f>IFERROR(VLOOKUP(B381,'Master data'!$A$1:$D$397,2,FALSE),"")</f>
        <v/>
      </c>
      <c r="D381" s="70" t="str">
        <f>VLOOKUP(B381,Sheet3!$B$2:$E$312,3,)</f>
        <v>#N/A</v>
      </c>
      <c r="E381" s="64"/>
      <c r="F381" s="70" t="str">
        <f>IFERROR(VLOOKUP(B381,'Master data'!$A$1:$F$429,3,FALSE),"")</f>
        <v/>
      </c>
      <c r="G381" s="102"/>
      <c r="H381" s="65"/>
      <c r="I381" s="16"/>
      <c r="J381" s="16"/>
      <c r="K381" s="16" t="b">
        <v>0</v>
      </c>
      <c r="L381" s="16" t="b">
        <v>0</v>
      </c>
    </row>
    <row r="382">
      <c r="A382" s="9"/>
      <c r="B382" s="16"/>
      <c r="C382" s="7" t="str">
        <f>IFERROR(VLOOKUP(B382,'Master data'!$A$1:$D$397,2,FALSE),"")</f>
        <v/>
      </c>
      <c r="D382" s="70" t="str">
        <f>VLOOKUP(B382,Sheet3!$B$2:$E$312,3,)</f>
        <v>#N/A</v>
      </c>
      <c r="E382" s="64"/>
      <c r="F382" s="70" t="str">
        <f>IFERROR(VLOOKUP(B382,'Master data'!$A$1:$F$429,3,FALSE),"")</f>
        <v/>
      </c>
      <c r="G382" s="102"/>
      <c r="H382" s="65"/>
      <c r="I382" s="16"/>
      <c r="J382" s="16"/>
      <c r="K382" s="16" t="b">
        <v>0</v>
      </c>
      <c r="L382" s="16" t="b">
        <v>0</v>
      </c>
    </row>
    <row r="383">
      <c r="A383" s="9"/>
      <c r="B383" s="16"/>
      <c r="C383" s="7" t="str">
        <f>IFERROR(VLOOKUP(B383,'Master data'!$A$1:$D$397,2,FALSE),"")</f>
        <v/>
      </c>
      <c r="D383" s="70" t="str">
        <f>VLOOKUP(B383,Sheet3!$B$2:$E$312,3,)</f>
        <v>#N/A</v>
      </c>
      <c r="E383" s="64"/>
      <c r="F383" s="70" t="str">
        <f>IFERROR(VLOOKUP(B383,'Master data'!$A$1:$F$429,3,FALSE),"")</f>
        <v/>
      </c>
      <c r="G383" s="102"/>
      <c r="H383" s="65"/>
      <c r="I383" s="16"/>
      <c r="J383" s="16"/>
      <c r="K383" s="16" t="b">
        <v>0</v>
      </c>
      <c r="L383" s="16" t="b">
        <v>0</v>
      </c>
    </row>
    <row r="384">
      <c r="A384" s="9"/>
      <c r="B384" s="16"/>
      <c r="C384" s="7" t="str">
        <f>IFERROR(VLOOKUP(B384,'Master data'!$A$1:$D$397,2,FALSE),"")</f>
        <v/>
      </c>
      <c r="D384" s="70" t="str">
        <f>VLOOKUP(B384,Sheet3!$B$2:$E$312,3,)</f>
        <v>#N/A</v>
      </c>
      <c r="E384" s="64"/>
      <c r="F384" s="70" t="str">
        <f>IFERROR(VLOOKUP(B384,'Master data'!$A$1:$F$429,3,FALSE),"")</f>
        <v/>
      </c>
      <c r="G384" s="102"/>
      <c r="H384" s="65"/>
      <c r="I384" s="16"/>
      <c r="J384" s="16"/>
      <c r="K384" s="16" t="b">
        <v>0</v>
      </c>
      <c r="L384" s="16" t="b">
        <v>0</v>
      </c>
    </row>
    <row r="385">
      <c r="A385" s="9"/>
      <c r="B385" s="16"/>
      <c r="C385" s="7" t="str">
        <f>IFERROR(VLOOKUP(B385,'Master data'!$A$1:$D$397,2,FALSE),"")</f>
        <v/>
      </c>
      <c r="D385" s="70" t="str">
        <f>VLOOKUP(B385,Sheet3!$B$2:$E$312,3,)</f>
        <v>#N/A</v>
      </c>
      <c r="E385" s="64"/>
      <c r="F385" s="70" t="str">
        <f>IFERROR(VLOOKUP(B385,'Master data'!$A$1:$F$429,3,FALSE),"")</f>
        <v/>
      </c>
      <c r="G385" s="102"/>
      <c r="H385" s="65"/>
      <c r="I385" s="16"/>
      <c r="J385" s="16"/>
      <c r="K385" s="16" t="b">
        <v>0</v>
      </c>
      <c r="L385" s="16" t="b">
        <v>0</v>
      </c>
    </row>
    <row r="386">
      <c r="A386" s="9"/>
      <c r="B386" s="16"/>
      <c r="C386" s="7" t="str">
        <f>IFERROR(VLOOKUP(B386,'Master data'!$A$1:$D$397,2,FALSE),"")</f>
        <v/>
      </c>
      <c r="D386" s="70" t="str">
        <f>VLOOKUP(B386,Sheet3!$B$2:$E$312,3,)</f>
        <v>#N/A</v>
      </c>
      <c r="E386" s="64"/>
      <c r="F386" s="70" t="str">
        <f>IFERROR(VLOOKUP(B386,'Master data'!$A$1:$F$429,3,FALSE),"")</f>
        <v/>
      </c>
      <c r="G386" s="102"/>
      <c r="H386" s="65"/>
      <c r="I386" s="16"/>
      <c r="J386" s="16"/>
      <c r="K386" s="16" t="b">
        <v>0</v>
      </c>
      <c r="L386" s="16" t="b">
        <v>0</v>
      </c>
    </row>
    <row r="387">
      <c r="A387" s="9"/>
      <c r="B387" s="16"/>
      <c r="C387" s="7" t="str">
        <f>IFERROR(VLOOKUP(B387,'Master data'!$A$1:$D$397,2,FALSE),"")</f>
        <v/>
      </c>
      <c r="D387" s="70" t="str">
        <f>VLOOKUP(B387,Sheet3!$B$2:$E$312,3,)</f>
        <v>#N/A</v>
      </c>
      <c r="E387" s="64"/>
      <c r="F387" s="70" t="str">
        <f>IFERROR(VLOOKUP(B387,'Master data'!$A$1:$F$429,3,FALSE),"")</f>
        <v/>
      </c>
      <c r="G387" s="102"/>
      <c r="H387" s="65"/>
      <c r="I387" s="16"/>
      <c r="J387" s="16"/>
      <c r="K387" s="16" t="b">
        <v>0</v>
      </c>
      <c r="L387" s="16" t="b">
        <v>0</v>
      </c>
    </row>
    <row r="388">
      <c r="A388" s="9"/>
      <c r="B388" s="16"/>
      <c r="C388" s="7" t="str">
        <f>IFERROR(VLOOKUP(B388,'Master data'!$A$1:$D$397,2,FALSE),"")</f>
        <v/>
      </c>
      <c r="D388" s="70" t="str">
        <f>VLOOKUP(B388,Sheet3!$B$2:$E$312,3,)</f>
        <v>#N/A</v>
      </c>
      <c r="E388" s="64"/>
      <c r="F388" s="70" t="str">
        <f>IFERROR(VLOOKUP(B388,'Master data'!$A$1:$F$429,3,FALSE),"")</f>
        <v/>
      </c>
      <c r="G388" s="102"/>
      <c r="H388" s="65"/>
      <c r="I388" s="16"/>
      <c r="J388" s="16"/>
      <c r="K388" s="16" t="b">
        <v>0</v>
      </c>
      <c r="L388" s="16" t="b">
        <v>0</v>
      </c>
    </row>
    <row r="389">
      <c r="A389" s="9"/>
      <c r="B389" s="16"/>
      <c r="C389" s="7" t="str">
        <f>IFERROR(VLOOKUP(B389,'Master data'!$A$1:$D$397,2,FALSE),"")</f>
        <v/>
      </c>
      <c r="D389" s="70" t="str">
        <f>VLOOKUP(B389,Sheet3!$B$2:$E$312,3,)</f>
        <v>#N/A</v>
      </c>
      <c r="E389" s="64"/>
      <c r="F389" s="70" t="str">
        <f>IFERROR(VLOOKUP(B389,'Master data'!$A$1:$F$429,3,FALSE),"")</f>
        <v/>
      </c>
      <c r="G389" s="102"/>
      <c r="H389" s="65"/>
      <c r="I389" s="16"/>
      <c r="J389" s="16"/>
      <c r="K389" s="16" t="b">
        <v>0</v>
      </c>
      <c r="L389" s="16" t="b">
        <v>0</v>
      </c>
    </row>
    <row r="390">
      <c r="A390" s="9"/>
      <c r="B390" s="16"/>
      <c r="C390" s="7" t="str">
        <f>IFERROR(VLOOKUP(B390,'Master data'!$A$1:$D$397,2,FALSE),"")</f>
        <v/>
      </c>
      <c r="D390" s="70" t="str">
        <f>VLOOKUP(B390,Sheet3!$B$2:$E$312,3,)</f>
        <v>#N/A</v>
      </c>
      <c r="E390" s="64"/>
      <c r="F390" s="70" t="str">
        <f>IFERROR(VLOOKUP(B390,'Master data'!$A$1:$F$429,3,FALSE),"")</f>
        <v/>
      </c>
      <c r="G390" s="102"/>
      <c r="H390" s="65"/>
      <c r="I390" s="16"/>
      <c r="J390" s="16"/>
      <c r="K390" s="16" t="b">
        <v>0</v>
      </c>
      <c r="L390" s="16" t="b">
        <v>0</v>
      </c>
    </row>
    <row r="391">
      <c r="A391" s="9"/>
      <c r="B391" s="16"/>
      <c r="C391" s="7" t="str">
        <f>IFERROR(VLOOKUP(B391,'Master data'!$A$1:$D$397,2,FALSE),"")</f>
        <v/>
      </c>
      <c r="D391" s="70" t="str">
        <f>VLOOKUP(B391,Sheet3!$B$2:$E$312,3,)</f>
        <v>#N/A</v>
      </c>
      <c r="E391" s="64"/>
      <c r="F391" s="70" t="str">
        <f>IFERROR(VLOOKUP(B391,'Master data'!$A$1:$F$429,3,FALSE),"")</f>
        <v/>
      </c>
      <c r="G391" s="102"/>
      <c r="H391" s="65"/>
      <c r="I391" s="16"/>
      <c r="J391" s="16"/>
      <c r="K391" s="16" t="b">
        <v>0</v>
      </c>
      <c r="L391" s="16" t="b">
        <v>0</v>
      </c>
    </row>
    <row r="392">
      <c r="A392" s="9"/>
      <c r="B392" s="16"/>
      <c r="C392" s="7" t="str">
        <f>IFERROR(VLOOKUP(B392,'Master data'!$A$1:$D$397,2,FALSE),"")</f>
        <v/>
      </c>
      <c r="D392" s="70" t="str">
        <f>VLOOKUP(B392,Sheet3!$B$2:$E$312,3,)</f>
        <v>#N/A</v>
      </c>
      <c r="E392" s="64"/>
      <c r="F392" s="70" t="str">
        <f>IFERROR(VLOOKUP(B392,'Master data'!$A$1:$F$429,3,FALSE),"")</f>
        <v/>
      </c>
      <c r="G392" s="102"/>
      <c r="H392" s="65"/>
      <c r="I392" s="16"/>
      <c r="J392" s="16"/>
      <c r="K392" s="16" t="b">
        <v>0</v>
      </c>
      <c r="L392" s="16" t="b">
        <v>0</v>
      </c>
    </row>
    <row r="393">
      <c r="A393" s="9"/>
      <c r="B393" s="16"/>
      <c r="C393" s="7" t="str">
        <f>IFERROR(VLOOKUP(B393,'Master data'!$A$1:$D$397,2,FALSE),"")</f>
        <v/>
      </c>
      <c r="D393" s="70" t="str">
        <f>VLOOKUP(B393,Sheet3!$B$2:$E$312,3,)</f>
        <v>#N/A</v>
      </c>
      <c r="E393" s="64"/>
      <c r="F393" s="70" t="str">
        <f>IFERROR(VLOOKUP(B393,'Master data'!$A$1:$F$429,3,FALSE),"")</f>
        <v/>
      </c>
      <c r="G393" s="102"/>
      <c r="H393" s="65"/>
      <c r="I393" s="16"/>
      <c r="J393" s="16"/>
      <c r="K393" s="16" t="b">
        <v>0</v>
      </c>
      <c r="L393" s="16" t="b">
        <v>0</v>
      </c>
    </row>
    <row r="394">
      <c r="A394" s="9"/>
      <c r="B394" s="16"/>
      <c r="C394" s="7" t="str">
        <f>IFERROR(VLOOKUP(B394,'Master data'!$A$1:$D$397,2,FALSE),"")</f>
        <v/>
      </c>
      <c r="D394" s="70" t="str">
        <f>VLOOKUP(B394,Sheet3!$B$2:$E$312,3,)</f>
        <v>#N/A</v>
      </c>
      <c r="E394" s="64"/>
      <c r="F394" s="70" t="str">
        <f>IFERROR(VLOOKUP(B394,'Master data'!$A$1:$F$429,3,FALSE),"")</f>
        <v/>
      </c>
      <c r="G394" s="102"/>
      <c r="H394" s="65"/>
      <c r="I394" s="16"/>
      <c r="J394" s="16"/>
      <c r="K394" s="16" t="b">
        <v>0</v>
      </c>
      <c r="L394" s="16" t="b">
        <v>0</v>
      </c>
    </row>
    <row r="395">
      <c r="A395" s="9"/>
      <c r="B395" s="16"/>
      <c r="C395" s="7" t="str">
        <f>IFERROR(VLOOKUP(B395,'Master data'!$A$1:$D$397,2,FALSE),"")</f>
        <v/>
      </c>
      <c r="D395" s="70" t="str">
        <f>VLOOKUP(B395,Sheet3!$B$2:$E$312,3,)</f>
        <v>#N/A</v>
      </c>
      <c r="E395" s="64"/>
      <c r="F395" s="70" t="str">
        <f>IFERROR(VLOOKUP(B395,'Master data'!$A$1:$F$429,3,FALSE),"")</f>
        <v/>
      </c>
      <c r="G395" s="102"/>
      <c r="H395" s="65"/>
      <c r="I395" s="16"/>
      <c r="J395" s="16"/>
      <c r="K395" s="16" t="b">
        <v>0</v>
      </c>
      <c r="L395" s="16" t="b">
        <v>0</v>
      </c>
    </row>
    <row r="396">
      <c r="A396" s="9"/>
      <c r="B396" s="16"/>
      <c r="C396" s="7" t="str">
        <f>IFERROR(VLOOKUP(B396,'Master data'!$A$1:$D$397,2,FALSE),"")</f>
        <v/>
      </c>
      <c r="D396" s="70" t="str">
        <f>VLOOKUP(B396,Sheet3!$B$2:$E$312,3,)</f>
        <v>#N/A</v>
      </c>
      <c r="E396" s="64"/>
      <c r="F396" s="70" t="str">
        <f>IFERROR(VLOOKUP(B396,'Master data'!$A$1:$F$429,3,FALSE),"")</f>
        <v/>
      </c>
      <c r="G396" s="102"/>
      <c r="H396" s="65"/>
      <c r="I396" s="16"/>
      <c r="J396" s="16"/>
      <c r="K396" s="16" t="b">
        <v>0</v>
      </c>
      <c r="L396" s="16" t="b">
        <v>0</v>
      </c>
    </row>
    <row r="397">
      <c r="A397" s="9"/>
      <c r="B397" s="16"/>
      <c r="C397" s="7" t="str">
        <f>IFERROR(VLOOKUP(B397,'Master data'!$A$1:$D$397,2,FALSE),"")</f>
        <v/>
      </c>
      <c r="D397" s="70" t="str">
        <f>VLOOKUP(B397,Sheet3!$B$2:$E$312,3,)</f>
        <v>#N/A</v>
      </c>
      <c r="E397" s="64"/>
      <c r="F397" s="70" t="str">
        <f>IFERROR(VLOOKUP(B397,'Master data'!$A$1:$F$429,3,FALSE),"")</f>
        <v/>
      </c>
      <c r="G397" s="102"/>
      <c r="H397" s="65"/>
      <c r="I397" s="16"/>
      <c r="J397" s="16"/>
      <c r="K397" s="16" t="b">
        <v>0</v>
      </c>
      <c r="L397" s="16" t="b">
        <v>0</v>
      </c>
    </row>
    <row r="398">
      <c r="A398" s="9"/>
      <c r="B398" s="16"/>
      <c r="C398" s="7" t="str">
        <f>IFERROR(VLOOKUP(B398,'Master data'!$A$1:$D$397,2,FALSE),"")</f>
        <v/>
      </c>
      <c r="D398" s="70" t="str">
        <f>VLOOKUP(B398,Sheet3!$B$2:$E$312,3,)</f>
        <v>#N/A</v>
      </c>
      <c r="E398" s="64"/>
      <c r="F398" s="70" t="str">
        <f>IFERROR(VLOOKUP(B398,'Master data'!$A$1:$F$429,3,FALSE),"")</f>
        <v/>
      </c>
      <c r="G398" s="102"/>
      <c r="H398" s="65"/>
      <c r="I398" s="16"/>
      <c r="J398" s="16"/>
      <c r="K398" s="16" t="b">
        <v>0</v>
      </c>
      <c r="L398" s="16" t="b">
        <v>0</v>
      </c>
    </row>
    <row r="399">
      <c r="A399" s="9"/>
      <c r="B399" s="16"/>
      <c r="C399" s="7" t="str">
        <f>IFERROR(VLOOKUP(B399,'Master data'!$A$1:$D$397,2,FALSE),"")</f>
        <v/>
      </c>
      <c r="D399" s="70" t="str">
        <f>VLOOKUP(B399,Sheet3!$B$2:$E$312,3,)</f>
        <v>#N/A</v>
      </c>
      <c r="E399" s="64"/>
      <c r="F399" s="70" t="str">
        <f>IFERROR(VLOOKUP(B399,'Master data'!$A$1:$F$429,3,FALSE),"")</f>
        <v/>
      </c>
      <c r="G399" s="102"/>
      <c r="H399" s="65"/>
      <c r="I399" s="16"/>
      <c r="J399" s="16"/>
      <c r="K399" s="16" t="b">
        <v>0</v>
      </c>
      <c r="L399" s="16" t="b">
        <v>0</v>
      </c>
    </row>
    <row r="400">
      <c r="A400" s="9"/>
      <c r="B400" s="16"/>
      <c r="C400" s="7" t="str">
        <f>IFERROR(VLOOKUP(B400,'Master data'!$A$1:$D$397,2,FALSE),"")</f>
        <v/>
      </c>
      <c r="D400" s="70" t="str">
        <f>VLOOKUP(B400,Sheet3!$B$2:$E$312,3,)</f>
        <v>#N/A</v>
      </c>
      <c r="E400" s="64"/>
      <c r="F400" s="70" t="str">
        <f>IFERROR(VLOOKUP(B400,'Master data'!$A$1:$F$429,3,FALSE),"")</f>
        <v/>
      </c>
      <c r="G400" s="102"/>
      <c r="H400" s="65"/>
      <c r="I400" s="16"/>
      <c r="J400" s="16"/>
      <c r="K400" s="16" t="b">
        <v>0</v>
      </c>
      <c r="L400" s="16" t="b">
        <v>0</v>
      </c>
    </row>
    <row r="401">
      <c r="A401" s="9"/>
      <c r="B401" s="16"/>
      <c r="C401" s="7" t="str">
        <f>IFERROR(VLOOKUP(B401,'Master data'!$A$1:$D$397,2,FALSE),"")</f>
        <v/>
      </c>
      <c r="D401" s="70" t="str">
        <f>VLOOKUP(B401,Sheet3!$B$2:$E$312,3,)</f>
        <v>#N/A</v>
      </c>
      <c r="E401" s="64"/>
      <c r="F401" s="70" t="str">
        <f>IFERROR(VLOOKUP(B401,'Master data'!$A$1:$F$429,3,FALSE),"")</f>
        <v/>
      </c>
      <c r="G401" s="102"/>
      <c r="H401" s="65"/>
      <c r="I401" s="16"/>
      <c r="J401" s="16"/>
      <c r="K401" s="16" t="b">
        <v>0</v>
      </c>
      <c r="L401" s="16" t="b">
        <v>0</v>
      </c>
    </row>
    <row r="402">
      <c r="A402" s="9"/>
      <c r="B402" s="16"/>
      <c r="C402" s="7" t="str">
        <f>IFERROR(VLOOKUP(B402,'Master data'!$A$1:$D$397,2,FALSE),"")</f>
        <v/>
      </c>
      <c r="D402" s="70" t="str">
        <f>VLOOKUP(B402,Sheet3!$B$2:$E$312,3,)</f>
        <v>#N/A</v>
      </c>
      <c r="E402" s="64"/>
      <c r="F402" s="70" t="str">
        <f>IFERROR(VLOOKUP(B402,'Master data'!$A$1:$F$429,3,FALSE),"")</f>
        <v/>
      </c>
      <c r="G402" s="102"/>
      <c r="H402" s="65"/>
      <c r="I402" s="16"/>
      <c r="J402" s="16"/>
      <c r="K402" s="16" t="b">
        <v>0</v>
      </c>
      <c r="L402" s="16" t="b">
        <v>0</v>
      </c>
    </row>
    <row r="403">
      <c r="A403" s="9"/>
      <c r="B403" s="16"/>
      <c r="C403" s="7" t="str">
        <f>IFERROR(VLOOKUP(B403,'Master data'!$A$1:$D$397,2,FALSE),"")</f>
        <v/>
      </c>
      <c r="D403" s="70" t="str">
        <f>VLOOKUP(B403,Sheet3!$B$2:$E$312,3,)</f>
        <v>#N/A</v>
      </c>
      <c r="E403" s="64"/>
      <c r="F403" s="70" t="str">
        <f>IFERROR(VLOOKUP(B403,'Master data'!$A$1:$F$429,3,FALSE),"")</f>
        <v/>
      </c>
      <c r="G403" s="102"/>
      <c r="H403" s="65"/>
      <c r="I403" s="16"/>
      <c r="J403" s="16"/>
      <c r="K403" s="16" t="b">
        <v>0</v>
      </c>
      <c r="L403" s="16" t="b">
        <v>0</v>
      </c>
    </row>
    <row r="404">
      <c r="A404" s="9"/>
      <c r="B404" s="16"/>
      <c r="C404" s="7" t="str">
        <f>IFERROR(VLOOKUP(B404,'Master data'!$A$1:$D$397,2,FALSE),"")</f>
        <v/>
      </c>
      <c r="D404" s="70" t="str">
        <f>VLOOKUP(B404,Sheet3!$B$2:$E$312,3,)</f>
        <v>#N/A</v>
      </c>
      <c r="E404" s="64"/>
      <c r="F404" s="70" t="str">
        <f>IFERROR(VLOOKUP(B404,'Master data'!$A$1:$F$429,3,FALSE),"")</f>
        <v/>
      </c>
      <c r="G404" s="102"/>
      <c r="H404" s="65"/>
      <c r="I404" s="16"/>
      <c r="J404" s="16"/>
      <c r="K404" s="16" t="b">
        <v>0</v>
      </c>
      <c r="L404" s="16" t="b">
        <v>0</v>
      </c>
    </row>
    <row r="405">
      <c r="A405" s="9"/>
      <c r="B405" s="16"/>
      <c r="C405" s="7" t="str">
        <f>IFERROR(VLOOKUP(B405,'Master data'!$A$1:$D$397,2,FALSE),"")</f>
        <v/>
      </c>
      <c r="D405" s="70" t="str">
        <f>VLOOKUP(B405,Sheet3!$B$2:$E$312,3,)</f>
        <v>#N/A</v>
      </c>
      <c r="E405" s="64"/>
      <c r="F405" s="70" t="str">
        <f>IFERROR(VLOOKUP(B405,'Master data'!$A$1:$F$429,3,FALSE),"")</f>
        <v/>
      </c>
      <c r="G405" s="102"/>
      <c r="H405" s="65"/>
      <c r="I405" s="16"/>
      <c r="J405" s="16"/>
      <c r="K405" s="16" t="b">
        <v>0</v>
      </c>
      <c r="L405" s="16" t="b">
        <v>0</v>
      </c>
    </row>
    <row r="406">
      <c r="A406" s="9"/>
      <c r="B406" s="16"/>
      <c r="C406" s="7" t="str">
        <f>IFERROR(VLOOKUP(B406,'Master data'!$A$1:$D$397,2,FALSE),"")</f>
        <v/>
      </c>
      <c r="D406" s="70" t="str">
        <f>VLOOKUP(B406,Sheet3!$B$2:$E$312,3,)</f>
        <v>#N/A</v>
      </c>
      <c r="E406" s="64"/>
      <c r="F406" s="70" t="str">
        <f>IFERROR(VLOOKUP(B406,'Master data'!$A$1:$F$429,3,FALSE),"")</f>
        <v/>
      </c>
      <c r="G406" s="102"/>
      <c r="H406" s="65"/>
      <c r="I406" s="16"/>
      <c r="J406" s="16"/>
      <c r="K406" s="16" t="b">
        <v>0</v>
      </c>
      <c r="L406" s="16" t="b">
        <v>0</v>
      </c>
    </row>
    <row r="407">
      <c r="A407" s="9"/>
      <c r="B407" s="16"/>
      <c r="C407" s="7" t="str">
        <f>IFERROR(VLOOKUP(B407,'Master data'!$A$1:$D$397,2,FALSE),"")</f>
        <v/>
      </c>
      <c r="D407" s="70" t="str">
        <f>VLOOKUP(B407,Sheet3!$B$2:$E$312,3,)</f>
        <v>#N/A</v>
      </c>
      <c r="E407" s="64"/>
      <c r="F407" s="70" t="str">
        <f>IFERROR(VLOOKUP(B407,'Master data'!$A$1:$F$429,3,FALSE),"")</f>
        <v/>
      </c>
      <c r="G407" s="102"/>
      <c r="H407" s="65"/>
      <c r="I407" s="16"/>
      <c r="J407" s="16"/>
      <c r="K407" s="16" t="b">
        <v>0</v>
      </c>
      <c r="L407" s="16" t="b">
        <v>0</v>
      </c>
    </row>
    <row r="408">
      <c r="A408" s="9"/>
      <c r="B408" s="16"/>
      <c r="C408" s="7" t="str">
        <f>IFERROR(VLOOKUP(B408,'Master data'!$A$1:$D$397,2,FALSE),"")</f>
        <v/>
      </c>
      <c r="D408" s="70" t="str">
        <f>VLOOKUP(B408,Sheet3!$B$2:$E$312,3,)</f>
        <v>#N/A</v>
      </c>
      <c r="E408" s="64"/>
      <c r="F408" s="70" t="str">
        <f>IFERROR(VLOOKUP(B408,'Master data'!$A$1:$F$429,3,FALSE),"")</f>
        <v/>
      </c>
      <c r="G408" s="102"/>
      <c r="H408" s="65"/>
      <c r="I408" s="16"/>
      <c r="J408" s="16"/>
      <c r="K408" s="16" t="b">
        <v>0</v>
      </c>
      <c r="L408" s="16" t="b">
        <v>0</v>
      </c>
    </row>
    <row r="409">
      <c r="A409" s="9"/>
      <c r="B409" s="16"/>
      <c r="C409" s="7" t="str">
        <f>IFERROR(VLOOKUP(B409,'Master data'!$A$1:$D$397,2,FALSE),"")</f>
        <v/>
      </c>
      <c r="D409" s="70" t="str">
        <f>VLOOKUP(B409,Sheet3!$B$2:$E$312,3,)</f>
        <v>#N/A</v>
      </c>
      <c r="E409" s="64"/>
      <c r="F409" s="70" t="str">
        <f>IFERROR(VLOOKUP(B409,'Master data'!$A$1:$F$429,3,FALSE),"")</f>
        <v/>
      </c>
      <c r="G409" s="102"/>
      <c r="H409" s="65"/>
      <c r="I409" s="16"/>
      <c r="J409" s="16"/>
      <c r="K409" s="16" t="b">
        <v>0</v>
      </c>
      <c r="L409" s="16" t="b">
        <v>0</v>
      </c>
    </row>
    <row r="410">
      <c r="A410" s="9"/>
      <c r="B410" s="16"/>
      <c r="C410" s="7" t="str">
        <f>IFERROR(VLOOKUP(B410,'Master data'!$A$1:$D$397,2,FALSE),"")</f>
        <v/>
      </c>
      <c r="D410" s="70" t="str">
        <f>VLOOKUP(B410,Sheet3!$B$2:$E$312,3,)</f>
        <v>#N/A</v>
      </c>
      <c r="E410" s="64"/>
      <c r="F410" s="70" t="str">
        <f>IFERROR(VLOOKUP(B410,'Master data'!$A$1:$F$429,3,FALSE),"")</f>
        <v/>
      </c>
      <c r="G410" s="102"/>
      <c r="H410" s="65"/>
      <c r="I410" s="16"/>
      <c r="J410" s="16"/>
      <c r="K410" s="16" t="b">
        <v>0</v>
      </c>
      <c r="L410" s="16" t="b">
        <v>0</v>
      </c>
    </row>
    <row r="411">
      <c r="A411" s="9"/>
      <c r="B411" s="16"/>
      <c r="C411" s="7" t="str">
        <f>IFERROR(VLOOKUP(B411,'Master data'!$A$1:$D$397,2,FALSE),"")</f>
        <v/>
      </c>
      <c r="D411" s="70" t="str">
        <f>VLOOKUP(B411,Sheet3!$B$2:$E$312,3,)</f>
        <v>#N/A</v>
      </c>
      <c r="E411" s="64"/>
      <c r="F411" s="70" t="str">
        <f>IFERROR(VLOOKUP(B411,'Master data'!$A$1:$F$429,3,FALSE),"")</f>
        <v/>
      </c>
      <c r="G411" s="102"/>
      <c r="H411" s="65"/>
      <c r="I411" s="16"/>
      <c r="J411" s="16"/>
      <c r="K411" s="16" t="b">
        <v>0</v>
      </c>
      <c r="L411" s="16" t="b">
        <v>0</v>
      </c>
    </row>
    <row r="412">
      <c r="A412" s="9"/>
      <c r="B412" s="16"/>
      <c r="C412" s="7" t="str">
        <f>IFERROR(VLOOKUP(B412,'Master data'!$A$1:$D$397,2,FALSE),"")</f>
        <v/>
      </c>
      <c r="D412" s="70" t="str">
        <f>VLOOKUP(B412,Sheet3!$B$2:$E$312,3,)</f>
        <v>#N/A</v>
      </c>
      <c r="E412" s="64"/>
      <c r="F412" s="70" t="str">
        <f>IFERROR(VLOOKUP(B412,'Master data'!$A$1:$F$429,3,FALSE),"")</f>
        <v/>
      </c>
      <c r="G412" s="102"/>
      <c r="H412" s="65"/>
      <c r="I412" s="16"/>
      <c r="J412" s="16"/>
      <c r="K412" s="16" t="b">
        <v>0</v>
      </c>
      <c r="L412" s="16" t="b">
        <v>0</v>
      </c>
    </row>
    <row r="413">
      <c r="A413" s="9"/>
      <c r="B413" s="16"/>
      <c r="C413" s="7" t="str">
        <f>IFERROR(VLOOKUP(B413,'Master data'!$A$1:$D$397,2,FALSE),"")</f>
        <v/>
      </c>
      <c r="D413" s="70" t="str">
        <f>VLOOKUP(B413,Sheet3!$B$2:$E$312,3,)</f>
        <v>#N/A</v>
      </c>
      <c r="E413" s="64"/>
      <c r="F413" s="70" t="str">
        <f>IFERROR(VLOOKUP(B413,'Master data'!$A$1:$F$429,3,FALSE),"")</f>
        <v/>
      </c>
      <c r="G413" s="102"/>
      <c r="H413" s="65"/>
      <c r="I413" s="16"/>
      <c r="J413" s="16"/>
      <c r="K413" s="16" t="b">
        <v>0</v>
      </c>
      <c r="L413" s="16" t="b">
        <v>0</v>
      </c>
    </row>
    <row r="414">
      <c r="A414" s="9"/>
      <c r="B414" s="16"/>
      <c r="C414" s="7" t="str">
        <f>IFERROR(VLOOKUP(B414,'Master data'!$A$1:$D$397,2,FALSE),"")</f>
        <v/>
      </c>
      <c r="D414" s="70" t="str">
        <f>VLOOKUP(B414,Sheet3!$B$2:$E$312,3,)</f>
        <v>#N/A</v>
      </c>
      <c r="E414" s="64"/>
      <c r="F414" s="70" t="str">
        <f>IFERROR(VLOOKUP(B414,'Master data'!$A$1:$F$429,3,FALSE),"")</f>
        <v/>
      </c>
      <c r="G414" s="102"/>
      <c r="H414" s="65"/>
      <c r="I414" s="16"/>
      <c r="J414" s="16"/>
      <c r="K414" s="16" t="b">
        <v>0</v>
      </c>
      <c r="L414" s="16" t="b">
        <v>0</v>
      </c>
    </row>
    <row r="415">
      <c r="A415" s="9"/>
      <c r="B415" s="16"/>
      <c r="C415" s="7" t="str">
        <f>IFERROR(VLOOKUP(B415,'Master data'!$A$1:$D$397,2,FALSE),"")</f>
        <v/>
      </c>
      <c r="D415" s="70" t="str">
        <f>VLOOKUP(B415,Sheet3!$B$2:$E$312,3,)</f>
        <v>#N/A</v>
      </c>
      <c r="E415" s="64"/>
      <c r="F415" s="70" t="str">
        <f>IFERROR(VLOOKUP(B415,'Master data'!$A$1:$F$429,3,FALSE),"")</f>
        <v/>
      </c>
      <c r="G415" s="102"/>
      <c r="H415" s="65"/>
      <c r="I415" s="16"/>
      <c r="J415" s="16"/>
      <c r="K415" s="16" t="b">
        <v>0</v>
      </c>
      <c r="L415" s="16" t="b">
        <v>0</v>
      </c>
    </row>
    <row r="416">
      <c r="A416" s="9"/>
      <c r="B416" s="16"/>
      <c r="C416" s="7" t="str">
        <f>IFERROR(VLOOKUP(B416,'Master data'!$A$1:$D$397,2,FALSE),"")</f>
        <v/>
      </c>
      <c r="D416" s="70" t="str">
        <f>VLOOKUP(B416,Sheet3!$B$2:$E$312,3,)</f>
        <v>#N/A</v>
      </c>
      <c r="E416" s="64"/>
      <c r="F416" s="70" t="str">
        <f>IFERROR(VLOOKUP(B416,'Master data'!$A$1:$F$429,3,FALSE),"")</f>
        <v/>
      </c>
      <c r="G416" s="102"/>
      <c r="H416" s="65"/>
      <c r="I416" s="16"/>
      <c r="J416" s="16"/>
      <c r="K416" s="16" t="b">
        <v>0</v>
      </c>
      <c r="L416" s="16" t="b">
        <v>0</v>
      </c>
    </row>
    <row r="417">
      <c r="A417" s="9"/>
      <c r="B417" s="16"/>
      <c r="C417" s="7" t="str">
        <f>IFERROR(VLOOKUP(B417,'Master data'!$A$1:$D$397,2,FALSE),"")</f>
        <v/>
      </c>
      <c r="D417" s="70" t="str">
        <f>VLOOKUP(B417,Sheet3!$B$2:$E$312,3,)</f>
        <v>#N/A</v>
      </c>
      <c r="E417" s="64"/>
      <c r="F417" s="70" t="str">
        <f>IFERROR(VLOOKUP(B417,'Master data'!$A$1:$F$429,3,FALSE),"")</f>
        <v/>
      </c>
      <c r="G417" s="102"/>
      <c r="H417" s="65"/>
      <c r="I417" s="16"/>
      <c r="J417" s="16"/>
      <c r="K417" s="16" t="b">
        <v>0</v>
      </c>
      <c r="L417" s="16" t="b">
        <v>0</v>
      </c>
    </row>
    <row r="418">
      <c r="A418" s="9"/>
      <c r="B418" s="16"/>
      <c r="C418" s="7" t="str">
        <f>IFERROR(VLOOKUP(B418,'Master data'!$A$1:$D$397,2,FALSE),"")</f>
        <v/>
      </c>
      <c r="D418" s="70" t="str">
        <f>VLOOKUP(B418,Sheet3!$B$2:$E$312,3,)</f>
        <v>#N/A</v>
      </c>
      <c r="E418" s="64"/>
      <c r="F418" s="70" t="str">
        <f>IFERROR(VLOOKUP(B418,'Master data'!$A$1:$F$429,3,FALSE),"")</f>
        <v/>
      </c>
      <c r="G418" s="102"/>
      <c r="H418" s="65"/>
      <c r="I418" s="16"/>
      <c r="J418" s="16"/>
      <c r="K418" s="16" t="b">
        <v>0</v>
      </c>
      <c r="L418" s="16" t="b">
        <v>0</v>
      </c>
    </row>
    <row r="419">
      <c r="A419" s="9"/>
      <c r="B419" s="16"/>
      <c r="C419" s="7" t="str">
        <f>IFERROR(VLOOKUP(B419,'Master data'!$A$1:$D$397,2,FALSE),"")</f>
        <v/>
      </c>
      <c r="D419" s="70" t="str">
        <f>VLOOKUP(B419,Sheet3!$B$2:$E$312,3,)</f>
        <v>#N/A</v>
      </c>
      <c r="E419" s="64"/>
      <c r="F419" s="70" t="str">
        <f>IFERROR(VLOOKUP(B419,'Master data'!$A$1:$F$429,3,FALSE),"")</f>
        <v/>
      </c>
      <c r="G419" s="102"/>
      <c r="H419" s="65"/>
      <c r="I419" s="16"/>
      <c r="J419" s="16"/>
      <c r="K419" s="16" t="b">
        <v>0</v>
      </c>
      <c r="L419" s="16" t="b">
        <v>0</v>
      </c>
    </row>
    <row r="420">
      <c r="A420" s="9"/>
      <c r="B420" s="16"/>
      <c r="C420" s="7" t="str">
        <f>IFERROR(VLOOKUP(B420,'Master data'!$A$1:$D$397,2,FALSE),"")</f>
        <v/>
      </c>
      <c r="D420" s="70" t="str">
        <f>VLOOKUP(B420,Sheet3!$B$2:$E$312,3,)</f>
        <v>#N/A</v>
      </c>
      <c r="E420" s="64"/>
      <c r="F420" s="70" t="str">
        <f>IFERROR(VLOOKUP(B420,'Master data'!$A$1:$F$429,3,FALSE),"")</f>
        <v/>
      </c>
      <c r="G420" s="102"/>
      <c r="H420" s="65"/>
      <c r="I420" s="16"/>
      <c r="J420" s="16"/>
      <c r="K420" s="16" t="b">
        <v>0</v>
      </c>
      <c r="L420" s="16" t="b">
        <v>0</v>
      </c>
    </row>
    <row r="421">
      <c r="A421" s="9"/>
      <c r="B421" s="16"/>
      <c r="C421" s="7" t="str">
        <f>IFERROR(VLOOKUP(B421,'Master data'!$A$1:$D$397,2,FALSE),"")</f>
        <v/>
      </c>
      <c r="D421" s="70" t="str">
        <f>VLOOKUP(B421,Sheet3!$B$2:$E$312,3,)</f>
        <v>#N/A</v>
      </c>
      <c r="E421" s="64"/>
      <c r="F421" s="70" t="str">
        <f>IFERROR(VLOOKUP(B421,'Master data'!$A$1:$F$429,3,FALSE),"")</f>
        <v/>
      </c>
      <c r="G421" s="102"/>
      <c r="H421" s="65"/>
      <c r="I421" s="16"/>
      <c r="J421" s="16"/>
      <c r="K421" s="16" t="b">
        <v>0</v>
      </c>
      <c r="L421" s="16" t="b">
        <v>0</v>
      </c>
    </row>
    <row r="422">
      <c r="A422" s="9"/>
      <c r="B422" s="16"/>
      <c r="C422" s="7" t="str">
        <f>IFERROR(VLOOKUP(B422,'Master data'!$A$1:$D$397,2,FALSE),"")</f>
        <v/>
      </c>
      <c r="D422" s="70" t="str">
        <f>VLOOKUP(B422,Sheet3!$B$2:$E$312,3,)</f>
        <v>#N/A</v>
      </c>
      <c r="E422" s="64"/>
      <c r="F422" s="70" t="str">
        <f>IFERROR(VLOOKUP(B422,'Master data'!$A$1:$F$429,3,FALSE),"")</f>
        <v/>
      </c>
      <c r="G422" s="102"/>
      <c r="H422" s="65"/>
      <c r="I422" s="16"/>
      <c r="J422" s="16"/>
      <c r="K422" s="16" t="b">
        <v>0</v>
      </c>
      <c r="L422" s="16" t="b">
        <v>0</v>
      </c>
    </row>
    <row r="423">
      <c r="A423" s="9"/>
      <c r="B423" s="16"/>
      <c r="C423" s="7" t="str">
        <f>IFERROR(VLOOKUP(B423,'Master data'!$A$1:$D$397,2,FALSE),"")</f>
        <v/>
      </c>
      <c r="D423" s="70" t="str">
        <f>VLOOKUP(B423,Sheet3!$B$2:$E$312,3,)</f>
        <v>#N/A</v>
      </c>
      <c r="E423" s="64"/>
      <c r="F423" s="70" t="str">
        <f>IFERROR(VLOOKUP(B423,'Master data'!$A$1:$F$429,3,FALSE),"")</f>
        <v/>
      </c>
      <c r="G423" s="102"/>
      <c r="H423" s="65"/>
      <c r="I423" s="16"/>
      <c r="J423" s="16"/>
      <c r="K423" s="16" t="b">
        <v>0</v>
      </c>
      <c r="L423" s="16" t="b">
        <v>0</v>
      </c>
    </row>
    <row r="424">
      <c r="A424" s="9"/>
      <c r="B424" s="16"/>
      <c r="C424" s="7" t="str">
        <f>IFERROR(VLOOKUP(B424,'Master data'!$A$1:$D$397,2,FALSE),"")</f>
        <v/>
      </c>
      <c r="D424" s="70" t="str">
        <f>VLOOKUP(B424,Sheet3!$B$2:$E$312,3,)</f>
        <v>#N/A</v>
      </c>
      <c r="E424" s="64"/>
      <c r="F424" s="70" t="str">
        <f>IFERROR(VLOOKUP(B424,'Master data'!$A$1:$F$429,3,FALSE),"")</f>
        <v/>
      </c>
      <c r="G424" s="102"/>
      <c r="H424" s="65"/>
      <c r="I424" s="16"/>
      <c r="J424" s="16"/>
      <c r="K424" s="16" t="b">
        <v>0</v>
      </c>
      <c r="L424" s="16" t="b">
        <v>0</v>
      </c>
    </row>
    <row r="425">
      <c r="A425" s="9"/>
      <c r="B425" s="16"/>
      <c r="C425" s="7" t="str">
        <f>IFERROR(VLOOKUP(B425,'Master data'!$A$1:$D$397,2,FALSE),"")</f>
        <v/>
      </c>
      <c r="D425" s="70" t="str">
        <f>VLOOKUP(B425,Sheet3!$B$2:$E$312,3,)</f>
        <v>#N/A</v>
      </c>
      <c r="E425" s="64"/>
      <c r="F425" s="70" t="str">
        <f>IFERROR(VLOOKUP(B425,'Master data'!$A$1:$F$429,3,FALSE),"")</f>
        <v/>
      </c>
      <c r="G425" s="102"/>
      <c r="H425" s="65"/>
      <c r="I425" s="16"/>
      <c r="J425" s="16"/>
      <c r="K425" s="16" t="b">
        <v>0</v>
      </c>
      <c r="L425" s="16" t="b">
        <v>0</v>
      </c>
    </row>
    <row r="426">
      <c r="A426" s="9"/>
      <c r="B426" s="16"/>
      <c r="C426" s="7" t="str">
        <f>IFERROR(VLOOKUP(B426,'Master data'!$A$1:$D$397,2,FALSE),"")</f>
        <v/>
      </c>
      <c r="D426" s="70" t="str">
        <f>VLOOKUP(B426,Sheet3!$B$2:$E$312,3,)</f>
        <v>#N/A</v>
      </c>
      <c r="E426" s="64"/>
      <c r="F426" s="70" t="str">
        <f>IFERROR(VLOOKUP(B426,'Master data'!$A$1:$F$429,3,FALSE),"")</f>
        <v/>
      </c>
      <c r="G426" s="102"/>
      <c r="H426" s="65"/>
      <c r="I426" s="16"/>
      <c r="J426" s="16"/>
      <c r="K426" s="16" t="b">
        <v>0</v>
      </c>
      <c r="L426" s="16" t="b">
        <v>0</v>
      </c>
    </row>
    <row r="427">
      <c r="A427" s="9"/>
      <c r="B427" s="16"/>
      <c r="C427" s="7" t="str">
        <f>IFERROR(VLOOKUP(B427,'Master data'!$A$1:$D$397,2,FALSE),"")</f>
        <v/>
      </c>
      <c r="D427" s="70" t="str">
        <f>VLOOKUP(B427,Sheet3!$B$2:$E$312,3,)</f>
        <v>#N/A</v>
      </c>
      <c r="E427" s="64"/>
      <c r="F427" s="70" t="str">
        <f>IFERROR(VLOOKUP(B427,'Master data'!$A$1:$F$429,3,FALSE),"")</f>
        <v/>
      </c>
      <c r="G427" s="102"/>
      <c r="H427" s="65"/>
      <c r="I427" s="16"/>
      <c r="J427" s="16"/>
      <c r="K427" s="16" t="b">
        <v>0</v>
      </c>
      <c r="L427" s="16" t="b">
        <v>0</v>
      </c>
    </row>
    <row r="428">
      <c r="A428" s="9"/>
      <c r="B428" s="16"/>
      <c r="C428" s="7" t="str">
        <f>IFERROR(VLOOKUP(B428,'Master data'!$A$1:$D$397,2,FALSE),"")</f>
        <v/>
      </c>
      <c r="D428" s="70" t="str">
        <f>VLOOKUP(B428,Sheet3!$B$2:$E$312,3,)</f>
        <v>#N/A</v>
      </c>
      <c r="E428" s="64"/>
      <c r="F428" s="70" t="str">
        <f>IFERROR(VLOOKUP(B428,'Master data'!$A$1:$F$429,3,FALSE),"")</f>
        <v/>
      </c>
      <c r="G428" s="102"/>
      <c r="H428" s="65"/>
      <c r="I428" s="16"/>
      <c r="J428" s="16"/>
      <c r="K428" s="16" t="b">
        <v>0</v>
      </c>
      <c r="L428" s="16" t="b">
        <v>0</v>
      </c>
    </row>
    <row r="429">
      <c r="A429" s="9"/>
      <c r="B429" s="16"/>
      <c r="C429" s="7" t="str">
        <f>IFERROR(VLOOKUP(B429,'Master data'!$A$1:$D$397,2,FALSE),"")</f>
        <v/>
      </c>
      <c r="D429" s="70" t="str">
        <f>VLOOKUP(B429,Sheet3!$B$2:$E$312,3,)</f>
        <v>#N/A</v>
      </c>
      <c r="E429" s="64"/>
      <c r="F429" s="70" t="str">
        <f>IFERROR(VLOOKUP(B429,'Master data'!$A$1:$F$429,3,FALSE),"")</f>
        <v/>
      </c>
      <c r="G429" s="102"/>
      <c r="H429" s="65"/>
      <c r="I429" s="16"/>
      <c r="J429" s="16"/>
      <c r="K429" s="16" t="b">
        <v>0</v>
      </c>
      <c r="L429" s="16" t="b">
        <v>0</v>
      </c>
    </row>
    <row r="430">
      <c r="A430" s="9"/>
      <c r="B430" s="16"/>
      <c r="C430" s="7" t="str">
        <f>IFERROR(VLOOKUP(B430,'Master data'!$A$1:$D$397,2,FALSE),"")</f>
        <v/>
      </c>
      <c r="D430" s="70" t="str">
        <f>VLOOKUP(B430,Sheet3!$B$2:$E$312,3,)</f>
        <v>#N/A</v>
      </c>
      <c r="E430" s="64"/>
      <c r="F430" s="70" t="str">
        <f>IFERROR(VLOOKUP(B430,'Master data'!$A$1:$F$429,3,FALSE),"")</f>
        <v/>
      </c>
      <c r="G430" s="102"/>
      <c r="H430" s="65"/>
      <c r="I430" s="16"/>
      <c r="J430" s="16"/>
      <c r="K430" s="16" t="b">
        <v>0</v>
      </c>
      <c r="L430" s="16" t="b">
        <v>0</v>
      </c>
    </row>
    <row r="431">
      <c r="A431" s="9"/>
      <c r="B431" s="16"/>
      <c r="C431" s="7" t="str">
        <f>IFERROR(VLOOKUP(B431,'Master data'!$A$1:$D$397,2,FALSE),"")</f>
        <v/>
      </c>
      <c r="D431" s="70" t="str">
        <f>VLOOKUP(B431,Sheet3!$B$2:$E$312,3,)</f>
        <v>#N/A</v>
      </c>
      <c r="E431" s="64"/>
      <c r="F431" s="70" t="str">
        <f>IFERROR(VLOOKUP(B431,'Master data'!$A$1:$F$429,3,FALSE),"")</f>
        <v/>
      </c>
      <c r="G431" s="102"/>
      <c r="H431" s="65"/>
      <c r="I431" s="16"/>
      <c r="J431" s="16"/>
      <c r="K431" s="16" t="b">
        <v>0</v>
      </c>
      <c r="L431" s="16" t="b">
        <v>0</v>
      </c>
    </row>
    <row r="432">
      <c r="A432" s="9"/>
      <c r="B432" s="16"/>
      <c r="C432" s="7" t="str">
        <f>IFERROR(VLOOKUP(B432,'Master data'!$A$1:$D$397,2,FALSE),"")</f>
        <v/>
      </c>
      <c r="D432" s="70" t="str">
        <f>VLOOKUP(B432,Sheet3!$B$2:$E$312,3,)</f>
        <v>#N/A</v>
      </c>
      <c r="E432" s="64"/>
      <c r="F432" s="70" t="str">
        <f>IFERROR(VLOOKUP(B432,'Master data'!$A$1:$F$429,3,FALSE),"")</f>
        <v/>
      </c>
      <c r="G432" s="102"/>
      <c r="H432" s="65"/>
      <c r="I432" s="16"/>
      <c r="J432" s="16"/>
      <c r="K432" s="16" t="b">
        <v>0</v>
      </c>
      <c r="L432" s="16" t="b">
        <v>0</v>
      </c>
    </row>
    <row r="433">
      <c r="A433" s="9"/>
      <c r="B433" s="16"/>
      <c r="C433" s="7" t="str">
        <f>IFERROR(VLOOKUP(B433,'Master data'!$A$1:$D$397,2,FALSE),"")</f>
        <v/>
      </c>
      <c r="D433" s="70" t="str">
        <f>VLOOKUP(B433,Sheet3!$B$2:$E$312,3,)</f>
        <v>#N/A</v>
      </c>
      <c r="E433" s="64"/>
      <c r="F433" s="70" t="str">
        <f>IFERROR(VLOOKUP(B433,'Master data'!$A$1:$F$429,3,FALSE),"")</f>
        <v/>
      </c>
      <c r="G433" s="102"/>
      <c r="H433" s="65"/>
      <c r="I433" s="16"/>
      <c r="J433" s="16"/>
      <c r="K433" s="16" t="b">
        <v>0</v>
      </c>
      <c r="L433" s="16" t="b">
        <v>0</v>
      </c>
    </row>
    <row r="434">
      <c r="A434" s="9"/>
      <c r="B434" s="16"/>
      <c r="C434" s="7" t="str">
        <f>IFERROR(VLOOKUP(B434,'Master data'!$A$1:$D$397,2,FALSE),"")</f>
        <v/>
      </c>
      <c r="D434" s="70" t="str">
        <f>VLOOKUP(B434,Sheet3!$B$2:$E$312,3,)</f>
        <v>#N/A</v>
      </c>
      <c r="E434" s="64"/>
      <c r="F434" s="70" t="str">
        <f>IFERROR(VLOOKUP(B434,'Master data'!$A$1:$F$429,3,FALSE),"")</f>
        <v/>
      </c>
      <c r="G434" s="102"/>
      <c r="H434" s="65"/>
      <c r="I434" s="16"/>
      <c r="J434" s="16"/>
      <c r="K434" s="16" t="b">
        <v>0</v>
      </c>
      <c r="L434" s="16" t="b">
        <v>0</v>
      </c>
    </row>
    <row r="435">
      <c r="A435" s="9"/>
      <c r="B435" s="16"/>
      <c r="C435" s="7" t="str">
        <f>IFERROR(VLOOKUP(B435,'Master data'!$A$1:$D$397,2,FALSE),"")</f>
        <v/>
      </c>
      <c r="D435" s="70" t="str">
        <f>VLOOKUP(B435,Sheet3!$B$2:$E$312,3,)</f>
        <v>#N/A</v>
      </c>
      <c r="E435" s="64"/>
      <c r="F435" s="70" t="str">
        <f>IFERROR(VLOOKUP(B435,'Master data'!$A$1:$F$429,3,FALSE),"")</f>
        <v/>
      </c>
      <c r="G435" s="102"/>
      <c r="H435" s="65"/>
      <c r="I435" s="16"/>
      <c r="J435" s="16"/>
      <c r="K435" s="16" t="b">
        <v>0</v>
      </c>
      <c r="L435" s="16" t="b">
        <v>0</v>
      </c>
    </row>
    <row r="436">
      <c r="A436" s="9"/>
      <c r="B436" s="16"/>
      <c r="C436" s="7" t="str">
        <f>IFERROR(VLOOKUP(B436,'Master data'!$A$1:$D$397,2,FALSE),"")</f>
        <v/>
      </c>
      <c r="D436" s="70" t="str">
        <f>VLOOKUP(B436,Sheet3!$B$2:$E$312,3,)</f>
        <v>#N/A</v>
      </c>
      <c r="E436" s="64"/>
      <c r="F436" s="16" t="str">
        <f>IFERROR(VLOOKUP(B436,'Master data'!$A$1:$D$397,3,FALSE),"")</f>
        <v/>
      </c>
      <c r="G436" s="102"/>
      <c r="H436" s="65"/>
      <c r="I436" s="16"/>
      <c r="J436" s="16"/>
      <c r="K436" s="16" t="b">
        <v>0</v>
      </c>
      <c r="L436" s="16" t="b">
        <v>0</v>
      </c>
    </row>
    <row r="437">
      <c r="A437" s="9"/>
      <c r="B437" s="16"/>
      <c r="C437" s="7" t="str">
        <f>IFERROR(VLOOKUP(B437,'Master data'!$A$1:$D$397,2,FALSE),"")</f>
        <v/>
      </c>
      <c r="D437" s="70" t="str">
        <f>VLOOKUP(B437,Sheet3!$B$2:$E$312,3,)</f>
        <v>#N/A</v>
      </c>
      <c r="E437" s="64"/>
      <c r="F437" s="16" t="str">
        <f>IFERROR(VLOOKUP(B437,'Master data'!$A$1:$D$397,3,FALSE),"")</f>
        <v/>
      </c>
      <c r="G437" s="102"/>
      <c r="H437" s="65"/>
      <c r="I437" s="16"/>
      <c r="J437" s="16"/>
      <c r="K437" s="16" t="b">
        <v>0</v>
      </c>
      <c r="L437" s="16" t="b">
        <v>0</v>
      </c>
    </row>
    <row r="438">
      <c r="A438" s="9"/>
      <c r="B438" s="16"/>
      <c r="C438" s="7" t="str">
        <f>IFERROR(VLOOKUP(B438,'Master data'!$A$1:$D$397,2,FALSE),"")</f>
        <v/>
      </c>
      <c r="D438" s="70" t="str">
        <f>VLOOKUP(B438,Sheet3!$B$2:$E$312,3,)</f>
        <v>#N/A</v>
      </c>
      <c r="E438" s="64"/>
      <c r="F438" s="16" t="str">
        <f>IFERROR(VLOOKUP(B438,'Master data'!$A$1:$D$397,3,FALSE),"")</f>
        <v/>
      </c>
      <c r="G438" s="102"/>
      <c r="H438" s="65"/>
      <c r="I438" s="16"/>
      <c r="J438" s="16"/>
      <c r="K438" s="16" t="b">
        <v>0</v>
      </c>
      <c r="L438" s="16" t="b">
        <v>0</v>
      </c>
    </row>
    <row r="439">
      <c r="A439" s="9"/>
      <c r="B439" s="16"/>
      <c r="C439" s="7" t="str">
        <f>IFERROR(VLOOKUP(B439,'Master data'!$A$1:$D$397,2,FALSE),"")</f>
        <v/>
      </c>
      <c r="D439" s="70" t="str">
        <f>VLOOKUP(B439,Sheet3!$B$2:$E$312,3,)</f>
        <v>#N/A</v>
      </c>
      <c r="E439" s="64"/>
      <c r="F439" s="16" t="str">
        <f>IFERROR(VLOOKUP(B439,'Master data'!$A$1:$D$397,3,FALSE),"")</f>
        <v/>
      </c>
      <c r="G439" s="102"/>
      <c r="H439" s="65"/>
      <c r="I439" s="16"/>
      <c r="J439" s="16"/>
      <c r="K439" s="16" t="b">
        <v>0</v>
      </c>
      <c r="L439" s="16" t="b">
        <v>0</v>
      </c>
    </row>
    <row r="440">
      <c r="A440" s="9"/>
      <c r="B440" s="16"/>
      <c r="C440" s="7" t="str">
        <f>IFERROR(VLOOKUP(B440,'Master data'!$A$1:$D$397,2,FALSE),"")</f>
        <v/>
      </c>
      <c r="D440" s="70" t="str">
        <f>VLOOKUP(B440,Sheet3!$B$2:$E$312,3,)</f>
        <v>#N/A</v>
      </c>
      <c r="E440" s="64"/>
      <c r="F440" s="16" t="str">
        <f>IFERROR(VLOOKUP(B440,'Master data'!$A$1:$D$397,3,FALSE),"")</f>
        <v/>
      </c>
      <c r="G440" s="102"/>
      <c r="H440" s="65"/>
      <c r="I440" s="16"/>
      <c r="J440" s="16"/>
      <c r="K440" s="16" t="b">
        <v>0</v>
      </c>
      <c r="L440" s="16" t="b">
        <v>0</v>
      </c>
    </row>
    <row r="441">
      <c r="A441" s="9"/>
      <c r="B441" s="16"/>
      <c r="C441" s="7" t="str">
        <f>IFERROR(VLOOKUP(B441,'Master data'!$A$1:$D$397,2,FALSE),"")</f>
        <v/>
      </c>
      <c r="D441" s="70" t="str">
        <f>VLOOKUP(B441,Sheet3!$B$2:$E$312,3,)</f>
        <v>#N/A</v>
      </c>
      <c r="E441" s="64"/>
      <c r="F441" s="16" t="str">
        <f>IFERROR(VLOOKUP(B441,'Master data'!$A$1:$D$397,3,FALSE),"")</f>
        <v/>
      </c>
      <c r="G441" s="102"/>
      <c r="H441" s="65"/>
      <c r="I441" s="16"/>
      <c r="J441" s="16"/>
      <c r="K441" s="16" t="b">
        <v>0</v>
      </c>
      <c r="L441" s="16" t="b">
        <v>0</v>
      </c>
    </row>
    <row r="442">
      <c r="A442" s="9"/>
      <c r="B442" s="16"/>
      <c r="C442" s="7" t="str">
        <f>IFERROR(VLOOKUP(B442,'Master data'!$A$1:$D$397,2,FALSE),"")</f>
        <v/>
      </c>
      <c r="D442" s="70" t="str">
        <f>VLOOKUP(B442,Sheet3!$B$2:$E$312,3,)</f>
        <v>#N/A</v>
      </c>
      <c r="E442" s="64"/>
      <c r="F442" s="16" t="str">
        <f>IFERROR(VLOOKUP(B442,'Master data'!$A$1:$D$397,3,FALSE),"")</f>
        <v/>
      </c>
      <c r="G442" s="102"/>
      <c r="H442" s="65"/>
      <c r="I442" s="16"/>
      <c r="J442" s="16"/>
      <c r="K442" s="16" t="b">
        <v>0</v>
      </c>
      <c r="L442" s="16" t="b">
        <v>0</v>
      </c>
    </row>
    <row r="443">
      <c r="A443" s="9"/>
      <c r="B443" s="16"/>
      <c r="C443" s="7" t="str">
        <f>IFERROR(VLOOKUP(B443,'Master data'!$A$1:$D$397,2,FALSE),"")</f>
        <v/>
      </c>
      <c r="D443" s="70" t="str">
        <f>VLOOKUP(B443,Sheet3!$B$2:$E$312,3,)</f>
        <v>#N/A</v>
      </c>
      <c r="E443" s="64"/>
      <c r="F443" s="16" t="str">
        <f>IFERROR(VLOOKUP(B443,'Master data'!$A$1:$D$397,3,FALSE),"")</f>
        <v/>
      </c>
      <c r="G443" s="102"/>
      <c r="H443" s="65"/>
      <c r="I443" s="16"/>
      <c r="J443" s="16"/>
      <c r="K443" s="16" t="b">
        <v>0</v>
      </c>
      <c r="L443" s="16" t="b">
        <v>0</v>
      </c>
    </row>
    <row r="444">
      <c r="A444" s="9"/>
      <c r="B444" s="16"/>
      <c r="C444" s="7" t="str">
        <f>IFERROR(VLOOKUP(B444,'Master data'!$A$1:$D$397,2,FALSE),"")</f>
        <v/>
      </c>
      <c r="D444" s="70" t="str">
        <f>VLOOKUP(B444,Sheet3!$B$2:$E$312,3,)</f>
        <v>#N/A</v>
      </c>
      <c r="E444" s="64"/>
      <c r="F444" s="16" t="str">
        <f>IFERROR(VLOOKUP(B444,'Master data'!$A$1:$D$397,3,FALSE),"")</f>
        <v/>
      </c>
      <c r="G444" s="102"/>
      <c r="H444" s="65"/>
      <c r="I444" s="16"/>
      <c r="J444" s="16"/>
      <c r="K444" s="16" t="b">
        <v>0</v>
      </c>
      <c r="L444" s="16" t="b">
        <v>0</v>
      </c>
    </row>
    <row r="445">
      <c r="A445" s="9"/>
      <c r="B445" s="16"/>
      <c r="C445" s="7" t="str">
        <f>IFERROR(VLOOKUP(B445,'Master data'!$A$1:$D$397,2,FALSE),"")</f>
        <v/>
      </c>
      <c r="D445" s="70" t="str">
        <f>VLOOKUP(B445,Sheet3!$B$2:$E$312,3,)</f>
        <v>#N/A</v>
      </c>
      <c r="E445" s="64"/>
      <c r="F445" s="16" t="str">
        <f>IFERROR(VLOOKUP(B445,'Master data'!$A$1:$D$397,3,FALSE),"")</f>
        <v/>
      </c>
      <c r="G445" s="102"/>
      <c r="H445" s="65"/>
      <c r="I445" s="16"/>
      <c r="J445" s="16"/>
      <c r="K445" s="16" t="b">
        <v>0</v>
      </c>
      <c r="L445" s="16" t="b">
        <v>0</v>
      </c>
    </row>
    <row r="446">
      <c r="A446" s="9"/>
      <c r="B446" s="16"/>
      <c r="C446" s="7" t="str">
        <f>IFERROR(VLOOKUP(B446,'Master data'!$A$1:$D$397,2,FALSE),"")</f>
        <v/>
      </c>
      <c r="D446" s="70" t="str">
        <f>VLOOKUP(B446,Sheet3!$B$2:$E$312,3,)</f>
        <v>#N/A</v>
      </c>
      <c r="E446" s="64"/>
      <c r="F446" s="16" t="str">
        <f>IFERROR(VLOOKUP(B446,'Master data'!$A$1:$D$397,3,FALSE),"")</f>
        <v/>
      </c>
      <c r="G446" s="102"/>
      <c r="H446" s="65"/>
      <c r="I446" s="16"/>
      <c r="J446" s="16"/>
      <c r="K446" s="16" t="b">
        <v>0</v>
      </c>
      <c r="L446" s="16" t="b">
        <v>0</v>
      </c>
    </row>
    <row r="447">
      <c r="A447" s="9"/>
      <c r="B447" s="16"/>
      <c r="C447" s="7" t="str">
        <f>IFERROR(VLOOKUP(B447,'Master data'!$A$1:$D$397,2,FALSE),"")</f>
        <v/>
      </c>
      <c r="D447" s="70" t="str">
        <f>VLOOKUP(B447,Sheet3!$B$2:$E$312,3,)</f>
        <v>#N/A</v>
      </c>
      <c r="E447" s="64"/>
      <c r="F447" s="16" t="str">
        <f>IFERROR(VLOOKUP(B447,'Master data'!$A$1:$D$397,3,FALSE),"")</f>
        <v/>
      </c>
      <c r="G447" s="102"/>
      <c r="H447" s="65"/>
      <c r="I447" s="16"/>
      <c r="J447" s="16"/>
      <c r="K447" s="16" t="b">
        <v>0</v>
      </c>
      <c r="L447" s="16" t="b">
        <v>0</v>
      </c>
    </row>
    <row r="448">
      <c r="A448" s="9"/>
      <c r="B448" s="16"/>
      <c r="C448" s="7" t="str">
        <f>IFERROR(VLOOKUP(B448,'Master data'!$A$1:$D$397,2,FALSE),"")</f>
        <v/>
      </c>
      <c r="D448" s="70" t="str">
        <f>VLOOKUP(B448,Sheet3!$B$2:$E$312,3,)</f>
        <v>#N/A</v>
      </c>
      <c r="E448" s="64"/>
      <c r="F448" s="16" t="str">
        <f>IFERROR(VLOOKUP(B448,'Master data'!$A$1:$D$397,3,FALSE),"")</f>
        <v/>
      </c>
      <c r="G448" s="102"/>
      <c r="H448" s="65"/>
      <c r="I448" s="16"/>
      <c r="J448" s="16"/>
      <c r="K448" s="16" t="b">
        <v>0</v>
      </c>
      <c r="L448" s="16" t="b">
        <v>0</v>
      </c>
    </row>
    <row r="449">
      <c r="A449" s="9"/>
      <c r="B449" s="16"/>
      <c r="C449" s="7" t="str">
        <f>IFERROR(VLOOKUP(B449,'Master data'!$A$1:$D$397,2,FALSE),"")</f>
        <v/>
      </c>
      <c r="D449" s="70" t="str">
        <f>VLOOKUP(B449,Sheet3!$B$2:$E$312,3,)</f>
        <v>#N/A</v>
      </c>
      <c r="E449" s="64"/>
      <c r="F449" s="16" t="str">
        <f>IFERROR(VLOOKUP(B449,'Master data'!$A$1:$D$397,3,FALSE),"")</f>
        <v/>
      </c>
      <c r="G449" s="102"/>
      <c r="H449" s="65"/>
      <c r="I449" s="16"/>
      <c r="J449" s="16"/>
      <c r="K449" s="16" t="b">
        <v>0</v>
      </c>
      <c r="L449" s="16" t="b">
        <v>0</v>
      </c>
    </row>
    <row r="450">
      <c r="A450" s="9"/>
      <c r="B450" s="16"/>
      <c r="C450" s="7" t="str">
        <f>IFERROR(VLOOKUP(B450,'Master data'!$A$1:$D$397,2,FALSE),"")</f>
        <v/>
      </c>
      <c r="D450" s="70" t="str">
        <f>VLOOKUP(B450,Sheet3!$B$2:$E$312,3,)</f>
        <v>#N/A</v>
      </c>
      <c r="E450" s="64"/>
      <c r="F450" s="16" t="str">
        <f>IFERROR(VLOOKUP(B450,'Master data'!$A$1:$D$397,3,FALSE),"")</f>
        <v/>
      </c>
      <c r="G450" s="102"/>
      <c r="H450" s="65"/>
      <c r="I450" s="16"/>
      <c r="J450" s="16"/>
      <c r="K450" s="16" t="b">
        <v>0</v>
      </c>
      <c r="L450" s="16" t="b">
        <v>0</v>
      </c>
    </row>
    <row r="451">
      <c r="A451" s="9"/>
      <c r="B451" s="16"/>
      <c r="C451" s="7" t="str">
        <f>IFERROR(VLOOKUP(B451,'Master data'!$A$1:$D$397,2,FALSE),"")</f>
        <v/>
      </c>
      <c r="D451" s="70" t="str">
        <f>VLOOKUP(B451,Sheet3!$B$2:$E$312,3,)</f>
        <v>#N/A</v>
      </c>
      <c r="E451" s="64"/>
      <c r="F451" s="16" t="str">
        <f>IFERROR(VLOOKUP(B451,'Master data'!$A$1:$D$397,3,FALSE),"")</f>
        <v/>
      </c>
      <c r="G451" s="102"/>
      <c r="H451" s="65"/>
      <c r="I451" s="16"/>
      <c r="J451" s="16"/>
      <c r="K451" s="16" t="b">
        <v>0</v>
      </c>
      <c r="L451" s="16" t="b">
        <v>0</v>
      </c>
    </row>
    <row r="452">
      <c r="A452" s="9"/>
      <c r="B452" s="16"/>
      <c r="C452" s="7" t="str">
        <f>IFERROR(VLOOKUP(B452,'Master data'!$A$1:$D$397,2,FALSE),"")</f>
        <v/>
      </c>
      <c r="D452" s="70" t="str">
        <f>VLOOKUP(B452,Sheet3!$B$2:$E$312,3,)</f>
        <v>#N/A</v>
      </c>
      <c r="E452" s="64"/>
      <c r="F452" s="16" t="str">
        <f>IFERROR(VLOOKUP(B452,'Master data'!$A$1:$D$397,3,FALSE),"")</f>
        <v/>
      </c>
      <c r="G452" s="102"/>
      <c r="H452" s="65"/>
      <c r="I452" s="16"/>
      <c r="J452" s="16"/>
      <c r="K452" s="16" t="b">
        <v>0</v>
      </c>
      <c r="L452" s="16" t="b">
        <v>0</v>
      </c>
    </row>
    <row r="453">
      <c r="A453" s="9"/>
      <c r="B453" s="16"/>
      <c r="C453" s="7" t="str">
        <f>IFERROR(VLOOKUP(B453,'Master data'!$A$1:$D$397,2,FALSE),"")</f>
        <v/>
      </c>
      <c r="D453" s="70" t="str">
        <f>VLOOKUP(B453,Sheet3!$B$2:$E$312,3,)</f>
        <v>#N/A</v>
      </c>
      <c r="E453" s="64"/>
      <c r="F453" s="16" t="str">
        <f>IFERROR(VLOOKUP(B453,'Master data'!$A$1:$D$397,3,FALSE),"")</f>
        <v/>
      </c>
      <c r="G453" s="102"/>
      <c r="H453" s="65"/>
      <c r="I453" s="16"/>
      <c r="J453" s="16"/>
      <c r="K453" s="16" t="b">
        <v>0</v>
      </c>
      <c r="L453" s="16" t="b">
        <v>0</v>
      </c>
    </row>
    <row r="454">
      <c r="A454" s="9"/>
      <c r="B454" s="16"/>
      <c r="C454" s="7" t="str">
        <f>IFERROR(VLOOKUP(B454,'Master data'!$A$1:$D$397,2,FALSE),"")</f>
        <v/>
      </c>
      <c r="D454" s="70" t="str">
        <f>VLOOKUP(B454,Sheet3!$B$2:$E$312,3,)</f>
        <v>#N/A</v>
      </c>
      <c r="E454" s="64"/>
      <c r="F454" s="16" t="str">
        <f>IFERROR(VLOOKUP(B454,'Master data'!$A$1:$D$397,3,FALSE),"")</f>
        <v/>
      </c>
      <c r="G454" s="102"/>
      <c r="H454" s="65"/>
      <c r="I454" s="16"/>
      <c r="J454" s="16"/>
      <c r="K454" s="16" t="b">
        <v>0</v>
      </c>
      <c r="L454" s="16" t="b">
        <v>0</v>
      </c>
    </row>
    <row r="455">
      <c r="A455" s="9"/>
      <c r="B455" s="16"/>
      <c r="C455" s="7" t="str">
        <f>IFERROR(VLOOKUP(B455,'Master data'!$A$1:$D$397,2,FALSE),"")</f>
        <v/>
      </c>
      <c r="D455" s="70" t="str">
        <f>VLOOKUP(B455,Sheet3!$B$2:$E$312,3,)</f>
        <v>#N/A</v>
      </c>
      <c r="E455" s="64"/>
      <c r="F455" s="16" t="str">
        <f>IFERROR(VLOOKUP(B455,'Master data'!$A$1:$D$397,3,FALSE),"")</f>
        <v/>
      </c>
      <c r="G455" s="102"/>
      <c r="H455" s="65"/>
      <c r="I455" s="16"/>
      <c r="J455" s="16"/>
      <c r="K455" s="16" t="b">
        <v>0</v>
      </c>
      <c r="L455" s="16" t="b">
        <v>0</v>
      </c>
    </row>
    <row r="456">
      <c r="A456" s="9"/>
      <c r="B456" s="16"/>
      <c r="C456" s="7" t="str">
        <f>IFERROR(VLOOKUP(B456,'Master data'!$A$1:$D$397,2,FALSE),"")</f>
        <v/>
      </c>
      <c r="D456" s="70" t="str">
        <f>VLOOKUP(B456,Sheet3!$B$2:$E$312,3,)</f>
        <v>#N/A</v>
      </c>
      <c r="E456" s="64"/>
      <c r="F456" s="16" t="str">
        <f>IFERROR(VLOOKUP(B456,'Master data'!$A$1:$D$397,3,FALSE),"")</f>
        <v/>
      </c>
      <c r="G456" s="102"/>
      <c r="H456" s="65"/>
      <c r="I456" s="16"/>
      <c r="J456" s="16"/>
      <c r="K456" s="16" t="b">
        <v>0</v>
      </c>
      <c r="L456" s="16" t="b">
        <v>0</v>
      </c>
    </row>
    <row r="457">
      <c r="A457" s="9"/>
      <c r="B457" s="16"/>
      <c r="C457" s="7" t="str">
        <f>IFERROR(VLOOKUP(B457,'Master data'!$A$1:$D$397,2,FALSE),"")</f>
        <v/>
      </c>
      <c r="D457" s="70" t="str">
        <f>VLOOKUP(B457,Sheet3!$B$2:$E$312,3,)</f>
        <v>#N/A</v>
      </c>
      <c r="E457" s="64"/>
      <c r="F457" s="16" t="str">
        <f>IFERROR(VLOOKUP(B457,'Master data'!$A$1:$D$397,3,FALSE),"")</f>
        <v/>
      </c>
      <c r="G457" s="102"/>
      <c r="H457" s="65"/>
      <c r="I457" s="16"/>
      <c r="J457" s="16"/>
      <c r="K457" s="16" t="b">
        <v>0</v>
      </c>
      <c r="L457" s="16" t="b">
        <v>0</v>
      </c>
    </row>
    <row r="458">
      <c r="A458" s="9"/>
      <c r="B458" s="16"/>
      <c r="C458" s="7" t="str">
        <f>IFERROR(VLOOKUP(B458,'Master data'!$A$1:$D$397,2,FALSE),"")</f>
        <v/>
      </c>
      <c r="D458" s="70" t="str">
        <f>VLOOKUP(B458,Sheet3!$B$2:$E$312,3,)</f>
        <v>#N/A</v>
      </c>
      <c r="E458" s="64"/>
      <c r="F458" s="16" t="str">
        <f>IFERROR(VLOOKUP(B458,'Master data'!$A$1:$D$397,3,FALSE),"")</f>
        <v/>
      </c>
      <c r="G458" s="102"/>
      <c r="H458" s="65"/>
      <c r="I458" s="16"/>
      <c r="J458" s="16"/>
      <c r="K458" s="16" t="b">
        <v>0</v>
      </c>
      <c r="L458" s="16" t="b">
        <v>0</v>
      </c>
    </row>
    <row r="459">
      <c r="A459" s="9"/>
      <c r="B459" s="16"/>
      <c r="C459" s="7" t="str">
        <f>IFERROR(VLOOKUP(B459,'Master data'!$A$1:$D$397,2,FALSE),"")</f>
        <v/>
      </c>
      <c r="D459" s="70" t="str">
        <f>VLOOKUP(B459,Sheet3!$B$2:$E$312,3,)</f>
        <v>#N/A</v>
      </c>
      <c r="E459" s="64"/>
      <c r="F459" s="16" t="str">
        <f>IFERROR(VLOOKUP(B459,'Master data'!$A$1:$D$397,3,FALSE),"")</f>
        <v/>
      </c>
      <c r="G459" s="102"/>
      <c r="H459" s="65"/>
      <c r="I459" s="16"/>
      <c r="J459" s="16"/>
      <c r="K459" s="16" t="b">
        <v>0</v>
      </c>
      <c r="L459" s="16" t="b">
        <v>0</v>
      </c>
    </row>
    <row r="460">
      <c r="A460" s="9"/>
      <c r="B460" s="16"/>
      <c r="C460" s="7" t="str">
        <f>IFERROR(VLOOKUP(B460,'Master data'!$A$1:$D$397,2,FALSE),"")</f>
        <v/>
      </c>
      <c r="D460" s="70" t="str">
        <f>VLOOKUP(B460,Sheet3!$B$2:$E$312,3,)</f>
        <v>#N/A</v>
      </c>
      <c r="E460" s="64"/>
      <c r="F460" s="16" t="str">
        <f>IFERROR(VLOOKUP(B460,'Master data'!$A$1:$D$397,3,FALSE),"")</f>
        <v/>
      </c>
      <c r="G460" s="102"/>
      <c r="H460" s="65"/>
      <c r="I460" s="16"/>
      <c r="J460" s="16"/>
      <c r="K460" s="16" t="b">
        <v>0</v>
      </c>
      <c r="L460" s="16" t="b">
        <v>0</v>
      </c>
    </row>
    <row r="461">
      <c r="A461" s="9"/>
      <c r="B461" s="16"/>
      <c r="C461" s="7" t="str">
        <f>IFERROR(VLOOKUP(B461,'Master data'!$A$1:$D$397,2,FALSE),"")</f>
        <v/>
      </c>
      <c r="D461" s="70" t="str">
        <f>VLOOKUP(B461,Sheet3!$B$2:$E$312,3,)</f>
        <v>#N/A</v>
      </c>
      <c r="E461" s="64"/>
      <c r="F461" s="16" t="str">
        <f>IFERROR(VLOOKUP(B461,'Master data'!$A$1:$D$397,3,FALSE),"")</f>
        <v/>
      </c>
      <c r="G461" s="102"/>
      <c r="H461" s="65"/>
      <c r="I461" s="16"/>
      <c r="J461" s="16"/>
      <c r="K461" s="16" t="b">
        <v>0</v>
      </c>
      <c r="L461" s="16" t="b">
        <v>0</v>
      </c>
    </row>
    <row r="462">
      <c r="A462" s="9"/>
      <c r="B462" s="16"/>
      <c r="C462" s="7" t="str">
        <f>IFERROR(VLOOKUP(B462,'Master data'!$A$1:$D$397,2,FALSE),"")</f>
        <v/>
      </c>
      <c r="D462" s="70" t="str">
        <f>VLOOKUP(B462,Sheet3!$B$2:$E$312,3,)</f>
        <v>#N/A</v>
      </c>
      <c r="E462" s="64"/>
      <c r="F462" s="16" t="str">
        <f>IFERROR(VLOOKUP(B462,'Master data'!$A$1:$D$397,3,FALSE),"")</f>
        <v/>
      </c>
      <c r="G462" s="102"/>
      <c r="H462" s="65"/>
      <c r="I462" s="16"/>
      <c r="J462" s="16"/>
      <c r="K462" s="16" t="b">
        <v>0</v>
      </c>
      <c r="L462" s="16" t="b">
        <v>0</v>
      </c>
    </row>
    <row r="463">
      <c r="A463" s="9"/>
      <c r="B463" s="16"/>
      <c r="C463" s="7" t="str">
        <f>IFERROR(VLOOKUP(B463,'Master data'!$A$1:$D$397,2,FALSE),"")</f>
        <v/>
      </c>
      <c r="D463" s="70" t="str">
        <f>VLOOKUP(B463,Sheet3!$B$2:$E$312,3,)</f>
        <v>#N/A</v>
      </c>
      <c r="E463" s="64"/>
      <c r="F463" s="16" t="str">
        <f>IFERROR(VLOOKUP(B463,'Master data'!$A$1:$D$397,3,FALSE),"")</f>
        <v/>
      </c>
      <c r="G463" s="102"/>
      <c r="H463" s="65"/>
      <c r="I463" s="16"/>
      <c r="J463" s="16"/>
      <c r="K463" s="16" t="b">
        <v>0</v>
      </c>
      <c r="L463" s="16" t="b">
        <v>0</v>
      </c>
    </row>
    <row r="464">
      <c r="A464" s="9"/>
      <c r="B464" s="16"/>
      <c r="C464" s="7" t="str">
        <f>IFERROR(VLOOKUP(B464,'Master data'!$A$1:$D$397,2,FALSE),"")</f>
        <v/>
      </c>
      <c r="D464" s="70" t="str">
        <f>VLOOKUP(B464,Sheet3!$B$2:$E$312,3,)</f>
        <v>#N/A</v>
      </c>
      <c r="E464" s="64"/>
      <c r="F464" s="16" t="str">
        <f>IFERROR(VLOOKUP(B464,'Master data'!$A$1:$D$397,3,FALSE),"")</f>
        <v/>
      </c>
      <c r="G464" s="102"/>
      <c r="H464" s="65"/>
      <c r="I464" s="16"/>
      <c r="J464" s="16"/>
      <c r="K464" s="16" t="b">
        <v>0</v>
      </c>
      <c r="L464" s="16" t="b">
        <v>0</v>
      </c>
    </row>
    <row r="465">
      <c r="A465" s="9"/>
      <c r="B465" s="16"/>
      <c r="C465" s="7" t="str">
        <f>IFERROR(VLOOKUP(B465,'Master data'!$A$1:$D$397,2,FALSE),"")</f>
        <v/>
      </c>
      <c r="D465" s="70" t="str">
        <f>VLOOKUP(B465,Sheet3!$B$2:$E$312,3,)</f>
        <v>#N/A</v>
      </c>
      <c r="E465" s="64"/>
      <c r="F465" s="16" t="str">
        <f>IFERROR(VLOOKUP(B465,'Master data'!$A$1:$D$397,3,FALSE),"")</f>
        <v/>
      </c>
      <c r="G465" s="102"/>
      <c r="H465" s="65"/>
      <c r="I465" s="16"/>
      <c r="J465" s="16"/>
      <c r="K465" s="16" t="b">
        <v>0</v>
      </c>
      <c r="L465" s="16" t="b">
        <v>0</v>
      </c>
    </row>
    <row r="466">
      <c r="A466" s="9"/>
      <c r="B466" s="16"/>
      <c r="C466" s="7" t="str">
        <f>IFERROR(VLOOKUP(B466,'Master data'!$A$1:$D$397,2,FALSE),"")</f>
        <v/>
      </c>
      <c r="D466" s="70" t="str">
        <f>VLOOKUP(B466,Sheet3!$B$2:$E$312,3,)</f>
        <v>#N/A</v>
      </c>
      <c r="E466" s="64"/>
      <c r="F466" s="16" t="str">
        <f>IFERROR(VLOOKUP(B466,'Master data'!$A$1:$D$397,3,FALSE),"")</f>
        <v/>
      </c>
      <c r="G466" s="102"/>
      <c r="H466" s="65"/>
      <c r="I466" s="16"/>
      <c r="J466" s="16"/>
      <c r="K466" s="16" t="b">
        <v>0</v>
      </c>
      <c r="L466" s="16" t="b">
        <v>0</v>
      </c>
    </row>
    <row r="467">
      <c r="A467" s="9"/>
      <c r="B467" s="16"/>
      <c r="C467" s="7" t="str">
        <f>IFERROR(VLOOKUP(B467,'Master data'!$A$1:$D$397,2,FALSE),"")</f>
        <v/>
      </c>
      <c r="D467" s="70" t="str">
        <f>VLOOKUP(B467,Sheet3!$B$2:$E$312,3,)</f>
        <v>#N/A</v>
      </c>
      <c r="E467" s="64"/>
      <c r="F467" s="16" t="str">
        <f>IFERROR(VLOOKUP(B467,'Master data'!$A$1:$D$397,3,FALSE),"")</f>
        <v/>
      </c>
      <c r="G467" s="102"/>
      <c r="H467" s="65"/>
      <c r="I467" s="16"/>
      <c r="J467" s="16"/>
      <c r="K467" s="16" t="b">
        <v>0</v>
      </c>
      <c r="L467" s="16" t="b">
        <v>0</v>
      </c>
    </row>
    <row r="468">
      <c r="A468" s="9"/>
      <c r="B468" s="16"/>
      <c r="C468" s="7" t="str">
        <f>IFERROR(VLOOKUP(B468,'Master data'!$A$1:$D$397,2,FALSE),"")</f>
        <v/>
      </c>
      <c r="D468" s="70" t="str">
        <f>VLOOKUP(B468,Sheet3!$B$2:$E$312,3,)</f>
        <v>#N/A</v>
      </c>
      <c r="E468" s="64"/>
      <c r="F468" s="16" t="str">
        <f>IFERROR(VLOOKUP(B468,'Master data'!$A$1:$D$397,3,FALSE),"")</f>
        <v/>
      </c>
      <c r="G468" s="102"/>
      <c r="H468" s="65"/>
      <c r="I468" s="16"/>
      <c r="J468" s="16"/>
      <c r="K468" s="16" t="b">
        <v>0</v>
      </c>
      <c r="L468" s="16" t="b">
        <v>0</v>
      </c>
    </row>
    <row r="469">
      <c r="A469" s="9"/>
      <c r="B469" s="16"/>
      <c r="C469" s="7" t="str">
        <f>IFERROR(VLOOKUP(B469,'Master data'!$A$1:$D$397,2,FALSE),"")</f>
        <v/>
      </c>
      <c r="D469" s="70" t="str">
        <f>VLOOKUP(B469,Sheet3!$B$2:$E$312,3,)</f>
        <v>#N/A</v>
      </c>
      <c r="E469" s="64"/>
      <c r="F469" s="16" t="str">
        <f>IFERROR(VLOOKUP(B469,'Master data'!$A$1:$D$397,3,FALSE),"")</f>
        <v/>
      </c>
      <c r="G469" s="102"/>
      <c r="H469" s="65"/>
      <c r="I469" s="16"/>
      <c r="J469" s="16"/>
      <c r="K469" s="16" t="b">
        <v>0</v>
      </c>
      <c r="L469" s="16" t="b">
        <v>0</v>
      </c>
    </row>
    <row r="470">
      <c r="A470" s="9"/>
      <c r="B470" s="16"/>
      <c r="C470" s="7" t="str">
        <f>IFERROR(VLOOKUP(B470,'Master data'!$A$1:$D$397,2,FALSE),"")</f>
        <v/>
      </c>
      <c r="D470" s="70" t="str">
        <f>VLOOKUP(B470,Sheet3!$B$2:$E$312,3,)</f>
        <v>#N/A</v>
      </c>
      <c r="E470" s="64"/>
      <c r="F470" s="16" t="str">
        <f>IFERROR(VLOOKUP(B470,'Master data'!$A$1:$D$397,3,FALSE),"")</f>
        <v/>
      </c>
      <c r="G470" s="102"/>
      <c r="H470" s="65"/>
      <c r="I470" s="16"/>
      <c r="J470" s="16"/>
      <c r="K470" s="16" t="b">
        <v>0</v>
      </c>
      <c r="L470" s="16" t="b">
        <v>0</v>
      </c>
    </row>
    <row r="471">
      <c r="A471" s="9"/>
      <c r="B471" s="16"/>
      <c r="C471" s="7" t="str">
        <f>IFERROR(VLOOKUP(B471,'Master data'!$A$1:$D$397,2,FALSE),"")</f>
        <v/>
      </c>
      <c r="D471" s="70" t="str">
        <f>VLOOKUP(B471,Sheet3!$B$2:$E$312,3,)</f>
        <v>#N/A</v>
      </c>
      <c r="E471" s="64"/>
      <c r="F471" s="16" t="str">
        <f>IFERROR(VLOOKUP(B471,'Master data'!$A$1:$D$397,3,FALSE),"")</f>
        <v/>
      </c>
      <c r="G471" s="102"/>
      <c r="H471" s="65"/>
      <c r="I471" s="16"/>
      <c r="J471" s="16"/>
      <c r="K471" s="16" t="b">
        <v>0</v>
      </c>
      <c r="L471" s="16" t="b">
        <v>0</v>
      </c>
    </row>
    <row r="472">
      <c r="A472" s="9"/>
      <c r="B472" s="16"/>
      <c r="C472" s="7" t="str">
        <f>IFERROR(VLOOKUP(B472,'Master data'!$A$1:$D$397,2,FALSE),"")</f>
        <v/>
      </c>
      <c r="D472" s="70" t="str">
        <f>VLOOKUP(B472,Sheet3!$B$2:$E$312,3,)</f>
        <v>#N/A</v>
      </c>
      <c r="E472" s="64"/>
      <c r="F472" s="16" t="str">
        <f>IFERROR(VLOOKUP(B472,'Master data'!$A$1:$D$397,3,FALSE),"")</f>
        <v/>
      </c>
      <c r="G472" s="102"/>
      <c r="H472" s="65"/>
      <c r="I472" s="16"/>
      <c r="J472" s="16"/>
      <c r="K472" s="16" t="b">
        <v>0</v>
      </c>
      <c r="L472" s="16" t="b">
        <v>0</v>
      </c>
    </row>
    <row r="473">
      <c r="A473" s="9"/>
      <c r="B473" s="16"/>
      <c r="C473" s="7" t="str">
        <f>IFERROR(VLOOKUP(B473,'Master data'!$A$1:$D$397,2,FALSE),"")</f>
        <v/>
      </c>
      <c r="D473" s="70" t="str">
        <f>VLOOKUP(B473,Sheet3!$B$2:$E$312,3,)</f>
        <v>#N/A</v>
      </c>
      <c r="E473" s="64"/>
      <c r="F473" s="16" t="str">
        <f>IFERROR(VLOOKUP(B473,'Master data'!$A$1:$D$397,3,FALSE),"")</f>
        <v/>
      </c>
      <c r="G473" s="102"/>
      <c r="H473" s="65"/>
      <c r="I473" s="16"/>
      <c r="J473" s="16"/>
      <c r="K473" s="16" t="b">
        <v>0</v>
      </c>
      <c r="L473" s="16" t="b">
        <v>0</v>
      </c>
    </row>
    <row r="474">
      <c r="A474" s="9"/>
      <c r="B474" s="16"/>
      <c r="C474" s="7" t="str">
        <f>IFERROR(VLOOKUP(B474,'Master data'!$A$1:$D$397,2,FALSE),"")</f>
        <v/>
      </c>
      <c r="D474" s="70" t="str">
        <f>VLOOKUP(B474,Sheet3!$B$2:$E$312,3,)</f>
        <v>#N/A</v>
      </c>
      <c r="E474" s="64"/>
      <c r="F474" s="16" t="str">
        <f>IFERROR(VLOOKUP(B474,'Master data'!$A$1:$D$397,3,FALSE),"")</f>
        <v/>
      </c>
      <c r="G474" s="102"/>
      <c r="H474" s="65"/>
      <c r="I474" s="16"/>
      <c r="J474" s="16"/>
      <c r="K474" s="16" t="b">
        <v>0</v>
      </c>
      <c r="L474" s="16" t="b">
        <v>0</v>
      </c>
    </row>
    <row r="475">
      <c r="A475" s="9"/>
      <c r="B475" s="16"/>
      <c r="C475" s="7" t="str">
        <f>IFERROR(VLOOKUP(B475,'Master data'!$A$1:$D$397,2,FALSE),"")</f>
        <v/>
      </c>
      <c r="D475" s="70" t="str">
        <f>VLOOKUP(B475,Sheet3!$B$2:$E$312,3,)</f>
        <v>#N/A</v>
      </c>
      <c r="E475" s="64"/>
      <c r="F475" s="16" t="str">
        <f>IFERROR(VLOOKUP(B475,'Master data'!$A$1:$D$397,3,FALSE),"")</f>
        <v/>
      </c>
      <c r="G475" s="102"/>
      <c r="H475" s="65"/>
      <c r="I475" s="16"/>
      <c r="J475" s="16"/>
      <c r="K475" s="16" t="b">
        <v>0</v>
      </c>
      <c r="L475" s="16" t="b">
        <v>0</v>
      </c>
    </row>
    <row r="476">
      <c r="A476" s="9"/>
      <c r="B476" s="16"/>
      <c r="C476" s="7" t="str">
        <f>IFERROR(VLOOKUP(B476,'Master data'!$A$1:$D$397,2,FALSE),"")</f>
        <v/>
      </c>
      <c r="D476" s="70" t="str">
        <f>VLOOKUP(B476,Sheet3!$B$2:$E$312,3,)</f>
        <v>#N/A</v>
      </c>
      <c r="E476" s="64"/>
      <c r="F476" s="16" t="str">
        <f>IFERROR(VLOOKUP(B476,'Master data'!$A$1:$D$397,3,FALSE),"")</f>
        <v/>
      </c>
      <c r="G476" s="102"/>
      <c r="H476" s="65"/>
      <c r="I476" s="16"/>
      <c r="J476" s="16"/>
      <c r="K476" s="16" t="b">
        <v>0</v>
      </c>
      <c r="L476" s="16" t="b">
        <v>0</v>
      </c>
    </row>
    <row r="477">
      <c r="A477" s="9"/>
      <c r="B477" s="16"/>
      <c r="C477" s="7" t="str">
        <f>IFERROR(VLOOKUP(B477,'Master data'!$A$1:$D$397,2,FALSE),"")</f>
        <v/>
      </c>
      <c r="D477" s="70" t="str">
        <f>VLOOKUP(B477,Sheet3!$B$2:$E$312,3,)</f>
        <v>#N/A</v>
      </c>
      <c r="E477" s="64"/>
      <c r="F477" s="16" t="str">
        <f>IFERROR(VLOOKUP(B477,'Master data'!$A$1:$D$397,3,FALSE),"")</f>
        <v/>
      </c>
      <c r="G477" s="102"/>
      <c r="H477" s="65"/>
      <c r="I477" s="16"/>
      <c r="J477" s="16"/>
      <c r="K477" s="16" t="b">
        <v>0</v>
      </c>
      <c r="L477" s="16" t="b">
        <v>0</v>
      </c>
    </row>
    <row r="478">
      <c r="A478" s="9"/>
      <c r="B478" s="16"/>
      <c r="C478" s="7" t="str">
        <f>IFERROR(VLOOKUP(B478,'Master data'!$A$1:$D$397,2,FALSE),"")</f>
        <v/>
      </c>
      <c r="D478" s="70" t="str">
        <f>VLOOKUP(B478,Sheet3!$B$2:$E$312,3,)</f>
        <v>#N/A</v>
      </c>
      <c r="E478" s="64"/>
      <c r="F478" s="16" t="str">
        <f>IFERROR(VLOOKUP(B478,'Master data'!$A$1:$D$397,3,FALSE),"")</f>
        <v/>
      </c>
      <c r="G478" s="102"/>
      <c r="H478" s="65"/>
      <c r="I478" s="16"/>
      <c r="J478" s="16"/>
      <c r="K478" s="16" t="b">
        <v>0</v>
      </c>
      <c r="L478" s="16" t="b">
        <v>0</v>
      </c>
    </row>
    <row r="479">
      <c r="A479" s="9"/>
      <c r="B479" s="16"/>
      <c r="C479" s="7" t="str">
        <f>IFERROR(VLOOKUP(B479,'Master data'!$A$1:$D$397,2,FALSE),"")</f>
        <v/>
      </c>
      <c r="D479" s="70" t="str">
        <f>VLOOKUP(B479,Sheet3!$B$2:$E$312,3,)</f>
        <v>#N/A</v>
      </c>
      <c r="E479" s="64"/>
      <c r="F479" s="16" t="str">
        <f>IFERROR(VLOOKUP(B479,'Master data'!$A$1:$D$397,3,FALSE),"")</f>
        <v/>
      </c>
      <c r="G479" s="102"/>
      <c r="H479" s="65"/>
      <c r="I479" s="16"/>
      <c r="J479" s="16"/>
      <c r="K479" s="16" t="b">
        <v>0</v>
      </c>
      <c r="L479" s="16" t="b">
        <v>0</v>
      </c>
    </row>
    <row r="480">
      <c r="A480" s="9"/>
      <c r="B480" s="16"/>
      <c r="C480" s="7" t="str">
        <f>IFERROR(VLOOKUP(B480,'Master data'!$A$1:$D$397,2,FALSE),"")</f>
        <v/>
      </c>
      <c r="D480" s="70" t="str">
        <f>VLOOKUP(B480,Sheet3!$B$2:$E$312,3,)</f>
        <v>#N/A</v>
      </c>
      <c r="E480" s="64"/>
      <c r="F480" s="16" t="str">
        <f>IFERROR(VLOOKUP(B480,'Master data'!$A$1:$D$397,3,FALSE),"")</f>
        <v/>
      </c>
      <c r="G480" s="102"/>
      <c r="H480" s="65"/>
      <c r="I480" s="16"/>
      <c r="J480" s="16"/>
      <c r="K480" s="16" t="b">
        <v>0</v>
      </c>
      <c r="L480" s="16" t="b">
        <v>0</v>
      </c>
    </row>
    <row r="481">
      <c r="A481" s="9"/>
      <c r="B481" s="16"/>
      <c r="C481" s="7" t="str">
        <f>IFERROR(VLOOKUP(B481,'Master data'!$A$1:$D$397,2,FALSE),"")</f>
        <v/>
      </c>
      <c r="D481" s="70" t="str">
        <f>VLOOKUP(B481,Sheet3!$B$2:$E$312,3,)</f>
        <v>#N/A</v>
      </c>
      <c r="E481" s="64"/>
      <c r="F481" s="16" t="str">
        <f>IFERROR(VLOOKUP(B481,'Master data'!$A$1:$D$397,3,FALSE),"")</f>
        <v/>
      </c>
      <c r="G481" s="102"/>
      <c r="H481" s="65"/>
      <c r="I481" s="16"/>
      <c r="J481" s="16"/>
      <c r="K481" s="16" t="b">
        <v>0</v>
      </c>
      <c r="L481" s="16" t="b">
        <v>0</v>
      </c>
    </row>
    <row r="482">
      <c r="A482" s="9"/>
      <c r="B482" s="16"/>
      <c r="C482" s="7" t="str">
        <f>IFERROR(VLOOKUP(B482,'Master data'!$A$1:$D$397,2,FALSE),"")</f>
        <v/>
      </c>
      <c r="D482" s="70" t="str">
        <f>VLOOKUP(B482,Sheet3!$B$2:$E$312,3,)</f>
        <v>#N/A</v>
      </c>
      <c r="E482" s="64"/>
      <c r="F482" s="16" t="str">
        <f>IFERROR(VLOOKUP(B482,'Master data'!$A$1:$D$397,3,FALSE),"")</f>
        <v/>
      </c>
      <c r="G482" s="102"/>
      <c r="H482" s="65"/>
      <c r="I482" s="16"/>
      <c r="J482" s="16"/>
      <c r="K482" s="16" t="b">
        <v>0</v>
      </c>
      <c r="L482" s="16" t="b">
        <v>0</v>
      </c>
    </row>
    <row r="483">
      <c r="A483" s="9"/>
      <c r="B483" s="16"/>
      <c r="C483" s="7" t="str">
        <f>IFERROR(VLOOKUP(B483,'Master data'!$A$1:$D$397,2,FALSE),"")</f>
        <v/>
      </c>
      <c r="D483" s="70" t="str">
        <f>VLOOKUP(B483,Sheet3!$B$2:$E$312,3,)</f>
        <v>#N/A</v>
      </c>
      <c r="E483" s="64"/>
      <c r="F483" s="16" t="str">
        <f>IFERROR(VLOOKUP(B483,'Master data'!$A$1:$D$397,3,FALSE),"")</f>
        <v/>
      </c>
      <c r="G483" s="102"/>
      <c r="H483" s="65"/>
      <c r="I483" s="16"/>
      <c r="J483" s="16"/>
      <c r="K483" s="16" t="b">
        <v>0</v>
      </c>
      <c r="L483" s="16" t="b">
        <v>0</v>
      </c>
    </row>
    <row r="484">
      <c r="A484" s="9"/>
      <c r="B484" s="16"/>
      <c r="C484" s="7" t="str">
        <f>IFERROR(VLOOKUP(B484,'Master data'!$A$1:$D$397,2,FALSE),"")</f>
        <v/>
      </c>
      <c r="D484" s="70" t="str">
        <f>VLOOKUP(B484,Sheet3!$B$2:$E$312,3,)</f>
        <v>#N/A</v>
      </c>
      <c r="E484" s="64"/>
      <c r="F484" s="16" t="str">
        <f>IFERROR(VLOOKUP(B484,'Master data'!$A$1:$D$397,3,FALSE),"")</f>
        <v/>
      </c>
      <c r="G484" s="102"/>
      <c r="H484" s="65"/>
      <c r="I484" s="16"/>
      <c r="J484" s="16"/>
      <c r="K484" s="16" t="b">
        <v>0</v>
      </c>
      <c r="L484" s="16" t="b">
        <v>0</v>
      </c>
    </row>
    <row r="485">
      <c r="A485" s="9"/>
      <c r="B485" s="16"/>
      <c r="C485" s="7" t="str">
        <f>IFERROR(VLOOKUP(B485,'Master data'!$A$1:$D$397,2,FALSE),"")</f>
        <v/>
      </c>
      <c r="D485" s="70" t="str">
        <f>VLOOKUP(B485,Sheet3!$B$2:$E$312,3,)</f>
        <v>#N/A</v>
      </c>
      <c r="E485" s="64"/>
      <c r="F485" s="16" t="str">
        <f>IFERROR(VLOOKUP(B485,'Master data'!$A$1:$D$397,3,FALSE),"")</f>
        <v/>
      </c>
      <c r="G485" s="102"/>
      <c r="H485" s="65"/>
      <c r="I485" s="16"/>
      <c r="J485" s="16"/>
      <c r="K485" s="16" t="b">
        <v>0</v>
      </c>
      <c r="L485" s="16" t="b">
        <v>0</v>
      </c>
    </row>
    <row r="486">
      <c r="A486" s="9"/>
      <c r="B486" s="16"/>
      <c r="C486" s="7" t="str">
        <f>IFERROR(VLOOKUP(B486,'Master data'!$A$1:$D$397,2,FALSE),"")</f>
        <v/>
      </c>
      <c r="D486" s="70" t="str">
        <f>VLOOKUP(B486,Sheet3!$B$2:$E$312,3,)</f>
        <v>#N/A</v>
      </c>
      <c r="E486" s="64"/>
      <c r="F486" s="16" t="str">
        <f>IFERROR(VLOOKUP(B486,'Master data'!$A$1:$D$397,3,FALSE),"")</f>
        <v/>
      </c>
      <c r="G486" s="102"/>
      <c r="H486" s="65"/>
      <c r="I486" s="16"/>
      <c r="J486" s="16"/>
      <c r="K486" s="16" t="b">
        <v>0</v>
      </c>
      <c r="L486" s="16" t="b">
        <v>0</v>
      </c>
    </row>
    <row r="487">
      <c r="A487" s="9"/>
      <c r="B487" s="16"/>
      <c r="C487" s="7" t="str">
        <f>IFERROR(VLOOKUP(B487,'Master data'!$A$1:$D$397,2,FALSE),"")</f>
        <v/>
      </c>
      <c r="D487" s="70" t="str">
        <f>VLOOKUP(B487,Sheet3!$B$2:$E$312,3,)</f>
        <v>#N/A</v>
      </c>
      <c r="E487" s="64"/>
      <c r="F487" s="16" t="str">
        <f>IFERROR(VLOOKUP(B487,'Master data'!$A$1:$D$397,3,FALSE),"")</f>
        <v/>
      </c>
      <c r="G487" s="102"/>
      <c r="H487" s="65"/>
      <c r="I487" s="16"/>
      <c r="J487" s="16"/>
      <c r="K487" s="16" t="b">
        <v>0</v>
      </c>
      <c r="L487" s="16" t="b">
        <v>0</v>
      </c>
    </row>
    <row r="488">
      <c r="A488" s="9"/>
      <c r="B488" s="16"/>
      <c r="C488" s="7" t="str">
        <f>IFERROR(VLOOKUP(B488,'Master data'!$A$1:$D$397,2,FALSE),"")</f>
        <v/>
      </c>
      <c r="D488" s="70" t="str">
        <f>VLOOKUP(B488,Sheet3!$B$2:$E$312,3,)</f>
        <v>#N/A</v>
      </c>
      <c r="E488" s="64"/>
      <c r="F488" s="16" t="str">
        <f>IFERROR(VLOOKUP(B488,'Master data'!$A$1:$D$397,3,FALSE),"")</f>
        <v/>
      </c>
      <c r="G488" s="102"/>
      <c r="H488" s="65"/>
      <c r="I488" s="16"/>
      <c r="J488" s="16"/>
      <c r="K488" s="16" t="b">
        <v>0</v>
      </c>
      <c r="L488" s="16" t="b">
        <v>0</v>
      </c>
    </row>
    <row r="489">
      <c r="A489" s="9"/>
      <c r="B489" s="16"/>
      <c r="C489" s="7" t="str">
        <f>IFERROR(VLOOKUP(B489,'Master data'!$A$1:$D$397,2,FALSE),"")</f>
        <v/>
      </c>
      <c r="D489" s="70" t="str">
        <f>VLOOKUP(B489,Sheet3!$B$2:$E$312,3,)</f>
        <v>#N/A</v>
      </c>
      <c r="E489" s="64"/>
      <c r="F489" s="16" t="str">
        <f>IFERROR(VLOOKUP(B489,'Master data'!$A$1:$D$397,3,FALSE),"")</f>
        <v/>
      </c>
      <c r="G489" s="102"/>
      <c r="H489" s="65"/>
      <c r="I489" s="16"/>
      <c r="J489" s="16"/>
      <c r="K489" s="16" t="b">
        <v>0</v>
      </c>
      <c r="L489" s="16" t="b">
        <v>0</v>
      </c>
    </row>
    <row r="490">
      <c r="A490" s="9"/>
      <c r="B490" s="16"/>
      <c r="C490" s="7" t="str">
        <f>IFERROR(VLOOKUP(B490,'Master data'!$A$1:$D$397,2,FALSE),"")</f>
        <v/>
      </c>
      <c r="D490" s="70" t="str">
        <f>VLOOKUP(B490,Sheet3!$B$2:$E$312,3,)</f>
        <v>#N/A</v>
      </c>
      <c r="E490" s="64"/>
      <c r="F490" s="16" t="str">
        <f>IFERROR(VLOOKUP(B490,'Master data'!$A$1:$D$397,3,FALSE),"")</f>
        <v/>
      </c>
      <c r="G490" s="102"/>
      <c r="H490" s="65"/>
      <c r="I490" s="16"/>
      <c r="J490" s="16"/>
      <c r="K490" s="16" t="b">
        <v>0</v>
      </c>
      <c r="L490" s="16" t="b">
        <v>0</v>
      </c>
    </row>
    <row r="491">
      <c r="A491" s="9"/>
      <c r="B491" s="16"/>
      <c r="C491" s="7" t="str">
        <f>IFERROR(VLOOKUP(B491,'Master data'!$A$1:$D$397,2,FALSE),"")</f>
        <v/>
      </c>
      <c r="D491" s="70" t="str">
        <f>VLOOKUP(B491,Sheet3!$B$2:$E$312,3,)</f>
        <v>#N/A</v>
      </c>
      <c r="E491" s="64"/>
      <c r="F491" s="16" t="str">
        <f>IFERROR(VLOOKUP(B491,'Master data'!$A$1:$D$397,3,FALSE),"")</f>
        <v/>
      </c>
      <c r="G491" s="102"/>
      <c r="H491" s="65"/>
      <c r="I491" s="16"/>
      <c r="J491" s="16"/>
      <c r="K491" s="16" t="b">
        <v>0</v>
      </c>
      <c r="L491" s="16" t="b">
        <v>0</v>
      </c>
    </row>
    <row r="492">
      <c r="A492" s="9"/>
      <c r="B492" s="16"/>
      <c r="C492" s="7" t="str">
        <f>IFERROR(VLOOKUP(B492,'Master data'!$A$1:$D$397,2,FALSE),"")</f>
        <v/>
      </c>
      <c r="D492" s="70" t="str">
        <f>VLOOKUP(B492,Sheet3!$B$2:$E$312,3,)</f>
        <v>#N/A</v>
      </c>
      <c r="E492" s="64"/>
      <c r="F492" s="16" t="str">
        <f>IFERROR(VLOOKUP(B492,'Master data'!$A$1:$D$397,3,FALSE),"")</f>
        <v/>
      </c>
      <c r="G492" s="102"/>
      <c r="H492" s="65"/>
      <c r="I492" s="16"/>
      <c r="J492" s="16"/>
      <c r="K492" s="16" t="b">
        <v>0</v>
      </c>
      <c r="L492" s="16" t="b">
        <v>0</v>
      </c>
    </row>
    <row r="493">
      <c r="A493" s="9"/>
      <c r="B493" s="16"/>
      <c r="C493" s="7" t="str">
        <f>IFERROR(VLOOKUP(B493,'Master data'!$A$1:$D$397,2,FALSE),"")</f>
        <v/>
      </c>
      <c r="D493" s="70" t="str">
        <f>VLOOKUP(B493,Sheet3!$B$2:$E$312,3,)</f>
        <v>#N/A</v>
      </c>
      <c r="E493" s="64"/>
      <c r="F493" s="16" t="str">
        <f>IFERROR(VLOOKUP(B493,'Master data'!$A$1:$D$397,3,FALSE),"")</f>
        <v/>
      </c>
      <c r="G493" s="102"/>
      <c r="H493" s="65"/>
      <c r="I493" s="16"/>
      <c r="J493" s="16"/>
      <c r="K493" s="16" t="b">
        <v>0</v>
      </c>
      <c r="L493" s="16" t="b">
        <v>0</v>
      </c>
    </row>
    <row r="494">
      <c r="A494" s="9"/>
      <c r="B494" s="16"/>
      <c r="C494" s="7" t="str">
        <f>IFERROR(VLOOKUP(B494,'Master data'!$A$1:$D$397,2,FALSE),"")</f>
        <v/>
      </c>
      <c r="D494" s="70" t="str">
        <f>VLOOKUP(B494,Sheet3!$B$2:$E$312,3,)</f>
        <v>#N/A</v>
      </c>
      <c r="E494" s="64"/>
      <c r="F494" s="16" t="str">
        <f>IFERROR(VLOOKUP(B494,'Master data'!$A$1:$D$397,3,FALSE),"")</f>
        <v/>
      </c>
      <c r="G494" s="102"/>
      <c r="H494" s="65"/>
      <c r="I494" s="16"/>
      <c r="J494" s="16"/>
      <c r="K494" s="16" t="b">
        <v>0</v>
      </c>
      <c r="L494" s="16" t="b">
        <v>0</v>
      </c>
    </row>
    <row r="495">
      <c r="A495" s="9"/>
      <c r="B495" s="16"/>
      <c r="C495" s="7" t="str">
        <f>IFERROR(VLOOKUP(B495,'Master data'!$A$1:$D$397,2,FALSE),"")</f>
        <v/>
      </c>
      <c r="D495" s="70" t="str">
        <f>VLOOKUP(B495,Sheet3!$B$2:$E$312,3,)</f>
        <v>#N/A</v>
      </c>
      <c r="E495" s="64"/>
      <c r="F495" s="16" t="str">
        <f>IFERROR(VLOOKUP(B495,'Master data'!$A$1:$D$397,3,FALSE),"")</f>
        <v/>
      </c>
      <c r="G495" s="102"/>
      <c r="H495" s="65"/>
      <c r="I495" s="16"/>
      <c r="J495" s="16"/>
      <c r="K495" s="16" t="b">
        <v>0</v>
      </c>
      <c r="L495" s="16" t="b">
        <v>0</v>
      </c>
    </row>
    <row r="496">
      <c r="A496" s="9"/>
      <c r="B496" s="16"/>
      <c r="C496" s="7" t="str">
        <f>IFERROR(VLOOKUP(B496,'Master data'!$A$1:$D$397,2,FALSE),"")</f>
        <v/>
      </c>
      <c r="D496" s="70" t="str">
        <f>VLOOKUP(B496,Sheet3!$B$2:$E$312,3,)</f>
        <v>#N/A</v>
      </c>
      <c r="E496" s="64"/>
      <c r="F496" s="16" t="str">
        <f>IFERROR(VLOOKUP(B496,'Master data'!$A$1:$D$397,3,FALSE),"")</f>
        <v/>
      </c>
      <c r="G496" s="102"/>
      <c r="H496" s="65"/>
      <c r="I496" s="16"/>
      <c r="J496" s="16"/>
      <c r="K496" s="16" t="b">
        <v>0</v>
      </c>
      <c r="L496" s="16" t="b">
        <v>0</v>
      </c>
    </row>
    <row r="497">
      <c r="A497" s="9"/>
      <c r="B497" s="16"/>
      <c r="C497" s="7" t="str">
        <f>IFERROR(VLOOKUP(B497,'Master data'!$A$1:$D$397,2,FALSE),"")</f>
        <v/>
      </c>
      <c r="D497" s="70" t="str">
        <f>VLOOKUP(B497,Sheet3!$B$2:$E$312,3,)</f>
        <v>#N/A</v>
      </c>
      <c r="E497" s="64"/>
      <c r="F497" s="16" t="str">
        <f>IFERROR(VLOOKUP(B497,'Master data'!$A$1:$D$397,3,FALSE),"")</f>
        <v/>
      </c>
      <c r="G497" s="102"/>
      <c r="H497" s="65"/>
      <c r="I497" s="16"/>
      <c r="J497" s="16"/>
      <c r="K497" s="16" t="b">
        <v>0</v>
      </c>
      <c r="L497" s="16" t="b">
        <v>0</v>
      </c>
    </row>
    <row r="498">
      <c r="A498" s="9"/>
      <c r="B498" s="16"/>
      <c r="C498" s="7" t="str">
        <f>IFERROR(VLOOKUP(B498,'Master data'!$A$1:$D$397,2,FALSE),"")</f>
        <v/>
      </c>
      <c r="D498" s="70" t="str">
        <f>VLOOKUP(B498,Sheet3!$B$2:$E$312,3,)</f>
        <v>#N/A</v>
      </c>
      <c r="E498" s="64"/>
      <c r="F498" s="16" t="str">
        <f>IFERROR(VLOOKUP(B498,'Master data'!$A$1:$D$397,3,FALSE),"")</f>
        <v/>
      </c>
      <c r="G498" s="102"/>
      <c r="H498" s="65"/>
      <c r="I498" s="16"/>
      <c r="J498" s="16"/>
      <c r="K498" s="16" t="b">
        <v>0</v>
      </c>
      <c r="L498" s="16" t="b">
        <v>0</v>
      </c>
    </row>
    <row r="499">
      <c r="A499" s="9"/>
      <c r="B499" s="16"/>
      <c r="C499" s="7" t="str">
        <f>IFERROR(VLOOKUP(B499,'Master data'!$A$1:$D$397,2,FALSE),"")</f>
        <v/>
      </c>
      <c r="D499" s="70" t="str">
        <f>VLOOKUP(B499,Sheet3!$B$2:$E$312,3,)</f>
        <v>#N/A</v>
      </c>
      <c r="E499" s="64"/>
      <c r="F499" s="16" t="str">
        <f>IFERROR(VLOOKUP(B499,'Master data'!$A$1:$D$397,3,FALSE),"")</f>
        <v/>
      </c>
      <c r="G499" s="102"/>
      <c r="H499" s="65"/>
      <c r="I499" s="16"/>
      <c r="J499" s="16"/>
      <c r="K499" s="16" t="b">
        <v>0</v>
      </c>
      <c r="L499" s="16" t="b">
        <v>0</v>
      </c>
    </row>
    <row r="500">
      <c r="A500" s="9"/>
      <c r="B500" s="16"/>
      <c r="C500" s="7" t="str">
        <f>IFERROR(VLOOKUP(B500,'Master data'!$A$1:$D$397,2,FALSE),"")</f>
        <v/>
      </c>
      <c r="D500" s="70" t="str">
        <f>VLOOKUP(B500,Sheet3!$B$2:$E$312,3,)</f>
        <v>#N/A</v>
      </c>
      <c r="E500" s="64"/>
      <c r="F500" s="16" t="str">
        <f>IFERROR(VLOOKUP(B500,'Master data'!$A$1:$D$397,3,FALSE),"")</f>
        <v/>
      </c>
      <c r="G500" s="102"/>
      <c r="H500" s="65"/>
      <c r="I500" s="16"/>
      <c r="J500" s="16"/>
      <c r="K500" s="16" t="b">
        <v>0</v>
      </c>
      <c r="L500" s="16" t="b">
        <v>0</v>
      </c>
    </row>
    <row r="501">
      <c r="A501" s="9"/>
      <c r="B501" s="16"/>
      <c r="C501" s="7" t="str">
        <f>IFERROR(VLOOKUP(B501,'Master data'!$A$1:$D$397,2,FALSE),"")</f>
        <v/>
      </c>
      <c r="D501" s="70" t="str">
        <f>VLOOKUP(B501,Sheet3!$B$2:$E$312,3,)</f>
        <v>#N/A</v>
      </c>
      <c r="E501" s="64"/>
      <c r="F501" s="16" t="str">
        <f>IFERROR(VLOOKUP(B501,'Master data'!$A$1:$D$397,3,FALSE),"")</f>
        <v/>
      </c>
      <c r="G501" s="102"/>
      <c r="H501" s="65"/>
      <c r="I501" s="16"/>
      <c r="J501" s="16"/>
      <c r="K501" s="16" t="b">
        <v>0</v>
      </c>
      <c r="L501" s="16" t="b">
        <v>0</v>
      </c>
    </row>
    <row r="502">
      <c r="A502" s="9"/>
      <c r="B502" s="16"/>
      <c r="C502" s="7" t="str">
        <f>IFERROR(VLOOKUP(B502,'Master data'!$A$1:$D$397,2,FALSE),"")</f>
        <v/>
      </c>
      <c r="D502" s="70" t="str">
        <f>VLOOKUP(B502,Sheet3!$B$2:$E$312,3,)</f>
        <v>#N/A</v>
      </c>
      <c r="E502" s="64"/>
      <c r="F502" s="16" t="str">
        <f>IFERROR(VLOOKUP(B502,'Master data'!$A$1:$D$397,3,FALSE),"")</f>
        <v/>
      </c>
      <c r="G502" s="102"/>
      <c r="H502" s="65"/>
      <c r="I502" s="16"/>
      <c r="J502" s="16"/>
      <c r="K502" s="16" t="b">
        <v>0</v>
      </c>
      <c r="L502" s="16" t="b">
        <v>0</v>
      </c>
    </row>
    <row r="503">
      <c r="A503" s="9"/>
      <c r="B503" s="16"/>
      <c r="C503" s="7" t="str">
        <f>IFERROR(VLOOKUP(B503,'Master data'!$A$1:$D$397,2,FALSE),"")</f>
        <v/>
      </c>
      <c r="D503" s="70" t="str">
        <f>VLOOKUP(B503,Sheet3!$B$2:$E$312,3,)</f>
        <v>#N/A</v>
      </c>
      <c r="E503" s="64"/>
      <c r="F503" s="16" t="str">
        <f>IFERROR(VLOOKUP(B503,'Master data'!$A$1:$D$397,3,FALSE),"")</f>
        <v/>
      </c>
      <c r="G503" s="102"/>
      <c r="H503" s="65"/>
      <c r="I503" s="16"/>
      <c r="J503" s="16"/>
      <c r="K503" s="16" t="b">
        <v>0</v>
      </c>
      <c r="L503" s="16" t="b">
        <v>0</v>
      </c>
    </row>
    <row r="504">
      <c r="A504" s="9"/>
      <c r="B504" s="16"/>
      <c r="C504" s="7" t="str">
        <f>IFERROR(VLOOKUP(B504,'Master data'!$A$1:$D$397,2,FALSE),"")</f>
        <v/>
      </c>
      <c r="D504" s="70" t="str">
        <f>VLOOKUP(B504,Sheet3!$B$2:$E$312,3,)</f>
        <v>#N/A</v>
      </c>
      <c r="E504" s="64"/>
      <c r="F504" s="16" t="str">
        <f>IFERROR(VLOOKUP(B504,'Master data'!$A$1:$D$397,3,FALSE),"")</f>
        <v/>
      </c>
      <c r="G504" s="102"/>
      <c r="H504" s="65"/>
      <c r="I504" s="16"/>
      <c r="J504" s="16"/>
      <c r="K504" s="16" t="b">
        <v>0</v>
      </c>
      <c r="L504" s="16" t="b">
        <v>0</v>
      </c>
    </row>
    <row r="505">
      <c r="A505" s="9"/>
      <c r="B505" s="16"/>
      <c r="C505" s="7" t="str">
        <f>IFERROR(VLOOKUP(B505,'Master data'!$A$1:$D$397,2,FALSE),"")</f>
        <v/>
      </c>
      <c r="D505" s="70" t="str">
        <f>VLOOKUP(B505,Sheet3!$B$2:$E$312,3,)</f>
        <v>#N/A</v>
      </c>
      <c r="E505" s="64"/>
      <c r="F505" s="16" t="str">
        <f>IFERROR(VLOOKUP(B505,'Master data'!$A$1:$D$397,3,FALSE),"")</f>
        <v/>
      </c>
      <c r="G505" s="102"/>
      <c r="H505" s="65"/>
      <c r="I505" s="16"/>
      <c r="J505" s="16"/>
      <c r="K505" s="16" t="b">
        <v>0</v>
      </c>
      <c r="L505" s="16" t="b">
        <v>0</v>
      </c>
    </row>
    <row r="506">
      <c r="A506" s="9"/>
      <c r="B506" s="16"/>
      <c r="C506" s="7" t="str">
        <f>IFERROR(VLOOKUP(B506,'Master data'!$A$1:$D$397,2,FALSE),"")</f>
        <v/>
      </c>
      <c r="D506" s="70" t="str">
        <f>VLOOKUP(B506,Sheet3!$B$2:$E$312,3,)</f>
        <v>#N/A</v>
      </c>
      <c r="E506" s="64"/>
      <c r="F506" s="16" t="str">
        <f>IFERROR(VLOOKUP(B506,'Master data'!$A$1:$D$397,3,FALSE),"")</f>
        <v/>
      </c>
      <c r="G506" s="102"/>
      <c r="H506" s="65"/>
      <c r="I506" s="16"/>
      <c r="J506" s="16"/>
      <c r="K506" s="16" t="b">
        <v>0</v>
      </c>
      <c r="L506" s="16" t="b">
        <v>0</v>
      </c>
    </row>
    <row r="507">
      <c r="A507" s="9"/>
      <c r="B507" s="16"/>
      <c r="C507" s="7" t="str">
        <f>IFERROR(VLOOKUP(B507,'Master data'!$A$1:$D$397,2,FALSE),"")</f>
        <v/>
      </c>
      <c r="D507" s="70" t="str">
        <f>VLOOKUP(B507,Sheet3!$B$2:$E$312,3,)</f>
        <v>#N/A</v>
      </c>
      <c r="E507" s="64"/>
      <c r="F507" s="16" t="str">
        <f>IFERROR(VLOOKUP(B507,'Master data'!$A$1:$D$397,3,FALSE),"")</f>
        <v/>
      </c>
      <c r="G507" s="102"/>
      <c r="H507" s="65"/>
      <c r="I507" s="16"/>
      <c r="J507" s="16"/>
      <c r="K507" s="16" t="b">
        <v>0</v>
      </c>
      <c r="L507" s="16" t="b">
        <v>0</v>
      </c>
    </row>
    <row r="508">
      <c r="A508" s="9"/>
      <c r="B508" s="16"/>
      <c r="C508" s="7" t="str">
        <f>IFERROR(VLOOKUP(B508,'Master data'!$A$1:$D$397,2,FALSE),"")</f>
        <v/>
      </c>
      <c r="D508" s="70" t="str">
        <f>VLOOKUP(B508,Sheet3!$B$2:$E$312,3,)</f>
        <v>#N/A</v>
      </c>
      <c r="E508" s="64"/>
      <c r="F508" s="16" t="str">
        <f>IFERROR(VLOOKUP(B508,'Master data'!$A$1:$D$397,3,FALSE),"")</f>
        <v/>
      </c>
      <c r="G508" s="102"/>
      <c r="H508" s="65"/>
      <c r="I508" s="16"/>
      <c r="J508" s="16"/>
      <c r="K508" s="16" t="b">
        <v>0</v>
      </c>
      <c r="L508" s="16" t="b">
        <v>0</v>
      </c>
    </row>
    <row r="509">
      <c r="A509" s="9"/>
      <c r="B509" s="16"/>
      <c r="C509" s="7" t="str">
        <f>IFERROR(VLOOKUP(B509,'Master data'!$A$1:$D$397,2,FALSE),"")</f>
        <v/>
      </c>
      <c r="D509" s="70" t="str">
        <f>VLOOKUP(B509,Sheet3!$B$2:$E$312,3,)</f>
        <v>#N/A</v>
      </c>
      <c r="E509" s="64"/>
      <c r="F509" s="16" t="str">
        <f>IFERROR(VLOOKUP(B509,'Master data'!$A$1:$D$397,3,FALSE),"")</f>
        <v/>
      </c>
      <c r="G509" s="102"/>
      <c r="H509" s="65"/>
      <c r="I509" s="16"/>
      <c r="J509" s="16"/>
      <c r="K509" s="16" t="b">
        <v>0</v>
      </c>
      <c r="L509" s="16" t="b">
        <v>0</v>
      </c>
    </row>
    <row r="510">
      <c r="A510" s="9"/>
      <c r="B510" s="16"/>
      <c r="C510" s="7" t="str">
        <f>IFERROR(VLOOKUP(B510,'Master data'!$A$1:$D$397,2,FALSE),"")</f>
        <v/>
      </c>
      <c r="D510" s="70" t="str">
        <f>VLOOKUP(B510,Sheet3!$B$2:$E$312,3,)</f>
        <v>#N/A</v>
      </c>
      <c r="E510" s="64"/>
      <c r="F510" s="16" t="str">
        <f>IFERROR(VLOOKUP(B510,'Master data'!$A$1:$D$397,3,FALSE),"")</f>
        <v/>
      </c>
      <c r="G510" s="102"/>
      <c r="H510" s="65"/>
      <c r="I510" s="16"/>
      <c r="J510" s="16"/>
      <c r="K510" s="16" t="b">
        <v>0</v>
      </c>
      <c r="L510" s="16" t="b">
        <v>0</v>
      </c>
    </row>
    <row r="511">
      <c r="A511" s="9"/>
      <c r="B511" s="16"/>
      <c r="C511" s="7" t="str">
        <f>IFERROR(VLOOKUP(B511,'Master data'!$A$1:$D$397,2,FALSE),"")</f>
        <v/>
      </c>
      <c r="D511" s="70" t="str">
        <f>VLOOKUP(B511,Sheet3!$B$2:$E$312,3,)</f>
        <v>#N/A</v>
      </c>
      <c r="E511" s="64"/>
      <c r="F511" s="16" t="str">
        <f>IFERROR(VLOOKUP(B511,'Master data'!$A$1:$D$397,3,FALSE),"")</f>
        <v/>
      </c>
      <c r="G511" s="102"/>
      <c r="H511" s="65"/>
      <c r="I511" s="16"/>
      <c r="J511" s="16"/>
      <c r="K511" s="16" t="b">
        <v>0</v>
      </c>
      <c r="L511" s="16" t="b">
        <v>0</v>
      </c>
    </row>
    <row r="512">
      <c r="A512" s="9"/>
      <c r="B512" s="16"/>
      <c r="C512" s="7" t="str">
        <f>IFERROR(VLOOKUP(B512,'Master data'!$A$1:$D$397,2,FALSE),"")</f>
        <v/>
      </c>
      <c r="D512" s="70" t="str">
        <f>VLOOKUP(B512,Sheet3!$B$2:$E$312,3,)</f>
        <v>#N/A</v>
      </c>
      <c r="E512" s="64"/>
      <c r="F512" s="16" t="str">
        <f>IFERROR(VLOOKUP(B512,'Master data'!$A$1:$D$397,3,FALSE),"")</f>
        <v/>
      </c>
      <c r="G512" s="102"/>
      <c r="H512" s="65"/>
      <c r="I512" s="16"/>
      <c r="J512" s="16"/>
      <c r="K512" s="16" t="b">
        <v>0</v>
      </c>
      <c r="L512" s="16" t="b">
        <v>0</v>
      </c>
    </row>
    <row r="513">
      <c r="A513" s="9"/>
      <c r="B513" s="16"/>
      <c r="C513" s="7" t="str">
        <f>IFERROR(VLOOKUP(B513,'Master data'!$A$1:$D$397,2,FALSE),"")</f>
        <v/>
      </c>
      <c r="D513" s="70" t="str">
        <f>VLOOKUP(B513,Sheet3!$B$2:$E$312,3,)</f>
        <v>#N/A</v>
      </c>
      <c r="E513" s="64"/>
      <c r="F513" s="16" t="str">
        <f>IFERROR(VLOOKUP(B513,'Master data'!$A$1:$D$397,3,FALSE),"")</f>
        <v/>
      </c>
      <c r="G513" s="102"/>
      <c r="H513" s="65"/>
      <c r="I513" s="16"/>
      <c r="J513" s="16"/>
      <c r="K513" s="16" t="b">
        <v>0</v>
      </c>
      <c r="L513" s="16" t="b">
        <v>0</v>
      </c>
    </row>
    <row r="514">
      <c r="A514" s="9"/>
      <c r="B514" s="16"/>
      <c r="C514" s="7" t="str">
        <f>IFERROR(VLOOKUP(B514,'Master data'!$A$1:$D$397,2,FALSE),"")</f>
        <v/>
      </c>
      <c r="D514" s="70" t="str">
        <f>VLOOKUP(B514,Sheet3!$B$2:$E$312,3,)</f>
        <v>#N/A</v>
      </c>
      <c r="E514" s="64"/>
      <c r="F514" s="16" t="str">
        <f>IFERROR(VLOOKUP(B514,'Master data'!$A$1:$D$397,3,FALSE),"")</f>
        <v/>
      </c>
      <c r="G514" s="102"/>
      <c r="H514" s="65"/>
      <c r="I514" s="16"/>
      <c r="J514" s="16"/>
      <c r="K514" s="16" t="b">
        <v>0</v>
      </c>
      <c r="L514" s="16" t="b">
        <v>0</v>
      </c>
    </row>
    <row r="515">
      <c r="A515" s="9"/>
      <c r="B515" s="16"/>
      <c r="C515" s="7" t="str">
        <f>IFERROR(VLOOKUP(B515,'Master data'!$A$1:$D$397,2,FALSE),"")</f>
        <v/>
      </c>
      <c r="D515" s="70" t="str">
        <f>VLOOKUP(B515,Sheet3!$B$2:$E$312,3,)</f>
        <v>#N/A</v>
      </c>
      <c r="E515" s="64"/>
      <c r="F515" s="16" t="str">
        <f>IFERROR(VLOOKUP(B515,'Master data'!$A$1:$D$397,3,FALSE),"")</f>
        <v/>
      </c>
      <c r="G515" s="102"/>
      <c r="H515" s="65"/>
      <c r="I515" s="16"/>
      <c r="J515" s="16"/>
      <c r="K515" s="16" t="b">
        <v>0</v>
      </c>
      <c r="L515" s="16" t="b">
        <v>0</v>
      </c>
    </row>
    <row r="516">
      <c r="A516" s="9"/>
      <c r="B516" s="16"/>
      <c r="C516" s="7" t="str">
        <f>IFERROR(VLOOKUP(B516,'Master data'!$A$1:$D$397,2,FALSE),"")</f>
        <v/>
      </c>
      <c r="D516" s="70" t="str">
        <f>VLOOKUP(B516,Sheet3!$B$2:$E$312,3,)</f>
        <v>#N/A</v>
      </c>
      <c r="E516" s="64"/>
      <c r="F516" s="16" t="str">
        <f>IFERROR(VLOOKUP(B516,'Master data'!$A$1:$D$397,3,FALSE),"")</f>
        <v/>
      </c>
      <c r="G516" s="102"/>
      <c r="H516" s="65"/>
      <c r="I516" s="16"/>
      <c r="J516" s="16"/>
      <c r="K516" s="16" t="b">
        <v>0</v>
      </c>
      <c r="L516" s="16" t="b">
        <v>0</v>
      </c>
    </row>
    <row r="517">
      <c r="A517" s="9"/>
      <c r="B517" s="16"/>
      <c r="C517" s="7" t="str">
        <f>IFERROR(VLOOKUP(B517,'Master data'!$A$1:$D$397,2,FALSE),"")</f>
        <v/>
      </c>
      <c r="D517" s="70" t="str">
        <f>VLOOKUP(B517,Sheet3!$B$2:$E$312,3,)</f>
        <v>#N/A</v>
      </c>
      <c r="E517" s="64"/>
      <c r="F517" s="16" t="str">
        <f>IFERROR(VLOOKUP(B517,'Master data'!$A$1:$D$397,3,FALSE),"")</f>
        <v/>
      </c>
      <c r="G517" s="102"/>
      <c r="H517" s="65"/>
      <c r="I517" s="16"/>
      <c r="J517" s="16"/>
      <c r="K517" s="16" t="b">
        <v>0</v>
      </c>
      <c r="L517" s="16" t="b">
        <v>0</v>
      </c>
    </row>
    <row r="518">
      <c r="A518" s="9"/>
      <c r="B518" s="16"/>
      <c r="C518" s="7" t="str">
        <f>IFERROR(VLOOKUP(B518,'Master data'!$A$1:$D$397,2,FALSE),"")</f>
        <v/>
      </c>
      <c r="D518" s="70" t="str">
        <f>VLOOKUP(B518,Sheet3!$B$2:$E$312,3,)</f>
        <v>#N/A</v>
      </c>
      <c r="E518" s="64"/>
      <c r="F518" s="16" t="str">
        <f>IFERROR(VLOOKUP(B518,'Master data'!$A$1:$D$397,3,FALSE),"")</f>
        <v/>
      </c>
      <c r="G518" s="102"/>
      <c r="H518" s="65"/>
      <c r="I518" s="16"/>
      <c r="J518" s="16"/>
      <c r="K518" s="16" t="b">
        <v>0</v>
      </c>
      <c r="L518" s="16" t="b">
        <v>0</v>
      </c>
    </row>
    <row r="519">
      <c r="A519" s="9"/>
      <c r="B519" s="16"/>
      <c r="C519" s="7" t="str">
        <f>IFERROR(VLOOKUP(B519,'Master data'!$A$1:$D$397,2,FALSE),"")</f>
        <v/>
      </c>
      <c r="D519" s="70" t="str">
        <f>VLOOKUP(B519,Sheet3!$B$2:$E$312,3,)</f>
        <v>#N/A</v>
      </c>
      <c r="E519" s="64"/>
      <c r="F519" s="16" t="str">
        <f>IFERROR(VLOOKUP(B519,'Master data'!$A$1:$D$397,3,FALSE),"")</f>
        <v/>
      </c>
      <c r="G519" s="102"/>
      <c r="H519" s="65"/>
      <c r="I519" s="16"/>
      <c r="J519" s="16"/>
      <c r="K519" s="16" t="b">
        <v>0</v>
      </c>
      <c r="L519" s="16" t="b">
        <v>0</v>
      </c>
    </row>
    <row r="520">
      <c r="A520" s="9"/>
      <c r="B520" s="16"/>
      <c r="C520" s="7" t="str">
        <f>IFERROR(VLOOKUP(B520,'Master data'!$A$1:$D$397,2,FALSE),"")</f>
        <v/>
      </c>
      <c r="D520" s="70" t="str">
        <f>VLOOKUP(B520,Sheet3!$B$2:$E$312,3,)</f>
        <v>#N/A</v>
      </c>
      <c r="E520" s="64"/>
      <c r="F520" s="16" t="str">
        <f>IFERROR(VLOOKUP(B520,'Master data'!$A$1:$D$397,3,FALSE),"")</f>
        <v/>
      </c>
      <c r="G520" s="102"/>
      <c r="H520" s="65"/>
      <c r="I520" s="16"/>
      <c r="J520" s="16"/>
      <c r="K520" s="16" t="b">
        <v>0</v>
      </c>
      <c r="L520" s="16" t="b">
        <v>0</v>
      </c>
    </row>
    <row r="521">
      <c r="A521" s="9"/>
      <c r="B521" s="16"/>
      <c r="C521" s="7" t="str">
        <f>IFERROR(VLOOKUP(B521,'Master data'!$A$1:$D$397,2,FALSE),"")</f>
        <v/>
      </c>
      <c r="D521" s="70" t="str">
        <f>VLOOKUP(B521,Sheet3!$B$2:$E$312,3,)</f>
        <v>#N/A</v>
      </c>
      <c r="E521" s="64"/>
      <c r="F521" s="16" t="str">
        <f>IFERROR(VLOOKUP(B521,'Master data'!$A$1:$D$397,3,FALSE),"")</f>
        <v/>
      </c>
      <c r="G521" s="102"/>
      <c r="H521" s="65"/>
      <c r="I521" s="16"/>
      <c r="J521" s="16"/>
      <c r="K521" s="16" t="b">
        <v>0</v>
      </c>
      <c r="L521" s="16" t="b">
        <v>0</v>
      </c>
    </row>
    <row r="522">
      <c r="A522" s="9"/>
      <c r="B522" s="16"/>
      <c r="C522" s="7" t="str">
        <f>IFERROR(VLOOKUP(B522,'Master data'!$A$1:$D$397,2,FALSE),"")</f>
        <v/>
      </c>
      <c r="D522" s="70" t="str">
        <f>VLOOKUP(B522,Sheet3!$B$2:$E$312,3,)</f>
        <v>#N/A</v>
      </c>
      <c r="E522" s="64"/>
      <c r="F522" s="16" t="str">
        <f>IFERROR(VLOOKUP(B522,'Master data'!$A$1:$D$397,3,FALSE),"")</f>
        <v/>
      </c>
      <c r="G522" s="102"/>
      <c r="H522" s="65"/>
      <c r="I522" s="16"/>
      <c r="J522" s="16"/>
      <c r="K522" s="16" t="b">
        <v>0</v>
      </c>
      <c r="L522" s="16" t="b">
        <v>0</v>
      </c>
    </row>
    <row r="523">
      <c r="A523" s="9"/>
      <c r="B523" s="16"/>
      <c r="C523" s="7" t="str">
        <f>IFERROR(VLOOKUP(B523,'Master data'!$A$1:$D$397,2,FALSE),"")</f>
        <v/>
      </c>
      <c r="D523" s="70" t="str">
        <f>VLOOKUP(B523,Sheet3!$B$2:$E$312,3,)</f>
        <v>#N/A</v>
      </c>
      <c r="E523" s="64"/>
      <c r="F523" s="16" t="str">
        <f>IFERROR(VLOOKUP(B523,'Master data'!$A$1:$D$397,3,FALSE),"")</f>
        <v/>
      </c>
      <c r="G523" s="102"/>
      <c r="H523" s="65"/>
      <c r="I523" s="16"/>
      <c r="J523" s="16"/>
      <c r="K523" s="16" t="b">
        <v>0</v>
      </c>
      <c r="L523" s="16" t="b">
        <v>0</v>
      </c>
    </row>
    <row r="524">
      <c r="A524" s="9"/>
      <c r="B524" s="16"/>
      <c r="C524" s="7" t="str">
        <f>IFERROR(VLOOKUP(B524,'Master data'!$A$1:$D$397,2,FALSE),"")</f>
        <v/>
      </c>
      <c r="D524" s="70" t="str">
        <f>VLOOKUP(B524,Sheet3!$B$2:$E$312,3,)</f>
        <v>#N/A</v>
      </c>
      <c r="E524" s="64"/>
      <c r="F524" s="16" t="str">
        <f>IFERROR(VLOOKUP(B524,'Master data'!$A$1:$D$397,3,FALSE),"")</f>
        <v/>
      </c>
      <c r="G524" s="102"/>
      <c r="H524" s="65"/>
      <c r="I524" s="16"/>
      <c r="J524" s="16"/>
      <c r="K524" s="16" t="b">
        <v>0</v>
      </c>
      <c r="L524" s="16" t="b">
        <v>0</v>
      </c>
    </row>
    <row r="525">
      <c r="A525" s="9"/>
      <c r="B525" s="16"/>
      <c r="C525" s="7" t="str">
        <f>IFERROR(VLOOKUP(B525,'Master data'!$A$1:$D$397,2,FALSE),"")</f>
        <v/>
      </c>
      <c r="D525" s="70" t="str">
        <f>VLOOKUP(B525,Sheet3!$B$2:$E$312,3,)</f>
        <v>#N/A</v>
      </c>
      <c r="E525" s="64"/>
      <c r="F525" s="16" t="str">
        <f>IFERROR(VLOOKUP(B525,'Master data'!$A$1:$D$397,3,FALSE),"")</f>
        <v/>
      </c>
      <c r="G525" s="102"/>
      <c r="H525" s="65"/>
      <c r="I525" s="16"/>
      <c r="J525" s="16"/>
      <c r="K525" s="16" t="b">
        <v>0</v>
      </c>
      <c r="L525" s="16" t="b">
        <v>0</v>
      </c>
    </row>
    <row r="526">
      <c r="A526" s="9"/>
      <c r="B526" s="16"/>
      <c r="C526" s="7" t="str">
        <f>IFERROR(VLOOKUP(B526,'Master data'!$A$1:$D$397,2,FALSE),"")</f>
        <v/>
      </c>
      <c r="D526" s="70" t="str">
        <f>VLOOKUP(B526,Sheet3!$B$2:$E$312,3,)</f>
        <v>#N/A</v>
      </c>
      <c r="E526" s="64"/>
      <c r="F526" s="16" t="str">
        <f>IFERROR(VLOOKUP(B526,'Master data'!$A$1:$D$397,3,FALSE),"")</f>
        <v/>
      </c>
      <c r="G526" s="102"/>
      <c r="H526" s="65"/>
      <c r="I526" s="16"/>
      <c r="J526" s="16"/>
      <c r="K526" s="16" t="b">
        <v>0</v>
      </c>
      <c r="L526" s="16" t="b">
        <v>0</v>
      </c>
    </row>
    <row r="527">
      <c r="A527" s="9"/>
      <c r="B527" s="16"/>
      <c r="C527" s="7" t="str">
        <f>IFERROR(VLOOKUP(B527,'Master data'!$A$1:$D$397,2,FALSE),"")</f>
        <v/>
      </c>
      <c r="D527" s="70" t="str">
        <f>VLOOKUP(B527,Sheet3!$B$2:$E$312,3,)</f>
        <v>#N/A</v>
      </c>
      <c r="E527" s="64"/>
      <c r="F527" s="16" t="str">
        <f>IFERROR(VLOOKUP(B527,'Master data'!$A$1:$D$397,3,FALSE),"")</f>
        <v/>
      </c>
      <c r="G527" s="102"/>
      <c r="H527" s="65"/>
      <c r="I527" s="16"/>
      <c r="J527" s="16"/>
      <c r="K527" s="16" t="b">
        <v>0</v>
      </c>
      <c r="L527" s="16" t="b">
        <v>0</v>
      </c>
    </row>
    <row r="528">
      <c r="A528" s="9"/>
      <c r="B528" s="16"/>
      <c r="C528" s="7" t="str">
        <f>IFERROR(VLOOKUP(B528,'Master data'!$A$1:$D$397,2,FALSE),"")</f>
        <v/>
      </c>
      <c r="D528" s="70" t="str">
        <f>VLOOKUP(B528,Sheet3!$B$2:$E$312,3,)</f>
        <v>#N/A</v>
      </c>
      <c r="E528" s="64"/>
      <c r="F528" s="16" t="str">
        <f>IFERROR(VLOOKUP(B528,'Master data'!$A$1:$D$397,3,FALSE),"")</f>
        <v/>
      </c>
      <c r="G528" s="102"/>
      <c r="H528" s="65"/>
      <c r="I528" s="16"/>
      <c r="J528" s="16"/>
      <c r="K528" s="16" t="b">
        <v>0</v>
      </c>
      <c r="L528" s="16" t="b">
        <v>0</v>
      </c>
    </row>
    <row r="529">
      <c r="A529" s="9"/>
      <c r="B529" s="16"/>
      <c r="C529" s="7" t="str">
        <f>IFERROR(VLOOKUP(B529,'Master data'!$A$1:$D$397,2,FALSE),"")</f>
        <v/>
      </c>
      <c r="D529" s="70" t="str">
        <f>VLOOKUP(B529,Sheet3!$B$2:$E$312,3,)</f>
        <v>#N/A</v>
      </c>
      <c r="E529" s="64"/>
      <c r="F529" s="16" t="str">
        <f>IFERROR(VLOOKUP(B529,'Master data'!$A$1:$D$397,3,FALSE),"")</f>
        <v/>
      </c>
      <c r="G529" s="102"/>
      <c r="H529" s="65"/>
      <c r="I529" s="16"/>
      <c r="J529" s="16"/>
      <c r="K529" s="16" t="b">
        <v>0</v>
      </c>
      <c r="L529" s="16" t="b">
        <v>0</v>
      </c>
    </row>
    <row r="530">
      <c r="A530" s="9"/>
      <c r="B530" s="16"/>
      <c r="C530" s="7" t="str">
        <f>IFERROR(VLOOKUP(B530,'Master data'!$A$1:$D$397,2,FALSE),"")</f>
        <v/>
      </c>
      <c r="D530" s="70" t="str">
        <f>VLOOKUP(B530,Sheet3!$B$2:$E$312,3,)</f>
        <v>#N/A</v>
      </c>
      <c r="E530" s="64"/>
      <c r="F530" s="16" t="str">
        <f>IFERROR(VLOOKUP(B530,'Master data'!$A$1:$D$397,3,FALSE),"")</f>
        <v/>
      </c>
      <c r="G530" s="102"/>
      <c r="H530" s="65"/>
      <c r="I530" s="16"/>
      <c r="J530" s="16"/>
      <c r="K530" s="16" t="b">
        <v>0</v>
      </c>
      <c r="L530" s="16" t="b">
        <v>0</v>
      </c>
    </row>
    <row r="531">
      <c r="A531" s="9"/>
      <c r="B531" s="16"/>
      <c r="C531" s="7" t="str">
        <f>IFERROR(VLOOKUP(B531,'Master data'!$A$1:$D$397,2,FALSE),"")</f>
        <v/>
      </c>
      <c r="D531" s="70" t="str">
        <f>VLOOKUP(B531,Sheet3!$B$2:$E$312,3,)</f>
        <v>#N/A</v>
      </c>
      <c r="E531" s="64"/>
      <c r="F531" s="16" t="str">
        <f>IFERROR(VLOOKUP(B531,'Master data'!$A$1:$D$397,3,FALSE),"")</f>
        <v/>
      </c>
      <c r="G531" s="102"/>
      <c r="H531" s="65"/>
      <c r="I531" s="16"/>
      <c r="J531" s="16"/>
      <c r="K531" s="16" t="b">
        <v>0</v>
      </c>
      <c r="L531" s="16" t="b">
        <v>0</v>
      </c>
    </row>
    <row r="532">
      <c r="A532" s="9"/>
      <c r="B532" s="16"/>
      <c r="C532" s="7" t="str">
        <f>IFERROR(VLOOKUP(B532,'Master data'!$A$1:$D$397,2,FALSE),"")</f>
        <v/>
      </c>
      <c r="D532" s="70" t="str">
        <f>VLOOKUP(B532,Sheet3!$B$2:$E$312,3,)</f>
        <v>#N/A</v>
      </c>
      <c r="E532" s="64"/>
      <c r="F532" s="16" t="str">
        <f>IFERROR(VLOOKUP(B532,'Master data'!$A$1:$D$397,3,FALSE),"")</f>
        <v/>
      </c>
      <c r="G532" s="102"/>
      <c r="H532" s="65"/>
      <c r="I532" s="16"/>
      <c r="J532" s="16"/>
      <c r="K532" s="16" t="b">
        <v>0</v>
      </c>
      <c r="L532" s="16" t="b">
        <v>0</v>
      </c>
    </row>
    <row r="533">
      <c r="A533" s="9"/>
      <c r="B533" s="16"/>
      <c r="C533" s="7" t="str">
        <f>IFERROR(VLOOKUP(B533,'Master data'!$A$1:$D$397,2,FALSE),"")</f>
        <v/>
      </c>
      <c r="D533" s="70" t="str">
        <f>VLOOKUP(B533,Sheet3!$B$2:$E$312,3,)</f>
        <v>#N/A</v>
      </c>
      <c r="E533" s="64"/>
      <c r="F533" s="16" t="str">
        <f>IFERROR(VLOOKUP(B533,'Master data'!$A$1:$D$397,3,FALSE),"")</f>
        <v/>
      </c>
      <c r="G533" s="102"/>
      <c r="H533" s="65"/>
      <c r="I533" s="16"/>
      <c r="J533" s="16"/>
      <c r="K533" s="16" t="b">
        <v>0</v>
      </c>
      <c r="L533" s="16" t="b">
        <v>0</v>
      </c>
    </row>
    <row r="534">
      <c r="A534" s="9"/>
      <c r="B534" s="16"/>
      <c r="C534" s="7" t="str">
        <f>IFERROR(VLOOKUP(B534,'Master data'!$A$1:$D$397,2,FALSE),"")</f>
        <v/>
      </c>
      <c r="D534" s="70" t="str">
        <f>VLOOKUP(B534,Sheet3!$B$2:$E$312,3,)</f>
        <v>#N/A</v>
      </c>
      <c r="E534" s="64"/>
      <c r="F534" s="16" t="str">
        <f>IFERROR(VLOOKUP(B534,'Master data'!$A$1:$D$397,3,FALSE),"")</f>
        <v/>
      </c>
      <c r="G534" s="102"/>
      <c r="H534" s="65"/>
      <c r="I534" s="16"/>
      <c r="J534" s="16"/>
      <c r="K534" s="16" t="b">
        <v>0</v>
      </c>
      <c r="L534" s="16" t="b">
        <v>0</v>
      </c>
    </row>
    <row r="535">
      <c r="A535" s="9"/>
      <c r="B535" s="16"/>
      <c r="C535" s="7" t="str">
        <f>IFERROR(VLOOKUP(B535,'Master data'!$A$1:$D$397,2,FALSE),"")</f>
        <v/>
      </c>
      <c r="D535" s="70" t="str">
        <f>VLOOKUP(B535,Sheet3!$B$2:$E$312,3,)</f>
        <v>#N/A</v>
      </c>
      <c r="E535" s="64"/>
      <c r="F535" s="16" t="str">
        <f>IFERROR(VLOOKUP(B535,'Master data'!$A$1:$D$397,3,FALSE),"")</f>
        <v/>
      </c>
      <c r="G535" s="102"/>
      <c r="H535" s="65"/>
      <c r="I535" s="16"/>
      <c r="J535" s="16"/>
      <c r="K535" s="16" t="b">
        <v>0</v>
      </c>
      <c r="L535" s="16" t="b">
        <v>0</v>
      </c>
    </row>
    <row r="536">
      <c r="A536" s="9"/>
      <c r="B536" s="16"/>
      <c r="C536" s="7" t="str">
        <f>IFERROR(VLOOKUP(B536,'Master data'!$A$1:$D$397,2,FALSE),"")</f>
        <v/>
      </c>
      <c r="D536" s="70" t="str">
        <f>VLOOKUP(B536,Sheet3!$B$2:$E$312,3,)</f>
        <v>#N/A</v>
      </c>
      <c r="E536" s="64"/>
      <c r="F536" s="16" t="str">
        <f>IFERROR(VLOOKUP(B536,'Master data'!$A$1:$D$397,3,FALSE),"")</f>
        <v/>
      </c>
      <c r="G536" s="102"/>
      <c r="H536" s="65"/>
      <c r="I536" s="16"/>
      <c r="J536" s="16"/>
      <c r="K536" s="16" t="b">
        <v>0</v>
      </c>
      <c r="L536" s="16" t="b">
        <v>0</v>
      </c>
    </row>
    <row r="537">
      <c r="A537" s="9"/>
      <c r="B537" s="16"/>
      <c r="C537" s="7" t="str">
        <f>IFERROR(VLOOKUP(B537,'Master data'!$A$1:$D$397,2,FALSE),"")</f>
        <v/>
      </c>
      <c r="D537" s="70" t="str">
        <f>VLOOKUP(B537,Sheet3!$B$2:$E$312,3,)</f>
        <v>#N/A</v>
      </c>
      <c r="E537" s="64"/>
      <c r="F537" s="16" t="str">
        <f>IFERROR(VLOOKUP(B537,'Master data'!$A$1:$D$397,3,FALSE),"")</f>
        <v/>
      </c>
      <c r="G537" s="102"/>
      <c r="H537" s="65"/>
      <c r="I537" s="16"/>
      <c r="J537" s="16"/>
      <c r="K537" s="16" t="b">
        <v>0</v>
      </c>
      <c r="L537" s="16" t="b">
        <v>0</v>
      </c>
    </row>
    <row r="538">
      <c r="A538" s="9"/>
      <c r="B538" s="16"/>
      <c r="C538" s="7" t="str">
        <f>IFERROR(VLOOKUP(B538,'Master data'!$A$1:$D$397,2,FALSE),"")</f>
        <v/>
      </c>
      <c r="D538" s="70" t="str">
        <f>VLOOKUP(B538,Sheet3!$B$2:$E$312,3,)</f>
        <v>#N/A</v>
      </c>
      <c r="E538" s="64"/>
      <c r="F538" s="16" t="str">
        <f>IFERROR(VLOOKUP(B538,'Master data'!$A$1:$D$397,3,FALSE),"")</f>
        <v/>
      </c>
      <c r="G538" s="102"/>
      <c r="H538" s="65"/>
      <c r="I538" s="16"/>
      <c r="J538" s="16"/>
      <c r="K538" s="16" t="b">
        <v>0</v>
      </c>
      <c r="L538" s="16" t="b">
        <v>0</v>
      </c>
    </row>
    <row r="539">
      <c r="A539" s="9"/>
      <c r="B539" s="16"/>
      <c r="C539" s="7" t="str">
        <f>IFERROR(VLOOKUP(B539,'Master data'!$A$1:$D$397,2,FALSE),"")</f>
        <v/>
      </c>
      <c r="D539" s="70" t="str">
        <f>VLOOKUP(B539,Sheet3!$B$2:$E$312,3,)</f>
        <v>#N/A</v>
      </c>
      <c r="E539" s="64"/>
      <c r="F539" s="16" t="str">
        <f>IFERROR(VLOOKUP(B539,'Master data'!$A$1:$D$397,3,FALSE),"")</f>
        <v/>
      </c>
      <c r="G539" s="102"/>
      <c r="H539" s="65"/>
      <c r="I539" s="16"/>
      <c r="J539" s="16"/>
      <c r="K539" s="16" t="b">
        <v>0</v>
      </c>
      <c r="L539" s="16" t="b">
        <v>0</v>
      </c>
    </row>
    <row r="540">
      <c r="A540" s="9"/>
      <c r="B540" s="16"/>
      <c r="C540" s="7" t="str">
        <f>IFERROR(VLOOKUP(B540,'Master data'!$A$1:$D$397,2,FALSE),"")</f>
        <v/>
      </c>
      <c r="D540" s="70" t="str">
        <f>VLOOKUP(B540,Sheet3!$B$2:$E$312,3,)</f>
        <v>#N/A</v>
      </c>
      <c r="E540" s="64"/>
      <c r="F540" s="16" t="str">
        <f>IFERROR(VLOOKUP(B540,'Master data'!$A$1:$D$397,3,FALSE),"")</f>
        <v/>
      </c>
      <c r="G540" s="102"/>
      <c r="H540" s="65"/>
      <c r="I540" s="16"/>
      <c r="J540" s="16"/>
      <c r="K540" s="16" t="b">
        <v>0</v>
      </c>
      <c r="L540" s="16" t="b">
        <v>0</v>
      </c>
    </row>
    <row r="541">
      <c r="A541" s="9"/>
      <c r="B541" s="16"/>
      <c r="C541" s="7" t="str">
        <f>IFERROR(VLOOKUP(B541,'Master data'!$A$1:$D$397,2,FALSE),"")</f>
        <v/>
      </c>
      <c r="D541" s="70" t="str">
        <f>VLOOKUP(B541,Sheet3!$B$2:$E$312,3,)</f>
        <v>#N/A</v>
      </c>
      <c r="E541" s="64"/>
      <c r="F541" s="16" t="str">
        <f>IFERROR(VLOOKUP(B541,'Master data'!$A$1:$D$397,3,FALSE),"")</f>
        <v/>
      </c>
      <c r="G541" s="102"/>
      <c r="H541" s="65"/>
      <c r="I541" s="16"/>
      <c r="J541" s="16"/>
      <c r="K541" s="16" t="b">
        <v>0</v>
      </c>
      <c r="L541" s="16" t="b">
        <v>0</v>
      </c>
    </row>
    <row r="542">
      <c r="A542" s="9"/>
      <c r="B542" s="16"/>
      <c r="C542" s="7" t="str">
        <f>IFERROR(VLOOKUP(B542,'Master data'!$A$1:$D$397,2,FALSE),"")</f>
        <v/>
      </c>
      <c r="D542" s="70" t="str">
        <f>VLOOKUP(B542,Sheet3!$B$2:$E$312,3,)</f>
        <v>#N/A</v>
      </c>
      <c r="E542" s="64"/>
      <c r="F542" s="16" t="str">
        <f>IFERROR(VLOOKUP(B542,'Master data'!$A$1:$D$397,3,FALSE),"")</f>
        <v/>
      </c>
      <c r="G542" s="102"/>
      <c r="H542" s="65"/>
      <c r="I542" s="16"/>
      <c r="J542" s="16"/>
      <c r="K542" s="16" t="b">
        <v>0</v>
      </c>
      <c r="L542" s="16" t="b">
        <v>0</v>
      </c>
    </row>
    <row r="543">
      <c r="A543" s="9"/>
      <c r="B543" s="16"/>
      <c r="C543" s="7" t="str">
        <f>IFERROR(VLOOKUP(B543,'Master data'!$A$1:$D$397,2,FALSE),"")</f>
        <v/>
      </c>
      <c r="D543" s="70" t="str">
        <f>VLOOKUP(B543,Sheet3!$B$2:$E$312,3,)</f>
        <v>#N/A</v>
      </c>
      <c r="E543" s="64"/>
      <c r="F543" s="16" t="str">
        <f>IFERROR(VLOOKUP(B543,'Master data'!$A$1:$D$397,3,FALSE),"")</f>
        <v/>
      </c>
      <c r="G543" s="102"/>
      <c r="H543" s="65"/>
      <c r="I543" s="16"/>
      <c r="J543" s="16"/>
      <c r="K543" s="16" t="b">
        <v>0</v>
      </c>
      <c r="L543" s="16" t="b">
        <v>0</v>
      </c>
    </row>
    <row r="544">
      <c r="A544" s="9"/>
      <c r="B544" s="16"/>
      <c r="C544" s="7" t="str">
        <f>IFERROR(VLOOKUP(B544,'Master data'!$A$1:$D$397,2,FALSE),"")</f>
        <v/>
      </c>
      <c r="D544" s="70" t="str">
        <f>VLOOKUP(B544,Sheet3!$B$2:$E$312,3,)</f>
        <v>#N/A</v>
      </c>
      <c r="E544" s="64"/>
      <c r="F544" s="16" t="str">
        <f>IFERROR(VLOOKUP(B544,'Master data'!$A$1:$D$397,3,FALSE),"")</f>
        <v/>
      </c>
      <c r="G544" s="102"/>
      <c r="H544" s="65"/>
      <c r="I544" s="16"/>
      <c r="J544" s="16"/>
      <c r="K544" s="16" t="b">
        <v>0</v>
      </c>
      <c r="L544" s="16" t="b">
        <v>0</v>
      </c>
    </row>
    <row r="545">
      <c r="A545" s="9"/>
      <c r="B545" s="16"/>
      <c r="C545" s="7" t="str">
        <f>IFERROR(VLOOKUP(B545,'Master data'!$A$1:$D$397,2,FALSE),"")</f>
        <v/>
      </c>
      <c r="D545" s="70" t="str">
        <f>VLOOKUP(B545,Sheet3!$B$2:$E$312,3,)</f>
        <v>#N/A</v>
      </c>
      <c r="E545" s="64"/>
      <c r="F545" s="16" t="str">
        <f>IFERROR(VLOOKUP(B545,'Master data'!$A$1:$D$397,3,FALSE),"")</f>
        <v/>
      </c>
      <c r="G545" s="102"/>
      <c r="H545" s="65"/>
      <c r="I545" s="16"/>
      <c r="J545" s="16"/>
      <c r="K545" s="16" t="b">
        <v>0</v>
      </c>
      <c r="L545" s="16" t="b">
        <v>0</v>
      </c>
    </row>
    <row r="546">
      <c r="A546" s="9"/>
      <c r="B546" s="16"/>
      <c r="C546" s="7" t="str">
        <f>IFERROR(VLOOKUP(B546,'Master data'!$A$1:$D$397,2,FALSE),"")</f>
        <v/>
      </c>
      <c r="D546" s="70" t="str">
        <f>VLOOKUP(B546,Sheet3!$B$2:$E$312,3,)</f>
        <v>#N/A</v>
      </c>
      <c r="E546" s="64"/>
      <c r="F546" s="16" t="str">
        <f>IFERROR(VLOOKUP(B546,'Master data'!$A$1:$D$397,3,FALSE),"")</f>
        <v/>
      </c>
      <c r="G546" s="102"/>
      <c r="H546" s="65"/>
      <c r="I546" s="16"/>
      <c r="J546" s="16"/>
      <c r="K546" s="16" t="b">
        <v>0</v>
      </c>
      <c r="L546" s="16" t="b">
        <v>0</v>
      </c>
    </row>
    <row r="547">
      <c r="A547" s="9"/>
      <c r="B547" s="16"/>
      <c r="C547" s="7" t="str">
        <f>IFERROR(VLOOKUP(B547,'Master data'!$A$1:$D$397,2,FALSE),"")</f>
        <v/>
      </c>
      <c r="D547" s="70" t="str">
        <f>VLOOKUP(B547,Sheet3!$B$2:$E$312,3,)</f>
        <v>#N/A</v>
      </c>
      <c r="E547" s="64"/>
      <c r="F547" s="16" t="str">
        <f>IFERROR(VLOOKUP(B547,'Master data'!$A$1:$D$397,3,FALSE),"")</f>
        <v/>
      </c>
      <c r="G547" s="102"/>
      <c r="H547" s="65"/>
      <c r="I547" s="16"/>
      <c r="J547" s="16"/>
      <c r="K547" s="16" t="b">
        <v>0</v>
      </c>
      <c r="L547" s="16" t="b">
        <v>0</v>
      </c>
    </row>
    <row r="548">
      <c r="A548" s="9"/>
      <c r="B548" s="16"/>
      <c r="C548" s="7" t="str">
        <f>IFERROR(VLOOKUP(B548,'Master data'!$A$1:$D$397,2,FALSE),"")</f>
        <v/>
      </c>
      <c r="D548" s="70" t="str">
        <f>VLOOKUP(B548,Sheet3!$B$2:$E$312,3,)</f>
        <v>#N/A</v>
      </c>
      <c r="E548" s="64"/>
      <c r="F548" s="16" t="str">
        <f>IFERROR(VLOOKUP(B548,'Master data'!$A$1:$D$397,3,FALSE),"")</f>
        <v/>
      </c>
      <c r="G548" s="102"/>
      <c r="H548" s="65"/>
      <c r="I548" s="16"/>
      <c r="J548" s="16"/>
      <c r="K548" s="16" t="b">
        <v>0</v>
      </c>
      <c r="L548" s="16" t="b">
        <v>0</v>
      </c>
    </row>
    <row r="549">
      <c r="A549" s="9"/>
      <c r="B549" s="16"/>
      <c r="C549" s="7" t="str">
        <f>IFERROR(VLOOKUP(B549,'Master data'!$A$1:$D$397,2,FALSE),"")</f>
        <v/>
      </c>
      <c r="D549" s="70" t="str">
        <f>VLOOKUP(B549,Sheet3!$B$2:$E$312,3,)</f>
        <v>#N/A</v>
      </c>
      <c r="E549" s="64"/>
      <c r="F549" s="16" t="str">
        <f>IFERROR(VLOOKUP(B549,'Master data'!$A$1:$D$397,3,FALSE),"")</f>
        <v/>
      </c>
      <c r="G549" s="102"/>
      <c r="H549" s="65"/>
      <c r="I549" s="16"/>
      <c r="J549" s="16"/>
      <c r="K549" s="16" t="b">
        <v>0</v>
      </c>
      <c r="L549" s="16" t="b">
        <v>0</v>
      </c>
    </row>
    <row r="550">
      <c r="A550" s="9"/>
      <c r="B550" s="16"/>
      <c r="C550" s="7" t="str">
        <f>IFERROR(VLOOKUP(B550,'Master data'!$A$1:$D$397,2,FALSE),"")</f>
        <v/>
      </c>
      <c r="D550" s="70" t="str">
        <f>VLOOKUP(B550,Sheet3!$B$2:$E$312,3,)</f>
        <v>#N/A</v>
      </c>
      <c r="E550" s="64"/>
      <c r="F550" s="16" t="str">
        <f>IFERROR(VLOOKUP(B550,'Master data'!$A$1:$D$397,3,FALSE),"")</f>
        <v/>
      </c>
      <c r="G550" s="102"/>
      <c r="H550" s="65"/>
      <c r="I550" s="16"/>
      <c r="J550" s="16"/>
      <c r="K550" s="16" t="b">
        <v>0</v>
      </c>
      <c r="L550" s="16" t="b">
        <v>0</v>
      </c>
    </row>
    <row r="551">
      <c r="A551" s="9"/>
      <c r="B551" s="16"/>
      <c r="C551" s="7" t="str">
        <f>IFERROR(VLOOKUP(B551,'Master data'!$A$1:$D$397,2,FALSE),"")</f>
        <v/>
      </c>
      <c r="D551" s="70" t="str">
        <f>VLOOKUP(B551,Sheet3!$B$2:$E$312,3,)</f>
        <v>#N/A</v>
      </c>
      <c r="E551" s="64"/>
      <c r="F551" s="16" t="str">
        <f>IFERROR(VLOOKUP(B551,'Master data'!$A$1:$D$397,3,FALSE),"")</f>
        <v/>
      </c>
      <c r="G551" s="102"/>
      <c r="H551" s="65"/>
      <c r="I551" s="16"/>
      <c r="J551" s="16"/>
      <c r="K551" s="16" t="b">
        <v>0</v>
      </c>
      <c r="L551" s="16" t="b">
        <v>0</v>
      </c>
    </row>
    <row r="552">
      <c r="A552" s="9"/>
      <c r="B552" s="16"/>
      <c r="C552" s="7" t="str">
        <f>IFERROR(VLOOKUP(B552,'Master data'!$A$1:$D$397,2,FALSE),"")</f>
        <v/>
      </c>
      <c r="D552" s="70" t="str">
        <f>VLOOKUP(B552,Sheet3!$B$2:$E$312,3,)</f>
        <v>#N/A</v>
      </c>
      <c r="E552" s="64"/>
      <c r="F552" s="16" t="str">
        <f>IFERROR(VLOOKUP(B552,'Master data'!$A$1:$D$397,3,FALSE),"")</f>
        <v/>
      </c>
      <c r="G552" s="102"/>
      <c r="H552" s="65"/>
      <c r="I552" s="16"/>
      <c r="J552" s="16"/>
      <c r="K552" s="16" t="b">
        <v>0</v>
      </c>
      <c r="L552" s="16" t="b">
        <v>0</v>
      </c>
    </row>
    <row r="553">
      <c r="A553" s="9"/>
      <c r="B553" s="16"/>
      <c r="C553" s="7" t="str">
        <f>IFERROR(VLOOKUP(B553,'Master data'!$A$1:$D$397,2,FALSE),"")</f>
        <v/>
      </c>
      <c r="D553" s="70" t="str">
        <f>VLOOKUP(B553,Sheet3!$B$2:$E$312,3,)</f>
        <v>#N/A</v>
      </c>
      <c r="E553" s="64"/>
      <c r="F553" s="16" t="str">
        <f>IFERROR(VLOOKUP(B553,'Master data'!$A$1:$D$397,3,FALSE),"")</f>
        <v/>
      </c>
      <c r="G553" s="102"/>
      <c r="H553" s="65"/>
      <c r="I553" s="16"/>
      <c r="J553" s="16"/>
      <c r="K553" s="16" t="b">
        <v>0</v>
      </c>
      <c r="L553" s="16" t="b">
        <v>0</v>
      </c>
    </row>
    <row r="554">
      <c r="A554" s="9"/>
      <c r="B554" s="16"/>
      <c r="C554" s="7" t="str">
        <f>IFERROR(VLOOKUP(B554,'Master data'!$A$1:$D$397,2,FALSE),"")</f>
        <v/>
      </c>
      <c r="D554" s="70" t="str">
        <f>VLOOKUP(B554,Sheet3!$B$2:$E$312,3,)</f>
        <v>#N/A</v>
      </c>
      <c r="E554" s="64"/>
      <c r="F554" s="16" t="str">
        <f>IFERROR(VLOOKUP(B554,'Master data'!$A$1:$D$397,3,FALSE),"")</f>
        <v/>
      </c>
      <c r="G554" s="102"/>
      <c r="H554" s="65"/>
      <c r="I554" s="16"/>
      <c r="J554" s="16"/>
      <c r="K554" s="16" t="b">
        <v>0</v>
      </c>
      <c r="L554" s="16" t="b">
        <v>0</v>
      </c>
    </row>
    <row r="555">
      <c r="A555" s="9"/>
      <c r="B555" s="16"/>
      <c r="C555" s="7" t="str">
        <f>IFERROR(VLOOKUP(B555,'Master data'!$A$1:$D$397,2,FALSE),"")</f>
        <v/>
      </c>
      <c r="D555" s="70" t="str">
        <f>VLOOKUP(B555,Sheet3!$B$2:$E$312,3,)</f>
        <v>#N/A</v>
      </c>
      <c r="E555" s="64"/>
      <c r="F555" s="16" t="str">
        <f>IFERROR(VLOOKUP(B555,'Master data'!$A$1:$D$397,3,FALSE),"")</f>
        <v/>
      </c>
      <c r="G555" s="102"/>
      <c r="H555" s="65"/>
      <c r="I555" s="16"/>
      <c r="J555" s="16"/>
      <c r="K555" s="16" t="b">
        <v>0</v>
      </c>
      <c r="L555" s="16" t="b">
        <v>0</v>
      </c>
    </row>
    <row r="556">
      <c r="A556" s="9"/>
      <c r="B556" s="16"/>
      <c r="C556" s="7" t="str">
        <f>IFERROR(VLOOKUP(B556,'Master data'!$A$1:$D$397,2,FALSE),"")</f>
        <v/>
      </c>
      <c r="D556" s="70" t="str">
        <f>VLOOKUP(B556,Sheet3!$B$2:$E$312,3,)</f>
        <v>#N/A</v>
      </c>
      <c r="E556" s="64"/>
      <c r="F556" s="16" t="str">
        <f>IFERROR(VLOOKUP(B556,'Master data'!$A$1:$D$397,3,FALSE),"")</f>
        <v/>
      </c>
      <c r="G556" s="102"/>
      <c r="H556" s="65"/>
      <c r="I556" s="16"/>
      <c r="J556" s="16"/>
      <c r="K556" s="16" t="b">
        <v>0</v>
      </c>
      <c r="L556" s="16" t="b">
        <v>0</v>
      </c>
    </row>
    <row r="557">
      <c r="A557" s="9"/>
      <c r="B557" s="16"/>
      <c r="C557" s="7" t="str">
        <f>IFERROR(VLOOKUP(B557,'Master data'!$A$1:$D$397,2,FALSE),"")</f>
        <v/>
      </c>
      <c r="D557" s="70" t="str">
        <f>VLOOKUP(B557,Sheet3!$B$2:$E$312,3,)</f>
        <v>#N/A</v>
      </c>
      <c r="E557" s="64"/>
      <c r="F557" s="16" t="str">
        <f>IFERROR(VLOOKUP(B557,'Master data'!$A$1:$D$397,3,FALSE),"")</f>
        <v/>
      </c>
      <c r="G557" s="102"/>
      <c r="H557" s="65"/>
      <c r="I557" s="16"/>
      <c r="J557" s="16"/>
      <c r="K557" s="16" t="b">
        <v>0</v>
      </c>
      <c r="L557" s="16" t="b">
        <v>0</v>
      </c>
    </row>
    <row r="558">
      <c r="A558" s="9"/>
      <c r="B558" s="16"/>
      <c r="C558" s="7" t="str">
        <f>IFERROR(VLOOKUP(B558,'Master data'!$A$1:$D$397,2,FALSE),"")</f>
        <v/>
      </c>
      <c r="D558" s="70" t="str">
        <f>VLOOKUP(B558,Sheet3!$B$2:$E$312,3,)</f>
        <v>#N/A</v>
      </c>
      <c r="E558" s="64"/>
      <c r="F558" s="16" t="str">
        <f>IFERROR(VLOOKUP(B558,'Master data'!$A$1:$D$397,3,FALSE),"")</f>
        <v/>
      </c>
      <c r="G558" s="102"/>
      <c r="H558" s="65"/>
      <c r="I558" s="16"/>
      <c r="J558" s="16"/>
      <c r="K558" s="16" t="b">
        <v>0</v>
      </c>
      <c r="L558" s="16" t="b">
        <v>0</v>
      </c>
    </row>
    <row r="559">
      <c r="A559" s="9"/>
      <c r="B559" s="16"/>
      <c r="C559" s="7" t="str">
        <f>IFERROR(VLOOKUP(B559,'Master data'!$A$1:$D$397,2,FALSE),"")</f>
        <v/>
      </c>
      <c r="D559" s="70" t="str">
        <f>VLOOKUP(B559,Sheet3!$B$2:$E$312,3,)</f>
        <v>#N/A</v>
      </c>
      <c r="E559" s="64"/>
      <c r="F559" s="16" t="str">
        <f>IFERROR(VLOOKUP(B559,'Master data'!$A$1:$D$397,3,FALSE),"")</f>
        <v/>
      </c>
      <c r="G559" s="102"/>
      <c r="H559" s="65"/>
      <c r="I559" s="16"/>
      <c r="J559" s="16"/>
      <c r="K559" s="16" t="b">
        <v>0</v>
      </c>
      <c r="L559" s="16" t="b">
        <v>0</v>
      </c>
    </row>
    <row r="560">
      <c r="A560" s="9"/>
      <c r="B560" s="16"/>
      <c r="C560" s="7" t="str">
        <f>IFERROR(VLOOKUP(B560,'Master data'!$A$1:$D$397,2,FALSE),"")</f>
        <v/>
      </c>
      <c r="D560" s="70" t="str">
        <f>VLOOKUP(B560,Sheet3!$B$2:$E$312,3,)</f>
        <v>#N/A</v>
      </c>
      <c r="E560" s="64"/>
      <c r="F560" s="16" t="str">
        <f>IFERROR(VLOOKUP(B560,'Master data'!$A$1:$D$397,3,FALSE),"")</f>
        <v/>
      </c>
      <c r="G560" s="102"/>
      <c r="H560" s="65"/>
      <c r="I560" s="16"/>
      <c r="J560" s="16"/>
      <c r="K560" s="16" t="b">
        <v>0</v>
      </c>
      <c r="L560" s="16" t="b">
        <v>0</v>
      </c>
    </row>
    <row r="561">
      <c r="A561" s="9"/>
      <c r="B561" s="16"/>
      <c r="C561" s="7" t="str">
        <f>IFERROR(VLOOKUP(B561,'Master data'!$A$1:$D$397,2,FALSE),"")</f>
        <v/>
      </c>
      <c r="D561" s="70" t="str">
        <f>VLOOKUP(B561,Sheet3!$B$2:$E$312,3,)</f>
        <v>#N/A</v>
      </c>
      <c r="E561" s="64"/>
      <c r="F561" s="16" t="str">
        <f>IFERROR(VLOOKUP(B561,'Master data'!$A$1:$D$397,3,FALSE),"")</f>
        <v/>
      </c>
      <c r="G561" s="102"/>
      <c r="H561" s="65"/>
      <c r="I561" s="16"/>
      <c r="J561" s="16"/>
      <c r="K561" s="16" t="b">
        <v>0</v>
      </c>
      <c r="L561" s="16" t="b">
        <v>0</v>
      </c>
    </row>
    <row r="562">
      <c r="A562" s="9"/>
      <c r="B562" s="16"/>
      <c r="C562" s="7" t="str">
        <f>IFERROR(VLOOKUP(B562,'Master data'!$A$1:$D$397,2,FALSE),"")</f>
        <v/>
      </c>
      <c r="D562" s="70" t="str">
        <f>VLOOKUP(B562,Sheet3!$B$2:$E$312,3,)</f>
        <v>#N/A</v>
      </c>
      <c r="E562" s="64"/>
      <c r="F562" s="16" t="str">
        <f>IFERROR(VLOOKUP(B562,'Master data'!$A$1:$D$397,3,FALSE),"")</f>
        <v/>
      </c>
      <c r="G562" s="102"/>
      <c r="H562" s="65"/>
      <c r="I562" s="16"/>
      <c r="J562" s="16"/>
      <c r="K562" s="16" t="b">
        <v>0</v>
      </c>
      <c r="L562" s="16" t="b">
        <v>0</v>
      </c>
    </row>
    <row r="563">
      <c r="A563" s="9"/>
      <c r="B563" s="16"/>
      <c r="C563" s="7" t="str">
        <f>IFERROR(VLOOKUP(B563,'Master data'!$A$1:$D$397,2,FALSE),"")</f>
        <v/>
      </c>
      <c r="D563" s="70" t="str">
        <f>VLOOKUP(B563,Sheet3!$B$2:$E$312,3,)</f>
        <v>#N/A</v>
      </c>
      <c r="E563" s="64"/>
      <c r="F563" s="16" t="str">
        <f>IFERROR(VLOOKUP(B563,'Master data'!$A$1:$D$397,3,FALSE),"")</f>
        <v/>
      </c>
      <c r="G563" s="102"/>
      <c r="H563" s="65"/>
      <c r="I563" s="16"/>
      <c r="J563" s="16"/>
      <c r="K563" s="16" t="b">
        <v>0</v>
      </c>
      <c r="L563" s="16" t="b">
        <v>0</v>
      </c>
    </row>
    <row r="564">
      <c r="A564" s="9"/>
      <c r="B564" s="16"/>
      <c r="C564" s="7" t="str">
        <f>IFERROR(VLOOKUP(B564,'Master data'!$A$1:$D$397,2,FALSE),"")</f>
        <v/>
      </c>
      <c r="D564" s="70" t="str">
        <f>VLOOKUP(B564,Sheet3!$B$2:$E$312,3,)</f>
        <v>#N/A</v>
      </c>
      <c r="E564" s="64"/>
      <c r="F564" s="16" t="str">
        <f>IFERROR(VLOOKUP(B564,'Master data'!$A$1:$D$397,3,FALSE),"")</f>
        <v/>
      </c>
      <c r="G564" s="102"/>
      <c r="H564" s="65"/>
      <c r="I564" s="16"/>
      <c r="J564" s="16"/>
      <c r="K564" s="16" t="b">
        <v>0</v>
      </c>
      <c r="L564" s="16" t="b">
        <v>0</v>
      </c>
    </row>
    <row r="565">
      <c r="A565" s="9"/>
      <c r="B565" s="16"/>
      <c r="C565" s="7" t="str">
        <f>IFERROR(VLOOKUP(B565,'Master data'!$A$1:$D$397,2,FALSE),"")</f>
        <v/>
      </c>
      <c r="D565" s="70" t="str">
        <f>VLOOKUP(B565,Sheet3!$B$2:$E$312,3,)</f>
        <v>#N/A</v>
      </c>
      <c r="E565" s="64"/>
      <c r="F565" s="16" t="str">
        <f>IFERROR(VLOOKUP(B565,'Master data'!$A$1:$D$397,3,FALSE),"")</f>
        <v/>
      </c>
      <c r="G565" s="102"/>
      <c r="H565" s="65"/>
      <c r="I565" s="16"/>
      <c r="J565" s="16"/>
      <c r="K565" s="16" t="b">
        <v>0</v>
      </c>
      <c r="L565" s="16" t="b">
        <v>0</v>
      </c>
    </row>
    <row r="566">
      <c r="A566" s="9"/>
      <c r="B566" s="16"/>
      <c r="C566" s="7" t="str">
        <f>IFERROR(VLOOKUP(B566,'Master data'!$A$1:$D$397,2,FALSE),"")</f>
        <v/>
      </c>
      <c r="D566" s="70" t="str">
        <f>VLOOKUP(B566,Sheet3!$B$2:$E$312,3,)</f>
        <v>#N/A</v>
      </c>
      <c r="E566" s="64"/>
      <c r="F566" s="16" t="str">
        <f>IFERROR(VLOOKUP(B566,'Master data'!$A$1:$D$397,3,FALSE),"")</f>
        <v/>
      </c>
      <c r="G566" s="102"/>
      <c r="H566" s="65"/>
      <c r="I566" s="16"/>
      <c r="J566" s="16"/>
      <c r="K566" s="16" t="b">
        <v>0</v>
      </c>
      <c r="L566" s="16" t="b">
        <v>0</v>
      </c>
    </row>
    <row r="567">
      <c r="A567" s="9"/>
      <c r="B567" s="16"/>
      <c r="C567" s="7" t="str">
        <f>IFERROR(VLOOKUP(B567,'Master data'!$A$1:$D$397,2,FALSE),"")</f>
        <v/>
      </c>
      <c r="D567" s="70" t="str">
        <f>VLOOKUP(B567,Sheet3!$B$2:$E$312,3,)</f>
        <v>#N/A</v>
      </c>
      <c r="E567" s="64"/>
      <c r="F567" s="16" t="str">
        <f>IFERROR(VLOOKUP(B567,'Master data'!$A$1:$D$397,3,FALSE),"")</f>
        <v/>
      </c>
      <c r="G567" s="102"/>
      <c r="H567" s="65"/>
      <c r="I567" s="16"/>
      <c r="J567" s="16"/>
      <c r="K567" s="16" t="b">
        <v>0</v>
      </c>
      <c r="L567" s="16" t="b">
        <v>0</v>
      </c>
    </row>
    <row r="568">
      <c r="A568" s="9"/>
      <c r="B568" s="16"/>
      <c r="C568" s="7" t="str">
        <f>IFERROR(VLOOKUP(B568,'Master data'!$A$1:$D$397,2,FALSE),"")</f>
        <v/>
      </c>
      <c r="D568" s="70" t="str">
        <f>VLOOKUP(B568,Sheet3!$B$2:$E$312,3,)</f>
        <v>#N/A</v>
      </c>
      <c r="E568" s="64"/>
      <c r="F568" s="16" t="str">
        <f>IFERROR(VLOOKUP(B568,'Master data'!$A$1:$D$397,3,FALSE),"")</f>
        <v/>
      </c>
      <c r="G568" s="102"/>
      <c r="H568" s="65"/>
      <c r="I568" s="16"/>
      <c r="J568" s="16"/>
      <c r="K568" s="16" t="b">
        <v>0</v>
      </c>
      <c r="L568" s="16" t="b">
        <v>0</v>
      </c>
    </row>
    <row r="569">
      <c r="A569" s="9"/>
      <c r="B569" s="16"/>
      <c r="C569" s="7" t="str">
        <f>IFERROR(VLOOKUP(B569,'Master data'!$A$1:$D$397,2,FALSE),"")</f>
        <v/>
      </c>
      <c r="D569" s="70" t="str">
        <f>VLOOKUP(B569,Sheet3!$B$2:$E$312,3,)</f>
        <v>#N/A</v>
      </c>
      <c r="E569" s="64"/>
      <c r="F569" s="16" t="str">
        <f>IFERROR(VLOOKUP(B569,'Master data'!$A$1:$D$397,3,FALSE),"")</f>
        <v/>
      </c>
      <c r="G569" s="102"/>
      <c r="H569" s="65"/>
      <c r="I569" s="16"/>
      <c r="J569" s="16"/>
      <c r="K569" s="16" t="b">
        <v>0</v>
      </c>
      <c r="L569" s="16" t="b">
        <v>0</v>
      </c>
    </row>
    <row r="570">
      <c r="A570" s="9"/>
      <c r="B570" s="16"/>
      <c r="C570" s="7" t="str">
        <f>IFERROR(VLOOKUP(B570,'Master data'!$A$1:$D$397,2,FALSE),"")</f>
        <v/>
      </c>
      <c r="D570" s="70" t="str">
        <f>VLOOKUP(B570,Sheet3!$B$2:$E$312,3,)</f>
        <v>#N/A</v>
      </c>
      <c r="E570" s="64"/>
      <c r="F570" s="16" t="str">
        <f>IFERROR(VLOOKUP(B570,'Master data'!$A$1:$D$397,3,FALSE),"")</f>
        <v/>
      </c>
      <c r="G570" s="102"/>
      <c r="H570" s="65"/>
      <c r="I570" s="16"/>
      <c r="J570" s="16"/>
      <c r="K570" s="16" t="b">
        <v>0</v>
      </c>
      <c r="L570" s="16" t="b">
        <v>0</v>
      </c>
    </row>
    <row r="571">
      <c r="A571" s="9"/>
      <c r="B571" s="16"/>
      <c r="C571" s="7" t="str">
        <f>IFERROR(VLOOKUP(B571,'Master data'!$A$1:$D$397,2,FALSE),"")</f>
        <v/>
      </c>
      <c r="D571" s="70" t="str">
        <f>VLOOKUP(B571,Sheet3!$B$2:$E$312,3,)</f>
        <v>#N/A</v>
      </c>
      <c r="E571" s="64"/>
      <c r="F571" s="16" t="str">
        <f>IFERROR(VLOOKUP(B571,'Master data'!$A$1:$D$397,3,FALSE),"")</f>
        <v/>
      </c>
      <c r="G571" s="102"/>
      <c r="H571" s="65"/>
      <c r="I571" s="16"/>
      <c r="J571" s="16"/>
      <c r="K571" s="16" t="b">
        <v>0</v>
      </c>
      <c r="L571" s="16" t="b">
        <v>0</v>
      </c>
    </row>
    <row r="572">
      <c r="A572" s="9"/>
      <c r="B572" s="16"/>
      <c r="C572" s="7" t="str">
        <f>IFERROR(VLOOKUP(B572,'Master data'!$A$1:$D$397,2,FALSE),"")</f>
        <v/>
      </c>
      <c r="D572" s="70" t="str">
        <f>VLOOKUP(B572,Sheet3!$B$2:$E$312,3,)</f>
        <v>#N/A</v>
      </c>
      <c r="E572" s="64"/>
      <c r="F572" s="16" t="str">
        <f>IFERROR(VLOOKUP(B572,'Master data'!$A$1:$D$397,3,FALSE),"")</f>
        <v/>
      </c>
      <c r="G572" s="102"/>
      <c r="H572" s="65"/>
      <c r="I572" s="16"/>
      <c r="J572" s="16"/>
      <c r="K572" s="16" t="b">
        <v>0</v>
      </c>
      <c r="L572" s="16" t="b">
        <v>0</v>
      </c>
    </row>
    <row r="573">
      <c r="A573" s="9"/>
      <c r="B573" s="16"/>
      <c r="C573" s="7" t="str">
        <f>IFERROR(VLOOKUP(B573,'Master data'!$A$1:$D$397,2,FALSE),"")</f>
        <v/>
      </c>
      <c r="D573" s="70" t="str">
        <f>VLOOKUP(B573,Sheet3!$B$2:$E$312,3,)</f>
        <v>#N/A</v>
      </c>
      <c r="E573" s="64"/>
      <c r="F573" s="16" t="str">
        <f>IFERROR(VLOOKUP(B573,'Master data'!$A$1:$D$397,3,FALSE),"")</f>
        <v/>
      </c>
      <c r="G573" s="102"/>
      <c r="H573" s="65"/>
      <c r="I573" s="16"/>
      <c r="J573" s="16"/>
      <c r="K573" s="16" t="b">
        <v>0</v>
      </c>
      <c r="L573" s="16" t="b">
        <v>0</v>
      </c>
    </row>
    <row r="574">
      <c r="A574" s="9"/>
      <c r="B574" s="16"/>
      <c r="C574" s="7" t="str">
        <f>IFERROR(VLOOKUP(B574,'Master data'!$A$1:$D$397,2,FALSE),"")</f>
        <v/>
      </c>
      <c r="D574" s="70" t="str">
        <f>VLOOKUP(B574,Sheet3!$B$2:$E$312,3,)</f>
        <v>#N/A</v>
      </c>
      <c r="E574" s="64"/>
      <c r="F574" s="16" t="str">
        <f>IFERROR(VLOOKUP(B574,'Master data'!$A$1:$D$397,3,FALSE),"")</f>
        <v/>
      </c>
      <c r="G574" s="102"/>
      <c r="H574" s="65"/>
      <c r="I574" s="16"/>
      <c r="J574" s="16"/>
      <c r="K574" s="16" t="b">
        <v>0</v>
      </c>
      <c r="L574" s="16" t="b">
        <v>0</v>
      </c>
    </row>
    <row r="575">
      <c r="A575" s="9"/>
      <c r="B575" s="16"/>
      <c r="C575" s="7" t="str">
        <f>IFERROR(VLOOKUP(B575,'Master data'!$A$1:$D$397,2,FALSE),"")</f>
        <v/>
      </c>
      <c r="D575" s="70" t="str">
        <f>VLOOKUP(B575,Sheet3!$B$2:$E$312,3,)</f>
        <v>#N/A</v>
      </c>
      <c r="E575" s="64"/>
      <c r="F575" s="16" t="str">
        <f>IFERROR(VLOOKUP(B575,'Master data'!$A$1:$D$397,3,FALSE),"")</f>
        <v/>
      </c>
      <c r="G575" s="102"/>
      <c r="H575" s="65"/>
      <c r="I575" s="16"/>
      <c r="J575" s="16"/>
      <c r="K575" s="16" t="b">
        <v>0</v>
      </c>
      <c r="L575" s="16" t="b">
        <v>0</v>
      </c>
    </row>
    <row r="576">
      <c r="A576" s="9"/>
      <c r="B576" s="16"/>
      <c r="C576" s="7" t="str">
        <f>IFERROR(VLOOKUP(B576,'Master data'!$A$1:$D$397,2,FALSE),"")</f>
        <v/>
      </c>
      <c r="D576" s="70" t="str">
        <f>VLOOKUP(B576,Sheet3!$B$2:$E$312,3,)</f>
        <v>#N/A</v>
      </c>
      <c r="E576" s="64"/>
      <c r="F576" s="16" t="str">
        <f>IFERROR(VLOOKUP(B576,'Master data'!$A$1:$D$397,3,FALSE),"")</f>
        <v/>
      </c>
      <c r="G576" s="102"/>
      <c r="H576" s="65"/>
      <c r="I576" s="16"/>
      <c r="J576" s="16"/>
      <c r="K576" s="16" t="b">
        <v>0</v>
      </c>
      <c r="L576" s="16" t="b">
        <v>0</v>
      </c>
    </row>
    <row r="577">
      <c r="A577" s="9"/>
      <c r="B577" s="16"/>
      <c r="C577" s="7" t="str">
        <f>IFERROR(VLOOKUP(B577,'Master data'!$A$1:$D$397,2,FALSE),"")</f>
        <v/>
      </c>
      <c r="D577" s="70" t="str">
        <f>VLOOKUP(B577,Sheet3!$B$2:$E$312,3,)</f>
        <v>#N/A</v>
      </c>
      <c r="E577" s="64"/>
      <c r="F577" s="16" t="str">
        <f>IFERROR(VLOOKUP(B577,'Master data'!$A$1:$D$397,3,FALSE),"")</f>
        <v/>
      </c>
      <c r="G577" s="102"/>
      <c r="H577" s="65"/>
      <c r="I577" s="16"/>
      <c r="J577" s="16"/>
      <c r="K577" s="16" t="b">
        <v>0</v>
      </c>
      <c r="L577" s="16" t="b">
        <v>0</v>
      </c>
    </row>
    <row r="578">
      <c r="A578" s="9"/>
      <c r="B578" s="16"/>
      <c r="C578" s="7" t="str">
        <f>IFERROR(VLOOKUP(B578,'Master data'!$A$1:$D$397,2,FALSE),"")</f>
        <v/>
      </c>
      <c r="D578" s="70" t="str">
        <f>VLOOKUP(B578,Sheet3!$B$2:$E$312,3,)</f>
        <v>#N/A</v>
      </c>
      <c r="E578" s="64"/>
      <c r="F578" s="16" t="str">
        <f>IFERROR(VLOOKUP(B578,'Master data'!$A$1:$D$397,3,FALSE),"")</f>
        <v/>
      </c>
      <c r="G578" s="102"/>
      <c r="H578" s="65"/>
      <c r="I578" s="16"/>
      <c r="J578" s="16"/>
      <c r="K578" s="16" t="b">
        <v>0</v>
      </c>
      <c r="L578" s="16" t="b">
        <v>0</v>
      </c>
    </row>
    <row r="579">
      <c r="A579" s="9"/>
      <c r="B579" s="16"/>
      <c r="C579" s="7" t="str">
        <f>IFERROR(VLOOKUP(B579,'Master data'!$A$1:$D$397,2,FALSE),"")</f>
        <v/>
      </c>
      <c r="D579" s="70" t="str">
        <f>VLOOKUP(B579,Sheet3!$B$2:$E$312,3,)</f>
        <v>#N/A</v>
      </c>
      <c r="E579" s="64"/>
      <c r="F579" s="16" t="str">
        <f>IFERROR(VLOOKUP(B579,'Master data'!$A$1:$D$397,3,FALSE),"")</f>
        <v/>
      </c>
      <c r="G579" s="102"/>
      <c r="H579" s="65"/>
      <c r="I579" s="16"/>
      <c r="J579" s="16"/>
      <c r="K579" s="16" t="b">
        <v>0</v>
      </c>
      <c r="L579" s="16" t="b">
        <v>0</v>
      </c>
    </row>
    <row r="580">
      <c r="A580" s="9"/>
      <c r="B580" s="16"/>
      <c r="C580" s="7" t="str">
        <f>IFERROR(VLOOKUP(B580,'Master data'!$A$1:$D$397,2,FALSE),"")</f>
        <v/>
      </c>
      <c r="D580" s="70" t="str">
        <f>VLOOKUP(B580,Sheet3!$B$2:$E$312,3,)</f>
        <v>#N/A</v>
      </c>
      <c r="E580" s="64"/>
      <c r="F580" s="16" t="str">
        <f>IFERROR(VLOOKUP(B580,'Master data'!$A$1:$D$397,3,FALSE),"")</f>
        <v/>
      </c>
      <c r="G580" s="102"/>
      <c r="H580" s="65"/>
      <c r="I580" s="16"/>
      <c r="J580" s="16"/>
      <c r="K580" s="16" t="b">
        <v>0</v>
      </c>
      <c r="L580" s="16" t="b">
        <v>0</v>
      </c>
    </row>
    <row r="581">
      <c r="A581" s="9"/>
      <c r="B581" s="16"/>
      <c r="C581" s="7" t="str">
        <f>IFERROR(VLOOKUP(B581,'Master data'!$A$1:$D$397,2,FALSE),"")</f>
        <v/>
      </c>
      <c r="D581" s="70" t="str">
        <f>VLOOKUP(B581,Sheet3!$B$2:$E$312,3,)</f>
        <v>#N/A</v>
      </c>
      <c r="E581" s="64"/>
      <c r="F581" s="16" t="str">
        <f>IFERROR(VLOOKUP(B581,'Master data'!$A$1:$D$397,3,FALSE),"")</f>
        <v/>
      </c>
      <c r="G581" s="102"/>
      <c r="H581" s="65"/>
      <c r="I581" s="16"/>
      <c r="J581" s="16"/>
      <c r="K581" s="16" t="b">
        <v>0</v>
      </c>
      <c r="L581" s="16" t="b">
        <v>0</v>
      </c>
    </row>
    <row r="582">
      <c r="A582" s="9"/>
      <c r="B582" s="16"/>
      <c r="C582" s="7" t="str">
        <f>IFERROR(VLOOKUP(B582,'Master data'!$A$1:$D$397,2,FALSE),"")</f>
        <v/>
      </c>
      <c r="D582" s="70" t="str">
        <f>VLOOKUP(B582,Sheet3!$B$2:$E$312,3,)</f>
        <v>#N/A</v>
      </c>
      <c r="E582" s="64"/>
      <c r="F582" s="16" t="str">
        <f>IFERROR(VLOOKUP(B582,'Master data'!$A$1:$D$397,3,FALSE),"")</f>
        <v/>
      </c>
      <c r="G582" s="102"/>
      <c r="H582" s="65"/>
      <c r="I582" s="16"/>
      <c r="J582" s="16"/>
      <c r="K582" s="16" t="b">
        <v>0</v>
      </c>
      <c r="L582" s="16" t="b">
        <v>0</v>
      </c>
    </row>
    <row r="583">
      <c r="A583" s="9"/>
      <c r="B583" s="16"/>
      <c r="C583" s="7" t="str">
        <f>IFERROR(VLOOKUP(B583,'Master data'!$A$1:$D$397,2,FALSE),"")</f>
        <v/>
      </c>
      <c r="D583" s="70" t="str">
        <f>VLOOKUP(B583,Sheet3!$B$2:$E$312,3,)</f>
        <v>#N/A</v>
      </c>
      <c r="E583" s="64"/>
      <c r="F583" s="16" t="str">
        <f>IFERROR(VLOOKUP(B583,'Master data'!$A$1:$D$397,3,FALSE),"")</f>
        <v/>
      </c>
      <c r="G583" s="102"/>
      <c r="H583" s="65"/>
      <c r="I583" s="16"/>
      <c r="J583" s="16"/>
      <c r="K583" s="16" t="b">
        <v>0</v>
      </c>
      <c r="L583" s="16" t="b">
        <v>0</v>
      </c>
    </row>
    <row r="584">
      <c r="A584" s="9"/>
      <c r="B584" s="16"/>
      <c r="C584" s="7" t="str">
        <f>IFERROR(VLOOKUP(B584,'Master data'!$A$1:$D$397,2,FALSE),"")</f>
        <v/>
      </c>
      <c r="D584" s="70" t="str">
        <f>VLOOKUP(B584,Sheet3!$B$2:$E$312,3,)</f>
        <v>#N/A</v>
      </c>
      <c r="E584" s="64"/>
      <c r="F584" s="16" t="str">
        <f>IFERROR(VLOOKUP(B584,'Master data'!$A$1:$D$397,3,FALSE),"")</f>
        <v/>
      </c>
      <c r="G584" s="102"/>
      <c r="H584" s="65"/>
      <c r="I584" s="16"/>
      <c r="J584" s="16"/>
      <c r="K584" s="16" t="b">
        <v>0</v>
      </c>
      <c r="L584" s="16" t="b">
        <v>0</v>
      </c>
    </row>
    <row r="585">
      <c r="A585" s="9"/>
      <c r="B585" s="16"/>
      <c r="C585" s="7" t="str">
        <f>IFERROR(VLOOKUP(B585,'Master data'!$A$1:$D$397,2,FALSE),"")</f>
        <v/>
      </c>
      <c r="D585" s="70" t="str">
        <f>VLOOKUP(B585,Sheet3!$B$2:$E$312,3,)</f>
        <v>#N/A</v>
      </c>
      <c r="E585" s="64"/>
      <c r="F585" s="16" t="str">
        <f>IFERROR(VLOOKUP(B585,'Master data'!$A$1:$D$397,3,FALSE),"")</f>
        <v/>
      </c>
      <c r="G585" s="102"/>
      <c r="H585" s="65"/>
      <c r="I585" s="16"/>
      <c r="J585" s="16"/>
      <c r="K585" s="16" t="b">
        <v>0</v>
      </c>
      <c r="L585" s="16" t="b">
        <v>0</v>
      </c>
    </row>
    <row r="586">
      <c r="A586" s="9"/>
      <c r="B586" s="16"/>
      <c r="C586" s="7" t="str">
        <f>IFERROR(VLOOKUP(B586,'Master data'!$A$1:$D$397,2,FALSE),"")</f>
        <v/>
      </c>
      <c r="D586" s="70" t="str">
        <f>VLOOKUP(B586,Sheet3!$B$2:$E$312,3,)</f>
        <v>#N/A</v>
      </c>
      <c r="E586" s="64"/>
      <c r="F586" s="16" t="str">
        <f>IFERROR(VLOOKUP(B586,'Master data'!$A$1:$D$397,3,FALSE),"")</f>
        <v/>
      </c>
      <c r="G586" s="102"/>
      <c r="H586" s="65"/>
      <c r="I586" s="16"/>
      <c r="J586" s="16"/>
      <c r="K586" s="16" t="b">
        <v>0</v>
      </c>
      <c r="L586" s="16" t="b">
        <v>0</v>
      </c>
    </row>
    <row r="587">
      <c r="A587" s="9"/>
      <c r="B587" s="16"/>
      <c r="C587" s="7" t="str">
        <f>IFERROR(VLOOKUP(B587,'Master data'!$A$1:$D$397,2,FALSE),"")</f>
        <v/>
      </c>
      <c r="D587" s="70" t="str">
        <f>VLOOKUP(B587,Sheet3!$B$2:$E$312,3,)</f>
        <v>#N/A</v>
      </c>
      <c r="E587" s="64"/>
      <c r="F587" s="16" t="str">
        <f>IFERROR(VLOOKUP(B587,'Master data'!$A$1:$D$397,3,FALSE),"")</f>
        <v/>
      </c>
      <c r="G587" s="102"/>
      <c r="H587" s="65"/>
      <c r="I587" s="16"/>
      <c r="J587" s="16"/>
      <c r="K587" s="16" t="b">
        <v>0</v>
      </c>
      <c r="L587" s="16" t="b">
        <v>0</v>
      </c>
    </row>
    <row r="588">
      <c r="A588" s="9"/>
      <c r="B588" s="16"/>
      <c r="C588" s="7" t="str">
        <f>IFERROR(VLOOKUP(B588,'Master data'!$A$1:$D$397,2,FALSE),"")</f>
        <v/>
      </c>
      <c r="D588" s="70" t="str">
        <f>VLOOKUP(B588,Sheet3!$B$2:$E$312,3,)</f>
        <v>#N/A</v>
      </c>
      <c r="E588" s="64"/>
      <c r="F588" s="16" t="str">
        <f>IFERROR(VLOOKUP(B588,'Master data'!$A$1:$D$397,3,FALSE),"")</f>
        <v/>
      </c>
      <c r="G588" s="102"/>
      <c r="H588" s="65"/>
      <c r="I588" s="16"/>
      <c r="J588" s="16"/>
      <c r="K588" s="16" t="b">
        <v>0</v>
      </c>
      <c r="L588" s="16" t="b">
        <v>0</v>
      </c>
    </row>
    <row r="589">
      <c r="A589" s="9"/>
      <c r="B589" s="16"/>
      <c r="C589" s="7" t="str">
        <f>IFERROR(VLOOKUP(B589,'Master data'!$A$1:$D$397,2,FALSE),"")</f>
        <v/>
      </c>
      <c r="D589" s="70" t="str">
        <f>VLOOKUP(B589,Sheet3!$B$2:$E$312,3,)</f>
        <v>#N/A</v>
      </c>
      <c r="E589" s="64"/>
      <c r="F589" s="16" t="str">
        <f>IFERROR(VLOOKUP(B589,'Master data'!$A$1:$D$397,3,FALSE),"")</f>
        <v/>
      </c>
      <c r="G589" s="102"/>
      <c r="H589" s="65"/>
      <c r="I589" s="16"/>
      <c r="J589" s="16"/>
      <c r="K589" s="16" t="b">
        <v>0</v>
      </c>
      <c r="L589" s="16" t="b">
        <v>0</v>
      </c>
    </row>
    <row r="590">
      <c r="A590" s="9"/>
      <c r="B590" s="16"/>
      <c r="C590" s="7" t="str">
        <f>IFERROR(VLOOKUP(B590,'Master data'!$A$1:$D$397,2,FALSE),"")</f>
        <v/>
      </c>
      <c r="D590" s="70" t="str">
        <f>VLOOKUP(B590,Sheet3!$B$2:$E$312,3,)</f>
        <v>#N/A</v>
      </c>
      <c r="E590" s="64"/>
      <c r="F590" s="16" t="str">
        <f>IFERROR(VLOOKUP(B590,'Master data'!$A$1:$D$397,3,FALSE),"")</f>
        <v/>
      </c>
      <c r="G590" s="102"/>
      <c r="H590" s="65"/>
      <c r="I590" s="16"/>
      <c r="J590" s="16"/>
      <c r="K590" s="16" t="b">
        <v>0</v>
      </c>
      <c r="L590" s="16" t="b">
        <v>0</v>
      </c>
    </row>
    <row r="591">
      <c r="A591" s="9"/>
      <c r="B591" s="16"/>
      <c r="C591" s="7" t="str">
        <f>IFERROR(VLOOKUP(B591,'Master data'!$A$1:$D$397,2,FALSE),"")</f>
        <v/>
      </c>
      <c r="D591" s="70" t="str">
        <f>VLOOKUP(B591,Sheet3!$B$2:$E$312,3,)</f>
        <v>#N/A</v>
      </c>
      <c r="E591" s="64"/>
      <c r="F591" s="16" t="str">
        <f>IFERROR(VLOOKUP(B591,'Master data'!$A$1:$D$397,3,FALSE),"")</f>
        <v/>
      </c>
      <c r="G591" s="102"/>
      <c r="H591" s="65"/>
      <c r="I591" s="16"/>
      <c r="J591" s="16"/>
      <c r="K591" s="16" t="b">
        <v>0</v>
      </c>
      <c r="L591" s="16" t="b">
        <v>0</v>
      </c>
    </row>
    <row r="592">
      <c r="A592" s="9"/>
      <c r="B592" s="16"/>
      <c r="C592" s="7" t="str">
        <f>IFERROR(VLOOKUP(B592,'Master data'!$A$1:$D$397,2,FALSE),"")</f>
        <v/>
      </c>
      <c r="D592" s="70" t="str">
        <f>VLOOKUP(B592,Sheet3!$B$2:$E$312,3,)</f>
        <v>#N/A</v>
      </c>
      <c r="E592" s="64"/>
      <c r="F592" s="16" t="str">
        <f>IFERROR(VLOOKUP(B592,'Master data'!$A$1:$D$397,3,FALSE),"")</f>
        <v/>
      </c>
      <c r="G592" s="102"/>
      <c r="H592" s="65"/>
      <c r="I592" s="16"/>
      <c r="J592" s="16"/>
      <c r="K592" s="16" t="b">
        <v>0</v>
      </c>
      <c r="L592" s="16" t="b">
        <v>0</v>
      </c>
    </row>
    <row r="593">
      <c r="A593" s="9"/>
      <c r="B593" s="16"/>
      <c r="C593" s="7" t="str">
        <f>IFERROR(VLOOKUP(B593,'Master data'!$A$1:$D$397,2,FALSE),"")</f>
        <v/>
      </c>
      <c r="D593" s="70" t="str">
        <f>VLOOKUP(B593,Sheet3!$B$2:$E$312,3,)</f>
        <v>#N/A</v>
      </c>
      <c r="E593" s="64"/>
      <c r="F593" s="16" t="str">
        <f>IFERROR(VLOOKUP(B593,'Master data'!$A$1:$D$397,3,FALSE),"")</f>
        <v/>
      </c>
      <c r="G593" s="102"/>
      <c r="H593" s="65"/>
      <c r="I593" s="16"/>
      <c r="J593" s="16"/>
      <c r="K593" s="16" t="b">
        <v>0</v>
      </c>
      <c r="L593" s="16" t="b">
        <v>0</v>
      </c>
    </row>
    <row r="594">
      <c r="A594" s="9"/>
      <c r="B594" s="16"/>
      <c r="C594" s="7" t="str">
        <f>IFERROR(VLOOKUP(B594,'Master data'!$A$1:$D$397,2,FALSE),"")</f>
        <v/>
      </c>
      <c r="D594" s="70" t="str">
        <f>VLOOKUP(B594,Sheet3!$B$2:$E$312,3,)</f>
        <v>#N/A</v>
      </c>
      <c r="E594" s="64"/>
      <c r="F594" s="16" t="str">
        <f>IFERROR(VLOOKUP(B594,'Master data'!$A$1:$D$397,3,FALSE),"")</f>
        <v/>
      </c>
      <c r="G594" s="102"/>
      <c r="H594" s="65"/>
      <c r="I594" s="16"/>
      <c r="J594" s="16"/>
      <c r="K594" s="16" t="b">
        <v>0</v>
      </c>
      <c r="L594" s="16" t="b">
        <v>0</v>
      </c>
    </row>
    <row r="595">
      <c r="A595" s="9"/>
      <c r="B595" s="16"/>
      <c r="C595" s="7" t="str">
        <f>IFERROR(VLOOKUP(B595,'Master data'!$A$1:$D$397,2,FALSE),"")</f>
        <v/>
      </c>
      <c r="D595" s="70" t="str">
        <f>VLOOKUP(B595,Sheet3!$B$2:$E$312,3,)</f>
        <v>#N/A</v>
      </c>
      <c r="E595" s="64"/>
      <c r="F595" s="16" t="str">
        <f>IFERROR(VLOOKUP(B595,'Master data'!$A$1:$D$397,3,FALSE),"")</f>
        <v/>
      </c>
      <c r="G595" s="102"/>
      <c r="H595" s="65"/>
      <c r="I595" s="16"/>
      <c r="J595" s="16"/>
      <c r="K595" s="16" t="b">
        <v>0</v>
      </c>
      <c r="L595" s="16" t="b">
        <v>0</v>
      </c>
    </row>
    <row r="596">
      <c r="A596" s="9"/>
      <c r="B596" s="16"/>
      <c r="C596" s="7" t="str">
        <f>IFERROR(VLOOKUP(B596,'Master data'!$A$1:$D$397,2,FALSE),"")</f>
        <v/>
      </c>
      <c r="D596" s="70" t="str">
        <f>VLOOKUP(B596,Sheet3!$B$2:$E$312,3,)</f>
        <v>#N/A</v>
      </c>
      <c r="E596" s="64"/>
      <c r="F596" s="16" t="str">
        <f>IFERROR(VLOOKUP(B596,'Master data'!$A$1:$D$397,3,FALSE),"")</f>
        <v/>
      </c>
      <c r="G596" s="102"/>
      <c r="H596" s="65"/>
      <c r="I596" s="16"/>
      <c r="J596" s="16"/>
      <c r="K596" s="16" t="b">
        <v>0</v>
      </c>
      <c r="L596" s="16" t="b">
        <v>0</v>
      </c>
    </row>
    <row r="597">
      <c r="A597" s="9"/>
      <c r="B597" s="16"/>
      <c r="C597" s="7" t="str">
        <f>IFERROR(VLOOKUP(B597,'Master data'!$A$1:$D$397,2,FALSE),"")</f>
        <v/>
      </c>
      <c r="D597" s="70" t="str">
        <f>VLOOKUP(B597,Sheet3!$B$2:$E$312,3,)</f>
        <v>#N/A</v>
      </c>
      <c r="E597" s="64"/>
      <c r="F597" s="16" t="str">
        <f>IFERROR(VLOOKUP(B597,'Master data'!$A$1:$D$397,3,FALSE),"")</f>
        <v/>
      </c>
      <c r="G597" s="102"/>
      <c r="H597" s="65"/>
      <c r="I597" s="16"/>
      <c r="J597" s="16"/>
      <c r="K597" s="16" t="b">
        <v>0</v>
      </c>
      <c r="L597" s="16" t="b">
        <v>0</v>
      </c>
    </row>
    <row r="598">
      <c r="A598" s="9"/>
      <c r="B598" s="16"/>
      <c r="C598" s="7" t="str">
        <f>IFERROR(VLOOKUP(B598,'Master data'!$A$1:$D$397,2,FALSE),"")</f>
        <v/>
      </c>
      <c r="D598" s="70" t="str">
        <f>VLOOKUP(B598,Sheet3!$B$2:$E$312,3,)</f>
        <v>#N/A</v>
      </c>
      <c r="E598" s="64"/>
      <c r="F598" s="16" t="str">
        <f>IFERROR(VLOOKUP(B598,'Master data'!$A$1:$D$397,3,FALSE),"")</f>
        <v/>
      </c>
      <c r="G598" s="102"/>
      <c r="H598" s="65"/>
      <c r="I598" s="16"/>
      <c r="J598" s="16"/>
      <c r="K598" s="16" t="b">
        <v>0</v>
      </c>
      <c r="L598" s="16" t="b">
        <v>0</v>
      </c>
    </row>
    <row r="599">
      <c r="A599" s="9"/>
      <c r="B599" s="16"/>
      <c r="C599" s="7" t="str">
        <f>IFERROR(VLOOKUP(B599,'Master data'!$A$1:$D$397,2,FALSE),"")</f>
        <v/>
      </c>
      <c r="D599" s="70" t="str">
        <f>VLOOKUP(B599,Sheet3!$B$2:$E$312,3,)</f>
        <v>#N/A</v>
      </c>
      <c r="E599" s="64"/>
      <c r="F599" s="16" t="str">
        <f>IFERROR(VLOOKUP(B599,'Master data'!$A$1:$D$397,3,FALSE),"")</f>
        <v/>
      </c>
      <c r="G599" s="102"/>
      <c r="H599" s="65"/>
      <c r="I599" s="16"/>
      <c r="J599" s="16"/>
      <c r="K599" s="16" t="b">
        <v>0</v>
      </c>
      <c r="L599" s="16" t="b">
        <v>0</v>
      </c>
    </row>
    <row r="600">
      <c r="A600" s="9"/>
      <c r="B600" s="16"/>
      <c r="C600" s="7" t="str">
        <f>IFERROR(VLOOKUP(B600,'Master data'!$A$1:$D$397,2,FALSE),"")</f>
        <v/>
      </c>
      <c r="D600" s="70" t="str">
        <f>VLOOKUP(B600,Sheet3!$B$2:$E$312,3,)</f>
        <v>#N/A</v>
      </c>
      <c r="E600" s="64"/>
      <c r="F600" s="16" t="str">
        <f>IFERROR(VLOOKUP(B600,'Master data'!$A$1:$D$397,3,FALSE),"")</f>
        <v/>
      </c>
      <c r="G600" s="102"/>
      <c r="H600" s="65"/>
      <c r="I600" s="16"/>
      <c r="J600" s="16"/>
      <c r="K600" s="16" t="b">
        <v>0</v>
      </c>
      <c r="L600" s="16" t="b">
        <v>0</v>
      </c>
    </row>
    <row r="601">
      <c r="A601" s="9"/>
      <c r="B601" s="16"/>
      <c r="C601" s="7" t="str">
        <f>IFERROR(VLOOKUP(B601,'Master data'!$A$1:$D$397,2,FALSE),"")</f>
        <v/>
      </c>
      <c r="D601" s="70" t="str">
        <f>VLOOKUP(B601,Sheet3!$B$2:$E$312,3,)</f>
        <v>#N/A</v>
      </c>
      <c r="E601" s="64"/>
      <c r="F601" s="16" t="str">
        <f>IFERROR(VLOOKUP(B601,'Master data'!$A$1:$D$397,3,FALSE),"")</f>
        <v/>
      </c>
      <c r="G601" s="102"/>
      <c r="H601" s="65"/>
      <c r="I601" s="16"/>
      <c r="J601" s="16"/>
      <c r="K601" s="16" t="b">
        <v>0</v>
      </c>
      <c r="L601" s="16" t="b">
        <v>0</v>
      </c>
    </row>
    <row r="602">
      <c r="A602" s="9"/>
      <c r="B602" s="16"/>
      <c r="C602" s="7" t="str">
        <f>IFERROR(VLOOKUP(B602,'Master data'!$A$1:$D$397,2,FALSE),"")</f>
        <v/>
      </c>
      <c r="D602" s="70" t="str">
        <f>VLOOKUP(B602,Sheet3!$B$2:$E$312,3,)</f>
        <v>#N/A</v>
      </c>
      <c r="E602" s="64"/>
      <c r="F602" s="16" t="str">
        <f>IFERROR(VLOOKUP(B602,'Master data'!$A$1:$D$397,3,FALSE),"")</f>
        <v/>
      </c>
      <c r="G602" s="102"/>
      <c r="H602" s="65"/>
      <c r="I602" s="16"/>
      <c r="J602" s="16"/>
      <c r="K602" s="16" t="b">
        <v>0</v>
      </c>
      <c r="L602" s="16" t="b">
        <v>0</v>
      </c>
    </row>
    <row r="603">
      <c r="A603" s="9"/>
      <c r="B603" s="16"/>
      <c r="C603" s="7" t="str">
        <f>IFERROR(VLOOKUP(B603,'Master data'!$A$1:$D$397,2,FALSE),"")</f>
        <v/>
      </c>
      <c r="D603" s="70" t="str">
        <f>VLOOKUP(B603,Sheet3!$B$2:$E$312,3,)</f>
        <v>#N/A</v>
      </c>
      <c r="E603" s="64"/>
      <c r="F603" s="16" t="str">
        <f>IFERROR(VLOOKUP(B603,'Master data'!$A$1:$D$397,3,FALSE),"")</f>
        <v/>
      </c>
      <c r="G603" s="102"/>
      <c r="H603" s="65"/>
      <c r="I603" s="16"/>
      <c r="J603" s="16"/>
      <c r="K603" s="16" t="b">
        <v>0</v>
      </c>
      <c r="L603" s="16" t="b">
        <v>0</v>
      </c>
    </row>
    <row r="604">
      <c r="A604" s="9"/>
      <c r="B604" s="16"/>
      <c r="C604" s="7" t="str">
        <f>IFERROR(VLOOKUP(B604,'Master data'!$A$1:$D$397,2,FALSE),"")</f>
        <v/>
      </c>
      <c r="D604" s="70" t="str">
        <f>VLOOKUP(B604,Sheet3!$B$2:$E$312,3,)</f>
        <v>#N/A</v>
      </c>
      <c r="E604" s="64"/>
      <c r="F604" s="16" t="str">
        <f>IFERROR(VLOOKUP(B604,'Master data'!$A$1:$D$397,3,FALSE),"")</f>
        <v/>
      </c>
      <c r="G604" s="102"/>
      <c r="H604" s="65"/>
      <c r="I604" s="16"/>
      <c r="J604" s="16"/>
      <c r="K604" s="16" t="b">
        <v>0</v>
      </c>
      <c r="L604" s="16" t="b">
        <v>0</v>
      </c>
    </row>
    <row r="605">
      <c r="A605" s="9"/>
      <c r="B605" s="16"/>
      <c r="C605" s="7" t="str">
        <f>IFERROR(VLOOKUP(B605,'Master data'!$A$1:$D$397,2,FALSE),"")</f>
        <v/>
      </c>
      <c r="D605" s="70" t="str">
        <f>VLOOKUP(B605,Sheet3!$B$2:$E$312,3,)</f>
        <v>#N/A</v>
      </c>
      <c r="E605" s="64"/>
      <c r="F605" s="16" t="str">
        <f>IFERROR(VLOOKUP(B605,'Master data'!$A$1:$D$397,3,FALSE),"")</f>
        <v/>
      </c>
      <c r="G605" s="102"/>
      <c r="H605" s="65"/>
      <c r="I605" s="16"/>
      <c r="J605" s="16"/>
      <c r="K605" s="16" t="b">
        <v>0</v>
      </c>
      <c r="L605" s="16" t="b">
        <v>0</v>
      </c>
    </row>
    <row r="606">
      <c r="A606" s="9"/>
      <c r="B606" s="16"/>
      <c r="C606" s="7" t="str">
        <f>IFERROR(VLOOKUP(B606,'Master data'!$A$1:$D$397,2,FALSE),"")</f>
        <v/>
      </c>
      <c r="D606" s="70" t="str">
        <f>VLOOKUP(B606,Sheet3!$B$2:$E$312,3,)</f>
        <v>#N/A</v>
      </c>
      <c r="E606" s="64"/>
      <c r="F606" s="16" t="str">
        <f>IFERROR(VLOOKUP(B606,'Master data'!$A$1:$D$397,3,FALSE),"")</f>
        <v/>
      </c>
      <c r="G606" s="102"/>
      <c r="H606" s="65"/>
      <c r="I606" s="16"/>
      <c r="J606" s="16"/>
      <c r="K606" s="16" t="b">
        <v>0</v>
      </c>
      <c r="L606" s="16" t="b">
        <v>0</v>
      </c>
    </row>
    <row r="607">
      <c r="A607" s="9"/>
      <c r="B607" s="16"/>
      <c r="C607" s="7" t="str">
        <f>IFERROR(VLOOKUP(B607,'Master data'!$A$1:$D$397,2,FALSE),"")</f>
        <v/>
      </c>
      <c r="D607" s="70" t="str">
        <f>VLOOKUP(B607,Sheet3!$B$2:$E$312,3,)</f>
        <v>#N/A</v>
      </c>
      <c r="E607" s="64"/>
      <c r="F607" s="16" t="str">
        <f>IFERROR(VLOOKUP(B607,'Master data'!$A$1:$D$397,3,FALSE),"")</f>
        <v/>
      </c>
      <c r="G607" s="102"/>
      <c r="H607" s="65"/>
      <c r="I607" s="16"/>
      <c r="J607" s="16"/>
      <c r="K607" s="16" t="b">
        <v>0</v>
      </c>
      <c r="L607" s="16" t="b">
        <v>0</v>
      </c>
    </row>
    <row r="608">
      <c r="A608" s="9"/>
      <c r="B608" s="16"/>
      <c r="C608" s="7" t="str">
        <f>IFERROR(VLOOKUP(B608,'Master data'!$A$1:$D$397,2,FALSE),"")</f>
        <v/>
      </c>
      <c r="D608" s="70" t="str">
        <f>VLOOKUP(B608,Sheet3!$B$2:$E$312,3,)</f>
        <v>#N/A</v>
      </c>
      <c r="E608" s="64"/>
      <c r="F608" s="16" t="str">
        <f>IFERROR(VLOOKUP(B608,'Master data'!$A$1:$D$397,3,FALSE),"")</f>
        <v/>
      </c>
      <c r="G608" s="102"/>
      <c r="H608" s="65"/>
      <c r="I608" s="16"/>
      <c r="J608" s="16"/>
      <c r="K608" s="16" t="b">
        <v>0</v>
      </c>
      <c r="L608" s="16" t="b">
        <v>0</v>
      </c>
    </row>
    <row r="609">
      <c r="A609" s="9"/>
      <c r="B609" s="16"/>
      <c r="C609" s="7" t="str">
        <f>IFERROR(VLOOKUP(B609,'Master data'!$A$1:$D$397,2,FALSE),"")</f>
        <v/>
      </c>
      <c r="D609" s="70" t="str">
        <f>VLOOKUP(B609,Sheet3!$B$2:$E$312,3,)</f>
        <v>#N/A</v>
      </c>
      <c r="E609" s="64"/>
      <c r="F609" s="16" t="str">
        <f>IFERROR(VLOOKUP(B609,'Master data'!$A$1:$D$397,3,FALSE),"")</f>
        <v/>
      </c>
      <c r="G609" s="102"/>
      <c r="H609" s="65"/>
      <c r="I609" s="16"/>
      <c r="J609" s="16"/>
      <c r="K609" s="16" t="b">
        <v>0</v>
      </c>
      <c r="L609" s="16" t="b">
        <v>0</v>
      </c>
    </row>
    <row r="610">
      <c r="A610" s="9"/>
      <c r="B610" s="16"/>
      <c r="C610" s="7" t="str">
        <f>IFERROR(VLOOKUP(B610,'Master data'!$A$1:$D$397,2,FALSE),"")</f>
        <v/>
      </c>
      <c r="D610" s="70" t="str">
        <f>VLOOKUP(B610,Sheet3!$B$2:$E$312,3,)</f>
        <v>#N/A</v>
      </c>
      <c r="E610" s="64"/>
      <c r="F610" s="16" t="str">
        <f>IFERROR(VLOOKUP(B610,'Master data'!$A$1:$D$397,3,FALSE),"")</f>
        <v/>
      </c>
      <c r="G610" s="102"/>
      <c r="H610" s="65"/>
      <c r="I610" s="16"/>
      <c r="J610" s="16"/>
      <c r="K610" s="16" t="b">
        <v>0</v>
      </c>
      <c r="L610" s="16" t="b">
        <v>0</v>
      </c>
    </row>
    <row r="611">
      <c r="A611" s="9"/>
      <c r="B611" s="16"/>
      <c r="C611" s="7" t="str">
        <f>IFERROR(VLOOKUP(B611,'Master data'!$A$1:$D$397,2,FALSE),"")</f>
        <v/>
      </c>
      <c r="D611" s="70" t="str">
        <f>VLOOKUP(B611,Sheet3!$B$2:$E$312,3,)</f>
        <v>#N/A</v>
      </c>
      <c r="E611" s="64"/>
      <c r="F611" s="16" t="str">
        <f>IFERROR(VLOOKUP(B611,'Master data'!$A$1:$D$397,3,FALSE),"")</f>
        <v/>
      </c>
      <c r="G611" s="102"/>
      <c r="H611" s="65"/>
      <c r="I611" s="16"/>
      <c r="J611" s="16"/>
      <c r="K611" s="16" t="b">
        <v>0</v>
      </c>
      <c r="L611" s="16" t="b">
        <v>0</v>
      </c>
    </row>
    <row r="612">
      <c r="A612" s="9"/>
      <c r="B612" s="16"/>
      <c r="C612" s="7" t="str">
        <f>IFERROR(VLOOKUP(B612,'Master data'!$A$1:$D$397,2,FALSE),"")</f>
        <v/>
      </c>
      <c r="D612" s="70" t="str">
        <f>VLOOKUP(B612,Sheet3!$B$2:$E$312,3,)</f>
        <v>#N/A</v>
      </c>
      <c r="E612" s="64"/>
      <c r="F612" s="16" t="str">
        <f>IFERROR(VLOOKUP(B612,'Master data'!$A$1:$D$397,3,FALSE),"")</f>
        <v/>
      </c>
      <c r="G612" s="102"/>
      <c r="H612" s="65"/>
      <c r="I612" s="16"/>
      <c r="J612" s="16"/>
      <c r="K612" s="16" t="b">
        <v>0</v>
      </c>
      <c r="L612" s="16" t="b">
        <v>0</v>
      </c>
    </row>
    <row r="613">
      <c r="A613" s="9"/>
      <c r="B613" s="16"/>
      <c r="C613" s="7" t="str">
        <f>IFERROR(VLOOKUP(B613,'Master data'!$A$1:$D$397,2,FALSE),"")</f>
        <v/>
      </c>
      <c r="D613" s="70" t="str">
        <f>VLOOKUP(B613,Sheet3!$B$2:$E$312,3,)</f>
        <v>#N/A</v>
      </c>
      <c r="E613" s="64"/>
      <c r="F613" s="16" t="str">
        <f>IFERROR(VLOOKUP(B613,'Master data'!$A$1:$D$397,3,FALSE),"")</f>
        <v/>
      </c>
      <c r="G613" s="102"/>
      <c r="H613" s="65"/>
      <c r="I613" s="16"/>
      <c r="J613" s="16"/>
      <c r="K613" s="16" t="b">
        <v>0</v>
      </c>
      <c r="L613" s="16" t="b">
        <v>0</v>
      </c>
    </row>
    <row r="614">
      <c r="A614" s="9"/>
      <c r="B614" s="16"/>
      <c r="C614" s="7" t="str">
        <f>IFERROR(VLOOKUP(B614,'Master data'!$A$1:$D$397,2,FALSE),"")</f>
        <v/>
      </c>
      <c r="D614" s="70" t="str">
        <f>VLOOKUP(B614,Sheet3!$B$2:$E$312,3,)</f>
        <v>#N/A</v>
      </c>
      <c r="E614" s="64"/>
      <c r="F614" s="16" t="str">
        <f>IFERROR(VLOOKUP(B614,'Master data'!$A$1:$D$397,3,FALSE),"")</f>
        <v/>
      </c>
      <c r="G614" s="102"/>
      <c r="H614" s="65"/>
      <c r="I614" s="16"/>
      <c r="J614" s="16"/>
      <c r="K614" s="16" t="b">
        <v>0</v>
      </c>
      <c r="L614" s="16" t="b">
        <v>0</v>
      </c>
    </row>
    <row r="615">
      <c r="A615" s="9"/>
      <c r="B615" s="16"/>
      <c r="C615" s="7" t="str">
        <f>IFERROR(VLOOKUP(B615,'Master data'!$A$1:$D$397,2,FALSE),"")</f>
        <v/>
      </c>
      <c r="D615" s="70" t="str">
        <f>VLOOKUP(B615,Sheet3!$B$2:$E$312,3,)</f>
        <v>#N/A</v>
      </c>
      <c r="E615" s="64"/>
      <c r="F615" s="16" t="str">
        <f>IFERROR(VLOOKUP(B615,'Master data'!$A$1:$D$397,3,FALSE),"")</f>
        <v/>
      </c>
      <c r="G615" s="102"/>
      <c r="H615" s="65"/>
      <c r="I615" s="16"/>
      <c r="J615" s="16"/>
      <c r="K615" s="16" t="b">
        <v>0</v>
      </c>
      <c r="L615" s="16" t="b">
        <v>0</v>
      </c>
    </row>
    <row r="616">
      <c r="A616" s="9"/>
      <c r="B616" s="16"/>
      <c r="C616" s="7" t="str">
        <f>IFERROR(VLOOKUP(B616,'Master data'!$A$1:$D$397,2,FALSE),"")</f>
        <v/>
      </c>
      <c r="D616" s="70" t="str">
        <f>VLOOKUP(B616,Sheet3!$B$2:$E$312,3,)</f>
        <v>#N/A</v>
      </c>
      <c r="E616" s="64"/>
      <c r="F616" s="16" t="str">
        <f>IFERROR(VLOOKUP(B616,'Master data'!$A$1:$D$397,3,FALSE),"")</f>
        <v/>
      </c>
      <c r="G616" s="102"/>
      <c r="H616" s="65"/>
      <c r="I616" s="16"/>
      <c r="J616" s="16"/>
      <c r="K616" s="16" t="b">
        <v>0</v>
      </c>
      <c r="L616" s="16" t="b">
        <v>0</v>
      </c>
    </row>
    <row r="617">
      <c r="A617" s="9"/>
      <c r="B617" s="16"/>
      <c r="C617" s="7" t="str">
        <f>IFERROR(VLOOKUP(B617,'Master data'!$A$1:$D$397,2,FALSE),"")</f>
        <v/>
      </c>
      <c r="D617" s="70" t="str">
        <f>VLOOKUP(B617,Sheet3!$B$2:$E$312,3,)</f>
        <v>#N/A</v>
      </c>
      <c r="E617" s="64"/>
      <c r="F617" s="16" t="str">
        <f>IFERROR(VLOOKUP(B617,'Master data'!$A$1:$D$397,3,FALSE),"")</f>
        <v/>
      </c>
      <c r="G617" s="102"/>
      <c r="H617" s="65"/>
      <c r="I617" s="16"/>
      <c r="J617" s="16"/>
      <c r="K617" s="16" t="b">
        <v>0</v>
      </c>
      <c r="L617" s="16" t="b">
        <v>0</v>
      </c>
    </row>
    <row r="618">
      <c r="A618" s="9"/>
      <c r="B618" s="16"/>
      <c r="C618" s="7" t="str">
        <f>IFERROR(VLOOKUP(B618,'Master data'!$A$1:$D$397,2,FALSE),"")</f>
        <v/>
      </c>
      <c r="D618" s="70" t="str">
        <f>VLOOKUP(B618,Sheet3!$B$2:$E$312,3,)</f>
        <v>#N/A</v>
      </c>
      <c r="E618" s="64"/>
      <c r="F618" s="16" t="str">
        <f>IFERROR(VLOOKUP(B618,'Master data'!$A$1:$D$397,3,FALSE),"")</f>
        <v/>
      </c>
      <c r="G618" s="102"/>
      <c r="H618" s="65"/>
      <c r="I618" s="16"/>
      <c r="J618" s="16"/>
      <c r="K618" s="16" t="b">
        <v>0</v>
      </c>
      <c r="L618" s="16" t="b">
        <v>0</v>
      </c>
    </row>
    <row r="619">
      <c r="A619" s="9"/>
      <c r="B619" s="16"/>
      <c r="C619" s="7" t="str">
        <f>IFERROR(VLOOKUP(B619,'Master data'!$A$1:$D$397,2,FALSE),"")</f>
        <v/>
      </c>
      <c r="D619" s="70" t="str">
        <f>VLOOKUP(B619,Sheet3!$B$2:$E$312,3,)</f>
        <v>#N/A</v>
      </c>
      <c r="E619" s="64"/>
      <c r="F619" s="16" t="str">
        <f>IFERROR(VLOOKUP(B619,'Master data'!$A$1:$D$397,3,FALSE),"")</f>
        <v/>
      </c>
      <c r="G619" s="102"/>
      <c r="H619" s="65"/>
      <c r="I619" s="16"/>
      <c r="J619" s="16"/>
      <c r="K619" s="16" t="b">
        <v>0</v>
      </c>
      <c r="L619" s="16" t="b">
        <v>0</v>
      </c>
    </row>
    <row r="620">
      <c r="A620" s="9"/>
      <c r="B620" s="16"/>
      <c r="C620" s="7" t="str">
        <f>IFERROR(VLOOKUP(B620,'Master data'!$A$1:$D$397,2,FALSE),"")</f>
        <v/>
      </c>
      <c r="D620" s="70" t="str">
        <f>VLOOKUP(B620,Sheet3!$B$2:$E$312,3,)</f>
        <v>#N/A</v>
      </c>
      <c r="E620" s="64"/>
      <c r="F620" s="16" t="str">
        <f>IFERROR(VLOOKUP(B620,'Master data'!$A$1:$D$397,3,FALSE),"")</f>
        <v/>
      </c>
      <c r="G620" s="102"/>
      <c r="H620" s="65"/>
      <c r="I620" s="16"/>
      <c r="J620" s="16"/>
      <c r="K620" s="16" t="b">
        <v>0</v>
      </c>
      <c r="L620" s="16" t="b">
        <v>0</v>
      </c>
    </row>
    <row r="621">
      <c r="A621" s="9"/>
      <c r="B621" s="16"/>
      <c r="C621" s="7" t="str">
        <f>IFERROR(VLOOKUP(B621,'Master data'!$A$1:$D$397,2,FALSE),"")</f>
        <v/>
      </c>
      <c r="D621" s="70" t="str">
        <f>VLOOKUP(B621,Sheet3!$B$2:$E$312,3,)</f>
        <v>#N/A</v>
      </c>
      <c r="E621" s="64"/>
      <c r="F621" s="16" t="str">
        <f>IFERROR(VLOOKUP(B621,'Master data'!$A$1:$D$397,3,FALSE),"")</f>
        <v/>
      </c>
      <c r="G621" s="102"/>
      <c r="H621" s="65"/>
      <c r="I621" s="16"/>
      <c r="J621" s="16"/>
      <c r="K621" s="16" t="b">
        <v>0</v>
      </c>
      <c r="L621" s="16" t="b">
        <v>0</v>
      </c>
    </row>
    <row r="622">
      <c r="A622" s="9"/>
      <c r="B622" s="16"/>
      <c r="C622" s="7" t="str">
        <f>IFERROR(VLOOKUP(B622,'Master data'!$A$1:$D$397,2,FALSE),"")</f>
        <v/>
      </c>
      <c r="D622" s="70" t="str">
        <f>VLOOKUP(B622,Sheet3!$B$2:$E$312,3,)</f>
        <v>#N/A</v>
      </c>
      <c r="E622" s="64"/>
      <c r="F622" s="16" t="str">
        <f>IFERROR(VLOOKUP(B622,'Master data'!$A$1:$D$397,3,FALSE),"")</f>
        <v/>
      </c>
      <c r="G622" s="102"/>
      <c r="H622" s="65"/>
      <c r="I622" s="16"/>
      <c r="J622" s="16"/>
      <c r="K622" s="16" t="b">
        <v>0</v>
      </c>
      <c r="L622" s="16" t="b">
        <v>0</v>
      </c>
    </row>
    <row r="623">
      <c r="A623" s="9"/>
      <c r="B623" s="16"/>
      <c r="C623" s="7" t="str">
        <f>IFERROR(VLOOKUP(B623,'Master data'!$A$1:$D$397,2,FALSE),"")</f>
        <v/>
      </c>
      <c r="D623" s="70" t="str">
        <f>VLOOKUP(B623,Sheet3!$B$2:$E$312,3,)</f>
        <v>#N/A</v>
      </c>
      <c r="E623" s="64"/>
      <c r="F623" s="16" t="str">
        <f>IFERROR(VLOOKUP(B623,'Master data'!$A$1:$D$397,3,FALSE),"")</f>
        <v/>
      </c>
      <c r="G623" s="102"/>
      <c r="H623" s="65"/>
      <c r="I623" s="16"/>
      <c r="J623" s="16"/>
      <c r="K623" s="16" t="b">
        <v>0</v>
      </c>
      <c r="L623" s="16" t="b">
        <v>0</v>
      </c>
    </row>
    <row r="624">
      <c r="A624" s="9"/>
      <c r="B624" s="16"/>
      <c r="C624" s="7" t="str">
        <f>IFERROR(VLOOKUP(B624,'Master data'!$A$1:$D$397,2,FALSE),"")</f>
        <v/>
      </c>
      <c r="D624" s="70" t="str">
        <f>VLOOKUP(B624,Sheet3!$B$2:$E$312,3,)</f>
        <v>#N/A</v>
      </c>
      <c r="E624" s="64"/>
      <c r="F624" s="16" t="str">
        <f>IFERROR(VLOOKUP(B624,'Master data'!$A$1:$D$397,3,FALSE),"")</f>
        <v/>
      </c>
      <c r="G624" s="102"/>
      <c r="H624" s="65"/>
      <c r="I624" s="16"/>
      <c r="J624" s="16"/>
      <c r="K624" s="16" t="b">
        <v>0</v>
      </c>
      <c r="L624" s="16" t="b">
        <v>0</v>
      </c>
    </row>
    <row r="625">
      <c r="A625" s="9"/>
      <c r="B625" s="16"/>
      <c r="C625" s="7" t="str">
        <f>IFERROR(VLOOKUP(B625,'Master data'!$A$1:$D$397,2,FALSE),"")</f>
        <v/>
      </c>
      <c r="D625" s="70" t="str">
        <f>VLOOKUP(B625,Sheet3!$B$2:$E$312,3,)</f>
        <v>#N/A</v>
      </c>
      <c r="E625" s="64"/>
      <c r="F625" s="16" t="str">
        <f>IFERROR(VLOOKUP(B625,'Master data'!$A$1:$D$397,3,FALSE),"")</f>
        <v/>
      </c>
      <c r="G625" s="102"/>
      <c r="H625" s="65"/>
      <c r="I625" s="16"/>
      <c r="J625" s="16"/>
      <c r="K625" s="16" t="b">
        <v>0</v>
      </c>
      <c r="L625" s="16" t="b">
        <v>0</v>
      </c>
    </row>
    <row r="626">
      <c r="A626" s="9"/>
      <c r="B626" s="16"/>
      <c r="C626" s="7" t="str">
        <f>IFERROR(VLOOKUP(B626,'Master data'!$A$1:$D$397,2,FALSE),"")</f>
        <v/>
      </c>
      <c r="D626" s="70" t="str">
        <f>VLOOKUP(B626,Sheet3!$B$2:$E$312,3,)</f>
        <v>#N/A</v>
      </c>
      <c r="E626" s="64"/>
      <c r="F626" s="16" t="str">
        <f>IFERROR(VLOOKUP(B626,'Master data'!$A$1:$D$397,3,FALSE),"")</f>
        <v/>
      </c>
      <c r="G626" s="102"/>
      <c r="H626" s="65"/>
      <c r="I626" s="16"/>
      <c r="J626" s="16"/>
      <c r="K626" s="16" t="b">
        <v>0</v>
      </c>
      <c r="L626" s="16" t="b">
        <v>0</v>
      </c>
    </row>
    <row r="627">
      <c r="A627" s="9"/>
      <c r="B627" s="16"/>
      <c r="C627" s="7" t="str">
        <f>IFERROR(VLOOKUP(B627,'Master data'!$A$1:$D$397,2,FALSE),"")</f>
        <v/>
      </c>
      <c r="D627" s="70" t="str">
        <f>VLOOKUP(B627,Sheet3!$B$2:$E$312,3,)</f>
        <v>#N/A</v>
      </c>
      <c r="E627" s="64"/>
      <c r="F627" s="16" t="str">
        <f>IFERROR(VLOOKUP(B627,'Master data'!$A$1:$D$397,3,FALSE),"")</f>
        <v/>
      </c>
      <c r="G627" s="102"/>
      <c r="H627" s="65"/>
      <c r="I627" s="16"/>
      <c r="J627" s="16"/>
      <c r="K627" s="16" t="b">
        <v>0</v>
      </c>
      <c r="L627" s="16" t="b">
        <v>0</v>
      </c>
    </row>
    <row r="628">
      <c r="A628" s="9"/>
      <c r="B628" s="16"/>
      <c r="C628" s="7" t="str">
        <f>IFERROR(VLOOKUP(B628,'Master data'!$A$1:$D$397,2,FALSE),"")</f>
        <v/>
      </c>
      <c r="D628" s="70" t="str">
        <f>VLOOKUP(B628,Sheet3!$B$2:$E$312,3,)</f>
        <v>#N/A</v>
      </c>
      <c r="E628" s="64"/>
      <c r="F628" s="16" t="str">
        <f>IFERROR(VLOOKUP(B628,'Master data'!$A$1:$D$397,3,FALSE),"")</f>
        <v/>
      </c>
      <c r="G628" s="102"/>
      <c r="H628" s="65"/>
      <c r="I628" s="16"/>
      <c r="J628" s="16"/>
      <c r="K628" s="16" t="b">
        <v>0</v>
      </c>
      <c r="L628" s="16" t="b">
        <v>0</v>
      </c>
    </row>
    <row r="629">
      <c r="A629" s="9"/>
      <c r="B629" s="16"/>
      <c r="C629" s="7" t="str">
        <f>IFERROR(VLOOKUP(B629,'Master data'!$A$1:$D$397,2,FALSE),"")</f>
        <v/>
      </c>
      <c r="D629" s="70" t="str">
        <f>VLOOKUP(B629,Sheet3!$B$2:$E$312,3,)</f>
        <v>#N/A</v>
      </c>
      <c r="E629" s="64"/>
      <c r="F629" s="16" t="str">
        <f>IFERROR(VLOOKUP(B629,'Master data'!$A$1:$D$397,3,FALSE),"")</f>
        <v/>
      </c>
      <c r="G629" s="102"/>
      <c r="H629" s="65"/>
      <c r="I629" s="16"/>
      <c r="J629" s="16"/>
      <c r="K629" s="16" t="b">
        <v>0</v>
      </c>
      <c r="L629" s="16" t="b">
        <v>0</v>
      </c>
    </row>
    <row r="630">
      <c r="A630" s="9"/>
      <c r="B630" s="16"/>
      <c r="C630" s="7" t="str">
        <f>IFERROR(VLOOKUP(B630,'Master data'!$A$1:$D$397,2,FALSE),"")</f>
        <v/>
      </c>
      <c r="D630" s="70" t="str">
        <f>VLOOKUP(B630,Sheet3!$B$2:$E$312,3,)</f>
        <v>#N/A</v>
      </c>
      <c r="E630" s="64"/>
      <c r="F630" s="16" t="str">
        <f>IFERROR(VLOOKUP(B630,'Master data'!$A$1:$D$397,3,FALSE),"")</f>
        <v/>
      </c>
      <c r="G630" s="102"/>
      <c r="H630" s="65"/>
      <c r="I630" s="16"/>
      <c r="J630" s="16"/>
      <c r="K630" s="16" t="b">
        <v>0</v>
      </c>
      <c r="L630" s="16" t="b">
        <v>0</v>
      </c>
    </row>
    <row r="631">
      <c r="A631" s="9"/>
      <c r="B631" s="16"/>
      <c r="C631" s="7" t="str">
        <f>IFERROR(VLOOKUP(B631,'Master data'!$A$1:$D$397,2,FALSE),"")</f>
        <v/>
      </c>
      <c r="D631" s="70" t="str">
        <f>VLOOKUP(B631,Sheet3!$B$2:$E$312,3,)</f>
        <v>#N/A</v>
      </c>
      <c r="E631" s="64"/>
      <c r="F631" s="16" t="str">
        <f>IFERROR(VLOOKUP(B631,'Master data'!$A$1:$D$397,3,FALSE),"")</f>
        <v/>
      </c>
      <c r="G631" s="102"/>
      <c r="H631" s="65"/>
      <c r="I631" s="16"/>
      <c r="J631" s="16"/>
      <c r="K631" s="16" t="b">
        <v>0</v>
      </c>
      <c r="L631" s="16" t="b">
        <v>0</v>
      </c>
    </row>
    <row r="632">
      <c r="A632" s="9"/>
      <c r="B632" s="16"/>
      <c r="C632" s="7" t="str">
        <f>IFERROR(VLOOKUP(B632,'Master data'!$A$1:$D$397,2,FALSE),"")</f>
        <v/>
      </c>
      <c r="D632" s="70" t="str">
        <f>VLOOKUP(B632,Sheet3!$B$2:$E$312,3,)</f>
        <v>#N/A</v>
      </c>
      <c r="E632" s="64"/>
      <c r="F632" s="16" t="str">
        <f>IFERROR(VLOOKUP(B632,'Master data'!$A$1:$D$397,3,FALSE),"")</f>
        <v/>
      </c>
      <c r="G632" s="102"/>
      <c r="H632" s="65"/>
      <c r="I632" s="16"/>
      <c r="J632" s="16"/>
      <c r="K632" s="16" t="b">
        <v>0</v>
      </c>
      <c r="L632" s="16" t="b">
        <v>0</v>
      </c>
    </row>
    <row r="633">
      <c r="A633" s="9"/>
      <c r="B633" s="16"/>
      <c r="C633" s="7" t="str">
        <f>IFERROR(VLOOKUP(B633,'Master data'!$A$1:$D$397,2,FALSE),"")</f>
        <v/>
      </c>
      <c r="D633" s="70" t="str">
        <f>VLOOKUP(B633,Sheet3!$B$2:$E$312,3,)</f>
        <v>#N/A</v>
      </c>
      <c r="E633" s="64"/>
      <c r="F633" s="16" t="str">
        <f>IFERROR(VLOOKUP(B633,'Master data'!$A$1:$D$397,3,FALSE),"")</f>
        <v/>
      </c>
      <c r="G633" s="102"/>
      <c r="H633" s="65"/>
      <c r="I633" s="16"/>
      <c r="J633" s="16"/>
      <c r="K633" s="16" t="b">
        <v>0</v>
      </c>
      <c r="L633" s="16" t="b">
        <v>0</v>
      </c>
    </row>
    <row r="634">
      <c r="A634" s="9"/>
      <c r="B634" s="16"/>
      <c r="C634" s="7" t="str">
        <f>IFERROR(VLOOKUP(B634,'Master data'!$A$1:$D$397,2,FALSE),"")</f>
        <v/>
      </c>
      <c r="D634" s="70" t="str">
        <f>VLOOKUP(B634,Sheet3!$B$2:$E$312,3,)</f>
        <v>#N/A</v>
      </c>
      <c r="E634" s="64"/>
      <c r="F634" s="16" t="str">
        <f>IFERROR(VLOOKUP(B634,'Master data'!$A$1:$D$397,3,FALSE),"")</f>
        <v/>
      </c>
      <c r="G634" s="102"/>
      <c r="H634" s="65"/>
      <c r="I634" s="16"/>
      <c r="J634" s="16"/>
      <c r="K634" s="16" t="b">
        <v>0</v>
      </c>
      <c r="L634" s="16" t="b">
        <v>0</v>
      </c>
    </row>
    <row r="635">
      <c r="A635" s="9"/>
      <c r="B635" s="16"/>
      <c r="C635" s="7" t="str">
        <f>IFERROR(VLOOKUP(B635,'Master data'!$A$1:$D$397,2,FALSE),"")</f>
        <v/>
      </c>
      <c r="D635" s="70" t="str">
        <f>VLOOKUP(B635,Sheet3!$B$2:$E$312,3,)</f>
        <v>#N/A</v>
      </c>
      <c r="E635" s="64"/>
      <c r="F635" s="16" t="str">
        <f>IFERROR(VLOOKUP(B635,'Master data'!$A$1:$D$397,3,FALSE),"")</f>
        <v/>
      </c>
      <c r="G635" s="102"/>
      <c r="H635" s="65"/>
      <c r="I635" s="16"/>
      <c r="J635" s="16"/>
      <c r="K635" s="16" t="b">
        <v>0</v>
      </c>
      <c r="L635" s="16" t="b">
        <v>0</v>
      </c>
    </row>
    <row r="636">
      <c r="A636" s="9"/>
      <c r="B636" s="16"/>
      <c r="C636" s="7" t="str">
        <f>IFERROR(VLOOKUP(B636,'Master data'!$A$1:$D$397,2,FALSE),"")</f>
        <v/>
      </c>
      <c r="D636" s="70" t="str">
        <f>VLOOKUP(B636,Sheet3!$B$2:$E$312,3,)</f>
        <v>#N/A</v>
      </c>
      <c r="E636" s="64"/>
      <c r="F636" s="16" t="str">
        <f>IFERROR(VLOOKUP(B636,'Master data'!$A$1:$D$397,3,FALSE),"")</f>
        <v/>
      </c>
      <c r="G636" s="102"/>
      <c r="H636" s="65"/>
      <c r="I636" s="16"/>
      <c r="J636" s="16"/>
      <c r="K636" s="16" t="b">
        <v>0</v>
      </c>
      <c r="L636" s="16" t="b">
        <v>0</v>
      </c>
    </row>
    <row r="637">
      <c r="A637" s="9"/>
      <c r="B637" s="16"/>
      <c r="C637" s="7" t="str">
        <f>IFERROR(VLOOKUP(B637,'Master data'!$A$1:$D$397,2,FALSE),"")</f>
        <v/>
      </c>
      <c r="D637" s="70" t="str">
        <f>VLOOKUP(B637,Sheet3!$B$2:$E$312,3,)</f>
        <v>#N/A</v>
      </c>
      <c r="E637" s="64"/>
      <c r="F637" s="16" t="str">
        <f>IFERROR(VLOOKUP(B637,'Master data'!$A$1:$D$397,3,FALSE),"")</f>
        <v/>
      </c>
      <c r="G637" s="102"/>
      <c r="H637" s="65"/>
      <c r="I637" s="16"/>
      <c r="J637" s="16"/>
      <c r="K637" s="16" t="b">
        <v>0</v>
      </c>
      <c r="L637" s="16" t="b">
        <v>0</v>
      </c>
    </row>
    <row r="638">
      <c r="A638" s="9"/>
      <c r="B638" s="16"/>
      <c r="C638" s="7" t="str">
        <f>IFERROR(VLOOKUP(B638,'Master data'!$A$1:$D$397,2,FALSE),"")</f>
        <v/>
      </c>
      <c r="D638" s="70" t="str">
        <f>VLOOKUP(B638,Sheet3!$B$2:$E$312,3,)</f>
        <v>#N/A</v>
      </c>
      <c r="E638" s="64"/>
      <c r="F638" s="16" t="str">
        <f>IFERROR(VLOOKUP(B638,'Master data'!$A$1:$D$397,3,FALSE),"")</f>
        <v/>
      </c>
      <c r="G638" s="102"/>
      <c r="H638" s="65"/>
      <c r="I638" s="16"/>
      <c r="J638" s="16"/>
      <c r="K638" s="16" t="b">
        <v>0</v>
      </c>
      <c r="L638" s="16" t="b">
        <v>0</v>
      </c>
    </row>
    <row r="639">
      <c r="A639" s="9"/>
      <c r="B639" s="16"/>
      <c r="C639" s="7" t="str">
        <f>IFERROR(VLOOKUP(B639,'Master data'!$A$1:$D$397,2,FALSE),"")</f>
        <v/>
      </c>
      <c r="D639" s="70" t="str">
        <f>VLOOKUP(B639,Sheet3!$B$2:$E$312,3,)</f>
        <v>#N/A</v>
      </c>
      <c r="E639" s="64"/>
      <c r="F639" s="16" t="str">
        <f>IFERROR(VLOOKUP(B639,'Master data'!$A$1:$D$397,3,FALSE),"")</f>
        <v/>
      </c>
      <c r="G639" s="102"/>
      <c r="H639" s="65"/>
      <c r="I639" s="16"/>
      <c r="J639" s="16"/>
      <c r="K639" s="16" t="b">
        <v>0</v>
      </c>
      <c r="L639" s="16" t="b">
        <v>0</v>
      </c>
    </row>
    <row r="640">
      <c r="A640" s="9"/>
      <c r="B640" s="16"/>
      <c r="C640" s="7" t="str">
        <f>IFERROR(VLOOKUP(B640,'Master data'!$A$1:$D$397,2,FALSE),"")</f>
        <v/>
      </c>
      <c r="D640" s="70" t="str">
        <f>VLOOKUP(B640,Sheet3!$B$2:$E$312,3,)</f>
        <v>#N/A</v>
      </c>
      <c r="E640" s="64"/>
      <c r="F640" s="16" t="str">
        <f>IFERROR(VLOOKUP(B640,'Master data'!$A$1:$D$397,3,FALSE),"")</f>
        <v/>
      </c>
      <c r="G640" s="102"/>
      <c r="H640" s="65"/>
      <c r="I640" s="16"/>
      <c r="J640" s="16"/>
      <c r="K640" s="16" t="b">
        <v>0</v>
      </c>
      <c r="L640" s="16" t="b">
        <v>0</v>
      </c>
    </row>
    <row r="641">
      <c r="A641" s="9"/>
      <c r="B641" s="16"/>
      <c r="C641" s="7" t="str">
        <f>IFERROR(VLOOKUP(B641,'Master data'!$A$1:$D$397,2,FALSE),"")</f>
        <v/>
      </c>
      <c r="D641" s="70" t="str">
        <f>VLOOKUP(B641,Sheet3!$B$2:$E$312,3,)</f>
        <v>#N/A</v>
      </c>
      <c r="E641" s="64"/>
      <c r="F641" s="16" t="str">
        <f>IFERROR(VLOOKUP(B641,'Master data'!$A$1:$D$397,3,FALSE),"")</f>
        <v/>
      </c>
      <c r="G641" s="102"/>
      <c r="H641" s="65"/>
      <c r="I641" s="16"/>
      <c r="J641" s="16"/>
      <c r="K641" s="16" t="b">
        <v>0</v>
      </c>
      <c r="L641" s="16" t="b">
        <v>0</v>
      </c>
    </row>
    <row r="642">
      <c r="A642" s="9"/>
      <c r="B642" s="16"/>
      <c r="C642" s="7" t="str">
        <f>IFERROR(VLOOKUP(B642,'Master data'!$A$1:$D$397,2,FALSE),"")</f>
        <v/>
      </c>
      <c r="D642" s="70" t="str">
        <f>VLOOKUP(B642,Sheet3!$B$2:$E$312,3,)</f>
        <v>#N/A</v>
      </c>
      <c r="E642" s="64"/>
      <c r="F642" s="16" t="str">
        <f>IFERROR(VLOOKUP(B642,'Master data'!$A$1:$D$397,3,FALSE),"")</f>
        <v/>
      </c>
      <c r="G642" s="102"/>
      <c r="H642" s="65"/>
      <c r="I642" s="16"/>
      <c r="J642" s="16"/>
      <c r="K642" s="16" t="b">
        <v>0</v>
      </c>
      <c r="L642" s="16" t="b">
        <v>0</v>
      </c>
    </row>
    <row r="643">
      <c r="A643" s="9"/>
      <c r="B643" s="16"/>
      <c r="C643" s="7" t="str">
        <f>IFERROR(VLOOKUP(B643,'Master data'!$A$1:$D$397,2,FALSE),"")</f>
        <v/>
      </c>
      <c r="D643" s="70" t="str">
        <f>VLOOKUP(B643,Sheet3!$B$2:$E$312,3,)</f>
        <v>#N/A</v>
      </c>
      <c r="E643" s="64"/>
      <c r="F643" s="16" t="str">
        <f>IFERROR(VLOOKUP(B643,'Master data'!$A$1:$D$397,3,FALSE),"")</f>
        <v/>
      </c>
      <c r="G643" s="102"/>
      <c r="H643" s="65"/>
      <c r="I643" s="16"/>
      <c r="J643" s="16"/>
      <c r="K643" s="16" t="b">
        <v>0</v>
      </c>
      <c r="L643" s="16" t="b">
        <v>0</v>
      </c>
    </row>
    <row r="644">
      <c r="A644" s="9"/>
      <c r="B644" s="16"/>
      <c r="C644" s="7" t="str">
        <f>IFERROR(VLOOKUP(B644,'Master data'!$A$1:$D$397,2,FALSE),"")</f>
        <v/>
      </c>
      <c r="D644" s="70" t="str">
        <f>VLOOKUP(B644,Sheet3!$B$2:$E$312,3,)</f>
        <v>#N/A</v>
      </c>
      <c r="E644" s="64"/>
      <c r="F644" s="16" t="str">
        <f>IFERROR(VLOOKUP(B644,'Master data'!$A$1:$D$397,3,FALSE),"")</f>
        <v/>
      </c>
      <c r="G644" s="102"/>
      <c r="H644" s="65"/>
      <c r="I644" s="16"/>
      <c r="J644" s="16"/>
      <c r="K644" s="16" t="b">
        <v>0</v>
      </c>
      <c r="L644" s="16" t="b">
        <v>0</v>
      </c>
    </row>
    <row r="645">
      <c r="A645" s="9"/>
      <c r="B645" s="16"/>
      <c r="C645" s="7" t="str">
        <f>IFERROR(VLOOKUP(B645,'Master data'!$A$1:$D$397,2,FALSE),"")</f>
        <v/>
      </c>
      <c r="D645" s="70" t="str">
        <f>VLOOKUP(B645,Sheet3!$B$2:$E$312,3,)</f>
        <v>#N/A</v>
      </c>
      <c r="E645" s="64"/>
      <c r="F645" s="16" t="str">
        <f>IFERROR(VLOOKUP(B645,'Master data'!$A$1:$D$397,3,FALSE),"")</f>
        <v/>
      </c>
      <c r="G645" s="102"/>
      <c r="H645" s="65"/>
      <c r="I645" s="16"/>
      <c r="J645" s="16"/>
      <c r="K645" s="16" t="b">
        <v>0</v>
      </c>
      <c r="L645" s="16" t="b">
        <v>0</v>
      </c>
    </row>
    <row r="646">
      <c r="A646" s="9"/>
      <c r="B646" s="16"/>
      <c r="C646" s="7" t="str">
        <f>IFERROR(VLOOKUP(B646,'Master data'!$A$1:$D$397,2,FALSE),"")</f>
        <v/>
      </c>
      <c r="D646" s="70" t="str">
        <f>VLOOKUP(B646,Sheet3!$B$2:$E$312,3,)</f>
        <v>#N/A</v>
      </c>
      <c r="E646" s="64"/>
      <c r="F646" s="16" t="str">
        <f>IFERROR(VLOOKUP(B646,'Master data'!$A$1:$D$397,3,FALSE),"")</f>
        <v/>
      </c>
      <c r="G646" s="102"/>
      <c r="H646" s="65"/>
      <c r="I646" s="16"/>
      <c r="J646" s="16"/>
      <c r="K646" s="16" t="b">
        <v>0</v>
      </c>
      <c r="L646" s="16" t="b">
        <v>0</v>
      </c>
    </row>
    <row r="647">
      <c r="A647" s="9"/>
      <c r="B647" s="16"/>
      <c r="C647" s="7" t="str">
        <f>IFERROR(VLOOKUP(B647,'Master data'!$A$1:$D$397,2,FALSE),"")</f>
        <v/>
      </c>
      <c r="D647" s="70" t="str">
        <f>VLOOKUP(B647,Sheet3!$B$2:$E$312,3,)</f>
        <v>#N/A</v>
      </c>
      <c r="E647" s="64"/>
      <c r="F647" s="16" t="str">
        <f>IFERROR(VLOOKUP(B647,'Master data'!$A$1:$D$397,3,FALSE),"")</f>
        <v/>
      </c>
      <c r="G647" s="102"/>
      <c r="H647" s="65"/>
      <c r="I647" s="16"/>
      <c r="J647" s="16"/>
      <c r="K647" s="16" t="b">
        <v>0</v>
      </c>
      <c r="L647" s="16" t="b">
        <v>0</v>
      </c>
    </row>
    <row r="648">
      <c r="A648" s="9"/>
      <c r="B648" s="16"/>
      <c r="C648" s="7" t="str">
        <f>IFERROR(VLOOKUP(B648,'Master data'!$A$1:$D$397,2,FALSE),"")</f>
        <v/>
      </c>
      <c r="D648" s="70" t="str">
        <f>VLOOKUP(B648,Sheet3!$B$2:$E$312,3,)</f>
        <v>#N/A</v>
      </c>
      <c r="E648" s="64"/>
      <c r="F648" s="16" t="str">
        <f>IFERROR(VLOOKUP(B648,'Master data'!$A$1:$D$397,3,FALSE),"")</f>
        <v/>
      </c>
      <c r="G648" s="102"/>
      <c r="H648" s="65"/>
      <c r="I648" s="16"/>
      <c r="J648" s="16"/>
      <c r="K648" s="16" t="b">
        <v>0</v>
      </c>
      <c r="L648" s="16" t="b">
        <v>0</v>
      </c>
    </row>
    <row r="649">
      <c r="A649" s="9"/>
      <c r="B649" s="16"/>
      <c r="C649" s="7" t="str">
        <f>IFERROR(VLOOKUP(B649,'Master data'!$A$1:$D$397,2,FALSE),"")</f>
        <v/>
      </c>
      <c r="D649" s="70" t="str">
        <f>VLOOKUP(B649,Sheet3!$B$2:$E$312,3,)</f>
        <v>#N/A</v>
      </c>
      <c r="E649" s="64"/>
      <c r="F649" s="16" t="str">
        <f>IFERROR(VLOOKUP(B649,'Master data'!$A$1:$D$397,3,FALSE),"")</f>
        <v/>
      </c>
      <c r="G649" s="102"/>
      <c r="H649" s="65"/>
      <c r="I649" s="16"/>
      <c r="J649" s="16"/>
      <c r="K649" s="16" t="b">
        <v>0</v>
      </c>
      <c r="L649" s="16" t="b">
        <v>0</v>
      </c>
    </row>
    <row r="650">
      <c r="A650" s="9"/>
      <c r="B650" s="16"/>
      <c r="C650" s="7" t="str">
        <f>IFERROR(VLOOKUP(B650,'Master data'!$A$1:$D$397,2,FALSE),"")</f>
        <v/>
      </c>
      <c r="D650" s="70" t="str">
        <f>VLOOKUP(B650,Sheet3!$B$2:$E$312,3,)</f>
        <v>#N/A</v>
      </c>
      <c r="E650" s="64"/>
      <c r="F650" s="16" t="str">
        <f>IFERROR(VLOOKUP(B650,'Master data'!$A$1:$D$397,3,FALSE),"")</f>
        <v/>
      </c>
      <c r="G650" s="102"/>
      <c r="H650" s="65"/>
      <c r="I650" s="16"/>
      <c r="J650" s="16"/>
      <c r="K650" s="16" t="b">
        <v>0</v>
      </c>
      <c r="L650" s="16" t="b">
        <v>0</v>
      </c>
    </row>
    <row r="651">
      <c r="A651" s="9"/>
      <c r="B651" s="16"/>
      <c r="C651" s="7" t="str">
        <f>IFERROR(VLOOKUP(B651,'Master data'!$A$1:$D$397,2,FALSE),"")</f>
        <v/>
      </c>
      <c r="D651" s="70" t="str">
        <f>VLOOKUP(B651,Sheet3!$B$2:$E$312,3,)</f>
        <v>#N/A</v>
      </c>
      <c r="E651" s="64"/>
      <c r="F651" s="16" t="str">
        <f>IFERROR(VLOOKUP(B651,'Master data'!$A$1:$D$397,3,FALSE),"")</f>
        <v/>
      </c>
      <c r="G651" s="102"/>
      <c r="H651" s="65"/>
      <c r="I651" s="16"/>
      <c r="J651" s="16"/>
      <c r="K651" s="16" t="b">
        <v>0</v>
      </c>
      <c r="L651" s="16" t="b">
        <v>0</v>
      </c>
    </row>
    <row r="652">
      <c r="A652" s="9"/>
      <c r="B652" s="16"/>
      <c r="C652" s="7" t="str">
        <f>IFERROR(VLOOKUP(B652,'Master data'!$A$1:$D$397,2,FALSE),"")</f>
        <v/>
      </c>
      <c r="D652" s="70" t="str">
        <f>VLOOKUP(B652,Sheet3!$B$2:$E$312,3,)</f>
        <v>#N/A</v>
      </c>
      <c r="E652" s="64"/>
      <c r="F652" s="16" t="str">
        <f>IFERROR(VLOOKUP(B652,'Master data'!$A$1:$D$397,3,FALSE),"")</f>
        <v/>
      </c>
      <c r="G652" s="102"/>
      <c r="H652" s="65"/>
      <c r="I652" s="16"/>
      <c r="J652" s="16"/>
      <c r="K652" s="16" t="b">
        <v>0</v>
      </c>
      <c r="L652" s="16" t="b">
        <v>0</v>
      </c>
    </row>
    <row r="653">
      <c r="A653" s="9"/>
      <c r="B653" s="16"/>
      <c r="C653" s="7" t="str">
        <f>IFERROR(VLOOKUP(B653,'Master data'!$A$1:$D$397,2,FALSE),"")</f>
        <v/>
      </c>
      <c r="D653" s="70" t="str">
        <f>VLOOKUP(B653,Sheet3!$B$2:$E$312,3,)</f>
        <v>#N/A</v>
      </c>
      <c r="E653" s="64"/>
      <c r="F653" s="16" t="str">
        <f>IFERROR(VLOOKUP(B653,'Master data'!$A$1:$D$397,3,FALSE),"")</f>
        <v/>
      </c>
      <c r="G653" s="102"/>
      <c r="H653" s="65"/>
      <c r="I653" s="16"/>
      <c r="J653" s="16"/>
      <c r="K653" s="16" t="b">
        <v>0</v>
      </c>
      <c r="L653" s="16" t="b">
        <v>0</v>
      </c>
    </row>
    <row r="654">
      <c r="A654" s="9"/>
      <c r="B654" s="16"/>
      <c r="C654" s="7" t="str">
        <f>IFERROR(VLOOKUP(B654,'Master data'!$A$1:$D$397,2,FALSE),"")</f>
        <v/>
      </c>
      <c r="D654" s="70" t="str">
        <f>VLOOKUP(B654,Sheet3!$B$2:$E$312,3,)</f>
        <v>#N/A</v>
      </c>
      <c r="E654" s="64"/>
      <c r="F654" s="16" t="str">
        <f>IFERROR(VLOOKUP(B654,'Master data'!$A$1:$D$397,3,FALSE),"")</f>
        <v/>
      </c>
      <c r="G654" s="102"/>
      <c r="H654" s="65"/>
      <c r="I654" s="16"/>
      <c r="J654" s="16"/>
      <c r="K654" s="16" t="b">
        <v>0</v>
      </c>
      <c r="L654" s="16" t="b">
        <v>0</v>
      </c>
    </row>
    <row r="655">
      <c r="A655" s="9"/>
      <c r="B655" s="16"/>
      <c r="C655" s="7" t="str">
        <f>IFERROR(VLOOKUP(B655,'Master data'!$A$1:$D$397,2,FALSE),"")</f>
        <v/>
      </c>
      <c r="D655" s="70" t="str">
        <f>VLOOKUP(B655,Sheet3!$B$2:$E$312,3,)</f>
        <v>#N/A</v>
      </c>
      <c r="E655" s="64"/>
      <c r="F655" s="16" t="str">
        <f>IFERROR(VLOOKUP(B655,'Master data'!$A$1:$D$397,3,FALSE),"")</f>
        <v/>
      </c>
      <c r="G655" s="102"/>
      <c r="H655" s="65"/>
      <c r="I655" s="16"/>
      <c r="J655" s="16"/>
      <c r="K655" s="16" t="b">
        <v>0</v>
      </c>
      <c r="L655" s="16" t="b">
        <v>0</v>
      </c>
    </row>
    <row r="656">
      <c r="A656" s="9"/>
      <c r="B656" s="16"/>
      <c r="C656" s="7" t="str">
        <f>IFERROR(VLOOKUP(B656,'Master data'!$A$1:$D$397,2,FALSE),"")</f>
        <v/>
      </c>
      <c r="D656" s="70" t="str">
        <f>VLOOKUP(B656,Sheet3!$B$2:$E$312,3,)</f>
        <v>#N/A</v>
      </c>
      <c r="E656" s="64"/>
      <c r="F656" s="16" t="str">
        <f>IFERROR(VLOOKUP(B656,'Master data'!$A$1:$D$397,3,FALSE),"")</f>
        <v/>
      </c>
      <c r="G656" s="102"/>
      <c r="H656" s="65"/>
      <c r="I656" s="16"/>
      <c r="J656" s="16"/>
      <c r="K656" s="16" t="b">
        <v>0</v>
      </c>
      <c r="L656" s="16" t="b">
        <v>0</v>
      </c>
    </row>
    <row r="657">
      <c r="A657" s="9"/>
      <c r="B657" s="16"/>
      <c r="C657" s="7" t="str">
        <f>IFERROR(VLOOKUP(B657,'Master data'!$A$1:$D$397,2,FALSE),"")</f>
        <v/>
      </c>
      <c r="D657" s="70" t="str">
        <f>VLOOKUP(B657,Sheet3!$B$2:$E$312,3,)</f>
        <v>#N/A</v>
      </c>
      <c r="E657" s="64"/>
      <c r="F657" s="16" t="str">
        <f>IFERROR(VLOOKUP(B657,'Master data'!$A$1:$D$397,3,FALSE),"")</f>
        <v/>
      </c>
      <c r="G657" s="102"/>
      <c r="H657" s="65"/>
      <c r="I657" s="16"/>
      <c r="J657" s="16"/>
      <c r="K657" s="16" t="b">
        <v>0</v>
      </c>
      <c r="L657" s="16" t="b">
        <v>0</v>
      </c>
    </row>
    <row r="658">
      <c r="A658" s="9"/>
      <c r="B658" s="16"/>
      <c r="C658" s="7" t="str">
        <f>IFERROR(VLOOKUP(B658,'Master data'!$A$1:$D$397,2,FALSE),"")</f>
        <v/>
      </c>
      <c r="D658" s="70" t="str">
        <f>VLOOKUP(B658,Sheet3!$B$2:$E$312,3,)</f>
        <v>#N/A</v>
      </c>
      <c r="E658" s="64"/>
      <c r="F658" s="16" t="str">
        <f>IFERROR(VLOOKUP(B658,'Master data'!$A$1:$D$397,3,FALSE),"")</f>
        <v/>
      </c>
      <c r="G658" s="102"/>
      <c r="H658" s="65"/>
      <c r="I658" s="16"/>
      <c r="J658" s="16"/>
      <c r="K658" s="16" t="b">
        <v>0</v>
      </c>
      <c r="L658" s="16" t="b">
        <v>0</v>
      </c>
    </row>
    <row r="659">
      <c r="A659" s="9"/>
      <c r="B659" s="16"/>
      <c r="C659" s="7" t="str">
        <f>IFERROR(VLOOKUP(B659,'Master data'!$A$1:$D$397,2,FALSE),"")</f>
        <v/>
      </c>
      <c r="D659" s="70" t="str">
        <f>VLOOKUP(B659,Sheet3!$B$2:$E$312,3,)</f>
        <v>#N/A</v>
      </c>
      <c r="E659" s="64"/>
      <c r="F659" s="16" t="str">
        <f>IFERROR(VLOOKUP(B659,'Master data'!$A$1:$D$397,3,FALSE),"")</f>
        <v/>
      </c>
      <c r="G659" s="102"/>
      <c r="H659" s="65"/>
      <c r="I659" s="16"/>
      <c r="J659" s="16"/>
      <c r="K659" s="16" t="b">
        <v>0</v>
      </c>
      <c r="L659" s="16" t="b">
        <v>0</v>
      </c>
    </row>
    <row r="660">
      <c r="A660" s="9"/>
      <c r="B660" s="16"/>
      <c r="C660" s="7" t="str">
        <f>IFERROR(VLOOKUP(B660,'Master data'!$A$1:$D$397,2,FALSE),"")</f>
        <v/>
      </c>
      <c r="D660" s="70" t="str">
        <f>VLOOKUP(B660,Sheet3!$B$2:$E$312,3,)</f>
        <v>#N/A</v>
      </c>
      <c r="E660" s="64"/>
      <c r="F660" s="16" t="str">
        <f>IFERROR(VLOOKUP(B660,'Master data'!$A$1:$D$397,3,FALSE),"")</f>
        <v/>
      </c>
      <c r="G660" s="102"/>
      <c r="H660" s="65"/>
      <c r="I660" s="16"/>
      <c r="J660" s="16"/>
      <c r="K660" s="16" t="b">
        <v>0</v>
      </c>
      <c r="L660" s="16" t="b">
        <v>0</v>
      </c>
    </row>
    <row r="661">
      <c r="A661" s="9"/>
      <c r="B661" s="16"/>
      <c r="C661" s="7" t="str">
        <f>IFERROR(VLOOKUP(B661,'Master data'!$A$1:$D$397,2,FALSE),"")</f>
        <v/>
      </c>
      <c r="D661" s="70" t="str">
        <f>VLOOKUP(B661,Sheet3!$B$2:$E$312,3,)</f>
        <v>#N/A</v>
      </c>
      <c r="E661" s="64"/>
      <c r="F661" s="16" t="str">
        <f>IFERROR(VLOOKUP(B661,'Master data'!$A$1:$D$397,3,FALSE),"")</f>
        <v/>
      </c>
      <c r="G661" s="102"/>
      <c r="H661" s="65"/>
      <c r="I661" s="16"/>
      <c r="J661" s="16"/>
      <c r="K661" s="16" t="b">
        <v>0</v>
      </c>
      <c r="L661" s="16" t="b">
        <v>0</v>
      </c>
    </row>
    <row r="662">
      <c r="A662" s="9"/>
      <c r="B662" s="16"/>
      <c r="C662" s="7" t="str">
        <f>IFERROR(VLOOKUP(B662,'Master data'!$A$1:$D$397,2,FALSE),"")</f>
        <v/>
      </c>
      <c r="D662" s="70" t="str">
        <f>VLOOKUP(B662,Sheet3!$B$2:$E$312,3,)</f>
        <v>#N/A</v>
      </c>
      <c r="E662" s="64"/>
      <c r="F662" s="16" t="str">
        <f>IFERROR(VLOOKUP(B662,'Master data'!$A$1:$D$397,3,FALSE),"")</f>
        <v/>
      </c>
      <c r="G662" s="102"/>
      <c r="H662" s="65"/>
      <c r="I662" s="16"/>
      <c r="J662" s="16"/>
      <c r="K662" s="16" t="b">
        <v>0</v>
      </c>
      <c r="L662" s="16" t="b">
        <v>0</v>
      </c>
    </row>
    <row r="663">
      <c r="A663" s="9"/>
      <c r="B663" s="16"/>
      <c r="C663" s="7" t="str">
        <f>IFERROR(VLOOKUP(B663,'Master data'!$A$1:$D$397,2,FALSE),"")</f>
        <v/>
      </c>
      <c r="D663" s="70" t="str">
        <f>VLOOKUP(B663,Sheet3!$B$2:$E$312,3,)</f>
        <v>#N/A</v>
      </c>
      <c r="E663" s="64"/>
      <c r="F663" s="16" t="str">
        <f>IFERROR(VLOOKUP(B663,'Master data'!$A$1:$D$397,3,FALSE),"")</f>
        <v/>
      </c>
      <c r="G663" s="102"/>
      <c r="H663" s="65"/>
      <c r="I663" s="16"/>
      <c r="J663" s="16"/>
      <c r="K663" s="16" t="b">
        <v>0</v>
      </c>
      <c r="L663" s="16" t="b">
        <v>0</v>
      </c>
    </row>
    <row r="664">
      <c r="A664" s="9"/>
      <c r="B664" s="16"/>
      <c r="C664" s="7" t="str">
        <f>IFERROR(VLOOKUP(B664,'Master data'!$A$1:$D$397,2,FALSE),"")</f>
        <v/>
      </c>
      <c r="D664" s="70" t="str">
        <f>VLOOKUP(B664,Sheet3!$B$2:$E$312,3,)</f>
        <v>#N/A</v>
      </c>
      <c r="E664" s="64"/>
      <c r="F664" s="16" t="str">
        <f>IFERROR(VLOOKUP(B664,'Master data'!$A$1:$D$397,3,FALSE),"")</f>
        <v/>
      </c>
      <c r="G664" s="102"/>
      <c r="H664" s="65"/>
      <c r="I664" s="16"/>
      <c r="J664" s="16"/>
      <c r="K664" s="16" t="b">
        <v>0</v>
      </c>
      <c r="L664" s="16" t="b">
        <v>0</v>
      </c>
    </row>
    <row r="665">
      <c r="A665" s="9"/>
      <c r="B665" s="16"/>
      <c r="C665" s="7" t="str">
        <f>IFERROR(VLOOKUP(B665,'Master data'!$A$1:$D$397,2,FALSE),"")</f>
        <v/>
      </c>
      <c r="D665" s="70" t="str">
        <f>VLOOKUP(B665,Sheet3!$B$2:$E$312,3,)</f>
        <v>#N/A</v>
      </c>
      <c r="E665" s="64"/>
      <c r="F665" s="16" t="str">
        <f>IFERROR(VLOOKUP(B665,'Master data'!$A$1:$D$397,3,FALSE),"")</f>
        <v/>
      </c>
      <c r="G665" s="102"/>
      <c r="H665" s="65"/>
      <c r="I665" s="16"/>
      <c r="J665" s="16"/>
      <c r="K665" s="16" t="b">
        <v>0</v>
      </c>
      <c r="L665" s="16" t="b">
        <v>0</v>
      </c>
    </row>
    <row r="666">
      <c r="A666" s="9"/>
      <c r="B666" s="16"/>
      <c r="C666" s="7" t="str">
        <f>IFERROR(VLOOKUP(B666,'Master data'!$A$1:$D$397,2,FALSE),"")</f>
        <v/>
      </c>
      <c r="D666" s="70" t="str">
        <f>VLOOKUP(B666,Sheet3!$B$2:$E$312,3,)</f>
        <v>#N/A</v>
      </c>
      <c r="E666" s="64"/>
      <c r="F666" s="16" t="str">
        <f>IFERROR(VLOOKUP(B666,'Master data'!$A$1:$D$397,3,FALSE),"")</f>
        <v/>
      </c>
      <c r="G666" s="102"/>
      <c r="H666" s="65"/>
      <c r="I666" s="16"/>
      <c r="J666" s="16"/>
      <c r="K666" s="16" t="b">
        <v>0</v>
      </c>
      <c r="L666" s="16" t="b">
        <v>0</v>
      </c>
    </row>
    <row r="667">
      <c r="A667" s="9"/>
      <c r="B667" s="16"/>
      <c r="C667" s="7" t="str">
        <f>IFERROR(VLOOKUP(B667,'Master data'!$A$1:$D$397,2,FALSE),"")</f>
        <v/>
      </c>
      <c r="D667" s="70" t="str">
        <f>VLOOKUP(B667,Sheet3!$B$2:$E$312,3,)</f>
        <v>#N/A</v>
      </c>
      <c r="E667" s="64"/>
      <c r="F667" s="16" t="str">
        <f>IFERROR(VLOOKUP(B667,'Master data'!$A$1:$D$397,3,FALSE),"")</f>
        <v/>
      </c>
      <c r="G667" s="102"/>
      <c r="H667" s="65"/>
      <c r="I667" s="16"/>
      <c r="J667" s="16"/>
      <c r="K667" s="16" t="b">
        <v>0</v>
      </c>
      <c r="L667" s="16" t="b">
        <v>0</v>
      </c>
    </row>
    <row r="668">
      <c r="A668" s="9"/>
      <c r="B668" s="16"/>
      <c r="C668" s="7" t="str">
        <f>IFERROR(VLOOKUP(B668,'Master data'!$A$1:$D$397,2,FALSE),"")</f>
        <v/>
      </c>
      <c r="D668" s="70" t="str">
        <f>VLOOKUP(B668,Sheet3!$B$2:$E$312,3,)</f>
        <v>#N/A</v>
      </c>
      <c r="E668" s="64"/>
      <c r="F668" s="16" t="str">
        <f>IFERROR(VLOOKUP(B668,'Master data'!$A$1:$D$397,3,FALSE),"")</f>
        <v/>
      </c>
      <c r="G668" s="102"/>
      <c r="H668" s="65"/>
      <c r="I668" s="16"/>
      <c r="J668" s="16"/>
      <c r="K668" s="16" t="b">
        <v>0</v>
      </c>
      <c r="L668" s="16" t="b">
        <v>0</v>
      </c>
    </row>
    <row r="669">
      <c r="A669" s="9"/>
      <c r="B669" s="16"/>
      <c r="C669" s="7" t="str">
        <f>IFERROR(VLOOKUP(B669,'Master data'!$A$1:$D$397,2,FALSE),"")</f>
        <v/>
      </c>
      <c r="D669" s="70" t="str">
        <f>VLOOKUP(B669,Sheet3!$B$2:$E$312,3,)</f>
        <v>#N/A</v>
      </c>
      <c r="E669" s="64"/>
      <c r="F669" s="16" t="str">
        <f>IFERROR(VLOOKUP(B669,'Master data'!$A$1:$D$397,3,FALSE),"")</f>
        <v/>
      </c>
      <c r="G669" s="102"/>
      <c r="H669" s="65"/>
      <c r="I669" s="16"/>
      <c r="J669" s="16"/>
      <c r="K669" s="16" t="b">
        <v>0</v>
      </c>
      <c r="L669" s="16" t="b">
        <v>0</v>
      </c>
    </row>
    <row r="670">
      <c r="A670" s="9"/>
      <c r="B670" s="16"/>
      <c r="C670" s="7" t="str">
        <f>IFERROR(VLOOKUP(B670,'Master data'!$A$1:$D$397,2,FALSE),"")</f>
        <v/>
      </c>
      <c r="D670" s="70" t="str">
        <f>VLOOKUP(B670,Sheet3!$B$2:$E$312,3,)</f>
        <v>#N/A</v>
      </c>
      <c r="E670" s="64"/>
      <c r="F670" s="16" t="str">
        <f>IFERROR(VLOOKUP(B670,'Master data'!$A$1:$D$397,3,FALSE),"")</f>
        <v/>
      </c>
      <c r="G670" s="102"/>
      <c r="H670" s="65"/>
      <c r="I670" s="16"/>
      <c r="J670" s="16"/>
      <c r="K670" s="16" t="b">
        <v>0</v>
      </c>
      <c r="L670" s="16" t="b">
        <v>0</v>
      </c>
    </row>
    <row r="671">
      <c r="A671" s="9"/>
      <c r="B671" s="16"/>
      <c r="C671" s="7" t="str">
        <f>IFERROR(VLOOKUP(B671,'Master data'!$A$1:$D$397,2,FALSE),"")</f>
        <v/>
      </c>
      <c r="D671" s="70" t="str">
        <f>VLOOKUP(B671,Sheet3!$B$2:$E$312,3,)</f>
        <v>#N/A</v>
      </c>
      <c r="E671" s="64"/>
      <c r="F671" s="16" t="str">
        <f>IFERROR(VLOOKUP(B671,'Master data'!$A$1:$D$397,3,FALSE),"")</f>
        <v/>
      </c>
      <c r="G671" s="102"/>
      <c r="H671" s="65"/>
      <c r="I671" s="16"/>
      <c r="J671" s="16"/>
      <c r="K671" s="16" t="b">
        <v>0</v>
      </c>
      <c r="L671" s="16" t="b">
        <v>0</v>
      </c>
    </row>
    <row r="672">
      <c r="A672" s="9"/>
      <c r="B672" s="16"/>
      <c r="C672" s="7" t="str">
        <f>IFERROR(VLOOKUP(B672,'Master data'!$A$1:$D$397,2,FALSE),"")</f>
        <v/>
      </c>
      <c r="D672" s="70" t="str">
        <f>VLOOKUP(B672,Sheet3!$B$2:$E$312,3,)</f>
        <v>#N/A</v>
      </c>
      <c r="E672" s="64"/>
      <c r="F672" s="16" t="str">
        <f>IFERROR(VLOOKUP(B672,'Master data'!$A$1:$D$397,3,FALSE),"")</f>
        <v/>
      </c>
      <c r="G672" s="102"/>
      <c r="H672" s="65"/>
      <c r="I672" s="16"/>
      <c r="J672" s="16"/>
      <c r="K672" s="16" t="b">
        <v>0</v>
      </c>
      <c r="L672" s="16" t="b">
        <v>0</v>
      </c>
    </row>
    <row r="673">
      <c r="A673" s="9"/>
      <c r="B673" s="16"/>
      <c r="C673" s="7" t="str">
        <f>IFERROR(VLOOKUP(B673,'Master data'!$A$1:$D$397,2,FALSE),"")</f>
        <v/>
      </c>
      <c r="D673" s="70" t="str">
        <f>VLOOKUP(B673,Sheet3!$B$2:$E$312,3,)</f>
        <v>#N/A</v>
      </c>
      <c r="E673" s="64"/>
      <c r="F673" s="16" t="str">
        <f>IFERROR(VLOOKUP(B673,'Master data'!$A$1:$D$397,3,FALSE),"")</f>
        <v/>
      </c>
      <c r="G673" s="102"/>
      <c r="H673" s="65"/>
      <c r="I673" s="16"/>
      <c r="J673" s="16"/>
      <c r="K673" s="16" t="b">
        <v>0</v>
      </c>
      <c r="L673" s="16" t="b">
        <v>0</v>
      </c>
    </row>
    <row r="674">
      <c r="A674" s="9"/>
      <c r="B674" s="16"/>
      <c r="C674" s="7" t="str">
        <f>IFERROR(VLOOKUP(B674,'Master data'!$A$1:$D$397,2,FALSE),"")</f>
        <v/>
      </c>
      <c r="D674" s="70" t="str">
        <f>VLOOKUP(B674,Sheet3!$B$2:$E$312,3,)</f>
        <v>#N/A</v>
      </c>
      <c r="E674" s="64"/>
      <c r="F674" s="16" t="str">
        <f>IFERROR(VLOOKUP(B674,'Master data'!$A$1:$D$397,3,FALSE),"")</f>
        <v/>
      </c>
      <c r="G674" s="102"/>
      <c r="H674" s="65"/>
      <c r="I674" s="16"/>
      <c r="J674" s="16"/>
      <c r="K674" s="16" t="b">
        <v>0</v>
      </c>
      <c r="L674" s="16" t="b">
        <v>0</v>
      </c>
    </row>
    <row r="675">
      <c r="A675" s="9"/>
      <c r="B675" s="16"/>
      <c r="C675" s="7" t="str">
        <f>IFERROR(VLOOKUP(B675,'Master data'!$A$1:$D$397,2,FALSE),"")</f>
        <v/>
      </c>
      <c r="D675" s="70" t="str">
        <f>VLOOKUP(B675,Sheet3!$B$2:$E$312,3,)</f>
        <v>#N/A</v>
      </c>
      <c r="E675" s="64"/>
      <c r="F675" s="16" t="str">
        <f>IFERROR(VLOOKUP(B675,'Master data'!$A$1:$D$397,3,FALSE),"")</f>
        <v/>
      </c>
      <c r="G675" s="102"/>
      <c r="H675" s="65"/>
      <c r="I675" s="16"/>
      <c r="J675" s="16"/>
      <c r="K675" s="16" t="b">
        <v>0</v>
      </c>
      <c r="L675" s="16" t="b">
        <v>0</v>
      </c>
    </row>
    <row r="676">
      <c r="A676" s="9"/>
      <c r="B676" s="16"/>
      <c r="C676" s="7" t="str">
        <f>IFERROR(VLOOKUP(B676,'Master data'!$A$1:$D$397,2,FALSE),"")</f>
        <v/>
      </c>
      <c r="D676" s="70" t="str">
        <f>VLOOKUP(B676,Sheet3!$B$2:$E$312,3,)</f>
        <v>#N/A</v>
      </c>
      <c r="E676" s="64"/>
      <c r="F676" s="16" t="str">
        <f>IFERROR(VLOOKUP(B676,'Master data'!$A$1:$D$397,3,FALSE),"")</f>
        <v/>
      </c>
      <c r="G676" s="102"/>
      <c r="H676" s="65"/>
      <c r="I676" s="16"/>
      <c r="J676" s="16"/>
      <c r="K676" s="16" t="b">
        <v>0</v>
      </c>
      <c r="L676" s="16" t="b">
        <v>0</v>
      </c>
    </row>
    <row r="677">
      <c r="A677" s="9"/>
      <c r="B677" s="16"/>
      <c r="C677" s="7" t="str">
        <f>IFERROR(VLOOKUP(B677,'Master data'!$A$1:$D$397,2,FALSE),"")</f>
        <v/>
      </c>
      <c r="D677" s="70" t="str">
        <f>VLOOKUP(B677,Sheet3!$B$2:$E$312,3,)</f>
        <v>#N/A</v>
      </c>
      <c r="E677" s="64"/>
      <c r="F677" s="16" t="str">
        <f>IFERROR(VLOOKUP(B677,'Master data'!$A$1:$D$397,3,FALSE),"")</f>
        <v/>
      </c>
      <c r="G677" s="102"/>
      <c r="H677" s="65"/>
      <c r="I677" s="16"/>
      <c r="J677" s="16"/>
      <c r="K677" s="16" t="b">
        <v>0</v>
      </c>
      <c r="L677" s="16" t="b">
        <v>0</v>
      </c>
    </row>
    <row r="678">
      <c r="A678" s="9"/>
      <c r="B678" s="16"/>
      <c r="C678" s="7" t="str">
        <f>IFERROR(VLOOKUP(B678,'Master data'!$A$1:$D$397,2,FALSE),"")</f>
        <v/>
      </c>
      <c r="D678" s="70" t="str">
        <f>VLOOKUP(B678,Sheet3!$B$2:$E$312,3,)</f>
        <v>#N/A</v>
      </c>
      <c r="E678" s="64"/>
      <c r="F678" s="16" t="str">
        <f>IFERROR(VLOOKUP(B678,'Master data'!$A$1:$D$397,3,FALSE),"")</f>
        <v/>
      </c>
      <c r="G678" s="102"/>
      <c r="H678" s="65"/>
      <c r="I678" s="16"/>
      <c r="J678" s="16"/>
      <c r="K678" s="16" t="b">
        <v>0</v>
      </c>
      <c r="L678" s="16" t="b">
        <v>0</v>
      </c>
    </row>
    <row r="679">
      <c r="A679" s="9"/>
      <c r="B679" s="16"/>
      <c r="C679" s="7" t="str">
        <f>IFERROR(VLOOKUP(B679,'Master data'!$A$1:$D$397,2,FALSE),"")</f>
        <v/>
      </c>
      <c r="D679" s="70" t="str">
        <f>VLOOKUP(B679,Sheet3!$B$2:$E$312,3,)</f>
        <v>#N/A</v>
      </c>
      <c r="E679" s="64"/>
      <c r="F679" s="16" t="str">
        <f>IFERROR(VLOOKUP(B679,'Master data'!$A$1:$D$397,3,FALSE),"")</f>
        <v/>
      </c>
      <c r="G679" s="102"/>
      <c r="H679" s="65"/>
      <c r="I679" s="16"/>
      <c r="J679" s="16"/>
      <c r="K679" s="16" t="b">
        <v>0</v>
      </c>
      <c r="L679" s="16" t="b">
        <v>0</v>
      </c>
    </row>
    <row r="680">
      <c r="A680" s="9"/>
      <c r="B680" s="16"/>
      <c r="C680" s="7" t="str">
        <f>IFERROR(VLOOKUP(B680,'Master data'!$A$1:$D$397,2,FALSE),"")</f>
        <v/>
      </c>
      <c r="D680" s="70" t="str">
        <f>VLOOKUP(B680,Sheet3!$B$2:$E$312,3,)</f>
        <v>#N/A</v>
      </c>
      <c r="E680" s="64"/>
      <c r="F680" s="16" t="str">
        <f>IFERROR(VLOOKUP(B680,'Master data'!$A$1:$D$397,3,FALSE),"")</f>
        <v/>
      </c>
      <c r="G680" s="102"/>
      <c r="H680" s="65"/>
      <c r="I680" s="16"/>
      <c r="J680" s="16"/>
      <c r="K680" s="16" t="b">
        <v>0</v>
      </c>
      <c r="L680" s="16" t="b">
        <v>0</v>
      </c>
    </row>
    <row r="681">
      <c r="A681" s="9"/>
      <c r="B681" s="16"/>
      <c r="C681" s="7" t="str">
        <f>IFERROR(VLOOKUP(B681,'Master data'!$A$1:$D$397,2,FALSE),"")</f>
        <v/>
      </c>
      <c r="D681" s="70" t="str">
        <f>VLOOKUP(B681,Sheet3!$B$2:$E$312,3,)</f>
        <v>#N/A</v>
      </c>
      <c r="E681" s="64"/>
      <c r="F681" s="16" t="str">
        <f>IFERROR(VLOOKUP(B681,'Master data'!$A$1:$D$397,3,FALSE),"")</f>
        <v/>
      </c>
      <c r="G681" s="102"/>
      <c r="H681" s="65"/>
      <c r="I681" s="16"/>
      <c r="J681" s="16"/>
      <c r="K681" s="16" t="b">
        <v>0</v>
      </c>
      <c r="L681" s="16" t="b">
        <v>0</v>
      </c>
    </row>
    <row r="682">
      <c r="A682" s="9"/>
      <c r="B682" s="16"/>
      <c r="C682" s="7" t="str">
        <f>IFERROR(VLOOKUP(B682,'Master data'!$A$1:$D$397,2,FALSE),"")</f>
        <v/>
      </c>
      <c r="D682" s="70" t="str">
        <f>VLOOKUP(B682,Sheet3!$B$2:$E$312,3,)</f>
        <v>#N/A</v>
      </c>
      <c r="E682" s="64"/>
      <c r="F682" s="16" t="str">
        <f>IFERROR(VLOOKUP(B682,'Master data'!$A$1:$D$397,3,FALSE),"")</f>
        <v/>
      </c>
      <c r="G682" s="102"/>
      <c r="H682" s="65"/>
      <c r="I682" s="16"/>
      <c r="J682" s="16"/>
      <c r="K682" s="16" t="b">
        <v>0</v>
      </c>
      <c r="L682" s="16" t="b">
        <v>0</v>
      </c>
    </row>
    <row r="683">
      <c r="A683" s="9"/>
      <c r="B683" s="16"/>
      <c r="C683" s="7" t="str">
        <f>IFERROR(VLOOKUP(B683,'Master data'!$A$1:$D$397,2,FALSE),"")</f>
        <v/>
      </c>
      <c r="D683" s="70" t="str">
        <f>VLOOKUP(B683,Sheet3!$B$2:$E$312,3,)</f>
        <v>#N/A</v>
      </c>
      <c r="E683" s="64"/>
      <c r="F683" s="16" t="str">
        <f>IFERROR(VLOOKUP(B683,'Master data'!$A$1:$D$397,3,FALSE),"")</f>
        <v/>
      </c>
      <c r="G683" s="102"/>
      <c r="H683" s="65"/>
      <c r="I683" s="16"/>
      <c r="J683" s="16"/>
      <c r="K683" s="16" t="b">
        <v>0</v>
      </c>
      <c r="L683" s="16" t="b">
        <v>0</v>
      </c>
    </row>
    <row r="684">
      <c r="A684" s="9"/>
      <c r="B684" s="16"/>
      <c r="C684" s="7" t="str">
        <f>IFERROR(VLOOKUP(B684,'Master data'!$A$1:$D$397,2,FALSE),"")</f>
        <v/>
      </c>
      <c r="D684" s="70" t="str">
        <f>VLOOKUP(B684,Sheet3!$B$2:$E$312,3,)</f>
        <v>#N/A</v>
      </c>
      <c r="E684" s="64"/>
      <c r="F684" s="16" t="str">
        <f>IFERROR(VLOOKUP(B684,'Master data'!$A$1:$D$397,3,FALSE),"")</f>
        <v/>
      </c>
      <c r="G684" s="102"/>
      <c r="H684" s="65"/>
      <c r="I684" s="16"/>
      <c r="J684" s="16"/>
      <c r="K684" s="16" t="b">
        <v>0</v>
      </c>
      <c r="L684" s="16" t="b">
        <v>0</v>
      </c>
    </row>
    <row r="685">
      <c r="A685" s="9"/>
      <c r="B685" s="16"/>
      <c r="C685" s="7" t="str">
        <f>IFERROR(VLOOKUP(B685,'Master data'!$A$1:$D$397,2,FALSE),"")</f>
        <v/>
      </c>
      <c r="D685" s="70" t="str">
        <f>VLOOKUP(B685,Sheet3!$B$2:$E$312,3,)</f>
        <v>#N/A</v>
      </c>
      <c r="E685" s="64"/>
      <c r="F685" s="16" t="str">
        <f>IFERROR(VLOOKUP(B685,'Master data'!$A$1:$D$397,3,FALSE),"")</f>
        <v/>
      </c>
      <c r="G685" s="102"/>
      <c r="H685" s="65"/>
      <c r="I685" s="16"/>
      <c r="J685" s="16"/>
      <c r="K685" s="16" t="b">
        <v>0</v>
      </c>
      <c r="L685" s="16" t="b">
        <v>0</v>
      </c>
    </row>
    <row r="686">
      <c r="A686" s="9"/>
      <c r="B686" s="16"/>
      <c r="C686" s="7" t="str">
        <f>IFERROR(VLOOKUP(B686,'Master data'!$A$1:$D$397,2,FALSE),"")</f>
        <v/>
      </c>
      <c r="D686" s="70" t="str">
        <f>VLOOKUP(B686,Sheet3!$B$2:$E$312,3,)</f>
        <v>#N/A</v>
      </c>
      <c r="E686" s="64"/>
      <c r="F686" s="16" t="str">
        <f>IFERROR(VLOOKUP(B686,'Master data'!$A$1:$D$397,3,FALSE),"")</f>
        <v/>
      </c>
      <c r="G686" s="102"/>
      <c r="H686" s="65"/>
      <c r="I686" s="16"/>
      <c r="J686" s="16"/>
      <c r="K686" s="16" t="b">
        <v>0</v>
      </c>
      <c r="L686" s="16" t="b">
        <v>0</v>
      </c>
    </row>
    <row r="687">
      <c r="A687" s="9"/>
      <c r="B687" s="16"/>
      <c r="C687" s="7" t="str">
        <f>IFERROR(VLOOKUP(B687,'Master data'!$A$1:$D$397,2,FALSE),"")</f>
        <v/>
      </c>
      <c r="D687" s="70" t="str">
        <f>VLOOKUP(B687,Sheet3!$B$2:$E$312,3,)</f>
        <v>#N/A</v>
      </c>
      <c r="E687" s="64"/>
      <c r="F687" s="16" t="str">
        <f>IFERROR(VLOOKUP(B687,'Master data'!$A$1:$D$397,3,FALSE),"")</f>
        <v/>
      </c>
      <c r="G687" s="102"/>
      <c r="H687" s="65"/>
      <c r="I687" s="16"/>
      <c r="J687" s="16"/>
      <c r="K687" s="16" t="b">
        <v>0</v>
      </c>
      <c r="L687" s="16" t="b">
        <v>0</v>
      </c>
    </row>
    <row r="688">
      <c r="A688" s="9"/>
      <c r="B688" s="16"/>
      <c r="C688" s="7" t="str">
        <f>IFERROR(VLOOKUP(B688,'Master data'!$A$1:$D$397,2,FALSE),"")</f>
        <v/>
      </c>
      <c r="D688" s="70" t="str">
        <f>VLOOKUP(B688,Sheet3!$B$2:$E$312,3,)</f>
        <v>#N/A</v>
      </c>
      <c r="E688" s="64"/>
      <c r="F688" s="16" t="str">
        <f>IFERROR(VLOOKUP(B688,'Master data'!$A$1:$D$397,3,FALSE),"")</f>
        <v/>
      </c>
      <c r="G688" s="102"/>
      <c r="H688" s="65"/>
      <c r="I688" s="16"/>
      <c r="J688" s="16"/>
      <c r="K688" s="16" t="b">
        <v>0</v>
      </c>
      <c r="L688" s="16" t="b">
        <v>0</v>
      </c>
    </row>
    <row r="689">
      <c r="A689" s="9"/>
      <c r="B689" s="16"/>
      <c r="C689" s="7" t="str">
        <f>IFERROR(VLOOKUP(B689,'Master data'!$A$1:$D$397,2,FALSE),"")</f>
        <v/>
      </c>
      <c r="D689" s="70" t="str">
        <f>VLOOKUP(B689,Sheet3!$B$2:$E$312,3,)</f>
        <v>#N/A</v>
      </c>
      <c r="E689" s="64"/>
      <c r="F689" s="16" t="str">
        <f>IFERROR(VLOOKUP(B689,'Master data'!$A$1:$D$397,3,FALSE),"")</f>
        <v/>
      </c>
      <c r="G689" s="102"/>
      <c r="H689" s="65"/>
      <c r="I689" s="16"/>
      <c r="J689" s="16"/>
      <c r="K689" s="16" t="b">
        <v>0</v>
      </c>
      <c r="L689" s="16" t="b">
        <v>0</v>
      </c>
    </row>
    <row r="690">
      <c r="A690" s="9"/>
      <c r="B690" s="16"/>
      <c r="C690" s="7" t="str">
        <f>IFERROR(VLOOKUP(B690,'Master data'!$A$1:$D$397,2,FALSE),"")</f>
        <v/>
      </c>
      <c r="D690" s="70" t="str">
        <f>VLOOKUP(B690,Sheet3!$B$2:$E$312,3,)</f>
        <v>#N/A</v>
      </c>
      <c r="E690" s="64"/>
      <c r="F690" s="16" t="str">
        <f>IFERROR(VLOOKUP(B690,'Master data'!$A$1:$D$397,3,FALSE),"")</f>
        <v/>
      </c>
      <c r="G690" s="102"/>
      <c r="H690" s="65"/>
      <c r="I690" s="16"/>
      <c r="J690" s="16"/>
      <c r="K690" s="16" t="b">
        <v>0</v>
      </c>
      <c r="L690" s="16" t="b">
        <v>0</v>
      </c>
    </row>
    <row r="691">
      <c r="A691" s="9"/>
      <c r="B691" s="16"/>
      <c r="C691" s="7" t="str">
        <f>IFERROR(VLOOKUP(B691,'Master data'!$A$1:$D$397,2,FALSE),"")</f>
        <v/>
      </c>
      <c r="D691" s="70" t="str">
        <f>VLOOKUP(B691,Sheet3!$B$2:$E$312,3,)</f>
        <v>#N/A</v>
      </c>
      <c r="E691" s="64"/>
      <c r="F691" s="16" t="str">
        <f>IFERROR(VLOOKUP(B691,'Master data'!$A$1:$D$397,3,FALSE),"")</f>
        <v/>
      </c>
      <c r="G691" s="102"/>
      <c r="H691" s="65"/>
      <c r="I691" s="16"/>
      <c r="J691" s="16"/>
      <c r="K691" s="16" t="b">
        <v>0</v>
      </c>
      <c r="L691" s="16" t="b">
        <v>0</v>
      </c>
    </row>
    <row r="692">
      <c r="A692" s="9"/>
      <c r="B692" s="16"/>
      <c r="C692" s="7" t="str">
        <f>IFERROR(VLOOKUP(B692,'Master data'!$A$1:$D$397,2,FALSE),"")</f>
        <v/>
      </c>
      <c r="D692" s="70" t="str">
        <f>VLOOKUP(B692,Sheet3!$B$2:$E$312,3,)</f>
        <v>#N/A</v>
      </c>
      <c r="E692" s="64"/>
      <c r="F692" s="16" t="str">
        <f>IFERROR(VLOOKUP(B692,'Master data'!$A$1:$D$397,3,FALSE),"")</f>
        <v/>
      </c>
      <c r="G692" s="102"/>
      <c r="H692" s="65"/>
      <c r="I692" s="16"/>
      <c r="J692" s="16"/>
      <c r="K692" s="16" t="b">
        <v>0</v>
      </c>
      <c r="L692" s="16" t="b">
        <v>0</v>
      </c>
    </row>
    <row r="693">
      <c r="A693" s="9"/>
      <c r="B693" s="16"/>
      <c r="C693" s="7" t="str">
        <f>IFERROR(VLOOKUP(B693,'Master data'!$A$1:$D$397,2,FALSE),"")</f>
        <v/>
      </c>
      <c r="D693" s="70" t="str">
        <f>VLOOKUP(B693,Sheet3!$B$2:$E$312,3,)</f>
        <v>#N/A</v>
      </c>
      <c r="E693" s="64"/>
      <c r="F693" s="16" t="str">
        <f>IFERROR(VLOOKUP(B693,'Master data'!$A$1:$D$397,3,FALSE),"")</f>
        <v/>
      </c>
      <c r="G693" s="102"/>
      <c r="H693" s="65"/>
      <c r="I693" s="16"/>
      <c r="J693" s="16"/>
      <c r="K693" s="16" t="b">
        <v>0</v>
      </c>
      <c r="L693" s="16" t="b">
        <v>0</v>
      </c>
    </row>
    <row r="694">
      <c r="A694" s="9"/>
      <c r="B694" s="16"/>
      <c r="C694" s="7" t="str">
        <f>IFERROR(VLOOKUP(B694,'Master data'!$A$1:$D$397,2,FALSE),"")</f>
        <v/>
      </c>
      <c r="D694" s="70" t="str">
        <f>VLOOKUP(B694,Sheet3!$B$2:$E$312,3,)</f>
        <v>#N/A</v>
      </c>
      <c r="E694" s="64"/>
      <c r="F694" s="16" t="str">
        <f>IFERROR(VLOOKUP(B694,'Master data'!$A$1:$D$397,3,FALSE),"")</f>
        <v/>
      </c>
      <c r="G694" s="102"/>
      <c r="H694" s="65"/>
      <c r="I694" s="16"/>
      <c r="J694" s="16"/>
      <c r="K694" s="16" t="b">
        <v>0</v>
      </c>
      <c r="L694" s="16" t="b">
        <v>0</v>
      </c>
    </row>
    <row r="695">
      <c r="A695" s="9"/>
      <c r="B695" s="16"/>
      <c r="C695" s="7" t="str">
        <f>IFERROR(VLOOKUP(B695,'Master data'!$A$1:$D$397,2,FALSE),"")</f>
        <v/>
      </c>
      <c r="D695" s="70" t="str">
        <f>VLOOKUP(B695,Sheet3!$B$2:$E$312,3,)</f>
        <v>#N/A</v>
      </c>
      <c r="E695" s="64"/>
      <c r="F695" s="16" t="str">
        <f>IFERROR(VLOOKUP(B695,'Master data'!$A$1:$D$397,3,FALSE),"")</f>
        <v/>
      </c>
      <c r="G695" s="102"/>
      <c r="H695" s="65"/>
      <c r="I695" s="16"/>
      <c r="J695" s="16"/>
      <c r="K695" s="16" t="b">
        <v>0</v>
      </c>
      <c r="L695" s="16" t="b">
        <v>0</v>
      </c>
    </row>
    <row r="696">
      <c r="A696" s="9"/>
      <c r="B696" s="16"/>
      <c r="C696" s="7" t="str">
        <f>IFERROR(VLOOKUP(B696,'Master data'!$A$1:$D$397,2,FALSE),"")</f>
        <v/>
      </c>
      <c r="D696" s="70" t="str">
        <f>VLOOKUP(B696,Sheet3!$B$2:$E$312,3,)</f>
        <v>#N/A</v>
      </c>
      <c r="E696" s="64"/>
      <c r="F696" s="16" t="str">
        <f>IFERROR(VLOOKUP(B696,'Master data'!$A$1:$D$397,3,FALSE),"")</f>
        <v/>
      </c>
      <c r="G696" s="102"/>
      <c r="H696" s="65"/>
      <c r="I696" s="16"/>
      <c r="J696" s="16"/>
      <c r="K696" s="16" t="b">
        <v>0</v>
      </c>
      <c r="L696" s="16" t="b">
        <v>0</v>
      </c>
    </row>
    <row r="697">
      <c r="A697" s="9"/>
      <c r="B697" s="16"/>
      <c r="C697" s="7" t="str">
        <f>IFERROR(VLOOKUP(B697,'Master data'!$A$1:$D$397,2,FALSE),"")</f>
        <v/>
      </c>
      <c r="D697" s="70" t="str">
        <f>VLOOKUP(B697,Sheet3!$B$2:$E$312,3,)</f>
        <v>#N/A</v>
      </c>
      <c r="E697" s="64"/>
      <c r="F697" s="16" t="str">
        <f>IFERROR(VLOOKUP(B697,'Master data'!$A$1:$D$397,3,FALSE),"")</f>
        <v/>
      </c>
      <c r="G697" s="102"/>
      <c r="H697" s="65"/>
      <c r="I697" s="16"/>
      <c r="J697" s="16"/>
      <c r="K697" s="16" t="b">
        <v>0</v>
      </c>
      <c r="L697" s="16" t="b">
        <v>0</v>
      </c>
    </row>
    <row r="698">
      <c r="A698" s="9"/>
      <c r="B698" s="16"/>
      <c r="C698" s="7" t="str">
        <f>IFERROR(VLOOKUP(B698,'Master data'!$A$1:$D$397,2,FALSE),"")</f>
        <v/>
      </c>
      <c r="D698" s="70" t="str">
        <f>VLOOKUP(B698,Sheet3!$B$2:$E$312,3,)</f>
        <v>#N/A</v>
      </c>
      <c r="E698" s="64"/>
      <c r="F698" s="16" t="str">
        <f>IFERROR(VLOOKUP(B698,'Master data'!$A$1:$D$397,3,FALSE),"")</f>
        <v/>
      </c>
      <c r="G698" s="102"/>
      <c r="H698" s="65"/>
      <c r="I698" s="16"/>
      <c r="J698" s="16"/>
      <c r="K698" s="16" t="b">
        <v>0</v>
      </c>
      <c r="L698" s="16" t="b">
        <v>0</v>
      </c>
    </row>
    <row r="699">
      <c r="A699" s="9"/>
      <c r="B699" s="16"/>
      <c r="C699" s="7" t="str">
        <f>IFERROR(VLOOKUP(B699,'Master data'!$A$1:$D$397,2,FALSE),"")</f>
        <v/>
      </c>
      <c r="D699" s="70" t="str">
        <f>VLOOKUP(B699,Sheet3!$B$2:$E$312,3,)</f>
        <v>#N/A</v>
      </c>
      <c r="E699" s="64"/>
      <c r="F699" s="16" t="str">
        <f>IFERROR(VLOOKUP(B699,'Master data'!$A$1:$D$397,3,FALSE),"")</f>
        <v/>
      </c>
      <c r="G699" s="102"/>
      <c r="H699" s="65"/>
      <c r="I699" s="16"/>
      <c r="J699" s="16"/>
      <c r="K699" s="16" t="b">
        <v>0</v>
      </c>
      <c r="L699" s="16" t="b">
        <v>0</v>
      </c>
    </row>
    <row r="700">
      <c r="A700" s="9"/>
      <c r="B700" s="16"/>
      <c r="C700" s="7" t="str">
        <f>IFERROR(VLOOKUP(B700,'Master data'!$A$1:$D$397,2,FALSE),"")</f>
        <v/>
      </c>
      <c r="D700" s="70" t="str">
        <f>VLOOKUP(B700,Sheet3!$B$2:$E$312,3,)</f>
        <v>#N/A</v>
      </c>
      <c r="E700" s="64"/>
      <c r="F700" s="16" t="str">
        <f>IFERROR(VLOOKUP(B700,'Master data'!$A$1:$D$397,3,FALSE),"")</f>
        <v/>
      </c>
      <c r="G700" s="102"/>
      <c r="H700" s="65"/>
      <c r="I700" s="16"/>
      <c r="J700" s="16"/>
      <c r="K700" s="16" t="b">
        <v>0</v>
      </c>
      <c r="L700" s="16" t="b">
        <v>0</v>
      </c>
    </row>
    <row r="701">
      <c r="A701" s="9"/>
      <c r="B701" s="16"/>
      <c r="C701" s="7" t="str">
        <f>IFERROR(VLOOKUP(B701,'Master data'!$A$1:$D$397,2,FALSE),"")</f>
        <v/>
      </c>
      <c r="D701" s="70" t="str">
        <f>VLOOKUP(B701,Sheet3!$B$2:$E$312,3,)</f>
        <v>#N/A</v>
      </c>
      <c r="E701" s="64"/>
      <c r="F701" s="16" t="str">
        <f>IFERROR(VLOOKUP(B701,'Master data'!$A$1:$D$397,3,FALSE),"")</f>
        <v/>
      </c>
      <c r="G701" s="102"/>
      <c r="H701" s="65"/>
      <c r="I701" s="16"/>
      <c r="J701" s="16"/>
      <c r="K701" s="16" t="b">
        <v>0</v>
      </c>
      <c r="L701" s="16" t="b">
        <v>0</v>
      </c>
    </row>
    <row r="702">
      <c r="A702" s="9"/>
      <c r="B702" s="16"/>
      <c r="C702" s="7" t="str">
        <f>IFERROR(VLOOKUP(B702,'Master data'!$A$1:$D$397,2,FALSE),"")</f>
        <v/>
      </c>
      <c r="D702" s="70" t="str">
        <f>VLOOKUP(B702,Sheet3!$B$2:$E$312,3,)</f>
        <v>#N/A</v>
      </c>
      <c r="E702" s="64"/>
      <c r="F702" s="16" t="str">
        <f>IFERROR(VLOOKUP(B702,'Master data'!$A$1:$D$397,3,FALSE),"")</f>
        <v/>
      </c>
      <c r="G702" s="102"/>
      <c r="H702" s="65"/>
      <c r="I702" s="16"/>
      <c r="J702" s="16"/>
      <c r="K702" s="16" t="b">
        <v>0</v>
      </c>
      <c r="L702" s="16" t="b">
        <v>0</v>
      </c>
    </row>
    <row r="703">
      <c r="A703" s="9"/>
      <c r="B703" s="16"/>
      <c r="C703" s="7" t="str">
        <f>IFERROR(VLOOKUP(B703,'Master data'!$A$1:$D$397,2,FALSE),"")</f>
        <v/>
      </c>
      <c r="D703" s="70" t="str">
        <f>VLOOKUP(B703,Sheet3!$B$2:$E$312,3,)</f>
        <v>#N/A</v>
      </c>
      <c r="E703" s="64"/>
      <c r="F703" s="16" t="str">
        <f>IFERROR(VLOOKUP(B703,'Master data'!$A$1:$D$397,3,FALSE),"")</f>
        <v/>
      </c>
      <c r="G703" s="102"/>
      <c r="H703" s="65"/>
      <c r="I703" s="16"/>
      <c r="J703" s="16"/>
      <c r="K703" s="16" t="b">
        <v>0</v>
      </c>
      <c r="L703" s="16" t="b">
        <v>0</v>
      </c>
    </row>
    <row r="704">
      <c r="A704" s="9"/>
      <c r="B704" s="16"/>
      <c r="C704" s="7" t="str">
        <f>IFERROR(VLOOKUP(B704,'Master data'!$A$1:$D$397,2,FALSE),"")</f>
        <v/>
      </c>
      <c r="D704" s="70" t="str">
        <f>VLOOKUP(B704,Sheet3!$B$2:$E$312,3,)</f>
        <v>#N/A</v>
      </c>
      <c r="E704" s="64"/>
      <c r="F704" s="16" t="str">
        <f>IFERROR(VLOOKUP(B704,'Master data'!$A$1:$D$397,3,FALSE),"")</f>
        <v/>
      </c>
      <c r="G704" s="102"/>
      <c r="H704" s="65"/>
      <c r="I704" s="16"/>
      <c r="J704" s="16"/>
      <c r="K704" s="16" t="b">
        <v>0</v>
      </c>
      <c r="L704" s="16" t="b">
        <v>0</v>
      </c>
    </row>
    <row r="705">
      <c r="A705" s="9"/>
      <c r="B705" s="16"/>
      <c r="C705" s="7" t="str">
        <f>IFERROR(VLOOKUP(B705,'Master data'!$A$1:$D$397,2,FALSE),"")</f>
        <v/>
      </c>
      <c r="D705" s="70" t="str">
        <f>VLOOKUP(B705,Sheet3!$B$2:$E$312,3,)</f>
        <v>#N/A</v>
      </c>
      <c r="E705" s="64"/>
      <c r="F705" s="16" t="str">
        <f>IFERROR(VLOOKUP(B705,'Master data'!$A$1:$D$397,3,FALSE),"")</f>
        <v/>
      </c>
      <c r="G705" s="102"/>
      <c r="H705" s="65"/>
      <c r="I705" s="16"/>
      <c r="J705" s="16"/>
      <c r="K705" s="16" t="b">
        <v>0</v>
      </c>
      <c r="L705" s="16" t="b">
        <v>0</v>
      </c>
    </row>
    <row r="706">
      <c r="A706" s="9"/>
      <c r="B706" s="16"/>
      <c r="C706" s="7" t="str">
        <f>IFERROR(VLOOKUP(B706,'Master data'!$A$1:$D$397,2,FALSE),"")</f>
        <v/>
      </c>
      <c r="D706" s="70" t="str">
        <f>VLOOKUP(B706,Sheet3!$B$2:$E$312,3,)</f>
        <v>#N/A</v>
      </c>
      <c r="E706" s="64"/>
      <c r="F706" s="16" t="str">
        <f>IFERROR(VLOOKUP(B706,'Master data'!$A$1:$D$397,3,FALSE),"")</f>
        <v/>
      </c>
      <c r="G706" s="102"/>
      <c r="H706" s="65"/>
      <c r="I706" s="16"/>
      <c r="J706" s="16"/>
      <c r="K706" s="16" t="b">
        <v>0</v>
      </c>
      <c r="L706" s="16" t="b">
        <v>0</v>
      </c>
    </row>
    <row r="707">
      <c r="A707" s="9"/>
      <c r="B707" s="16"/>
      <c r="C707" s="7" t="str">
        <f>IFERROR(VLOOKUP(B707,'Master data'!$A$1:$D$397,2,FALSE),"")</f>
        <v/>
      </c>
      <c r="D707" s="70" t="str">
        <f>VLOOKUP(B707,Sheet3!$B$2:$E$312,3,)</f>
        <v>#N/A</v>
      </c>
      <c r="E707" s="64"/>
      <c r="F707" s="16" t="str">
        <f>IFERROR(VLOOKUP(B707,'Master data'!$A$1:$D$397,3,FALSE),"")</f>
        <v/>
      </c>
      <c r="G707" s="102"/>
      <c r="H707" s="65"/>
      <c r="I707" s="16"/>
      <c r="J707" s="16"/>
      <c r="K707" s="16" t="b">
        <v>0</v>
      </c>
      <c r="L707" s="16" t="b">
        <v>0</v>
      </c>
    </row>
    <row r="708">
      <c r="A708" s="9"/>
      <c r="B708" s="16"/>
      <c r="C708" s="7" t="str">
        <f>IFERROR(VLOOKUP(B708,'Master data'!$A$1:$D$397,2,FALSE),"")</f>
        <v/>
      </c>
      <c r="D708" s="70" t="str">
        <f>VLOOKUP(B708,Sheet3!$B$2:$E$312,3,)</f>
        <v>#N/A</v>
      </c>
      <c r="E708" s="64"/>
      <c r="F708" s="16" t="str">
        <f>IFERROR(VLOOKUP(B708,'Master data'!$A$1:$D$397,3,FALSE),"")</f>
        <v/>
      </c>
      <c r="G708" s="102"/>
      <c r="H708" s="65"/>
      <c r="I708" s="16"/>
      <c r="J708" s="16"/>
      <c r="K708" s="16" t="b">
        <v>0</v>
      </c>
      <c r="L708" s="16" t="b">
        <v>0</v>
      </c>
    </row>
    <row r="709">
      <c r="A709" s="9"/>
      <c r="B709" s="16"/>
      <c r="C709" s="7" t="str">
        <f>IFERROR(VLOOKUP(B709,'Master data'!$A$1:$D$397,2,FALSE),"")</f>
        <v/>
      </c>
      <c r="D709" s="70" t="str">
        <f>VLOOKUP(B709,Sheet3!$B$2:$E$312,3,)</f>
        <v>#N/A</v>
      </c>
      <c r="E709" s="64"/>
      <c r="F709" s="16" t="str">
        <f>IFERROR(VLOOKUP(B709,'Master data'!$A$1:$D$397,3,FALSE),"")</f>
        <v/>
      </c>
      <c r="G709" s="102"/>
      <c r="H709" s="65"/>
      <c r="I709" s="16"/>
      <c r="J709" s="16"/>
      <c r="K709" s="16" t="b">
        <v>0</v>
      </c>
      <c r="L709" s="16" t="b">
        <v>0</v>
      </c>
    </row>
    <row r="710">
      <c r="A710" s="9"/>
      <c r="B710" s="16"/>
      <c r="C710" s="7" t="str">
        <f>IFERROR(VLOOKUP(B710,'Master data'!$A$1:$D$397,2,FALSE),"")</f>
        <v/>
      </c>
      <c r="D710" s="70" t="str">
        <f>VLOOKUP(B710,Sheet3!$B$2:$E$312,3,)</f>
        <v>#N/A</v>
      </c>
      <c r="E710" s="64"/>
      <c r="F710" s="16" t="str">
        <f>IFERROR(VLOOKUP(B710,'Master data'!$A$1:$D$397,3,FALSE),"")</f>
        <v/>
      </c>
      <c r="G710" s="102"/>
      <c r="H710" s="65"/>
      <c r="I710" s="16"/>
      <c r="J710" s="16"/>
      <c r="K710" s="16" t="b">
        <v>0</v>
      </c>
      <c r="L710" s="16" t="b">
        <v>0</v>
      </c>
    </row>
    <row r="711">
      <c r="A711" s="9"/>
      <c r="B711" s="16"/>
      <c r="C711" s="7" t="str">
        <f>IFERROR(VLOOKUP(B711,'Master data'!$A$1:$D$397,2,FALSE),"")</f>
        <v/>
      </c>
      <c r="D711" s="70" t="str">
        <f>VLOOKUP(B711,Sheet3!$B$2:$E$312,3,)</f>
        <v>#N/A</v>
      </c>
      <c r="E711" s="64"/>
      <c r="F711" s="16" t="str">
        <f>IFERROR(VLOOKUP(B711,'Master data'!$A$1:$D$397,3,FALSE),"")</f>
        <v/>
      </c>
      <c r="G711" s="102"/>
      <c r="H711" s="65"/>
      <c r="I711" s="16"/>
      <c r="J711" s="16"/>
      <c r="K711" s="16" t="b">
        <v>0</v>
      </c>
      <c r="L711" s="16" t="b">
        <v>0</v>
      </c>
    </row>
    <row r="712">
      <c r="A712" s="9"/>
      <c r="B712" s="16"/>
      <c r="C712" s="7" t="str">
        <f>IFERROR(VLOOKUP(B712,'Master data'!$A$1:$D$397,2,FALSE),"")</f>
        <v/>
      </c>
      <c r="D712" s="70" t="str">
        <f>VLOOKUP(B712,Sheet3!$B$2:$E$312,3,)</f>
        <v>#N/A</v>
      </c>
      <c r="E712" s="64"/>
      <c r="F712" s="16" t="str">
        <f>IFERROR(VLOOKUP(B712,'Master data'!$A$1:$D$397,3,FALSE),"")</f>
        <v/>
      </c>
      <c r="G712" s="102"/>
      <c r="H712" s="65"/>
      <c r="I712" s="16"/>
      <c r="J712" s="16"/>
      <c r="K712" s="16" t="b">
        <v>0</v>
      </c>
      <c r="L712" s="16" t="b">
        <v>0</v>
      </c>
    </row>
    <row r="713">
      <c r="A713" s="9"/>
      <c r="B713" s="16"/>
      <c r="C713" s="7" t="str">
        <f>IFERROR(VLOOKUP(B713,'Master data'!$A$1:$D$397,2,FALSE),"")</f>
        <v/>
      </c>
      <c r="D713" s="70" t="str">
        <f>VLOOKUP(B713,Sheet3!$B$2:$E$312,3,)</f>
        <v>#N/A</v>
      </c>
      <c r="E713" s="64"/>
      <c r="F713" s="16" t="str">
        <f>IFERROR(VLOOKUP(B713,'Master data'!$A$1:$D$397,3,FALSE),"")</f>
        <v/>
      </c>
      <c r="G713" s="102"/>
      <c r="H713" s="65"/>
      <c r="I713" s="16"/>
      <c r="J713" s="16"/>
      <c r="K713" s="16" t="b">
        <v>0</v>
      </c>
      <c r="L713" s="16" t="b">
        <v>0</v>
      </c>
    </row>
    <row r="714">
      <c r="A714" s="9"/>
      <c r="B714" s="16"/>
      <c r="C714" s="7" t="str">
        <f>IFERROR(VLOOKUP(B714,'Master data'!$A$1:$D$397,2,FALSE),"")</f>
        <v/>
      </c>
      <c r="D714" s="70" t="str">
        <f>VLOOKUP(B714,Sheet3!$B$2:$E$312,3,)</f>
        <v>#N/A</v>
      </c>
      <c r="E714" s="64"/>
      <c r="F714" s="16" t="str">
        <f>IFERROR(VLOOKUP(B714,'Master data'!$A$1:$D$397,3,FALSE),"")</f>
        <v/>
      </c>
      <c r="G714" s="102"/>
      <c r="H714" s="65"/>
      <c r="I714" s="16"/>
      <c r="J714" s="16"/>
      <c r="K714" s="16" t="b">
        <v>0</v>
      </c>
      <c r="L714" s="16" t="b">
        <v>0</v>
      </c>
    </row>
    <row r="715">
      <c r="A715" s="9"/>
      <c r="B715" s="16"/>
      <c r="C715" s="7" t="str">
        <f>IFERROR(VLOOKUP(B715,'Master data'!$A$1:$D$397,2,FALSE),"")</f>
        <v/>
      </c>
      <c r="D715" s="70" t="str">
        <f>VLOOKUP(B715,Sheet3!$B$2:$E$312,3,)</f>
        <v>#N/A</v>
      </c>
      <c r="E715" s="64"/>
      <c r="F715" s="16" t="str">
        <f>IFERROR(VLOOKUP(B715,'Master data'!$A$1:$D$397,3,FALSE),"")</f>
        <v/>
      </c>
      <c r="G715" s="102"/>
      <c r="H715" s="65"/>
      <c r="I715" s="16"/>
      <c r="J715" s="16"/>
      <c r="K715" s="16" t="b">
        <v>0</v>
      </c>
      <c r="L715" s="16" t="b">
        <v>0</v>
      </c>
    </row>
    <row r="716">
      <c r="A716" s="9"/>
      <c r="B716" s="16"/>
      <c r="C716" s="7" t="str">
        <f>IFERROR(VLOOKUP(B716,'Master data'!$A$1:$D$397,2,FALSE),"")</f>
        <v/>
      </c>
      <c r="D716" s="70" t="str">
        <f>VLOOKUP(B716,Sheet3!$B$2:$E$312,3,)</f>
        <v>#N/A</v>
      </c>
      <c r="E716" s="64"/>
      <c r="F716" s="16" t="str">
        <f>IFERROR(VLOOKUP(B716,'Master data'!$A$1:$D$397,3,FALSE),"")</f>
        <v/>
      </c>
      <c r="G716" s="102"/>
      <c r="H716" s="65"/>
      <c r="I716" s="16"/>
      <c r="J716" s="16"/>
      <c r="K716" s="16" t="b">
        <v>0</v>
      </c>
      <c r="L716" s="16" t="b">
        <v>0</v>
      </c>
    </row>
    <row r="717">
      <c r="A717" s="9"/>
      <c r="B717" s="16"/>
      <c r="C717" s="7" t="str">
        <f>IFERROR(VLOOKUP(B717,'Master data'!$A$1:$D$397,2,FALSE),"")</f>
        <v/>
      </c>
      <c r="D717" s="70" t="str">
        <f>VLOOKUP(B717,Sheet3!$B$2:$E$312,3,)</f>
        <v>#N/A</v>
      </c>
      <c r="E717" s="64"/>
      <c r="F717" s="16" t="str">
        <f>IFERROR(VLOOKUP(B717,'Master data'!$A$1:$D$397,3,FALSE),"")</f>
        <v/>
      </c>
      <c r="G717" s="102"/>
      <c r="H717" s="65"/>
      <c r="I717" s="16"/>
      <c r="J717" s="16"/>
      <c r="K717" s="16" t="b">
        <v>0</v>
      </c>
      <c r="L717" s="16" t="b">
        <v>0</v>
      </c>
    </row>
    <row r="718">
      <c r="A718" s="9"/>
      <c r="B718" s="16"/>
      <c r="C718" s="7" t="str">
        <f>IFERROR(VLOOKUP(B718,'Master data'!$A$1:$D$397,2,FALSE),"")</f>
        <v/>
      </c>
      <c r="D718" s="70" t="str">
        <f>VLOOKUP(B718,Sheet3!$B$2:$E$312,3,)</f>
        <v>#N/A</v>
      </c>
      <c r="E718" s="64"/>
      <c r="F718" s="16" t="str">
        <f>IFERROR(VLOOKUP(B718,'Master data'!$A$1:$D$397,3,FALSE),"")</f>
        <v/>
      </c>
      <c r="G718" s="102"/>
      <c r="H718" s="65"/>
      <c r="I718" s="16"/>
      <c r="J718" s="16"/>
      <c r="K718" s="16" t="b">
        <v>0</v>
      </c>
      <c r="L718" s="16" t="b">
        <v>0</v>
      </c>
    </row>
    <row r="719">
      <c r="A719" s="9"/>
      <c r="B719" s="16"/>
      <c r="C719" s="7" t="str">
        <f>IFERROR(VLOOKUP(B719,'Master data'!$A$1:$D$397,2,FALSE),"")</f>
        <v/>
      </c>
      <c r="D719" s="70" t="str">
        <f>VLOOKUP(B719,Sheet3!$B$2:$E$312,3,)</f>
        <v>#N/A</v>
      </c>
      <c r="E719" s="64"/>
      <c r="F719" s="16" t="str">
        <f>IFERROR(VLOOKUP(B719,'Master data'!$A$1:$D$397,3,FALSE),"")</f>
        <v/>
      </c>
      <c r="G719" s="102"/>
      <c r="H719" s="65"/>
      <c r="I719" s="16"/>
      <c r="J719" s="16"/>
      <c r="K719" s="16" t="b">
        <v>0</v>
      </c>
      <c r="L719" s="16" t="b">
        <v>0</v>
      </c>
    </row>
    <row r="720">
      <c r="A720" s="9"/>
      <c r="B720" s="16"/>
      <c r="C720" s="7" t="str">
        <f>IFERROR(VLOOKUP(B720,'Master data'!$A$1:$D$397,2,FALSE),"")</f>
        <v/>
      </c>
      <c r="D720" s="70" t="str">
        <f>VLOOKUP(B720,Sheet3!$B$2:$E$312,3,)</f>
        <v>#N/A</v>
      </c>
      <c r="E720" s="64"/>
      <c r="F720" s="16" t="str">
        <f>IFERROR(VLOOKUP(B720,'Master data'!$A$1:$D$397,3,FALSE),"")</f>
        <v/>
      </c>
      <c r="G720" s="102"/>
      <c r="H720" s="65"/>
      <c r="I720" s="16"/>
      <c r="J720" s="16"/>
      <c r="K720" s="16" t="b">
        <v>0</v>
      </c>
      <c r="L720" s="16" t="b">
        <v>0</v>
      </c>
    </row>
    <row r="721">
      <c r="A721" s="9"/>
      <c r="B721" s="16"/>
      <c r="C721" s="7" t="str">
        <f>IFERROR(VLOOKUP(B721,'Master data'!$A$1:$D$397,2,FALSE),"")</f>
        <v/>
      </c>
      <c r="D721" s="70" t="str">
        <f>VLOOKUP(B721,Sheet3!$B$2:$E$312,3,)</f>
        <v>#N/A</v>
      </c>
      <c r="E721" s="64"/>
      <c r="F721" s="16" t="str">
        <f>IFERROR(VLOOKUP(B721,'Master data'!$A$1:$D$397,3,FALSE),"")</f>
        <v/>
      </c>
      <c r="G721" s="102"/>
      <c r="H721" s="65"/>
      <c r="I721" s="16"/>
      <c r="J721" s="16"/>
      <c r="K721" s="16" t="b">
        <v>0</v>
      </c>
      <c r="L721" s="16" t="b">
        <v>0</v>
      </c>
    </row>
    <row r="722">
      <c r="A722" s="9"/>
      <c r="B722" s="16"/>
      <c r="C722" s="7" t="str">
        <f>IFERROR(VLOOKUP(B722,'Master data'!$A$1:$D$397,2,FALSE),"")</f>
        <v/>
      </c>
      <c r="D722" s="70" t="str">
        <f>VLOOKUP(B722,Sheet3!$B$2:$E$312,3,)</f>
        <v>#N/A</v>
      </c>
      <c r="E722" s="64"/>
      <c r="F722" s="16" t="str">
        <f>IFERROR(VLOOKUP(B722,'Master data'!$A$1:$D$397,3,FALSE),"")</f>
        <v/>
      </c>
      <c r="G722" s="102"/>
      <c r="H722" s="65"/>
      <c r="I722" s="16"/>
      <c r="J722" s="16"/>
      <c r="K722" s="16" t="b">
        <v>0</v>
      </c>
      <c r="L722" s="16" t="b">
        <v>0</v>
      </c>
    </row>
    <row r="723">
      <c r="A723" s="9"/>
      <c r="B723" s="16"/>
      <c r="C723" s="7" t="str">
        <f>IFERROR(VLOOKUP(B723,'Master data'!$A$1:$D$397,2,FALSE),"")</f>
        <v/>
      </c>
      <c r="D723" s="70" t="str">
        <f>VLOOKUP(B723,Sheet3!$B$2:$E$312,3,)</f>
        <v>#N/A</v>
      </c>
      <c r="E723" s="64"/>
      <c r="F723" s="16" t="str">
        <f>IFERROR(VLOOKUP(B723,'Master data'!$A$1:$D$397,3,FALSE),"")</f>
        <v/>
      </c>
      <c r="G723" s="102"/>
      <c r="H723" s="65"/>
      <c r="I723" s="16"/>
      <c r="J723" s="16"/>
      <c r="K723" s="16" t="b">
        <v>0</v>
      </c>
      <c r="L723" s="16" t="b">
        <v>0</v>
      </c>
    </row>
    <row r="724">
      <c r="A724" s="9"/>
      <c r="B724" s="16"/>
      <c r="C724" s="7" t="str">
        <f>IFERROR(VLOOKUP(B724,'Master data'!$A$1:$D$397,2,FALSE),"")</f>
        <v/>
      </c>
      <c r="D724" s="70" t="str">
        <f>VLOOKUP(B724,Sheet3!$B$2:$E$312,3,)</f>
        <v>#N/A</v>
      </c>
      <c r="E724" s="64"/>
      <c r="F724" s="16" t="str">
        <f>IFERROR(VLOOKUP(B724,'Master data'!$A$1:$D$397,3,FALSE),"")</f>
        <v/>
      </c>
      <c r="G724" s="102"/>
      <c r="H724" s="65"/>
      <c r="I724" s="16"/>
      <c r="J724" s="16"/>
      <c r="K724" s="16" t="b">
        <v>0</v>
      </c>
      <c r="L724" s="16" t="b">
        <v>0</v>
      </c>
    </row>
    <row r="725">
      <c r="A725" s="9"/>
      <c r="B725" s="16"/>
      <c r="C725" s="7" t="str">
        <f>IFERROR(VLOOKUP(B725,'Master data'!$A$1:$D$397,2,FALSE),"")</f>
        <v/>
      </c>
      <c r="D725" s="70" t="str">
        <f>VLOOKUP(B725,Sheet3!$B$2:$E$312,3,)</f>
        <v>#N/A</v>
      </c>
      <c r="E725" s="64"/>
      <c r="F725" s="16" t="str">
        <f>IFERROR(VLOOKUP(B725,'Master data'!$A$1:$D$397,3,FALSE),"")</f>
        <v/>
      </c>
      <c r="G725" s="102"/>
      <c r="H725" s="65"/>
      <c r="I725" s="16"/>
      <c r="J725" s="16"/>
      <c r="K725" s="16" t="b">
        <v>0</v>
      </c>
      <c r="L725" s="16" t="b">
        <v>0</v>
      </c>
    </row>
    <row r="726">
      <c r="A726" s="9"/>
      <c r="B726" s="16"/>
      <c r="C726" s="7" t="str">
        <f>IFERROR(VLOOKUP(B726,'Master data'!$A$1:$D$397,2,FALSE),"")</f>
        <v/>
      </c>
      <c r="D726" s="70" t="str">
        <f>VLOOKUP(B726,Sheet3!$B$2:$E$312,3,)</f>
        <v>#N/A</v>
      </c>
      <c r="E726" s="64"/>
      <c r="F726" s="16" t="str">
        <f>IFERROR(VLOOKUP(B726,'Master data'!$A$1:$D$397,3,FALSE),"")</f>
        <v/>
      </c>
      <c r="G726" s="102"/>
      <c r="H726" s="65"/>
      <c r="I726" s="16"/>
      <c r="J726" s="16"/>
      <c r="K726" s="16" t="b">
        <v>0</v>
      </c>
      <c r="L726" s="16" t="b">
        <v>0</v>
      </c>
    </row>
    <row r="727">
      <c r="A727" s="9"/>
      <c r="B727" s="16"/>
      <c r="C727" s="7" t="str">
        <f>IFERROR(VLOOKUP(B727,'Master data'!$A$1:$D$397,2,FALSE),"")</f>
        <v/>
      </c>
      <c r="D727" s="70" t="str">
        <f>VLOOKUP(B727,Sheet3!$B$2:$E$312,3,)</f>
        <v>#N/A</v>
      </c>
      <c r="E727" s="64"/>
      <c r="F727" s="16" t="str">
        <f>IFERROR(VLOOKUP(B727,'Master data'!$A$1:$D$397,3,FALSE),"")</f>
        <v/>
      </c>
      <c r="G727" s="102"/>
      <c r="H727" s="65"/>
      <c r="I727" s="16"/>
      <c r="J727" s="16"/>
      <c r="K727" s="16" t="b">
        <v>0</v>
      </c>
      <c r="L727" s="16" t="b">
        <v>0</v>
      </c>
    </row>
    <row r="728">
      <c r="A728" s="9"/>
      <c r="B728" s="16"/>
      <c r="C728" s="7" t="str">
        <f>IFERROR(VLOOKUP(B728,'Master data'!$A$1:$D$397,2,FALSE),"")</f>
        <v/>
      </c>
      <c r="D728" s="70" t="str">
        <f>VLOOKUP(B728,Sheet3!$B$2:$E$312,3,)</f>
        <v>#N/A</v>
      </c>
      <c r="E728" s="64"/>
      <c r="F728" s="16" t="str">
        <f>IFERROR(VLOOKUP(B728,'Master data'!$A$1:$D$397,3,FALSE),"")</f>
        <v/>
      </c>
      <c r="G728" s="102"/>
      <c r="H728" s="65"/>
      <c r="I728" s="16"/>
      <c r="J728" s="16"/>
      <c r="K728" s="16" t="b">
        <v>0</v>
      </c>
      <c r="L728" s="16" t="b">
        <v>0</v>
      </c>
    </row>
    <row r="729">
      <c r="A729" s="9"/>
      <c r="B729" s="16"/>
      <c r="C729" s="7" t="str">
        <f>IFERROR(VLOOKUP(B729,'Master data'!$A$1:$D$397,2,FALSE),"")</f>
        <v/>
      </c>
      <c r="D729" s="70" t="str">
        <f>VLOOKUP(B729,Sheet3!$B$2:$E$312,3,)</f>
        <v>#N/A</v>
      </c>
      <c r="E729" s="64"/>
      <c r="F729" s="16" t="str">
        <f>IFERROR(VLOOKUP(B729,'Master data'!$A$1:$D$397,3,FALSE),"")</f>
        <v/>
      </c>
      <c r="G729" s="102"/>
      <c r="H729" s="65"/>
      <c r="I729" s="16"/>
      <c r="J729" s="16"/>
      <c r="K729" s="16" t="b">
        <v>0</v>
      </c>
      <c r="L729" s="16" t="b">
        <v>0</v>
      </c>
    </row>
    <row r="730">
      <c r="A730" s="9"/>
      <c r="B730" s="16"/>
      <c r="C730" s="7" t="str">
        <f>IFERROR(VLOOKUP(B730,'Master data'!$A$1:$D$397,2,FALSE),"")</f>
        <v/>
      </c>
      <c r="D730" s="70" t="str">
        <f>VLOOKUP(B730,Sheet3!$B$2:$E$312,3,)</f>
        <v>#N/A</v>
      </c>
      <c r="E730" s="64"/>
      <c r="F730" s="16" t="str">
        <f>IFERROR(VLOOKUP(B730,'Master data'!$A$1:$D$397,3,FALSE),"")</f>
        <v/>
      </c>
      <c r="G730" s="102"/>
      <c r="H730" s="65"/>
      <c r="I730" s="16"/>
      <c r="J730" s="16"/>
      <c r="K730" s="16" t="b">
        <v>0</v>
      </c>
      <c r="L730" s="16" t="b">
        <v>0</v>
      </c>
    </row>
    <row r="731">
      <c r="A731" s="9"/>
      <c r="B731" s="16"/>
      <c r="C731" s="7" t="str">
        <f>IFERROR(VLOOKUP(B731,'Master data'!$A$1:$D$397,2,FALSE),"")</f>
        <v/>
      </c>
      <c r="D731" s="70" t="str">
        <f>VLOOKUP(B731,Sheet3!$B$2:$E$312,3,)</f>
        <v>#N/A</v>
      </c>
      <c r="E731" s="64"/>
      <c r="F731" s="16" t="str">
        <f>IFERROR(VLOOKUP(B731,'Master data'!$A$1:$D$397,3,FALSE),"")</f>
        <v/>
      </c>
      <c r="G731" s="102"/>
      <c r="H731" s="65"/>
      <c r="I731" s="16"/>
      <c r="J731" s="16"/>
      <c r="K731" s="16" t="b">
        <v>0</v>
      </c>
      <c r="L731" s="16" t="b">
        <v>0</v>
      </c>
    </row>
    <row r="732">
      <c r="A732" s="9"/>
      <c r="B732" s="16"/>
      <c r="C732" s="7" t="str">
        <f>IFERROR(VLOOKUP(B732,'Master data'!$A$1:$D$397,2,FALSE),"")</f>
        <v/>
      </c>
      <c r="D732" s="70" t="str">
        <f>VLOOKUP(B732,Sheet3!$B$2:$E$312,3,)</f>
        <v>#N/A</v>
      </c>
      <c r="E732" s="64"/>
      <c r="F732" s="16" t="str">
        <f>IFERROR(VLOOKUP(B732,'Master data'!$A$1:$D$397,3,FALSE),"")</f>
        <v/>
      </c>
      <c r="G732" s="102"/>
      <c r="H732" s="65"/>
      <c r="I732" s="16"/>
      <c r="J732" s="16"/>
      <c r="K732" s="16" t="b">
        <v>0</v>
      </c>
      <c r="L732" s="16" t="b">
        <v>0</v>
      </c>
    </row>
    <row r="733">
      <c r="A733" s="9"/>
      <c r="B733" s="16"/>
      <c r="C733" s="7" t="str">
        <f>IFERROR(VLOOKUP(B733,'Master data'!$A$1:$D$397,2,FALSE),"")</f>
        <v/>
      </c>
      <c r="D733" s="70" t="str">
        <f>VLOOKUP(B733,Sheet3!$B$2:$E$312,3,)</f>
        <v>#N/A</v>
      </c>
      <c r="E733" s="64"/>
      <c r="F733" s="16" t="str">
        <f>IFERROR(VLOOKUP(B733,'Master data'!$A$1:$D$397,3,FALSE),"")</f>
        <v/>
      </c>
      <c r="G733" s="102"/>
      <c r="H733" s="65"/>
      <c r="I733" s="16"/>
      <c r="J733" s="16"/>
      <c r="K733" s="16" t="b">
        <v>0</v>
      </c>
      <c r="L733" s="16" t="b">
        <v>0</v>
      </c>
    </row>
    <row r="734">
      <c r="A734" s="9"/>
      <c r="B734" s="16"/>
      <c r="C734" s="7" t="str">
        <f>IFERROR(VLOOKUP(B734,'Master data'!$A$1:$D$397,2,FALSE),"")</f>
        <v/>
      </c>
      <c r="D734" s="70" t="str">
        <f>VLOOKUP(B734,Sheet3!$B$2:$E$312,3,)</f>
        <v>#N/A</v>
      </c>
      <c r="E734" s="64"/>
      <c r="F734" s="16" t="str">
        <f>IFERROR(VLOOKUP(B734,'Master data'!$A$1:$D$397,3,FALSE),"")</f>
        <v/>
      </c>
      <c r="G734" s="102"/>
      <c r="H734" s="65"/>
      <c r="I734" s="16"/>
      <c r="J734" s="16"/>
      <c r="K734" s="16" t="b">
        <v>0</v>
      </c>
      <c r="L734" s="16" t="b">
        <v>0</v>
      </c>
    </row>
    <row r="735">
      <c r="A735" s="9"/>
      <c r="B735" s="16"/>
      <c r="C735" s="7" t="str">
        <f>IFERROR(VLOOKUP(B735,'Master data'!$A$1:$D$397,2,FALSE),"")</f>
        <v/>
      </c>
      <c r="D735" s="70" t="str">
        <f>VLOOKUP(B735,Sheet3!$B$2:$E$312,3,)</f>
        <v>#N/A</v>
      </c>
      <c r="E735" s="64"/>
      <c r="F735" s="16" t="str">
        <f>IFERROR(VLOOKUP(B735,'Master data'!$A$1:$D$397,3,FALSE),"")</f>
        <v/>
      </c>
      <c r="G735" s="102"/>
      <c r="H735" s="65"/>
      <c r="I735" s="16"/>
      <c r="J735" s="16"/>
      <c r="K735" s="16" t="b">
        <v>0</v>
      </c>
      <c r="L735" s="16" t="b">
        <v>0</v>
      </c>
    </row>
    <row r="736">
      <c r="A736" s="9"/>
      <c r="B736" s="16"/>
      <c r="C736" s="7" t="str">
        <f>IFERROR(VLOOKUP(B736,'Master data'!$A$1:$D$397,2,FALSE),"")</f>
        <v/>
      </c>
      <c r="D736" s="70" t="str">
        <f>VLOOKUP(B736,Sheet3!$B$2:$E$312,3,)</f>
        <v>#N/A</v>
      </c>
      <c r="E736" s="64"/>
      <c r="F736" s="16" t="str">
        <f>IFERROR(VLOOKUP(B736,'Master data'!$A$1:$D$397,3,FALSE),"")</f>
        <v/>
      </c>
      <c r="G736" s="102"/>
      <c r="H736" s="65"/>
      <c r="I736" s="16"/>
      <c r="J736" s="16"/>
      <c r="K736" s="16" t="b">
        <v>0</v>
      </c>
      <c r="L736" s="16" t="b">
        <v>0</v>
      </c>
    </row>
    <row r="737">
      <c r="A737" s="9"/>
      <c r="B737" s="16"/>
      <c r="C737" s="7" t="str">
        <f>IFERROR(VLOOKUP(B737,'Master data'!$A$1:$D$397,2,FALSE),"")</f>
        <v/>
      </c>
      <c r="D737" s="70" t="str">
        <f>VLOOKUP(B737,Sheet3!$B$2:$E$312,3,)</f>
        <v>#N/A</v>
      </c>
      <c r="E737" s="64"/>
      <c r="F737" s="16" t="str">
        <f>IFERROR(VLOOKUP(B737,'Master data'!$A$1:$D$397,3,FALSE),"")</f>
        <v/>
      </c>
      <c r="G737" s="102"/>
      <c r="H737" s="65"/>
      <c r="I737" s="16"/>
      <c r="J737" s="16"/>
      <c r="K737" s="16" t="b">
        <v>0</v>
      </c>
      <c r="L737" s="16" t="b">
        <v>0</v>
      </c>
    </row>
    <row r="738">
      <c r="A738" s="9"/>
      <c r="B738" s="16"/>
      <c r="C738" s="7" t="str">
        <f>IFERROR(VLOOKUP(B738,'Master data'!$A$1:$D$397,2,FALSE),"")</f>
        <v/>
      </c>
      <c r="D738" s="70" t="str">
        <f>VLOOKUP(B738,Sheet3!$B$2:$E$312,3,)</f>
        <v>#N/A</v>
      </c>
      <c r="E738" s="64"/>
      <c r="F738" s="16" t="str">
        <f>IFERROR(VLOOKUP(B738,'Master data'!$A$1:$D$397,3,FALSE),"")</f>
        <v/>
      </c>
      <c r="G738" s="102"/>
      <c r="H738" s="65"/>
      <c r="I738" s="16"/>
      <c r="J738" s="16"/>
      <c r="K738" s="16" t="b">
        <v>0</v>
      </c>
      <c r="L738" s="16" t="b">
        <v>0</v>
      </c>
    </row>
    <row r="739">
      <c r="A739" s="9"/>
      <c r="B739" s="16"/>
      <c r="C739" s="7" t="str">
        <f>IFERROR(VLOOKUP(B739,'Master data'!$A$1:$D$397,2,FALSE),"")</f>
        <v/>
      </c>
      <c r="D739" s="70" t="str">
        <f>VLOOKUP(B739,Sheet3!$B$2:$E$312,3,)</f>
        <v>#N/A</v>
      </c>
      <c r="E739" s="64"/>
      <c r="F739" s="16" t="str">
        <f>IFERROR(VLOOKUP(B739,'Master data'!$A$1:$D$397,3,FALSE),"")</f>
        <v/>
      </c>
      <c r="G739" s="102"/>
      <c r="H739" s="65"/>
      <c r="I739" s="16"/>
      <c r="J739" s="16"/>
      <c r="K739" s="16" t="b">
        <v>0</v>
      </c>
      <c r="L739" s="16" t="b">
        <v>0</v>
      </c>
    </row>
    <row r="740">
      <c r="A740" s="9"/>
      <c r="B740" s="16"/>
      <c r="C740" s="7" t="str">
        <f>IFERROR(VLOOKUP(B740,'Master data'!$A$1:$D$397,2,FALSE),"")</f>
        <v/>
      </c>
      <c r="D740" s="70" t="str">
        <f>VLOOKUP(B740,Sheet3!$B$2:$E$312,3,)</f>
        <v>#N/A</v>
      </c>
      <c r="E740" s="64"/>
      <c r="F740" s="16" t="str">
        <f>IFERROR(VLOOKUP(B740,'Master data'!$A$1:$D$397,3,FALSE),"")</f>
        <v/>
      </c>
      <c r="G740" s="102"/>
      <c r="H740" s="65"/>
      <c r="I740" s="16"/>
      <c r="J740" s="16"/>
      <c r="K740" s="16" t="b">
        <v>0</v>
      </c>
      <c r="L740" s="16" t="b">
        <v>0</v>
      </c>
    </row>
    <row r="741">
      <c r="A741" s="9"/>
      <c r="B741" s="16"/>
      <c r="C741" s="7" t="str">
        <f>IFERROR(VLOOKUP(B741,'Master data'!$A$1:$D$397,2,FALSE),"")</f>
        <v/>
      </c>
      <c r="D741" s="70" t="str">
        <f>VLOOKUP(B741,Sheet3!$B$2:$E$312,3,)</f>
        <v>#N/A</v>
      </c>
      <c r="E741" s="64"/>
      <c r="F741" s="16" t="str">
        <f>IFERROR(VLOOKUP(B741,'Master data'!$A$1:$D$397,3,FALSE),"")</f>
        <v/>
      </c>
      <c r="G741" s="102"/>
      <c r="H741" s="65"/>
      <c r="I741" s="16"/>
      <c r="J741" s="16"/>
      <c r="K741" s="16" t="b">
        <v>0</v>
      </c>
      <c r="L741" s="16" t="b">
        <v>0</v>
      </c>
    </row>
    <row r="742">
      <c r="A742" s="9"/>
      <c r="B742" s="16"/>
      <c r="C742" s="7" t="str">
        <f>IFERROR(VLOOKUP(B742,'Master data'!$A$1:$D$397,2,FALSE),"")</f>
        <v/>
      </c>
      <c r="D742" s="70" t="str">
        <f>VLOOKUP(B742,Sheet3!$B$2:$E$312,3,)</f>
        <v>#N/A</v>
      </c>
      <c r="E742" s="64"/>
      <c r="F742" s="16" t="str">
        <f>IFERROR(VLOOKUP(B742,'Master data'!$A$1:$D$397,3,FALSE),"")</f>
        <v/>
      </c>
      <c r="G742" s="102"/>
      <c r="H742" s="65"/>
      <c r="I742" s="16"/>
      <c r="J742" s="16"/>
      <c r="K742" s="16" t="b">
        <v>0</v>
      </c>
      <c r="L742" s="16" t="b">
        <v>0</v>
      </c>
    </row>
    <row r="743">
      <c r="A743" s="9"/>
      <c r="B743" s="16"/>
      <c r="C743" s="7" t="str">
        <f>IFERROR(VLOOKUP(B743,'Master data'!$A$1:$D$397,2,FALSE),"")</f>
        <v/>
      </c>
      <c r="D743" s="70" t="str">
        <f>VLOOKUP(B743,Sheet3!$B$2:$E$312,3,)</f>
        <v>#N/A</v>
      </c>
      <c r="E743" s="64"/>
      <c r="F743" s="16" t="str">
        <f>IFERROR(VLOOKUP(B743,'Master data'!$A$1:$D$397,3,FALSE),"")</f>
        <v/>
      </c>
      <c r="G743" s="102"/>
      <c r="H743" s="65"/>
      <c r="I743" s="16"/>
      <c r="J743" s="16"/>
      <c r="K743" s="16" t="b">
        <v>0</v>
      </c>
      <c r="L743" s="16" t="b">
        <v>0</v>
      </c>
    </row>
    <row r="744">
      <c r="A744" s="9"/>
      <c r="B744" s="16"/>
      <c r="C744" s="7" t="str">
        <f>IFERROR(VLOOKUP(B744,'Master data'!$A$1:$D$397,2,FALSE),"")</f>
        <v/>
      </c>
      <c r="D744" s="70" t="str">
        <f>VLOOKUP(B744,Sheet3!$B$2:$E$312,3,)</f>
        <v>#N/A</v>
      </c>
      <c r="E744" s="64"/>
      <c r="F744" s="16" t="str">
        <f>IFERROR(VLOOKUP(B744,'Master data'!$A$1:$D$397,3,FALSE),"")</f>
        <v/>
      </c>
      <c r="G744" s="102"/>
      <c r="H744" s="65"/>
      <c r="I744" s="16"/>
      <c r="J744" s="16"/>
      <c r="K744" s="16" t="b">
        <v>0</v>
      </c>
      <c r="L744" s="16" t="b">
        <v>0</v>
      </c>
    </row>
    <row r="745">
      <c r="A745" s="9"/>
      <c r="B745" s="16"/>
      <c r="C745" s="7" t="str">
        <f>IFERROR(VLOOKUP(B745,'Master data'!$A$1:$D$397,2,FALSE),"")</f>
        <v/>
      </c>
      <c r="D745" s="70" t="str">
        <f>VLOOKUP(B745,Sheet3!$B$2:$E$312,3,)</f>
        <v>#N/A</v>
      </c>
      <c r="E745" s="64"/>
      <c r="F745" s="16" t="str">
        <f>IFERROR(VLOOKUP(B745,'Master data'!$A$1:$D$397,3,FALSE),"")</f>
        <v/>
      </c>
      <c r="G745" s="102"/>
      <c r="H745" s="65"/>
      <c r="I745" s="16"/>
      <c r="J745" s="16"/>
      <c r="K745" s="16" t="b">
        <v>0</v>
      </c>
      <c r="L745" s="16" t="b">
        <v>0</v>
      </c>
    </row>
    <row r="746">
      <c r="A746" s="9"/>
      <c r="B746" s="16"/>
      <c r="C746" s="7" t="str">
        <f>IFERROR(VLOOKUP(B746,'Master data'!$A$1:$D$397,2,FALSE),"")</f>
        <v/>
      </c>
      <c r="D746" s="70" t="str">
        <f>VLOOKUP(B746,Sheet3!$B$2:$E$312,3,)</f>
        <v>#N/A</v>
      </c>
      <c r="E746" s="64"/>
      <c r="F746" s="16" t="str">
        <f>IFERROR(VLOOKUP(B746,'Master data'!$A$1:$D$397,3,FALSE),"")</f>
        <v/>
      </c>
      <c r="G746" s="102"/>
      <c r="H746" s="65"/>
      <c r="I746" s="16"/>
      <c r="J746" s="16"/>
      <c r="K746" s="16" t="b">
        <v>0</v>
      </c>
      <c r="L746" s="16" t="b">
        <v>0</v>
      </c>
    </row>
    <row r="747">
      <c r="A747" s="9"/>
      <c r="B747" s="16"/>
      <c r="C747" s="7" t="str">
        <f>IFERROR(VLOOKUP(B747,'Master data'!$A$1:$D$397,2,FALSE),"")</f>
        <v/>
      </c>
      <c r="D747" s="70" t="str">
        <f>VLOOKUP(B747,Sheet3!$B$2:$E$312,3,)</f>
        <v>#N/A</v>
      </c>
      <c r="E747" s="64"/>
      <c r="F747" s="16" t="str">
        <f>IFERROR(VLOOKUP(B747,'Master data'!$A$1:$D$397,3,FALSE),"")</f>
        <v/>
      </c>
      <c r="G747" s="102"/>
      <c r="H747" s="65"/>
      <c r="I747" s="16"/>
      <c r="J747" s="16"/>
      <c r="K747" s="16" t="b">
        <v>0</v>
      </c>
      <c r="L747" s="16" t="b">
        <v>0</v>
      </c>
    </row>
    <row r="748">
      <c r="A748" s="9"/>
      <c r="B748" s="16"/>
      <c r="C748" s="7" t="str">
        <f>IFERROR(VLOOKUP(B748,'Master data'!$A$1:$D$397,2,FALSE),"")</f>
        <v/>
      </c>
      <c r="D748" s="70" t="str">
        <f>VLOOKUP(B748,Sheet3!$B$2:$E$312,3,)</f>
        <v>#N/A</v>
      </c>
      <c r="E748" s="64"/>
      <c r="F748" s="16" t="str">
        <f>IFERROR(VLOOKUP(B748,'Master data'!$A$1:$D$397,3,FALSE),"")</f>
        <v/>
      </c>
      <c r="G748" s="102"/>
      <c r="H748" s="65"/>
      <c r="I748" s="16"/>
      <c r="J748" s="16"/>
      <c r="K748" s="16" t="b">
        <v>0</v>
      </c>
      <c r="L748" s="16" t="b">
        <v>0</v>
      </c>
    </row>
    <row r="749">
      <c r="A749" s="9"/>
      <c r="B749" s="16"/>
      <c r="C749" s="7" t="str">
        <f>IFERROR(VLOOKUP(B749,'Master data'!$A$1:$D$397,2,FALSE),"")</f>
        <v/>
      </c>
      <c r="D749" s="70" t="str">
        <f>VLOOKUP(B749,Sheet3!$B$2:$E$312,3,)</f>
        <v>#N/A</v>
      </c>
      <c r="E749" s="64"/>
      <c r="F749" s="16" t="str">
        <f>IFERROR(VLOOKUP(B749,'Master data'!$A$1:$D$397,3,FALSE),"")</f>
        <v/>
      </c>
      <c r="G749" s="102"/>
      <c r="H749" s="65"/>
      <c r="I749" s="16"/>
      <c r="J749" s="16"/>
      <c r="K749" s="16" t="b">
        <v>0</v>
      </c>
      <c r="L749" s="16" t="b">
        <v>0</v>
      </c>
    </row>
    <row r="750">
      <c r="A750" s="9"/>
      <c r="B750" s="16"/>
      <c r="C750" s="7" t="str">
        <f>IFERROR(VLOOKUP(B750,'Master data'!$A$1:$D$397,2,FALSE),"")</f>
        <v/>
      </c>
      <c r="D750" s="70" t="str">
        <f>VLOOKUP(B750,Sheet3!$B$2:$E$312,3,)</f>
        <v>#N/A</v>
      </c>
      <c r="E750" s="64"/>
      <c r="F750" s="16" t="str">
        <f>IFERROR(VLOOKUP(B750,'Master data'!$A$1:$D$397,3,FALSE),"")</f>
        <v/>
      </c>
      <c r="G750" s="102"/>
      <c r="H750" s="65"/>
      <c r="I750" s="16"/>
      <c r="J750" s="16"/>
      <c r="K750" s="16" t="b">
        <v>0</v>
      </c>
      <c r="L750" s="16" t="b">
        <v>0</v>
      </c>
    </row>
    <row r="751">
      <c r="A751" s="9"/>
      <c r="B751" s="16"/>
      <c r="C751" s="7" t="str">
        <f>IFERROR(VLOOKUP(B751,'Master data'!$A$1:$D$397,2,FALSE),"")</f>
        <v/>
      </c>
      <c r="D751" s="70" t="str">
        <f>VLOOKUP(B751,Sheet3!$B$2:$E$312,3,)</f>
        <v>#N/A</v>
      </c>
      <c r="E751" s="64"/>
      <c r="F751" s="16" t="str">
        <f>IFERROR(VLOOKUP(B751,'Master data'!$A$1:$D$397,3,FALSE),"")</f>
        <v/>
      </c>
      <c r="G751" s="102"/>
      <c r="H751" s="65"/>
      <c r="I751" s="16"/>
      <c r="J751" s="16"/>
      <c r="K751" s="16" t="b">
        <v>0</v>
      </c>
      <c r="L751" s="16" t="b">
        <v>0</v>
      </c>
    </row>
    <row r="752">
      <c r="A752" s="9"/>
      <c r="B752" s="16"/>
      <c r="C752" s="7" t="str">
        <f>IFERROR(VLOOKUP(B752,'Master data'!$A$1:$D$397,2,FALSE),"")</f>
        <v/>
      </c>
      <c r="D752" s="70" t="str">
        <f>VLOOKUP(B752,Sheet3!$B$2:$E$312,3,)</f>
        <v>#N/A</v>
      </c>
      <c r="E752" s="64"/>
      <c r="F752" s="16" t="str">
        <f>IFERROR(VLOOKUP(B752,'Master data'!$A$1:$D$397,3,FALSE),"")</f>
        <v/>
      </c>
      <c r="G752" s="102"/>
      <c r="H752" s="65"/>
      <c r="I752" s="16"/>
      <c r="J752" s="16"/>
      <c r="K752" s="16" t="b">
        <v>0</v>
      </c>
      <c r="L752" s="16" t="b">
        <v>0</v>
      </c>
    </row>
    <row r="753">
      <c r="A753" s="9"/>
      <c r="B753" s="16"/>
      <c r="C753" s="7" t="str">
        <f>IFERROR(VLOOKUP(B753,'Master data'!$A$1:$D$397,2,FALSE),"")</f>
        <v/>
      </c>
      <c r="D753" s="70" t="str">
        <f>VLOOKUP(B753,Sheet3!$B$2:$E$312,3,)</f>
        <v>#N/A</v>
      </c>
      <c r="E753" s="64"/>
      <c r="F753" s="16" t="str">
        <f>IFERROR(VLOOKUP(B753,'Master data'!$A$1:$D$397,3,FALSE),"")</f>
        <v/>
      </c>
      <c r="G753" s="102"/>
      <c r="H753" s="65"/>
      <c r="I753" s="16"/>
      <c r="J753" s="16"/>
      <c r="K753" s="16" t="b">
        <v>0</v>
      </c>
      <c r="L753" s="16" t="b">
        <v>0</v>
      </c>
    </row>
    <row r="754">
      <c r="A754" s="9"/>
      <c r="B754" s="16"/>
      <c r="C754" s="7" t="str">
        <f>IFERROR(VLOOKUP(B754,'Master data'!$A$1:$D$397,2,FALSE),"")</f>
        <v/>
      </c>
      <c r="D754" s="70" t="str">
        <f>VLOOKUP(B754,Sheet3!$B$2:$E$312,3,)</f>
        <v>#N/A</v>
      </c>
      <c r="E754" s="64"/>
      <c r="F754" s="16" t="str">
        <f>IFERROR(VLOOKUP(B754,'Master data'!$A$1:$D$397,3,FALSE),"")</f>
        <v/>
      </c>
      <c r="G754" s="102"/>
      <c r="H754" s="65"/>
      <c r="I754" s="16"/>
      <c r="J754" s="16"/>
      <c r="K754" s="16" t="b">
        <v>0</v>
      </c>
      <c r="L754" s="16" t="b">
        <v>0</v>
      </c>
    </row>
    <row r="755">
      <c r="A755" s="9"/>
      <c r="B755" s="16"/>
      <c r="C755" s="7" t="str">
        <f>IFERROR(VLOOKUP(B755,'Master data'!$A$1:$D$397,2,FALSE),"")</f>
        <v/>
      </c>
      <c r="D755" s="70" t="str">
        <f>VLOOKUP(B755,Sheet3!$B$2:$E$312,3,)</f>
        <v>#N/A</v>
      </c>
      <c r="E755" s="64"/>
      <c r="F755" s="16" t="str">
        <f>IFERROR(VLOOKUP(B755,'Master data'!$A$1:$D$397,3,FALSE),"")</f>
        <v/>
      </c>
      <c r="G755" s="102"/>
      <c r="H755" s="65"/>
      <c r="I755" s="16"/>
      <c r="J755" s="16"/>
      <c r="K755" s="16" t="b">
        <v>0</v>
      </c>
      <c r="L755" s="16" t="b">
        <v>0</v>
      </c>
    </row>
    <row r="756">
      <c r="A756" s="9"/>
      <c r="B756" s="16"/>
      <c r="C756" s="7" t="str">
        <f>IFERROR(VLOOKUP(B756,'Master data'!$A$1:$D$397,2,FALSE),"")</f>
        <v/>
      </c>
      <c r="D756" s="70" t="str">
        <f>VLOOKUP(B756,Sheet3!$B$2:$E$312,3,)</f>
        <v>#N/A</v>
      </c>
      <c r="E756" s="64"/>
      <c r="F756" s="16" t="str">
        <f>IFERROR(VLOOKUP(B756,'Master data'!$A$1:$D$397,3,FALSE),"")</f>
        <v/>
      </c>
      <c r="G756" s="102"/>
      <c r="H756" s="65"/>
      <c r="I756" s="16"/>
      <c r="J756" s="16"/>
      <c r="K756" s="16" t="b">
        <v>0</v>
      </c>
      <c r="L756" s="16" t="b">
        <v>0</v>
      </c>
    </row>
    <row r="757">
      <c r="A757" s="9"/>
      <c r="B757" s="16"/>
      <c r="C757" s="7" t="str">
        <f>IFERROR(VLOOKUP(B757,'Master data'!$A$1:$D$397,2,FALSE),"")</f>
        <v/>
      </c>
      <c r="D757" s="70" t="str">
        <f>VLOOKUP(B757,Sheet3!$B$2:$E$312,3,)</f>
        <v>#N/A</v>
      </c>
      <c r="E757" s="64"/>
      <c r="F757" s="16" t="str">
        <f>IFERROR(VLOOKUP(B757,'Master data'!$A$1:$D$397,3,FALSE),"")</f>
        <v/>
      </c>
      <c r="G757" s="102"/>
      <c r="H757" s="65"/>
      <c r="I757" s="16"/>
      <c r="J757" s="16"/>
      <c r="K757" s="16" t="b">
        <v>0</v>
      </c>
      <c r="L757" s="16" t="b">
        <v>0</v>
      </c>
    </row>
    <row r="758">
      <c r="A758" s="9"/>
      <c r="B758" s="16"/>
      <c r="C758" s="7" t="str">
        <f>IFERROR(VLOOKUP(B758,'Master data'!$A$1:$D$397,2,FALSE),"")</f>
        <v/>
      </c>
      <c r="D758" s="70" t="str">
        <f>VLOOKUP(B758,Sheet3!$B$2:$E$312,3,)</f>
        <v>#N/A</v>
      </c>
      <c r="E758" s="64"/>
      <c r="F758" s="16" t="str">
        <f>IFERROR(VLOOKUP(B758,'Master data'!$A$1:$D$397,3,FALSE),"")</f>
        <v/>
      </c>
      <c r="G758" s="102"/>
      <c r="H758" s="65"/>
      <c r="I758" s="16"/>
      <c r="J758" s="16"/>
      <c r="K758" s="16" t="b">
        <v>0</v>
      </c>
      <c r="L758" s="16" t="b">
        <v>0</v>
      </c>
    </row>
    <row r="759">
      <c r="A759" s="9"/>
      <c r="B759" s="16"/>
      <c r="C759" s="7" t="str">
        <f>IFERROR(VLOOKUP(B759,'Master data'!$A$1:$D$397,2,FALSE),"")</f>
        <v/>
      </c>
      <c r="D759" s="70" t="str">
        <f>VLOOKUP(B759,Sheet3!$B$2:$E$312,3,)</f>
        <v>#N/A</v>
      </c>
      <c r="E759" s="64"/>
      <c r="F759" s="16" t="str">
        <f>IFERROR(VLOOKUP(B759,'Master data'!$A$1:$D$397,3,FALSE),"")</f>
        <v/>
      </c>
      <c r="G759" s="102"/>
      <c r="H759" s="65"/>
      <c r="I759" s="16"/>
      <c r="J759" s="16"/>
      <c r="K759" s="16" t="b">
        <v>0</v>
      </c>
      <c r="L759" s="16" t="b">
        <v>0</v>
      </c>
    </row>
    <row r="760">
      <c r="A760" s="9"/>
      <c r="B760" s="16"/>
      <c r="C760" s="7" t="str">
        <f>IFERROR(VLOOKUP(B760,'Master data'!$A$1:$D$397,2,FALSE),"")</f>
        <v/>
      </c>
      <c r="D760" s="70" t="str">
        <f>VLOOKUP(B760,Sheet3!$B$2:$E$312,3,)</f>
        <v>#N/A</v>
      </c>
      <c r="E760" s="64"/>
      <c r="F760" s="16" t="str">
        <f>IFERROR(VLOOKUP(B760,'Master data'!$A$1:$D$397,3,FALSE),"")</f>
        <v/>
      </c>
      <c r="G760" s="102"/>
      <c r="H760" s="65"/>
      <c r="I760" s="16"/>
      <c r="J760" s="16"/>
      <c r="K760" s="16" t="b">
        <v>0</v>
      </c>
      <c r="L760" s="16" t="b">
        <v>0</v>
      </c>
    </row>
    <row r="761">
      <c r="A761" s="9"/>
      <c r="B761" s="16"/>
      <c r="C761" s="7" t="str">
        <f>IFERROR(VLOOKUP(B761,'Master data'!$A$1:$D$397,2,FALSE),"")</f>
        <v/>
      </c>
      <c r="D761" s="70" t="str">
        <f>VLOOKUP(B761,Sheet3!$B$2:$E$312,3,)</f>
        <v>#N/A</v>
      </c>
      <c r="E761" s="64"/>
      <c r="F761" s="16" t="str">
        <f>IFERROR(VLOOKUP(B761,'Master data'!$A$1:$D$397,3,FALSE),"")</f>
        <v/>
      </c>
      <c r="G761" s="102"/>
      <c r="H761" s="65"/>
      <c r="I761" s="16"/>
      <c r="J761" s="16"/>
      <c r="K761" s="16" t="b">
        <v>0</v>
      </c>
      <c r="L761" s="16" t="b">
        <v>0</v>
      </c>
    </row>
    <row r="762">
      <c r="A762" s="9"/>
      <c r="B762" s="16"/>
      <c r="C762" s="7" t="str">
        <f>IFERROR(VLOOKUP(B762,'Master data'!$A$1:$D$397,2,FALSE),"")</f>
        <v/>
      </c>
      <c r="D762" s="70" t="str">
        <f>VLOOKUP(B762,Sheet3!$B$2:$E$312,3,)</f>
        <v>#N/A</v>
      </c>
      <c r="E762" s="64"/>
      <c r="F762" s="16" t="str">
        <f>IFERROR(VLOOKUP(B762,'Master data'!$A$1:$D$397,3,FALSE),"")</f>
        <v/>
      </c>
      <c r="G762" s="102"/>
      <c r="H762" s="65"/>
      <c r="I762" s="16"/>
      <c r="J762" s="16"/>
      <c r="K762" s="16" t="b">
        <v>0</v>
      </c>
      <c r="L762" s="16" t="b">
        <v>0</v>
      </c>
    </row>
    <row r="763">
      <c r="A763" s="9"/>
      <c r="B763" s="16"/>
      <c r="C763" s="7" t="str">
        <f>IFERROR(VLOOKUP(B763,'Master data'!$A$1:$D$397,2,FALSE),"")</f>
        <v/>
      </c>
      <c r="D763" s="70" t="str">
        <f>VLOOKUP(B763,Sheet3!$B$2:$E$312,3,)</f>
        <v>#N/A</v>
      </c>
      <c r="E763" s="64"/>
      <c r="F763" s="16" t="str">
        <f>IFERROR(VLOOKUP(B763,'Master data'!$A$1:$D$397,3,FALSE),"")</f>
        <v/>
      </c>
      <c r="G763" s="102"/>
      <c r="H763" s="65"/>
      <c r="I763" s="16"/>
      <c r="J763" s="16"/>
      <c r="K763" s="16" t="b">
        <v>0</v>
      </c>
      <c r="L763" s="16" t="b">
        <v>0</v>
      </c>
    </row>
    <row r="764">
      <c r="A764" s="9"/>
      <c r="B764" s="16"/>
      <c r="C764" s="7" t="str">
        <f>IFERROR(VLOOKUP(B764,'Master data'!$A$1:$D$397,2,FALSE),"")</f>
        <v/>
      </c>
      <c r="D764" s="70" t="str">
        <f>VLOOKUP(B764,Sheet3!$B$2:$E$312,3,)</f>
        <v>#N/A</v>
      </c>
      <c r="E764" s="64"/>
      <c r="F764" s="16" t="str">
        <f>IFERROR(VLOOKUP(B764,'Master data'!$A$1:$D$397,3,FALSE),"")</f>
        <v/>
      </c>
      <c r="G764" s="102"/>
      <c r="H764" s="65"/>
      <c r="I764" s="16"/>
      <c r="J764" s="16"/>
      <c r="K764" s="16" t="b">
        <v>0</v>
      </c>
      <c r="L764" s="16" t="b">
        <v>0</v>
      </c>
    </row>
    <row r="765">
      <c r="A765" s="9"/>
      <c r="B765" s="16"/>
      <c r="C765" s="7" t="str">
        <f>IFERROR(VLOOKUP(B765,'Master data'!$A$1:$D$397,2,FALSE),"")</f>
        <v/>
      </c>
      <c r="D765" s="70" t="str">
        <f>VLOOKUP(B765,Sheet3!$B$2:$E$312,3,)</f>
        <v>#N/A</v>
      </c>
      <c r="E765" s="64"/>
      <c r="F765" s="16" t="str">
        <f>IFERROR(VLOOKUP(B765,'Master data'!$A$1:$D$397,3,FALSE),"")</f>
        <v/>
      </c>
      <c r="G765" s="102"/>
      <c r="H765" s="65"/>
      <c r="I765" s="16"/>
      <c r="J765" s="16"/>
      <c r="K765" s="16" t="b">
        <v>0</v>
      </c>
      <c r="L765" s="16" t="b">
        <v>0</v>
      </c>
    </row>
    <row r="766">
      <c r="A766" s="9"/>
      <c r="B766" s="16"/>
      <c r="C766" s="7" t="str">
        <f>IFERROR(VLOOKUP(B766,'Master data'!$A$1:$D$397,2,FALSE),"")</f>
        <v/>
      </c>
      <c r="D766" s="70" t="str">
        <f>VLOOKUP(B766,Sheet3!$B$2:$E$312,3,)</f>
        <v>#N/A</v>
      </c>
      <c r="E766" s="64"/>
      <c r="F766" s="16" t="str">
        <f>IFERROR(VLOOKUP(B766,'Master data'!$A$1:$D$397,3,FALSE),"")</f>
        <v/>
      </c>
      <c r="G766" s="102"/>
      <c r="H766" s="65"/>
      <c r="I766" s="16"/>
      <c r="J766" s="16"/>
      <c r="K766" s="16" t="b">
        <v>0</v>
      </c>
      <c r="L766" s="16" t="b">
        <v>0</v>
      </c>
    </row>
    <row r="767">
      <c r="A767" s="9"/>
      <c r="B767" s="16"/>
      <c r="C767" s="7" t="str">
        <f>IFERROR(VLOOKUP(B767,'Master data'!$A$1:$D$397,2,FALSE),"")</f>
        <v/>
      </c>
      <c r="D767" s="70" t="str">
        <f>VLOOKUP(B767,Sheet3!$B$2:$E$312,3,)</f>
        <v>#N/A</v>
      </c>
      <c r="E767" s="64"/>
      <c r="F767" s="16" t="str">
        <f>IFERROR(VLOOKUP(B767,'Master data'!$A$1:$D$397,3,FALSE),"")</f>
        <v/>
      </c>
      <c r="G767" s="102"/>
      <c r="H767" s="65"/>
      <c r="I767" s="16"/>
      <c r="J767" s="16"/>
      <c r="K767" s="16" t="b">
        <v>0</v>
      </c>
      <c r="L767" s="16" t="b">
        <v>0</v>
      </c>
    </row>
    <row r="768">
      <c r="A768" s="9"/>
      <c r="B768" s="16"/>
      <c r="C768" s="7" t="str">
        <f>IFERROR(VLOOKUP(B768,'Master data'!$A$1:$D$397,2,FALSE),"")</f>
        <v/>
      </c>
      <c r="D768" s="70" t="str">
        <f>VLOOKUP(B768,Sheet3!$B$2:$E$312,3,)</f>
        <v>#N/A</v>
      </c>
      <c r="E768" s="64"/>
      <c r="F768" s="16" t="str">
        <f>IFERROR(VLOOKUP(B768,'Master data'!$A$1:$D$397,3,FALSE),"")</f>
        <v/>
      </c>
      <c r="G768" s="102"/>
      <c r="H768" s="65"/>
      <c r="I768" s="16"/>
      <c r="J768" s="16"/>
      <c r="K768" s="16" t="b">
        <v>0</v>
      </c>
      <c r="L768" s="16" t="b">
        <v>0</v>
      </c>
    </row>
    <row r="769">
      <c r="A769" s="9"/>
      <c r="B769" s="16"/>
      <c r="C769" s="7" t="str">
        <f>IFERROR(VLOOKUP(B769,'Master data'!$A$1:$D$397,2,FALSE),"")</f>
        <v/>
      </c>
      <c r="D769" s="70" t="str">
        <f>VLOOKUP(B769,Sheet3!$B$2:$E$312,3,)</f>
        <v>#N/A</v>
      </c>
      <c r="E769" s="64"/>
      <c r="F769" s="16" t="str">
        <f>IFERROR(VLOOKUP(B769,'Master data'!$A$1:$D$397,3,FALSE),"")</f>
        <v/>
      </c>
      <c r="G769" s="102"/>
      <c r="H769" s="65"/>
      <c r="I769" s="16"/>
      <c r="J769" s="16"/>
      <c r="K769" s="16" t="b">
        <v>0</v>
      </c>
      <c r="L769" s="16" t="b">
        <v>0</v>
      </c>
    </row>
    <row r="770">
      <c r="A770" s="9"/>
      <c r="B770" s="16"/>
      <c r="C770" s="7" t="str">
        <f>IFERROR(VLOOKUP(B770,'Master data'!$A$1:$D$397,2,FALSE),"")</f>
        <v/>
      </c>
      <c r="D770" s="70" t="str">
        <f>VLOOKUP(B770,Sheet3!$B$2:$E$312,3,)</f>
        <v>#N/A</v>
      </c>
      <c r="E770" s="64"/>
      <c r="F770" s="16" t="str">
        <f>IFERROR(VLOOKUP(B770,'Master data'!$A$1:$D$397,3,FALSE),"")</f>
        <v/>
      </c>
      <c r="G770" s="102"/>
      <c r="H770" s="65"/>
      <c r="I770" s="16"/>
      <c r="J770" s="16"/>
      <c r="K770" s="16" t="b">
        <v>0</v>
      </c>
      <c r="L770" s="16" t="b">
        <v>0</v>
      </c>
    </row>
    <row r="771">
      <c r="A771" s="9"/>
      <c r="B771" s="16"/>
      <c r="C771" s="7" t="str">
        <f>IFERROR(VLOOKUP(B771,'Master data'!$A$1:$D$397,2,FALSE),"")</f>
        <v/>
      </c>
      <c r="D771" s="70" t="str">
        <f>VLOOKUP(B771,Sheet3!$B$2:$E$312,3,)</f>
        <v>#N/A</v>
      </c>
      <c r="E771" s="64"/>
      <c r="F771" s="16" t="str">
        <f>IFERROR(VLOOKUP(B771,'Master data'!$A$1:$D$397,3,FALSE),"")</f>
        <v/>
      </c>
      <c r="G771" s="102"/>
      <c r="H771" s="65"/>
      <c r="I771" s="16"/>
      <c r="J771" s="16"/>
      <c r="K771" s="16" t="b">
        <v>0</v>
      </c>
      <c r="L771" s="16" t="b">
        <v>0</v>
      </c>
    </row>
    <row r="772">
      <c r="A772" s="9"/>
      <c r="B772" s="16"/>
      <c r="C772" s="7" t="str">
        <f>IFERROR(VLOOKUP(B772,'Master data'!$A$1:$D$397,2,FALSE),"")</f>
        <v/>
      </c>
      <c r="D772" s="70" t="str">
        <f>VLOOKUP(B772,Sheet3!$B$2:$E$312,3,)</f>
        <v>#N/A</v>
      </c>
      <c r="E772" s="64"/>
      <c r="F772" s="16" t="str">
        <f>IFERROR(VLOOKUP(B772,'Master data'!$A$1:$D$397,3,FALSE),"")</f>
        <v/>
      </c>
      <c r="G772" s="102"/>
      <c r="H772" s="65"/>
      <c r="I772" s="16"/>
      <c r="J772" s="16"/>
      <c r="K772" s="16" t="b">
        <v>0</v>
      </c>
      <c r="L772" s="16" t="b">
        <v>0</v>
      </c>
    </row>
    <row r="773">
      <c r="A773" s="9"/>
      <c r="B773" s="16"/>
      <c r="C773" s="7" t="str">
        <f>IFERROR(VLOOKUP(B773,'Master data'!$A$1:$D$397,2,FALSE),"")</f>
        <v/>
      </c>
      <c r="D773" s="70" t="str">
        <f>VLOOKUP(B773,Sheet3!$B$2:$E$312,3,)</f>
        <v>#N/A</v>
      </c>
      <c r="E773" s="64"/>
      <c r="F773" s="16" t="str">
        <f>IFERROR(VLOOKUP(B773,'Master data'!$A$1:$D$397,3,FALSE),"")</f>
        <v/>
      </c>
      <c r="G773" s="102"/>
      <c r="H773" s="65"/>
      <c r="I773" s="16"/>
      <c r="J773" s="16"/>
      <c r="K773" s="16" t="b">
        <v>0</v>
      </c>
      <c r="L773" s="16" t="b">
        <v>0</v>
      </c>
    </row>
    <row r="774">
      <c r="A774" s="9"/>
      <c r="B774" s="16"/>
      <c r="C774" s="7" t="str">
        <f>IFERROR(VLOOKUP(B774,'Master data'!$A$1:$D$397,2,FALSE),"")</f>
        <v/>
      </c>
      <c r="D774" s="70" t="str">
        <f>VLOOKUP(B774,Sheet3!$B$2:$E$312,3,)</f>
        <v>#N/A</v>
      </c>
      <c r="E774" s="64"/>
      <c r="F774" s="16" t="str">
        <f>IFERROR(VLOOKUP(B774,'Master data'!$A$1:$D$397,3,FALSE),"")</f>
        <v/>
      </c>
      <c r="G774" s="102"/>
      <c r="H774" s="65"/>
      <c r="I774" s="16"/>
      <c r="J774" s="16"/>
      <c r="K774" s="16" t="b">
        <v>0</v>
      </c>
      <c r="L774" s="16" t="b">
        <v>0</v>
      </c>
    </row>
    <row r="775">
      <c r="A775" s="9"/>
      <c r="B775" s="16"/>
      <c r="C775" s="7" t="str">
        <f>IFERROR(VLOOKUP(B775,'Master data'!$A$1:$D$397,2,FALSE),"")</f>
        <v/>
      </c>
      <c r="D775" s="70" t="str">
        <f>VLOOKUP(B775,Sheet3!$B$2:$E$312,3,)</f>
        <v>#N/A</v>
      </c>
      <c r="E775" s="64"/>
      <c r="F775" s="16" t="str">
        <f>IFERROR(VLOOKUP(B775,'Master data'!$A$1:$D$397,3,FALSE),"")</f>
        <v/>
      </c>
      <c r="G775" s="102"/>
      <c r="H775" s="65"/>
      <c r="I775" s="16"/>
      <c r="J775" s="16"/>
      <c r="K775" s="16" t="b">
        <v>0</v>
      </c>
      <c r="L775" s="16" t="b">
        <v>0</v>
      </c>
    </row>
    <row r="776">
      <c r="A776" s="9"/>
      <c r="B776" s="16"/>
      <c r="C776" s="7" t="str">
        <f>IFERROR(VLOOKUP(B776,'Master data'!$A$1:$D$397,2,FALSE),"")</f>
        <v/>
      </c>
      <c r="D776" s="70" t="str">
        <f>VLOOKUP(B776,Sheet3!$B$2:$E$312,3,)</f>
        <v>#N/A</v>
      </c>
      <c r="E776" s="64"/>
      <c r="F776" s="16" t="str">
        <f>IFERROR(VLOOKUP(B776,'Master data'!$A$1:$D$397,3,FALSE),"")</f>
        <v/>
      </c>
      <c r="G776" s="102"/>
      <c r="H776" s="65"/>
      <c r="I776" s="16"/>
      <c r="J776" s="16"/>
      <c r="K776" s="16" t="b">
        <v>0</v>
      </c>
      <c r="L776" s="16" t="b">
        <v>0</v>
      </c>
    </row>
    <row r="777">
      <c r="A777" s="9"/>
      <c r="B777" s="16"/>
      <c r="C777" s="7" t="str">
        <f>IFERROR(VLOOKUP(B777,'Master data'!$A$1:$D$397,2,FALSE),"")</f>
        <v/>
      </c>
      <c r="D777" s="70" t="str">
        <f>VLOOKUP(B777,Sheet3!$B$2:$E$312,3,)</f>
        <v>#N/A</v>
      </c>
      <c r="E777" s="64"/>
      <c r="F777" s="16" t="str">
        <f>IFERROR(VLOOKUP(B777,'Master data'!$A$1:$D$397,3,FALSE),"")</f>
        <v/>
      </c>
      <c r="G777" s="102"/>
      <c r="H777" s="65"/>
      <c r="I777" s="16"/>
      <c r="J777" s="16"/>
      <c r="K777" s="16" t="b">
        <v>0</v>
      </c>
      <c r="L777" s="16" t="b">
        <v>0</v>
      </c>
    </row>
    <row r="778">
      <c r="A778" s="9"/>
      <c r="B778" s="16"/>
      <c r="C778" s="7" t="str">
        <f>IFERROR(VLOOKUP(B778,'Master data'!$A$1:$D$397,2,FALSE),"")</f>
        <v/>
      </c>
      <c r="D778" s="70" t="str">
        <f>VLOOKUP(B778,Sheet3!$B$2:$E$312,3,)</f>
        <v>#N/A</v>
      </c>
      <c r="E778" s="64"/>
      <c r="F778" s="16" t="str">
        <f>IFERROR(VLOOKUP(B778,'Master data'!$A$1:$D$397,3,FALSE),"")</f>
        <v/>
      </c>
      <c r="G778" s="102"/>
      <c r="H778" s="65"/>
      <c r="I778" s="16"/>
      <c r="J778" s="16"/>
      <c r="K778" s="16" t="b">
        <v>0</v>
      </c>
      <c r="L778" s="16" t="b">
        <v>0</v>
      </c>
    </row>
    <row r="779">
      <c r="A779" s="9"/>
      <c r="B779" s="16"/>
      <c r="C779" s="7" t="str">
        <f>IFERROR(VLOOKUP(B779,'Master data'!$A$1:$D$397,2,FALSE),"")</f>
        <v/>
      </c>
      <c r="D779" s="70" t="str">
        <f>VLOOKUP(B779,Sheet3!$B$2:$E$312,3,)</f>
        <v>#N/A</v>
      </c>
      <c r="E779" s="64"/>
      <c r="F779" s="16" t="str">
        <f>IFERROR(VLOOKUP(B779,'Master data'!$A$1:$D$397,3,FALSE),"")</f>
        <v/>
      </c>
      <c r="G779" s="102"/>
      <c r="H779" s="65"/>
      <c r="I779" s="16"/>
      <c r="J779" s="16"/>
      <c r="K779" s="16" t="b">
        <v>0</v>
      </c>
      <c r="L779" s="16" t="b">
        <v>0</v>
      </c>
    </row>
    <row r="780">
      <c r="A780" s="9"/>
      <c r="B780" s="16"/>
      <c r="C780" s="7" t="str">
        <f>IFERROR(VLOOKUP(B780,'Master data'!$A$1:$D$397,2,FALSE),"")</f>
        <v/>
      </c>
      <c r="D780" s="70" t="str">
        <f>VLOOKUP(B780,Sheet3!$B$2:$E$312,3,)</f>
        <v>#N/A</v>
      </c>
      <c r="E780" s="64"/>
      <c r="F780" s="16" t="str">
        <f>IFERROR(VLOOKUP(B780,'Master data'!$A$1:$D$397,3,FALSE),"")</f>
        <v/>
      </c>
      <c r="G780" s="102"/>
      <c r="H780" s="65"/>
      <c r="I780" s="16"/>
      <c r="J780" s="16"/>
      <c r="K780" s="16" t="b">
        <v>0</v>
      </c>
      <c r="L780" s="16" t="b">
        <v>0</v>
      </c>
    </row>
    <row r="781">
      <c r="A781" s="9"/>
      <c r="B781" s="16"/>
      <c r="C781" s="7" t="str">
        <f>IFERROR(VLOOKUP(B781,'Master data'!$A$1:$D$397,2,FALSE),"")</f>
        <v/>
      </c>
      <c r="D781" s="70" t="str">
        <f>VLOOKUP(B781,Sheet3!$B$2:$E$312,3,)</f>
        <v>#N/A</v>
      </c>
      <c r="E781" s="64"/>
      <c r="F781" s="16" t="str">
        <f>IFERROR(VLOOKUP(B781,'Master data'!$A$1:$D$397,3,FALSE),"")</f>
        <v/>
      </c>
      <c r="G781" s="102"/>
      <c r="H781" s="65"/>
      <c r="I781" s="16"/>
      <c r="J781" s="16"/>
      <c r="K781" s="16" t="b">
        <v>0</v>
      </c>
      <c r="L781" s="16" t="b">
        <v>0</v>
      </c>
    </row>
    <row r="782">
      <c r="A782" s="9"/>
      <c r="B782" s="16"/>
      <c r="C782" s="7" t="str">
        <f>IFERROR(VLOOKUP(B782,'Master data'!$A$1:$D$397,2,FALSE),"")</f>
        <v/>
      </c>
      <c r="D782" s="70" t="str">
        <f>VLOOKUP(B782,Sheet3!$B$2:$E$312,3,)</f>
        <v>#N/A</v>
      </c>
      <c r="E782" s="64"/>
      <c r="F782" s="16" t="str">
        <f>IFERROR(VLOOKUP(B782,'Master data'!$A$1:$D$397,3,FALSE),"")</f>
        <v/>
      </c>
      <c r="G782" s="102"/>
      <c r="H782" s="65"/>
      <c r="I782" s="16"/>
      <c r="J782" s="16"/>
      <c r="K782" s="16" t="b">
        <v>0</v>
      </c>
      <c r="L782" s="16" t="b">
        <v>0</v>
      </c>
    </row>
    <row r="783">
      <c r="A783" s="9"/>
      <c r="B783" s="16"/>
      <c r="C783" s="7" t="str">
        <f>IFERROR(VLOOKUP(B783,'Master data'!$A$1:$D$397,2,FALSE),"")</f>
        <v/>
      </c>
      <c r="D783" s="70" t="str">
        <f>VLOOKUP(B783,Sheet3!$B$2:$E$312,3,)</f>
        <v>#N/A</v>
      </c>
      <c r="E783" s="64"/>
      <c r="F783" s="16" t="str">
        <f>IFERROR(VLOOKUP(B783,'Master data'!$A$1:$D$397,3,FALSE),"")</f>
        <v/>
      </c>
      <c r="G783" s="102"/>
      <c r="H783" s="65"/>
      <c r="I783" s="16"/>
      <c r="J783" s="16"/>
      <c r="K783" s="16" t="b">
        <v>0</v>
      </c>
      <c r="L783" s="16" t="b">
        <v>0</v>
      </c>
    </row>
    <row r="784">
      <c r="A784" s="9"/>
      <c r="B784" s="16"/>
      <c r="C784" s="7" t="str">
        <f>IFERROR(VLOOKUP(B784,'Master data'!$A$1:$D$397,2,FALSE),"")</f>
        <v/>
      </c>
      <c r="D784" s="70" t="str">
        <f>VLOOKUP(B784,Sheet3!$B$2:$E$312,3,)</f>
        <v>#N/A</v>
      </c>
      <c r="E784" s="64"/>
      <c r="F784" s="16" t="str">
        <f>IFERROR(VLOOKUP(B784,'Master data'!$A$1:$D$397,3,FALSE),"")</f>
        <v/>
      </c>
      <c r="G784" s="102"/>
      <c r="H784" s="65"/>
      <c r="I784" s="16"/>
      <c r="J784" s="16"/>
      <c r="K784" s="16" t="b">
        <v>0</v>
      </c>
      <c r="L784" s="16" t="b">
        <v>0</v>
      </c>
    </row>
    <row r="785">
      <c r="A785" s="9"/>
      <c r="B785" s="16"/>
      <c r="C785" s="7" t="str">
        <f>IFERROR(VLOOKUP(B785,'Master data'!$A$1:$D$397,2,FALSE),"")</f>
        <v/>
      </c>
      <c r="D785" s="70" t="str">
        <f>VLOOKUP(B785,Sheet3!$B$2:$E$312,3,)</f>
        <v>#N/A</v>
      </c>
      <c r="E785" s="64"/>
      <c r="F785" s="16" t="str">
        <f>IFERROR(VLOOKUP(B785,'Master data'!$A$1:$D$397,3,FALSE),"")</f>
        <v/>
      </c>
      <c r="G785" s="102"/>
      <c r="H785" s="65"/>
      <c r="I785" s="16"/>
      <c r="J785" s="16"/>
      <c r="K785" s="16" t="b">
        <v>0</v>
      </c>
      <c r="L785" s="16" t="b">
        <v>0</v>
      </c>
    </row>
    <row r="786">
      <c r="A786" s="9"/>
      <c r="B786" s="16"/>
      <c r="C786" s="7" t="str">
        <f>IFERROR(VLOOKUP(B786,'Master data'!$A$1:$D$397,2,FALSE),"")</f>
        <v/>
      </c>
      <c r="D786" s="70" t="str">
        <f>VLOOKUP(B786,Sheet3!$B$2:$E$312,3,)</f>
        <v>#N/A</v>
      </c>
      <c r="E786" s="64"/>
      <c r="F786" s="16" t="str">
        <f>IFERROR(VLOOKUP(B786,'Master data'!$A$1:$D$397,3,FALSE),"")</f>
        <v/>
      </c>
      <c r="G786" s="102"/>
      <c r="H786" s="65"/>
      <c r="I786" s="16"/>
      <c r="J786" s="16"/>
      <c r="K786" s="16" t="b">
        <v>0</v>
      </c>
      <c r="L786" s="16" t="b">
        <v>0</v>
      </c>
    </row>
    <row r="787">
      <c r="A787" s="9"/>
      <c r="B787" s="16"/>
      <c r="C787" s="7" t="str">
        <f>IFERROR(VLOOKUP(B787,'Master data'!$A$1:$D$397,2,FALSE),"")</f>
        <v/>
      </c>
      <c r="D787" s="70" t="str">
        <f>VLOOKUP(B787,Sheet3!$B$2:$E$312,3,)</f>
        <v>#N/A</v>
      </c>
      <c r="E787" s="64"/>
      <c r="F787" s="16" t="str">
        <f>IFERROR(VLOOKUP(B787,'Master data'!$A$1:$D$397,3,FALSE),"")</f>
        <v/>
      </c>
      <c r="G787" s="102"/>
      <c r="H787" s="65"/>
      <c r="I787" s="16"/>
      <c r="J787" s="16"/>
      <c r="K787" s="16" t="b">
        <v>0</v>
      </c>
      <c r="L787" s="16" t="b">
        <v>0</v>
      </c>
    </row>
    <row r="788">
      <c r="A788" s="9"/>
      <c r="B788" s="16"/>
      <c r="C788" s="7" t="str">
        <f>IFERROR(VLOOKUP(B788,'Master data'!$A$1:$D$397,2,FALSE),"")</f>
        <v/>
      </c>
      <c r="D788" s="70" t="str">
        <f>VLOOKUP(B788,Sheet3!$B$2:$E$312,3,)</f>
        <v>#N/A</v>
      </c>
      <c r="E788" s="64"/>
      <c r="F788" s="16" t="str">
        <f>IFERROR(VLOOKUP(B788,'Master data'!$A$1:$D$397,3,FALSE),"")</f>
        <v/>
      </c>
      <c r="G788" s="102"/>
      <c r="H788" s="65"/>
      <c r="I788" s="16"/>
      <c r="J788" s="16"/>
      <c r="K788" s="16" t="b">
        <v>0</v>
      </c>
      <c r="L788" s="16" t="b">
        <v>0</v>
      </c>
    </row>
    <row r="789">
      <c r="A789" s="9"/>
      <c r="B789" s="16"/>
      <c r="C789" s="7" t="str">
        <f>IFERROR(VLOOKUP(B789,'Master data'!$A$1:$D$397,2,FALSE),"")</f>
        <v/>
      </c>
      <c r="D789" s="70" t="str">
        <f>VLOOKUP(B789,Sheet3!$B$2:$E$312,3,)</f>
        <v>#N/A</v>
      </c>
      <c r="E789" s="64"/>
      <c r="F789" s="16" t="str">
        <f>IFERROR(VLOOKUP(B789,'Master data'!$A$1:$D$397,3,FALSE),"")</f>
        <v/>
      </c>
      <c r="G789" s="102"/>
      <c r="H789" s="65"/>
      <c r="I789" s="16"/>
      <c r="J789" s="16"/>
      <c r="K789" s="16" t="b">
        <v>0</v>
      </c>
      <c r="L789" s="16" t="b">
        <v>0</v>
      </c>
    </row>
    <row r="790">
      <c r="A790" s="9"/>
      <c r="B790" s="16"/>
      <c r="C790" s="7" t="str">
        <f>IFERROR(VLOOKUP(B790,'Master data'!$A$1:$D$397,2,FALSE),"")</f>
        <v/>
      </c>
      <c r="D790" s="70" t="str">
        <f>VLOOKUP(B790,Sheet3!$B$2:$E$312,3,)</f>
        <v>#N/A</v>
      </c>
      <c r="E790" s="64"/>
      <c r="F790" s="16" t="str">
        <f>IFERROR(VLOOKUP(B790,'Master data'!$A$1:$D$397,3,FALSE),"")</f>
        <v/>
      </c>
      <c r="G790" s="102"/>
      <c r="H790" s="65"/>
      <c r="I790" s="16"/>
      <c r="J790" s="16"/>
      <c r="K790" s="16" t="b">
        <v>0</v>
      </c>
      <c r="L790" s="16" t="b">
        <v>0</v>
      </c>
    </row>
    <row r="791">
      <c r="A791" s="9"/>
      <c r="B791" s="16"/>
      <c r="C791" s="7" t="str">
        <f>IFERROR(VLOOKUP(B791,'Master data'!$A$1:$D$397,2,FALSE),"")</f>
        <v/>
      </c>
      <c r="D791" s="70" t="str">
        <f>VLOOKUP(B791,Sheet3!$B$2:$E$312,3,)</f>
        <v>#N/A</v>
      </c>
      <c r="E791" s="64"/>
      <c r="F791" s="16" t="str">
        <f>IFERROR(VLOOKUP(B791,'Master data'!$A$1:$D$397,3,FALSE),"")</f>
        <v/>
      </c>
      <c r="G791" s="102"/>
      <c r="H791" s="65"/>
      <c r="I791" s="16"/>
      <c r="J791" s="16"/>
      <c r="K791" s="16" t="b">
        <v>0</v>
      </c>
      <c r="L791" s="16" t="b">
        <v>0</v>
      </c>
    </row>
    <row r="792">
      <c r="A792" s="9"/>
      <c r="B792" s="16"/>
      <c r="C792" s="7" t="str">
        <f>IFERROR(VLOOKUP(B792,'Master data'!$A$1:$D$397,2,FALSE),"")</f>
        <v/>
      </c>
      <c r="D792" s="70" t="str">
        <f>VLOOKUP(B792,Sheet3!$B$2:$E$312,3,)</f>
        <v>#N/A</v>
      </c>
      <c r="E792" s="64"/>
      <c r="F792" s="16" t="str">
        <f>IFERROR(VLOOKUP(B792,'Master data'!$A$1:$D$397,3,FALSE),"")</f>
        <v/>
      </c>
      <c r="G792" s="102"/>
      <c r="H792" s="65"/>
      <c r="I792" s="16"/>
      <c r="J792" s="16"/>
      <c r="K792" s="16" t="b">
        <v>0</v>
      </c>
      <c r="L792" s="16" t="b">
        <v>0</v>
      </c>
    </row>
    <row r="793">
      <c r="A793" s="9"/>
      <c r="B793" s="16"/>
      <c r="C793" s="7" t="str">
        <f>IFERROR(VLOOKUP(B793,'Master data'!$A$1:$D$397,2,FALSE),"")</f>
        <v/>
      </c>
      <c r="D793" s="70" t="str">
        <f>VLOOKUP(B793,Sheet3!$B$2:$E$312,3,)</f>
        <v>#N/A</v>
      </c>
      <c r="E793" s="64"/>
      <c r="F793" s="16" t="str">
        <f>IFERROR(VLOOKUP(B793,'Master data'!$A$1:$D$397,3,FALSE),"")</f>
        <v/>
      </c>
      <c r="G793" s="102"/>
      <c r="H793" s="65"/>
      <c r="I793" s="16"/>
      <c r="J793" s="16"/>
      <c r="K793" s="16" t="b">
        <v>0</v>
      </c>
      <c r="L793" s="16" t="b">
        <v>0</v>
      </c>
    </row>
    <row r="794">
      <c r="A794" s="9"/>
      <c r="B794" s="16"/>
      <c r="C794" s="7" t="str">
        <f>IFERROR(VLOOKUP(B794,'Master data'!$A$1:$D$397,2,FALSE),"")</f>
        <v/>
      </c>
      <c r="D794" s="70" t="str">
        <f>VLOOKUP(B794,Sheet3!$B$2:$E$312,3,)</f>
        <v>#N/A</v>
      </c>
      <c r="E794" s="64"/>
      <c r="F794" s="16" t="str">
        <f>IFERROR(VLOOKUP(B794,'Master data'!$A$1:$D$397,3,FALSE),"")</f>
        <v/>
      </c>
      <c r="G794" s="102"/>
      <c r="H794" s="65"/>
      <c r="I794" s="16"/>
      <c r="J794" s="16"/>
      <c r="K794" s="16" t="b">
        <v>0</v>
      </c>
      <c r="L794" s="16" t="b">
        <v>0</v>
      </c>
    </row>
    <row r="795">
      <c r="A795" s="9"/>
      <c r="B795" s="16"/>
      <c r="C795" s="7" t="str">
        <f>IFERROR(VLOOKUP(B795,'Master data'!$A$1:$D$397,2,FALSE),"")</f>
        <v/>
      </c>
      <c r="D795" s="70" t="str">
        <f>VLOOKUP(B795,Sheet3!$B$2:$E$312,3,)</f>
        <v>#N/A</v>
      </c>
      <c r="E795" s="64"/>
      <c r="F795" s="16" t="str">
        <f>IFERROR(VLOOKUP(B795,'Master data'!$A$1:$D$397,3,FALSE),"")</f>
        <v/>
      </c>
      <c r="G795" s="102"/>
      <c r="H795" s="65"/>
      <c r="I795" s="16"/>
      <c r="J795" s="16"/>
      <c r="K795" s="16" t="b">
        <v>0</v>
      </c>
      <c r="L795" s="16" t="b">
        <v>0</v>
      </c>
    </row>
    <row r="796">
      <c r="A796" s="9"/>
      <c r="B796" s="16"/>
      <c r="C796" s="7" t="str">
        <f>IFERROR(VLOOKUP(B796,'Master data'!$A$1:$D$397,2,FALSE),"")</f>
        <v/>
      </c>
      <c r="D796" s="70" t="str">
        <f>VLOOKUP(B796,Sheet3!$B$2:$E$312,3,)</f>
        <v>#N/A</v>
      </c>
      <c r="E796" s="64"/>
      <c r="F796" s="16" t="str">
        <f>IFERROR(VLOOKUP(B796,'Master data'!$A$1:$D$397,3,FALSE),"")</f>
        <v/>
      </c>
      <c r="G796" s="102"/>
      <c r="H796" s="65"/>
      <c r="I796" s="16"/>
      <c r="J796" s="16"/>
      <c r="K796" s="16" t="b">
        <v>0</v>
      </c>
      <c r="L796" s="16" t="b">
        <v>0</v>
      </c>
    </row>
    <row r="797">
      <c r="A797" s="9"/>
      <c r="B797" s="16"/>
      <c r="C797" s="7" t="str">
        <f>IFERROR(VLOOKUP(B797,'Master data'!$A$1:$D$397,2,FALSE),"")</f>
        <v/>
      </c>
      <c r="D797" s="70" t="str">
        <f>VLOOKUP(B797,Sheet3!$B$2:$E$312,3,)</f>
        <v>#N/A</v>
      </c>
      <c r="E797" s="64"/>
      <c r="F797" s="16" t="str">
        <f>IFERROR(VLOOKUP(B797,'Master data'!$A$1:$D$397,3,FALSE),"")</f>
        <v/>
      </c>
      <c r="G797" s="102"/>
      <c r="H797" s="65"/>
      <c r="I797" s="16"/>
      <c r="J797" s="16"/>
      <c r="K797" s="16" t="b">
        <v>0</v>
      </c>
      <c r="L797" s="16" t="b">
        <v>0</v>
      </c>
    </row>
    <row r="798">
      <c r="A798" s="9"/>
      <c r="B798" s="16"/>
      <c r="C798" s="7" t="str">
        <f>IFERROR(VLOOKUP(B798,'Master data'!$A$1:$D$397,2,FALSE),"")</f>
        <v/>
      </c>
      <c r="D798" s="70" t="str">
        <f>VLOOKUP(B798,Sheet3!$B$2:$E$312,3,)</f>
        <v>#N/A</v>
      </c>
      <c r="E798" s="64"/>
      <c r="F798" s="16" t="str">
        <f>IFERROR(VLOOKUP(B798,'Master data'!$A$1:$D$397,3,FALSE),"")</f>
        <v/>
      </c>
      <c r="G798" s="102"/>
      <c r="H798" s="65"/>
      <c r="I798" s="16"/>
      <c r="J798" s="16"/>
      <c r="K798" s="16" t="b">
        <v>0</v>
      </c>
      <c r="L798" s="16" t="b">
        <v>0</v>
      </c>
    </row>
    <row r="799">
      <c r="A799" s="9"/>
      <c r="B799" s="16"/>
      <c r="C799" s="7" t="str">
        <f>IFERROR(VLOOKUP(B799,'Master data'!$A$1:$D$397,2,FALSE),"")</f>
        <v/>
      </c>
      <c r="D799" s="70" t="str">
        <f>VLOOKUP(B799,Sheet3!$B$2:$E$312,3,)</f>
        <v>#N/A</v>
      </c>
      <c r="E799" s="64"/>
      <c r="F799" s="16" t="str">
        <f>IFERROR(VLOOKUP(B799,'Master data'!$A$1:$D$397,3,FALSE),"")</f>
        <v/>
      </c>
      <c r="G799" s="102"/>
      <c r="H799" s="65"/>
      <c r="I799" s="16"/>
      <c r="J799" s="16"/>
      <c r="K799" s="16" t="b">
        <v>0</v>
      </c>
      <c r="L799" s="16" t="b">
        <v>0</v>
      </c>
    </row>
    <row r="800">
      <c r="A800" s="9"/>
      <c r="B800" s="16"/>
      <c r="C800" s="7" t="str">
        <f>IFERROR(VLOOKUP(B800,'Master data'!$A$1:$D$397,2,FALSE),"")</f>
        <v/>
      </c>
      <c r="D800" s="70" t="str">
        <f>VLOOKUP(B800,Sheet3!$B$2:$E$312,3,)</f>
        <v>#N/A</v>
      </c>
      <c r="E800" s="64"/>
      <c r="F800" s="16" t="str">
        <f>IFERROR(VLOOKUP(B800,'Master data'!$A$1:$D$397,3,FALSE),"")</f>
        <v/>
      </c>
      <c r="G800" s="102"/>
      <c r="H800" s="65"/>
      <c r="I800" s="16"/>
      <c r="J800" s="16"/>
      <c r="K800" s="16" t="b">
        <v>0</v>
      </c>
      <c r="L800" s="16" t="b">
        <v>0</v>
      </c>
    </row>
    <row r="801">
      <c r="A801" s="9"/>
      <c r="B801" s="16"/>
      <c r="C801" s="7" t="str">
        <f>IFERROR(VLOOKUP(B801,'Master data'!$A$1:$D$397,2,FALSE),"")</f>
        <v/>
      </c>
      <c r="D801" s="70" t="str">
        <f>VLOOKUP(B801,Sheet3!$B$2:$E$312,3,)</f>
        <v>#N/A</v>
      </c>
      <c r="E801" s="64"/>
      <c r="F801" s="16" t="str">
        <f>IFERROR(VLOOKUP(B801,'Master data'!$A$1:$D$397,3,FALSE),"")</f>
        <v/>
      </c>
      <c r="G801" s="102"/>
      <c r="H801" s="65"/>
      <c r="I801" s="16"/>
      <c r="J801" s="16"/>
      <c r="K801" s="16" t="b">
        <v>0</v>
      </c>
      <c r="L801" s="16" t="b">
        <v>0</v>
      </c>
    </row>
    <row r="802">
      <c r="A802" s="9"/>
      <c r="B802" s="16"/>
      <c r="C802" s="7" t="str">
        <f>IFERROR(VLOOKUP(B802,'Master data'!$A$1:$D$397,2,FALSE),"")</f>
        <v/>
      </c>
      <c r="D802" s="70" t="str">
        <f>VLOOKUP(B802,Sheet3!$B$2:$E$312,3,)</f>
        <v>#N/A</v>
      </c>
      <c r="E802" s="64"/>
      <c r="F802" s="16" t="str">
        <f>IFERROR(VLOOKUP(B802,'Master data'!$A$1:$D$397,3,FALSE),"")</f>
        <v/>
      </c>
      <c r="G802" s="102"/>
      <c r="H802" s="65"/>
      <c r="I802" s="16"/>
      <c r="J802" s="16"/>
      <c r="K802" s="16" t="b">
        <v>0</v>
      </c>
      <c r="L802" s="16" t="b">
        <v>0</v>
      </c>
    </row>
    <row r="803">
      <c r="A803" s="9"/>
      <c r="B803" s="16"/>
      <c r="C803" s="7" t="str">
        <f>IFERROR(VLOOKUP(B803,'Master data'!$A$1:$D$397,2,FALSE),"")</f>
        <v/>
      </c>
      <c r="D803" s="70" t="str">
        <f>VLOOKUP(B803,Sheet3!$B$2:$E$312,3,)</f>
        <v>#N/A</v>
      </c>
      <c r="E803" s="64"/>
      <c r="F803" s="16" t="str">
        <f>IFERROR(VLOOKUP(B803,'Master data'!$A$1:$D$397,3,FALSE),"")</f>
        <v/>
      </c>
      <c r="G803" s="102"/>
      <c r="H803" s="65"/>
      <c r="I803" s="16"/>
      <c r="J803" s="16"/>
      <c r="K803" s="16" t="b">
        <v>0</v>
      </c>
      <c r="L803" s="16" t="b">
        <v>0</v>
      </c>
    </row>
    <row r="804">
      <c r="A804" s="9"/>
      <c r="B804" s="16"/>
      <c r="C804" s="7" t="str">
        <f>IFERROR(VLOOKUP(B804,'Master data'!$A$1:$D$397,2,FALSE),"")</f>
        <v/>
      </c>
      <c r="D804" s="70" t="str">
        <f>VLOOKUP(B804,Sheet3!$B$2:$E$312,3,)</f>
        <v>#N/A</v>
      </c>
      <c r="E804" s="64"/>
      <c r="F804" s="16" t="str">
        <f>IFERROR(VLOOKUP(B804,'Master data'!$A$1:$D$397,3,FALSE),"")</f>
        <v/>
      </c>
      <c r="G804" s="102"/>
      <c r="H804" s="65"/>
      <c r="I804" s="16"/>
      <c r="J804" s="16"/>
      <c r="K804" s="16" t="b">
        <v>0</v>
      </c>
      <c r="L804" s="16" t="b">
        <v>0</v>
      </c>
    </row>
    <row r="805">
      <c r="A805" s="9"/>
      <c r="B805" s="16"/>
      <c r="C805" s="7" t="str">
        <f>IFERROR(VLOOKUP(B805,'Master data'!$A$1:$D$397,2,FALSE),"")</f>
        <v/>
      </c>
      <c r="D805" s="70" t="str">
        <f>VLOOKUP(B805,Sheet3!$B$2:$E$312,3,)</f>
        <v>#N/A</v>
      </c>
      <c r="E805" s="64"/>
      <c r="F805" s="16" t="str">
        <f>IFERROR(VLOOKUP(B805,'Master data'!$A$1:$D$397,3,FALSE),"")</f>
        <v/>
      </c>
      <c r="G805" s="102"/>
      <c r="H805" s="65"/>
      <c r="I805" s="16"/>
      <c r="J805" s="16"/>
      <c r="K805" s="16" t="b">
        <v>0</v>
      </c>
      <c r="L805" s="16" t="b">
        <v>0</v>
      </c>
    </row>
    <row r="806">
      <c r="A806" s="9"/>
      <c r="B806" s="16"/>
      <c r="C806" s="7" t="str">
        <f>IFERROR(VLOOKUP(B806,'Master data'!$A$1:$D$397,2,FALSE),"")</f>
        <v/>
      </c>
      <c r="D806" s="70" t="str">
        <f>VLOOKUP(B806,Sheet3!$B$2:$E$312,3,)</f>
        <v>#N/A</v>
      </c>
      <c r="E806" s="64"/>
      <c r="F806" s="16" t="str">
        <f>IFERROR(VLOOKUP(B806,'Master data'!$A$1:$D$397,3,FALSE),"")</f>
        <v/>
      </c>
      <c r="G806" s="102"/>
      <c r="H806" s="65"/>
      <c r="I806" s="16"/>
      <c r="J806" s="16"/>
      <c r="K806" s="16" t="b">
        <v>0</v>
      </c>
      <c r="L806" s="16" t="b">
        <v>0</v>
      </c>
    </row>
    <row r="807">
      <c r="A807" s="9"/>
      <c r="B807" s="16"/>
      <c r="C807" s="7" t="str">
        <f>IFERROR(VLOOKUP(B807,'Master data'!$A$1:$D$397,2,FALSE),"")</f>
        <v/>
      </c>
      <c r="D807" s="70" t="str">
        <f>VLOOKUP(B807,Sheet3!$B$2:$E$312,3,)</f>
        <v>#N/A</v>
      </c>
      <c r="E807" s="64"/>
      <c r="F807" s="16" t="str">
        <f>IFERROR(VLOOKUP(B807,'Master data'!$A$1:$D$397,3,FALSE),"")</f>
        <v/>
      </c>
      <c r="G807" s="102"/>
      <c r="H807" s="65"/>
      <c r="I807" s="16"/>
      <c r="J807" s="16"/>
      <c r="K807" s="16" t="b">
        <v>0</v>
      </c>
      <c r="L807" s="16" t="b">
        <v>0</v>
      </c>
    </row>
    <row r="808">
      <c r="A808" s="9"/>
      <c r="B808" s="16"/>
      <c r="C808" s="7" t="str">
        <f>IFERROR(VLOOKUP(B808,'Master data'!$A$1:$D$397,2,FALSE),"")</f>
        <v/>
      </c>
      <c r="D808" s="70" t="str">
        <f>VLOOKUP(B808,Sheet3!$B$2:$E$312,3,)</f>
        <v>#N/A</v>
      </c>
      <c r="E808" s="64"/>
      <c r="F808" s="16" t="str">
        <f>IFERROR(VLOOKUP(B808,'Master data'!$A$1:$D$397,3,FALSE),"")</f>
        <v/>
      </c>
      <c r="G808" s="102"/>
      <c r="H808" s="65"/>
      <c r="I808" s="16"/>
      <c r="J808" s="16"/>
      <c r="K808" s="16" t="b">
        <v>0</v>
      </c>
      <c r="L808" s="16" t="b">
        <v>0</v>
      </c>
    </row>
    <row r="809">
      <c r="A809" s="9"/>
      <c r="B809" s="16"/>
      <c r="C809" s="7" t="str">
        <f>IFERROR(VLOOKUP(B809,'Master data'!$A$1:$D$397,2,FALSE),"")</f>
        <v/>
      </c>
      <c r="D809" s="70" t="str">
        <f>VLOOKUP(B809,Sheet3!$B$2:$E$312,3,)</f>
        <v>#N/A</v>
      </c>
      <c r="E809" s="64"/>
      <c r="F809" s="16" t="str">
        <f>IFERROR(VLOOKUP(B809,'Master data'!$A$1:$D$397,3,FALSE),"")</f>
        <v/>
      </c>
      <c r="G809" s="102"/>
      <c r="H809" s="65"/>
      <c r="I809" s="16"/>
      <c r="J809" s="16"/>
      <c r="K809" s="16" t="b">
        <v>0</v>
      </c>
      <c r="L809" s="16" t="b">
        <v>0</v>
      </c>
    </row>
    <row r="810">
      <c r="A810" s="9"/>
      <c r="B810" s="16"/>
      <c r="C810" s="7" t="str">
        <f>IFERROR(VLOOKUP(B810,'Master data'!$A$1:$D$397,2,FALSE),"")</f>
        <v/>
      </c>
      <c r="D810" s="70" t="str">
        <f>VLOOKUP(B810,Sheet3!$B$2:$E$312,3,)</f>
        <v>#N/A</v>
      </c>
      <c r="E810" s="64"/>
      <c r="F810" s="16" t="str">
        <f>IFERROR(VLOOKUP(B810,'Master data'!$A$1:$D$397,3,FALSE),"")</f>
        <v/>
      </c>
      <c r="G810" s="102"/>
      <c r="H810" s="65"/>
      <c r="I810" s="16"/>
      <c r="J810" s="16"/>
      <c r="K810" s="16" t="b">
        <v>0</v>
      </c>
      <c r="L810" s="16" t="b">
        <v>0</v>
      </c>
    </row>
    <row r="811">
      <c r="A811" s="9"/>
      <c r="B811" s="16"/>
      <c r="C811" s="7" t="str">
        <f>IFERROR(VLOOKUP(B811,'Master data'!$A$1:$D$397,2,FALSE),"")</f>
        <v/>
      </c>
      <c r="D811" s="70" t="str">
        <f>VLOOKUP(B811,Sheet3!$B$2:$E$312,3,)</f>
        <v>#N/A</v>
      </c>
      <c r="E811" s="64"/>
      <c r="F811" s="16" t="str">
        <f>IFERROR(VLOOKUP(B811,'Master data'!$A$1:$D$397,3,FALSE),"")</f>
        <v/>
      </c>
      <c r="G811" s="102"/>
      <c r="H811" s="65"/>
      <c r="I811" s="16"/>
      <c r="J811" s="16"/>
      <c r="K811" s="16" t="b">
        <v>0</v>
      </c>
      <c r="L811" s="16" t="b">
        <v>0</v>
      </c>
    </row>
    <row r="812">
      <c r="A812" s="9"/>
      <c r="B812" s="16"/>
      <c r="C812" s="7" t="str">
        <f>IFERROR(VLOOKUP(B812,'Master data'!$A$1:$D$397,2,FALSE),"")</f>
        <v/>
      </c>
      <c r="D812" s="70" t="str">
        <f>VLOOKUP(B812,Sheet3!$B$2:$E$312,3,)</f>
        <v>#N/A</v>
      </c>
      <c r="E812" s="64"/>
      <c r="F812" s="16" t="str">
        <f>IFERROR(VLOOKUP(B812,'Master data'!$A$1:$D$397,3,FALSE),"")</f>
        <v/>
      </c>
      <c r="G812" s="102"/>
      <c r="H812" s="65"/>
      <c r="I812" s="16"/>
      <c r="J812" s="16"/>
      <c r="K812" s="16" t="b">
        <v>0</v>
      </c>
      <c r="L812" s="16" t="b">
        <v>0</v>
      </c>
    </row>
    <row r="813">
      <c r="A813" s="9"/>
      <c r="B813" s="16"/>
      <c r="C813" s="7" t="str">
        <f>IFERROR(VLOOKUP(B813,'Master data'!$A$1:$D$397,2,FALSE),"")</f>
        <v/>
      </c>
      <c r="D813" s="70" t="str">
        <f>VLOOKUP(B813,Sheet3!$B$2:$E$312,3,)</f>
        <v>#N/A</v>
      </c>
      <c r="E813" s="64"/>
      <c r="F813" s="16" t="str">
        <f>IFERROR(VLOOKUP(B813,'Master data'!$A$1:$D$397,3,FALSE),"")</f>
        <v/>
      </c>
      <c r="G813" s="102"/>
      <c r="H813" s="65"/>
      <c r="I813" s="16"/>
      <c r="J813" s="16"/>
      <c r="K813" s="16" t="b">
        <v>0</v>
      </c>
      <c r="L813" s="16" t="b">
        <v>0</v>
      </c>
    </row>
    <row r="814">
      <c r="A814" s="9"/>
      <c r="B814" s="16"/>
      <c r="C814" s="7" t="str">
        <f>IFERROR(VLOOKUP(B814,'Master data'!$A$1:$D$397,2,FALSE),"")</f>
        <v/>
      </c>
      <c r="D814" s="70" t="str">
        <f>VLOOKUP(B814,Sheet3!$B$2:$E$312,3,)</f>
        <v>#N/A</v>
      </c>
      <c r="E814" s="64"/>
      <c r="F814" s="16" t="str">
        <f>IFERROR(VLOOKUP(B814,'Master data'!$A$1:$D$397,3,FALSE),"")</f>
        <v/>
      </c>
      <c r="G814" s="102"/>
      <c r="H814" s="65"/>
      <c r="I814" s="16"/>
      <c r="J814" s="16"/>
      <c r="K814" s="16" t="b">
        <v>0</v>
      </c>
      <c r="L814" s="16" t="b">
        <v>0</v>
      </c>
    </row>
    <row r="815">
      <c r="A815" s="9"/>
      <c r="B815" s="16"/>
      <c r="C815" s="7" t="str">
        <f>IFERROR(VLOOKUP(B815,'Master data'!$A$1:$D$397,2,FALSE),"")</f>
        <v/>
      </c>
      <c r="D815" s="70" t="str">
        <f>VLOOKUP(B815,Sheet3!$B$2:$E$312,3,)</f>
        <v>#N/A</v>
      </c>
      <c r="E815" s="64"/>
      <c r="F815" s="16" t="str">
        <f>IFERROR(VLOOKUP(B815,'Master data'!$A$1:$D$397,3,FALSE),"")</f>
        <v/>
      </c>
      <c r="G815" s="102"/>
      <c r="H815" s="65"/>
      <c r="I815" s="16"/>
      <c r="J815" s="16"/>
      <c r="K815" s="16" t="b">
        <v>0</v>
      </c>
      <c r="L815" s="16" t="b">
        <v>0</v>
      </c>
    </row>
    <row r="816">
      <c r="A816" s="9"/>
      <c r="B816" s="16"/>
      <c r="C816" s="7" t="str">
        <f>IFERROR(VLOOKUP(B816,'Master data'!$A$1:$D$397,2,FALSE),"")</f>
        <v/>
      </c>
      <c r="D816" s="70" t="str">
        <f>VLOOKUP(B816,Sheet3!$B$2:$E$312,3,)</f>
        <v>#N/A</v>
      </c>
      <c r="E816" s="64"/>
      <c r="F816" s="16" t="str">
        <f>IFERROR(VLOOKUP(B816,'Master data'!$A$1:$D$397,3,FALSE),"")</f>
        <v/>
      </c>
      <c r="G816" s="102"/>
      <c r="H816" s="65"/>
      <c r="I816" s="16"/>
      <c r="J816" s="16"/>
      <c r="K816" s="16" t="b">
        <v>0</v>
      </c>
      <c r="L816" s="16" t="b">
        <v>0</v>
      </c>
    </row>
    <row r="817">
      <c r="A817" s="9"/>
      <c r="B817" s="16"/>
      <c r="C817" s="7" t="str">
        <f>IFERROR(VLOOKUP(B817,'Master data'!$A$1:$D$397,2,FALSE),"")</f>
        <v/>
      </c>
      <c r="D817" s="70" t="str">
        <f>VLOOKUP(B817,Sheet3!$B$2:$E$312,3,)</f>
        <v>#N/A</v>
      </c>
      <c r="E817" s="64"/>
      <c r="F817" s="16" t="str">
        <f>IFERROR(VLOOKUP(B817,'Master data'!$A$1:$D$397,3,FALSE),"")</f>
        <v/>
      </c>
      <c r="G817" s="102"/>
      <c r="H817" s="65"/>
      <c r="I817" s="16"/>
      <c r="J817" s="16"/>
      <c r="K817" s="16" t="b">
        <v>0</v>
      </c>
      <c r="L817" s="16" t="b">
        <v>0</v>
      </c>
    </row>
    <row r="818">
      <c r="A818" s="9"/>
      <c r="B818" s="16"/>
      <c r="C818" s="7" t="str">
        <f>IFERROR(VLOOKUP(B818,'Master data'!$A$1:$D$397,2,FALSE),"")</f>
        <v/>
      </c>
      <c r="D818" s="70" t="str">
        <f>VLOOKUP(B818,Sheet3!$B$2:$E$312,3,)</f>
        <v>#N/A</v>
      </c>
      <c r="E818" s="64"/>
      <c r="F818" s="16" t="str">
        <f>IFERROR(VLOOKUP(B818,'Master data'!$A$1:$D$397,3,FALSE),"")</f>
        <v/>
      </c>
      <c r="G818" s="102"/>
      <c r="H818" s="65"/>
      <c r="I818" s="16"/>
      <c r="J818" s="16"/>
      <c r="K818" s="16" t="b">
        <v>0</v>
      </c>
      <c r="L818" s="16" t="b">
        <v>0</v>
      </c>
    </row>
    <row r="819">
      <c r="A819" s="9"/>
      <c r="B819" s="16"/>
      <c r="C819" s="7" t="str">
        <f>IFERROR(VLOOKUP(B819,'Master data'!$A$1:$D$397,2,FALSE),"")</f>
        <v/>
      </c>
      <c r="D819" s="70" t="str">
        <f>VLOOKUP(B819,Sheet3!$B$2:$E$312,3,)</f>
        <v>#N/A</v>
      </c>
      <c r="E819" s="64"/>
      <c r="F819" s="16" t="str">
        <f>IFERROR(VLOOKUP(B819,'Master data'!$A$1:$D$397,3,FALSE),"")</f>
        <v/>
      </c>
      <c r="G819" s="102"/>
      <c r="H819" s="65"/>
      <c r="I819" s="16"/>
      <c r="J819" s="16"/>
      <c r="K819" s="16" t="b">
        <v>0</v>
      </c>
      <c r="L819" s="16" t="b">
        <v>0</v>
      </c>
    </row>
    <row r="820">
      <c r="A820" s="9"/>
      <c r="B820" s="16"/>
      <c r="C820" s="7" t="str">
        <f>IFERROR(VLOOKUP(B820,'Master data'!$A$1:$D$397,2,FALSE),"")</f>
        <v/>
      </c>
      <c r="D820" s="70" t="str">
        <f>VLOOKUP(B820,Sheet3!$B$2:$E$312,3,)</f>
        <v>#N/A</v>
      </c>
      <c r="E820" s="64"/>
      <c r="F820" s="16" t="str">
        <f>IFERROR(VLOOKUP(B820,'Master data'!$A$1:$D$397,3,FALSE),"")</f>
        <v/>
      </c>
      <c r="G820" s="102"/>
      <c r="H820" s="65"/>
      <c r="I820" s="16"/>
      <c r="J820" s="16"/>
      <c r="K820" s="16" t="b">
        <v>0</v>
      </c>
      <c r="L820" s="16" t="b">
        <v>0</v>
      </c>
    </row>
    <row r="821">
      <c r="A821" s="9"/>
      <c r="B821" s="16"/>
      <c r="C821" s="7" t="str">
        <f>IFERROR(VLOOKUP(B821,'Master data'!$A$1:$D$397,2,FALSE),"")</f>
        <v/>
      </c>
      <c r="D821" s="70" t="str">
        <f>VLOOKUP(B821,Sheet3!$B$2:$E$312,3,)</f>
        <v>#N/A</v>
      </c>
      <c r="E821" s="64"/>
      <c r="F821" s="16" t="str">
        <f>IFERROR(VLOOKUP(B821,'Master data'!$A$1:$D$397,3,FALSE),"")</f>
        <v/>
      </c>
      <c r="G821" s="102"/>
      <c r="H821" s="65"/>
      <c r="I821" s="16"/>
      <c r="J821" s="16"/>
      <c r="K821" s="16" t="b">
        <v>0</v>
      </c>
      <c r="L821" s="16" t="b">
        <v>0</v>
      </c>
    </row>
    <row r="822">
      <c r="A822" s="9"/>
      <c r="B822" s="16"/>
      <c r="C822" s="7" t="str">
        <f>IFERROR(VLOOKUP(B822,'Master data'!$A$1:$D$397,2,FALSE),"")</f>
        <v/>
      </c>
      <c r="D822" s="70" t="str">
        <f>VLOOKUP(B822,Sheet3!$B$2:$E$312,3,)</f>
        <v>#N/A</v>
      </c>
      <c r="E822" s="64"/>
      <c r="F822" s="16" t="str">
        <f>IFERROR(VLOOKUP(B822,'Master data'!$A$1:$D$397,3,FALSE),"")</f>
        <v/>
      </c>
      <c r="G822" s="102"/>
      <c r="H822" s="65"/>
      <c r="I822" s="16"/>
      <c r="J822" s="16"/>
      <c r="K822" s="16" t="b">
        <v>0</v>
      </c>
      <c r="L822" s="16" t="b">
        <v>0</v>
      </c>
    </row>
    <row r="823">
      <c r="A823" s="9"/>
      <c r="B823" s="16"/>
      <c r="C823" s="7" t="str">
        <f>IFERROR(VLOOKUP(B823,'Master data'!$A$1:$D$397,2,FALSE),"")</f>
        <v/>
      </c>
      <c r="D823" s="70" t="str">
        <f>VLOOKUP(B823,Sheet3!$B$2:$E$312,3,)</f>
        <v>#N/A</v>
      </c>
      <c r="E823" s="64"/>
      <c r="F823" s="16" t="str">
        <f>IFERROR(VLOOKUP(B823,'Master data'!$A$1:$D$397,3,FALSE),"")</f>
        <v/>
      </c>
      <c r="G823" s="102"/>
      <c r="H823" s="65"/>
      <c r="I823" s="16"/>
      <c r="J823" s="16"/>
      <c r="K823" s="16" t="b">
        <v>0</v>
      </c>
      <c r="L823" s="16" t="b">
        <v>0</v>
      </c>
    </row>
    <row r="824">
      <c r="A824" s="9"/>
      <c r="B824" s="16"/>
      <c r="C824" s="7" t="str">
        <f>IFERROR(VLOOKUP(B824,'Master data'!$A$1:$D$397,2,FALSE),"")</f>
        <v/>
      </c>
      <c r="D824" s="70" t="str">
        <f>VLOOKUP(B824,Sheet3!$B$2:$E$312,3,)</f>
        <v>#N/A</v>
      </c>
      <c r="E824" s="64"/>
      <c r="F824" s="16" t="str">
        <f>IFERROR(VLOOKUP(B824,'Master data'!$A$1:$D$397,3,FALSE),"")</f>
        <v/>
      </c>
      <c r="G824" s="102"/>
      <c r="H824" s="65"/>
      <c r="I824" s="16"/>
      <c r="J824" s="16"/>
      <c r="K824" s="16" t="b">
        <v>0</v>
      </c>
      <c r="L824" s="16" t="b">
        <v>0</v>
      </c>
    </row>
    <row r="825">
      <c r="A825" s="9"/>
      <c r="B825" s="16"/>
      <c r="C825" s="7" t="str">
        <f>IFERROR(VLOOKUP(B825,'Master data'!$A$1:$D$397,2,FALSE),"")</f>
        <v/>
      </c>
      <c r="D825" s="70" t="str">
        <f>VLOOKUP(B825,Sheet3!$B$2:$E$312,3,)</f>
        <v>#N/A</v>
      </c>
      <c r="E825" s="64"/>
      <c r="F825" s="16" t="str">
        <f>IFERROR(VLOOKUP(B825,'Master data'!$A$1:$D$397,3,FALSE),"")</f>
        <v/>
      </c>
      <c r="G825" s="102"/>
      <c r="H825" s="65"/>
      <c r="I825" s="16"/>
      <c r="J825" s="16"/>
      <c r="K825" s="16" t="b">
        <v>0</v>
      </c>
      <c r="L825" s="16" t="b">
        <v>0</v>
      </c>
    </row>
    <row r="826">
      <c r="A826" s="9"/>
      <c r="B826" s="16"/>
      <c r="C826" s="7" t="str">
        <f>IFERROR(VLOOKUP(B826,'Master data'!$A$1:$D$397,2,FALSE),"")</f>
        <v/>
      </c>
      <c r="D826" s="70" t="str">
        <f>VLOOKUP(B826,Sheet3!$B$2:$E$312,3,)</f>
        <v>#N/A</v>
      </c>
      <c r="E826" s="64"/>
      <c r="F826" s="16" t="str">
        <f>IFERROR(VLOOKUP(B826,'Master data'!$A$1:$D$397,3,FALSE),"")</f>
        <v/>
      </c>
      <c r="G826" s="102"/>
      <c r="H826" s="65"/>
      <c r="I826" s="16"/>
      <c r="J826" s="16"/>
      <c r="K826" s="16" t="b">
        <v>0</v>
      </c>
      <c r="L826" s="16" t="b">
        <v>0</v>
      </c>
    </row>
    <row r="827">
      <c r="A827" s="9"/>
      <c r="B827" s="16"/>
      <c r="C827" s="7" t="str">
        <f>IFERROR(VLOOKUP(B827,'Master data'!$A$1:$D$397,2,FALSE),"")</f>
        <v/>
      </c>
      <c r="D827" s="70" t="str">
        <f>VLOOKUP(B827,Sheet3!$B$2:$E$312,3,)</f>
        <v>#N/A</v>
      </c>
      <c r="E827" s="64"/>
      <c r="F827" s="16" t="str">
        <f>IFERROR(VLOOKUP(B827,'Master data'!$A$1:$D$397,3,FALSE),"")</f>
        <v/>
      </c>
      <c r="G827" s="102"/>
      <c r="H827" s="65"/>
      <c r="I827" s="16"/>
      <c r="J827" s="16"/>
      <c r="K827" s="16" t="b">
        <v>0</v>
      </c>
      <c r="L827" s="16" t="b">
        <v>0</v>
      </c>
    </row>
    <row r="828">
      <c r="A828" s="9"/>
      <c r="B828" s="16"/>
      <c r="C828" s="7" t="str">
        <f>IFERROR(VLOOKUP(B828,'Master data'!$A$1:$D$397,2,FALSE),"")</f>
        <v/>
      </c>
      <c r="D828" s="70" t="str">
        <f>VLOOKUP(B828,Sheet3!$B$2:$E$312,3,)</f>
        <v>#N/A</v>
      </c>
      <c r="E828" s="64"/>
      <c r="F828" s="16" t="str">
        <f>IFERROR(VLOOKUP(B828,'Master data'!$A$1:$D$397,3,FALSE),"")</f>
        <v/>
      </c>
      <c r="G828" s="102"/>
      <c r="H828" s="65"/>
      <c r="I828" s="16"/>
      <c r="J828" s="16"/>
      <c r="K828" s="16" t="b">
        <v>0</v>
      </c>
      <c r="L828" s="16" t="b">
        <v>0</v>
      </c>
    </row>
    <row r="829">
      <c r="A829" s="9"/>
      <c r="B829" s="16"/>
      <c r="C829" s="7" t="str">
        <f>IFERROR(VLOOKUP(B829,'Master data'!$A$1:$D$397,2,FALSE),"")</f>
        <v/>
      </c>
      <c r="D829" s="70" t="str">
        <f>VLOOKUP(B829,Sheet3!$B$2:$E$312,3,)</f>
        <v>#N/A</v>
      </c>
      <c r="E829" s="64"/>
      <c r="F829" s="16" t="str">
        <f>IFERROR(VLOOKUP(B829,'Master data'!$A$1:$D$397,3,FALSE),"")</f>
        <v/>
      </c>
      <c r="G829" s="102"/>
      <c r="H829" s="65"/>
      <c r="I829" s="16"/>
      <c r="J829" s="16"/>
      <c r="K829" s="16" t="b">
        <v>0</v>
      </c>
      <c r="L829" s="16" t="b">
        <v>0</v>
      </c>
    </row>
    <row r="830">
      <c r="A830" s="9"/>
      <c r="B830" s="16"/>
      <c r="C830" s="7" t="str">
        <f>IFERROR(VLOOKUP(B830,'Master data'!$A$1:$D$397,2,FALSE),"")</f>
        <v/>
      </c>
      <c r="D830" s="70" t="str">
        <f>VLOOKUP(B830,Sheet3!$B$2:$E$312,3,)</f>
        <v>#N/A</v>
      </c>
      <c r="E830" s="64"/>
      <c r="F830" s="16" t="str">
        <f>IFERROR(VLOOKUP(B830,'Master data'!$A$1:$D$397,3,FALSE),"")</f>
        <v/>
      </c>
      <c r="G830" s="102"/>
      <c r="H830" s="65"/>
      <c r="I830" s="16"/>
      <c r="J830" s="16"/>
      <c r="K830" s="16" t="b">
        <v>0</v>
      </c>
      <c r="L830" s="16" t="b">
        <v>0</v>
      </c>
    </row>
    <row r="831">
      <c r="A831" s="9"/>
      <c r="B831" s="16"/>
      <c r="C831" s="7" t="str">
        <f>IFERROR(VLOOKUP(B831,'Master data'!$A$1:$D$397,2,FALSE),"")</f>
        <v/>
      </c>
      <c r="D831" s="70" t="str">
        <f>VLOOKUP(B831,Sheet3!$B$2:$E$312,3,)</f>
        <v>#N/A</v>
      </c>
      <c r="E831" s="64"/>
      <c r="F831" s="16" t="str">
        <f>IFERROR(VLOOKUP(B831,'Master data'!$A$1:$D$397,3,FALSE),"")</f>
        <v/>
      </c>
      <c r="G831" s="102"/>
      <c r="H831" s="65"/>
      <c r="I831" s="16"/>
      <c r="J831" s="16"/>
      <c r="K831" s="16" t="b">
        <v>0</v>
      </c>
      <c r="L831" s="16" t="b">
        <v>0</v>
      </c>
    </row>
    <row r="832">
      <c r="A832" s="9"/>
      <c r="B832" s="16"/>
      <c r="C832" s="7" t="str">
        <f>IFERROR(VLOOKUP(B832,'Master data'!$A$1:$D$397,2,FALSE),"")</f>
        <v/>
      </c>
      <c r="D832" s="70" t="str">
        <f>VLOOKUP(B832,Sheet3!$B$2:$E$312,3,)</f>
        <v>#N/A</v>
      </c>
      <c r="E832" s="64"/>
      <c r="F832" s="16" t="str">
        <f>IFERROR(VLOOKUP(B832,'Master data'!$A$1:$D$397,3,FALSE),"")</f>
        <v/>
      </c>
      <c r="G832" s="102"/>
      <c r="H832" s="65"/>
      <c r="I832" s="16"/>
      <c r="J832" s="16"/>
      <c r="K832" s="16" t="b">
        <v>0</v>
      </c>
      <c r="L832" s="16" t="b">
        <v>0</v>
      </c>
    </row>
    <row r="833">
      <c r="A833" s="9"/>
      <c r="B833" s="16"/>
      <c r="C833" s="7" t="str">
        <f>IFERROR(VLOOKUP(B833,'Master data'!$A$1:$D$397,2,FALSE),"")</f>
        <v/>
      </c>
      <c r="D833" s="70" t="str">
        <f>VLOOKUP(B833,Sheet3!$B$2:$E$312,3,)</f>
        <v>#N/A</v>
      </c>
      <c r="E833" s="64"/>
      <c r="F833" s="16" t="str">
        <f>IFERROR(VLOOKUP(B833,'Master data'!$A$1:$D$397,3,FALSE),"")</f>
        <v/>
      </c>
      <c r="G833" s="102"/>
      <c r="H833" s="65"/>
      <c r="I833" s="16"/>
      <c r="J833" s="16"/>
      <c r="K833" s="16" t="b">
        <v>0</v>
      </c>
      <c r="L833" s="16" t="b">
        <v>0</v>
      </c>
    </row>
    <row r="834">
      <c r="A834" s="9"/>
      <c r="B834" s="16"/>
      <c r="C834" s="7" t="str">
        <f>IFERROR(VLOOKUP(B834,'Master data'!$A$1:$D$397,2,FALSE),"")</f>
        <v/>
      </c>
      <c r="D834" s="70" t="str">
        <f>VLOOKUP(B834,Sheet3!$B$2:$E$312,3,)</f>
        <v>#N/A</v>
      </c>
      <c r="E834" s="64"/>
      <c r="F834" s="16" t="str">
        <f>IFERROR(VLOOKUP(B834,'Master data'!$A$1:$D$397,3,FALSE),"")</f>
        <v/>
      </c>
      <c r="G834" s="102"/>
      <c r="H834" s="65"/>
      <c r="I834" s="16"/>
      <c r="J834" s="16"/>
      <c r="K834" s="16" t="b">
        <v>0</v>
      </c>
      <c r="L834" s="16" t="b">
        <v>0</v>
      </c>
    </row>
    <row r="835">
      <c r="A835" s="9"/>
      <c r="B835" s="16"/>
      <c r="C835" s="7" t="str">
        <f>IFERROR(VLOOKUP(B835,'Master data'!$A$1:$D$397,2,FALSE),"")</f>
        <v/>
      </c>
      <c r="D835" s="70" t="str">
        <f>VLOOKUP(B835,Sheet3!$B$2:$E$312,3,)</f>
        <v>#N/A</v>
      </c>
      <c r="E835" s="64"/>
      <c r="F835" s="16" t="str">
        <f>IFERROR(VLOOKUP(B835,'Master data'!$A$1:$D$397,3,FALSE),"")</f>
        <v/>
      </c>
      <c r="G835" s="102"/>
      <c r="H835" s="65"/>
      <c r="I835" s="16"/>
      <c r="J835" s="16"/>
      <c r="K835" s="16" t="b">
        <v>0</v>
      </c>
      <c r="L835" s="16" t="b">
        <v>0</v>
      </c>
    </row>
    <row r="836">
      <c r="A836" s="9"/>
      <c r="B836" s="16"/>
      <c r="C836" s="7" t="str">
        <f>IFERROR(VLOOKUP(B836,'Master data'!$A$1:$D$397,2,FALSE),"")</f>
        <v/>
      </c>
      <c r="D836" s="70" t="str">
        <f>VLOOKUP(B836,Sheet3!$B$2:$E$312,3,)</f>
        <v>#N/A</v>
      </c>
      <c r="E836" s="64"/>
      <c r="F836" s="16" t="str">
        <f>IFERROR(VLOOKUP(B836,'Master data'!$A$1:$D$397,3,FALSE),"")</f>
        <v/>
      </c>
      <c r="G836" s="102"/>
      <c r="H836" s="65"/>
      <c r="I836" s="16"/>
      <c r="J836" s="16"/>
      <c r="K836" s="16" t="b">
        <v>0</v>
      </c>
      <c r="L836" s="16" t="b">
        <v>0</v>
      </c>
    </row>
    <row r="837">
      <c r="A837" s="9"/>
      <c r="B837" s="16"/>
      <c r="C837" s="7" t="str">
        <f>IFERROR(VLOOKUP(B837,'Master data'!$A$1:$D$397,2,FALSE),"")</f>
        <v/>
      </c>
      <c r="D837" s="70" t="str">
        <f>VLOOKUP(B837,Sheet3!$B$2:$E$312,3,)</f>
        <v>#N/A</v>
      </c>
      <c r="E837" s="64"/>
      <c r="F837" s="16" t="str">
        <f>IFERROR(VLOOKUP(B837,'Master data'!$A$1:$D$397,3,FALSE),"")</f>
        <v/>
      </c>
      <c r="G837" s="102"/>
      <c r="H837" s="65"/>
      <c r="I837" s="16"/>
      <c r="J837" s="16"/>
      <c r="K837" s="16" t="b">
        <v>0</v>
      </c>
      <c r="L837" s="16" t="b">
        <v>0</v>
      </c>
    </row>
    <row r="838">
      <c r="A838" s="9"/>
      <c r="B838" s="16"/>
      <c r="C838" s="7" t="str">
        <f>IFERROR(VLOOKUP(B838,'Master data'!$A$1:$D$397,2,FALSE),"")</f>
        <v/>
      </c>
      <c r="D838" s="70" t="str">
        <f>VLOOKUP(B838,Sheet3!$B$2:$E$312,3,)</f>
        <v>#N/A</v>
      </c>
      <c r="E838" s="64"/>
      <c r="F838" s="16" t="str">
        <f>IFERROR(VLOOKUP(B838,'Master data'!$A$1:$D$397,3,FALSE),"")</f>
        <v/>
      </c>
      <c r="G838" s="102"/>
      <c r="H838" s="65"/>
      <c r="I838" s="16"/>
      <c r="J838" s="16"/>
      <c r="K838" s="16" t="b">
        <v>0</v>
      </c>
      <c r="L838" s="16" t="b">
        <v>0</v>
      </c>
    </row>
    <row r="839">
      <c r="A839" s="9"/>
      <c r="B839" s="16"/>
      <c r="C839" s="7" t="str">
        <f>IFERROR(VLOOKUP(B839,'Master data'!$A$1:$D$397,2,FALSE),"")</f>
        <v/>
      </c>
      <c r="D839" s="70" t="str">
        <f>VLOOKUP(B839,Sheet3!$B$2:$E$312,3,)</f>
        <v>#N/A</v>
      </c>
      <c r="E839" s="64"/>
      <c r="F839" s="16" t="str">
        <f>IFERROR(VLOOKUP(B839,'Master data'!$A$1:$D$397,3,FALSE),"")</f>
        <v/>
      </c>
      <c r="G839" s="102"/>
      <c r="H839" s="65"/>
      <c r="I839" s="16"/>
      <c r="J839" s="16"/>
      <c r="K839" s="16" t="b">
        <v>0</v>
      </c>
      <c r="L839" s="16" t="b">
        <v>0</v>
      </c>
    </row>
    <row r="840">
      <c r="A840" s="9"/>
      <c r="B840" s="16"/>
      <c r="C840" s="7" t="str">
        <f>IFERROR(VLOOKUP(B840,'Master data'!$A$1:$D$397,2,FALSE),"")</f>
        <v/>
      </c>
      <c r="D840" s="70" t="str">
        <f>VLOOKUP(B840,Sheet3!$B$2:$E$312,3,)</f>
        <v>#N/A</v>
      </c>
      <c r="E840" s="64"/>
      <c r="F840" s="16" t="str">
        <f>IFERROR(VLOOKUP(B840,'Master data'!$A$1:$D$397,3,FALSE),"")</f>
        <v/>
      </c>
      <c r="G840" s="102"/>
      <c r="H840" s="65"/>
      <c r="I840" s="16"/>
      <c r="J840" s="16"/>
      <c r="K840" s="16" t="b">
        <v>0</v>
      </c>
      <c r="L840" s="16" t="b">
        <v>0</v>
      </c>
    </row>
    <row r="841">
      <c r="A841" s="9"/>
      <c r="B841" s="16"/>
      <c r="C841" s="7" t="str">
        <f>IFERROR(VLOOKUP(B841,'Master data'!$A$1:$D$397,2,FALSE),"")</f>
        <v/>
      </c>
      <c r="D841" s="70" t="str">
        <f>VLOOKUP(B841,Sheet3!$B$2:$E$312,3,)</f>
        <v>#N/A</v>
      </c>
      <c r="E841" s="64"/>
      <c r="F841" s="16" t="str">
        <f>IFERROR(VLOOKUP(B841,'Master data'!$A$1:$D$397,3,FALSE),"")</f>
        <v/>
      </c>
      <c r="G841" s="102"/>
      <c r="H841" s="65"/>
      <c r="I841" s="16"/>
      <c r="J841" s="16"/>
      <c r="K841" s="16" t="b">
        <v>0</v>
      </c>
      <c r="L841" s="16" t="b">
        <v>0</v>
      </c>
    </row>
    <row r="842">
      <c r="A842" s="9"/>
      <c r="B842" s="16"/>
      <c r="C842" s="7" t="str">
        <f>IFERROR(VLOOKUP(B842,'Master data'!$A$1:$D$397,2,FALSE),"")</f>
        <v/>
      </c>
      <c r="D842" s="70" t="str">
        <f>VLOOKUP(B842,Sheet3!$B$2:$E$312,3,)</f>
        <v>#N/A</v>
      </c>
      <c r="E842" s="64"/>
      <c r="F842" s="16" t="str">
        <f>IFERROR(VLOOKUP(B842,'Master data'!$A$1:$D$397,3,FALSE),"")</f>
        <v/>
      </c>
      <c r="G842" s="102"/>
      <c r="H842" s="65"/>
      <c r="I842" s="16"/>
      <c r="J842" s="16"/>
      <c r="K842" s="16" t="b">
        <v>0</v>
      </c>
      <c r="L842" s="16" t="b">
        <v>0</v>
      </c>
    </row>
    <row r="843">
      <c r="A843" s="9"/>
      <c r="B843" s="16"/>
      <c r="C843" s="7" t="str">
        <f>IFERROR(VLOOKUP(B843,'Master data'!$A$1:$D$397,2,FALSE),"")</f>
        <v/>
      </c>
      <c r="D843" s="70" t="str">
        <f>VLOOKUP(B843,Sheet3!$B$2:$E$312,3,)</f>
        <v>#N/A</v>
      </c>
      <c r="E843" s="64"/>
      <c r="F843" s="16" t="str">
        <f>IFERROR(VLOOKUP(B843,'Master data'!$A$1:$D$397,3,FALSE),"")</f>
        <v/>
      </c>
      <c r="G843" s="102"/>
      <c r="H843" s="65"/>
      <c r="I843" s="16"/>
      <c r="J843" s="16"/>
      <c r="K843" s="16" t="b">
        <v>0</v>
      </c>
      <c r="L843" s="16" t="b">
        <v>0</v>
      </c>
    </row>
    <row r="844">
      <c r="A844" s="9"/>
      <c r="B844" s="16"/>
      <c r="C844" s="7" t="str">
        <f>IFERROR(VLOOKUP(B844,'Master data'!$A$1:$D$397,2,FALSE),"")</f>
        <v/>
      </c>
      <c r="D844" s="70" t="str">
        <f>VLOOKUP(B844,Sheet3!$B$2:$E$312,3,)</f>
        <v>#N/A</v>
      </c>
      <c r="E844" s="64"/>
      <c r="F844" s="16" t="str">
        <f>IFERROR(VLOOKUP(B844,'Master data'!$A$1:$D$397,3,FALSE),"")</f>
        <v/>
      </c>
      <c r="G844" s="102"/>
      <c r="H844" s="65"/>
      <c r="I844" s="16"/>
      <c r="J844" s="16"/>
      <c r="K844" s="16" t="b">
        <v>0</v>
      </c>
      <c r="L844" s="16" t="b">
        <v>0</v>
      </c>
    </row>
    <row r="845">
      <c r="A845" s="9"/>
      <c r="B845" s="16"/>
      <c r="C845" s="7" t="str">
        <f>IFERROR(VLOOKUP(B845,'Master data'!$A$1:$D$397,2,FALSE),"")</f>
        <v/>
      </c>
      <c r="D845" s="70" t="str">
        <f>VLOOKUP(B845,Sheet3!$B$2:$E$312,3,)</f>
        <v>#N/A</v>
      </c>
      <c r="E845" s="64"/>
      <c r="F845" s="16" t="str">
        <f>IFERROR(VLOOKUP(B845,'Master data'!$A$1:$D$397,3,FALSE),"")</f>
        <v/>
      </c>
      <c r="G845" s="102"/>
      <c r="H845" s="65"/>
      <c r="I845" s="16"/>
      <c r="J845" s="16"/>
      <c r="K845" s="16" t="b">
        <v>0</v>
      </c>
      <c r="L845" s="16" t="b">
        <v>0</v>
      </c>
    </row>
    <row r="846">
      <c r="A846" s="9"/>
      <c r="B846" s="16"/>
      <c r="C846" s="7" t="str">
        <f>IFERROR(VLOOKUP(B846,'Master data'!$A$1:$D$397,2,FALSE),"")</f>
        <v/>
      </c>
      <c r="D846" s="70" t="str">
        <f>VLOOKUP(B846,Sheet3!$B$2:$E$312,3,)</f>
        <v>#N/A</v>
      </c>
      <c r="E846" s="64"/>
      <c r="F846" s="16" t="str">
        <f>IFERROR(VLOOKUP(B846,'Master data'!$A$1:$D$397,3,FALSE),"")</f>
        <v/>
      </c>
      <c r="G846" s="102"/>
      <c r="H846" s="65"/>
      <c r="I846" s="16"/>
      <c r="J846" s="16"/>
      <c r="K846" s="16" t="b">
        <v>0</v>
      </c>
      <c r="L846" s="16" t="b">
        <v>0</v>
      </c>
    </row>
    <row r="847">
      <c r="A847" s="9"/>
      <c r="B847" s="16"/>
      <c r="C847" s="7" t="str">
        <f>IFERROR(VLOOKUP(B847,'Master data'!$A$1:$D$397,2,FALSE),"")</f>
        <v/>
      </c>
      <c r="D847" s="70" t="str">
        <f>VLOOKUP(B847,Sheet3!$B$2:$E$312,3,)</f>
        <v>#N/A</v>
      </c>
      <c r="E847" s="64"/>
      <c r="F847" s="16" t="str">
        <f>IFERROR(VLOOKUP(B847,'Master data'!$A$1:$D$397,3,FALSE),"")</f>
        <v/>
      </c>
      <c r="G847" s="102"/>
      <c r="H847" s="65"/>
      <c r="I847" s="16"/>
      <c r="J847" s="16"/>
      <c r="K847" s="16" t="b">
        <v>0</v>
      </c>
      <c r="L847" s="16" t="b">
        <v>0</v>
      </c>
    </row>
    <row r="848">
      <c r="A848" s="9"/>
      <c r="B848" s="16"/>
      <c r="C848" s="7" t="str">
        <f>IFERROR(VLOOKUP(B848,'Master data'!$A$1:$D$397,2,FALSE),"")</f>
        <v/>
      </c>
      <c r="D848" s="70" t="str">
        <f>VLOOKUP(B848,Sheet3!$B$2:$E$312,3,)</f>
        <v>#N/A</v>
      </c>
      <c r="E848" s="64"/>
      <c r="F848" s="16" t="str">
        <f>IFERROR(VLOOKUP(B848,'Master data'!$A$1:$D$397,3,FALSE),"")</f>
        <v/>
      </c>
      <c r="G848" s="102"/>
      <c r="H848" s="65"/>
      <c r="I848" s="16"/>
      <c r="J848" s="16"/>
      <c r="K848" s="16" t="b">
        <v>0</v>
      </c>
      <c r="L848" s="16" t="b">
        <v>0</v>
      </c>
    </row>
    <row r="849">
      <c r="A849" s="9"/>
      <c r="B849" s="16"/>
      <c r="C849" s="7" t="str">
        <f>IFERROR(VLOOKUP(B849,'Master data'!$A$1:$D$397,2,FALSE),"")</f>
        <v/>
      </c>
      <c r="D849" s="70" t="str">
        <f>VLOOKUP(B849,Sheet3!$B$2:$E$312,3,)</f>
        <v>#N/A</v>
      </c>
      <c r="E849" s="64"/>
      <c r="F849" s="16" t="str">
        <f>IFERROR(VLOOKUP(B849,'Master data'!$A$1:$D$397,3,FALSE),"")</f>
        <v/>
      </c>
      <c r="G849" s="102"/>
      <c r="H849" s="65"/>
      <c r="I849" s="16"/>
      <c r="J849" s="16"/>
      <c r="K849" s="16" t="b">
        <v>0</v>
      </c>
      <c r="L849" s="16" t="b">
        <v>0</v>
      </c>
    </row>
    <row r="850">
      <c r="A850" s="9"/>
      <c r="B850" s="16"/>
      <c r="C850" s="7" t="str">
        <f>IFERROR(VLOOKUP(B850,'Master data'!$A$1:$D$397,2,FALSE),"")</f>
        <v/>
      </c>
      <c r="D850" s="70" t="str">
        <f>VLOOKUP(B850,Sheet3!$B$2:$E$312,3,)</f>
        <v>#N/A</v>
      </c>
      <c r="E850" s="64"/>
      <c r="F850" s="16" t="str">
        <f>IFERROR(VLOOKUP(B850,'Master data'!$A$1:$D$397,3,FALSE),"")</f>
        <v/>
      </c>
      <c r="G850" s="102"/>
      <c r="H850" s="65"/>
      <c r="I850" s="16"/>
      <c r="J850" s="16"/>
      <c r="K850" s="16" t="b">
        <v>0</v>
      </c>
      <c r="L850" s="16" t="b">
        <v>0</v>
      </c>
    </row>
    <row r="851">
      <c r="A851" s="9"/>
      <c r="B851" s="16"/>
      <c r="C851" s="7" t="str">
        <f>IFERROR(VLOOKUP(B851,'Master data'!$A$1:$D$397,2,FALSE),"")</f>
        <v/>
      </c>
      <c r="D851" s="70" t="str">
        <f>VLOOKUP(B851,Sheet3!$B$2:$E$312,3,)</f>
        <v>#N/A</v>
      </c>
      <c r="E851" s="64"/>
      <c r="F851" s="16" t="str">
        <f>IFERROR(VLOOKUP(B851,'Master data'!$A$1:$D$397,3,FALSE),"")</f>
        <v/>
      </c>
      <c r="G851" s="102"/>
      <c r="H851" s="65"/>
      <c r="I851" s="16"/>
      <c r="J851" s="16"/>
      <c r="K851" s="16" t="b">
        <v>0</v>
      </c>
      <c r="L851" s="16" t="b">
        <v>0</v>
      </c>
    </row>
    <row r="852">
      <c r="A852" s="9"/>
      <c r="B852" s="16"/>
      <c r="C852" s="7" t="str">
        <f>IFERROR(VLOOKUP(B852,'Master data'!$A$1:$D$397,2,FALSE),"")</f>
        <v/>
      </c>
      <c r="D852" s="70" t="str">
        <f>VLOOKUP(B852,Sheet3!$B$2:$E$312,3,)</f>
        <v>#N/A</v>
      </c>
      <c r="E852" s="64"/>
      <c r="F852" s="16" t="str">
        <f>IFERROR(VLOOKUP(B852,'Master data'!$A$1:$D$397,3,FALSE),"")</f>
        <v/>
      </c>
      <c r="G852" s="102"/>
      <c r="H852" s="65"/>
      <c r="I852" s="16"/>
      <c r="J852" s="16"/>
      <c r="K852" s="16" t="b">
        <v>0</v>
      </c>
      <c r="L852" s="16" t="b">
        <v>0</v>
      </c>
    </row>
    <row r="853">
      <c r="A853" s="9"/>
      <c r="B853" s="16"/>
      <c r="C853" s="7" t="str">
        <f>IFERROR(VLOOKUP(B853,'Master data'!$A$1:$D$397,2,FALSE),"")</f>
        <v/>
      </c>
      <c r="D853" s="70" t="str">
        <f>VLOOKUP(B853,Sheet3!$B$2:$E$312,3,)</f>
        <v>#N/A</v>
      </c>
      <c r="E853" s="64"/>
      <c r="F853" s="16" t="str">
        <f>IFERROR(VLOOKUP(B853,'Master data'!$A$1:$D$397,3,FALSE),"")</f>
        <v/>
      </c>
      <c r="G853" s="102"/>
      <c r="H853" s="65"/>
      <c r="I853" s="16"/>
      <c r="J853" s="16"/>
      <c r="K853" s="16" t="b">
        <v>0</v>
      </c>
      <c r="L853" s="16" t="b">
        <v>0</v>
      </c>
    </row>
    <row r="854">
      <c r="A854" s="9"/>
      <c r="B854" s="16"/>
      <c r="C854" s="7" t="str">
        <f>IFERROR(VLOOKUP(B854,'Master data'!$A$1:$D$397,2,FALSE),"")</f>
        <v/>
      </c>
      <c r="D854" s="70" t="str">
        <f>VLOOKUP(B854,Sheet3!$B$2:$E$312,3,)</f>
        <v>#N/A</v>
      </c>
      <c r="E854" s="64"/>
      <c r="F854" s="16" t="str">
        <f>IFERROR(VLOOKUP(B854,'Master data'!$A$1:$D$397,3,FALSE),"")</f>
        <v/>
      </c>
      <c r="G854" s="102"/>
      <c r="H854" s="65"/>
      <c r="I854" s="16"/>
      <c r="J854" s="16"/>
      <c r="K854" s="16" t="b">
        <v>0</v>
      </c>
      <c r="L854" s="16" t="b">
        <v>0</v>
      </c>
    </row>
    <row r="855">
      <c r="A855" s="9"/>
      <c r="B855" s="16"/>
      <c r="C855" s="7" t="str">
        <f>IFERROR(VLOOKUP(B855,'Master data'!$A$1:$D$397,2,FALSE),"")</f>
        <v/>
      </c>
      <c r="D855" s="70" t="str">
        <f>VLOOKUP(B855,Sheet3!$B$2:$E$312,3,)</f>
        <v>#N/A</v>
      </c>
      <c r="E855" s="64"/>
      <c r="F855" s="16" t="str">
        <f>IFERROR(VLOOKUP(B855,'Master data'!$A$1:$D$397,3,FALSE),"")</f>
        <v/>
      </c>
      <c r="G855" s="102"/>
      <c r="H855" s="65"/>
      <c r="I855" s="16"/>
      <c r="J855" s="16"/>
      <c r="K855" s="16" t="b">
        <v>0</v>
      </c>
      <c r="L855" s="16" t="b">
        <v>0</v>
      </c>
    </row>
    <row r="856">
      <c r="A856" s="9"/>
      <c r="B856" s="16"/>
      <c r="C856" s="7" t="str">
        <f>IFERROR(VLOOKUP(B856,'Master data'!$A$1:$D$397,2,FALSE),"")</f>
        <v/>
      </c>
      <c r="D856" s="70" t="str">
        <f>VLOOKUP(B856,Sheet3!$B$2:$E$312,3,)</f>
        <v>#N/A</v>
      </c>
      <c r="E856" s="64"/>
      <c r="F856" s="16" t="str">
        <f>IFERROR(VLOOKUP(B856,'Master data'!$A$1:$D$397,3,FALSE),"")</f>
        <v/>
      </c>
      <c r="G856" s="102"/>
      <c r="H856" s="65"/>
      <c r="I856" s="16"/>
      <c r="J856" s="16"/>
      <c r="K856" s="16" t="b">
        <v>0</v>
      </c>
      <c r="L856" s="16" t="b">
        <v>0</v>
      </c>
    </row>
    <row r="857">
      <c r="A857" s="9"/>
      <c r="B857" s="16"/>
      <c r="C857" s="7" t="str">
        <f>IFERROR(VLOOKUP(B857,'Master data'!$A$1:$D$397,2,FALSE),"")</f>
        <v/>
      </c>
      <c r="D857" s="70" t="str">
        <f>VLOOKUP(B857,Sheet3!$B$2:$E$312,3,)</f>
        <v>#N/A</v>
      </c>
      <c r="E857" s="64"/>
      <c r="F857" s="16" t="str">
        <f>IFERROR(VLOOKUP(B857,'Master data'!$A$1:$D$397,3,FALSE),"")</f>
        <v/>
      </c>
      <c r="G857" s="102"/>
      <c r="H857" s="65"/>
      <c r="I857" s="16"/>
      <c r="J857" s="16"/>
      <c r="K857" s="16" t="b">
        <v>0</v>
      </c>
      <c r="L857" s="16" t="b">
        <v>0</v>
      </c>
    </row>
    <row r="858">
      <c r="A858" s="9"/>
      <c r="B858" s="16"/>
      <c r="C858" s="7" t="str">
        <f>IFERROR(VLOOKUP(B858,'Master data'!$A$1:$D$397,2,FALSE),"")</f>
        <v/>
      </c>
      <c r="D858" s="70" t="str">
        <f>VLOOKUP(B858,Sheet3!$B$2:$E$312,3,)</f>
        <v>#N/A</v>
      </c>
      <c r="E858" s="64"/>
      <c r="F858" s="16" t="str">
        <f>IFERROR(VLOOKUP(B858,'Master data'!$A$1:$D$397,3,FALSE),"")</f>
        <v/>
      </c>
      <c r="G858" s="102"/>
      <c r="H858" s="65"/>
      <c r="I858" s="16"/>
      <c r="J858" s="16"/>
      <c r="K858" s="16" t="b">
        <v>0</v>
      </c>
      <c r="L858" s="16" t="b">
        <v>0</v>
      </c>
    </row>
    <row r="859">
      <c r="A859" s="9"/>
      <c r="B859" s="16"/>
      <c r="C859" s="7" t="str">
        <f>IFERROR(VLOOKUP(B859,'Master data'!$A$1:$D$397,2,FALSE),"")</f>
        <v/>
      </c>
      <c r="D859" s="70" t="str">
        <f>VLOOKUP(B859,Sheet3!$B$2:$E$312,3,)</f>
        <v>#N/A</v>
      </c>
      <c r="E859" s="64"/>
      <c r="F859" s="16" t="str">
        <f>IFERROR(VLOOKUP(B859,'Master data'!$A$1:$D$397,3,FALSE),"")</f>
        <v/>
      </c>
      <c r="G859" s="102"/>
      <c r="H859" s="65"/>
      <c r="I859" s="16"/>
      <c r="J859" s="16"/>
      <c r="K859" s="16" t="b">
        <v>0</v>
      </c>
      <c r="L859" s="16" t="b">
        <v>0</v>
      </c>
    </row>
    <row r="860">
      <c r="A860" s="9"/>
      <c r="B860" s="16"/>
      <c r="C860" s="7" t="str">
        <f>IFERROR(VLOOKUP(B860,'Master data'!$A$1:$D$397,2,FALSE),"")</f>
        <v/>
      </c>
      <c r="D860" s="70" t="str">
        <f>VLOOKUP(B860,Sheet3!$B$2:$E$312,3,)</f>
        <v>#N/A</v>
      </c>
      <c r="E860" s="64"/>
      <c r="F860" s="16" t="str">
        <f>IFERROR(VLOOKUP(B860,'Master data'!$A$1:$D$397,3,FALSE),"")</f>
        <v/>
      </c>
      <c r="G860" s="102"/>
      <c r="H860" s="65"/>
      <c r="I860" s="16"/>
      <c r="J860" s="16"/>
      <c r="K860" s="16" t="b">
        <v>0</v>
      </c>
      <c r="L860" s="16" t="b">
        <v>0</v>
      </c>
    </row>
    <row r="861">
      <c r="A861" s="9"/>
      <c r="B861" s="16"/>
      <c r="C861" s="7" t="str">
        <f>IFERROR(VLOOKUP(B861,'Master data'!$A$1:$D$397,2,FALSE),"")</f>
        <v/>
      </c>
      <c r="D861" s="70" t="str">
        <f>VLOOKUP(B861,Sheet3!$B$2:$E$312,3,)</f>
        <v>#N/A</v>
      </c>
      <c r="E861" s="64"/>
      <c r="F861" s="16" t="str">
        <f>IFERROR(VLOOKUP(B861,'Master data'!$A$1:$D$397,3,FALSE),"")</f>
        <v/>
      </c>
      <c r="G861" s="102"/>
      <c r="H861" s="65"/>
      <c r="I861" s="16"/>
      <c r="J861" s="16"/>
      <c r="K861" s="16" t="b">
        <v>0</v>
      </c>
      <c r="L861" s="16" t="b">
        <v>0</v>
      </c>
    </row>
    <row r="862">
      <c r="A862" s="9"/>
      <c r="B862" s="16"/>
      <c r="C862" s="7" t="str">
        <f>IFERROR(VLOOKUP(B862,'Master data'!$A$1:$D$397,2,FALSE),"")</f>
        <v/>
      </c>
      <c r="D862" s="70" t="str">
        <f>VLOOKUP(B862,Sheet3!$B$2:$E$312,3,)</f>
        <v>#N/A</v>
      </c>
      <c r="E862" s="64"/>
      <c r="F862" s="16" t="str">
        <f>IFERROR(VLOOKUP(B862,'Master data'!$A$1:$D$397,3,FALSE),"")</f>
        <v/>
      </c>
      <c r="G862" s="102"/>
      <c r="H862" s="65"/>
      <c r="I862" s="16"/>
      <c r="J862" s="16"/>
      <c r="K862" s="16" t="b">
        <v>0</v>
      </c>
      <c r="L862" s="16" t="b">
        <v>0</v>
      </c>
    </row>
    <row r="863">
      <c r="A863" s="9"/>
      <c r="B863" s="16"/>
      <c r="C863" s="7" t="str">
        <f>IFERROR(VLOOKUP(B863,'Master data'!$A$1:$D$397,2,FALSE),"")</f>
        <v/>
      </c>
      <c r="D863" s="70" t="str">
        <f>VLOOKUP(B863,Sheet3!$B$2:$E$312,3,)</f>
        <v>#N/A</v>
      </c>
      <c r="E863" s="64"/>
      <c r="F863" s="16" t="str">
        <f>IFERROR(VLOOKUP(B863,'Master data'!$A$1:$D$397,3,FALSE),"")</f>
        <v/>
      </c>
      <c r="G863" s="102"/>
      <c r="H863" s="65"/>
      <c r="I863" s="16"/>
      <c r="J863" s="16"/>
      <c r="K863" s="16" t="b">
        <v>0</v>
      </c>
      <c r="L863" s="16" t="b">
        <v>0</v>
      </c>
    </row>
    <row r="864">
      <c r="A864" s="9"/>
      <c r="B864" s="16"/>
      <c r="C864" s="7" t="str">
        <f>IFERROR(VLOOKUP(B864,'Master data'!$A$1:$D$397,2,FALSE),"")</f>
        <v/>
      </c>
      <c r="D864" s="70" t="str">
        <f>VLOOKUP(B864,Sheet3!$B$2:$E$312,3,)</f>
        <v>#N/A</v>
      </c>
      <c r="E864" s="64"/>
      <c r="F864" s="16" t="str">
        <f>IFERROR(VLOOKUP(B864,'Master data'!$A$1:$D$397,3,FALSE),"")</f>
        <v/>
      </c>
      <c r="G864" s="102"/>
      <c r="H864" s="65"/>
      <c r="I864" s="16"/>
      <c r="J864" s="16"/>
      <c r="K864" s="16" t="b">
        <v>0</v>
      </c>
      <c r="L864" s="16" t="b">
        <v>0</v>
      </c>
    </row>
    <row r="865">
      <c r="A865" s="9"/>
      <c r="B865" s="16"/>
      <c r="C865" s="7" t="str">
        <f>IFERROR(VLOOKUP(B865,'Master data'!$A$1:$D$397,2,FALSE),"")</f>
        <v/>
      </c>
      <c r="D865" s="70" t="str">
        <f>VLOOKUP(B865,Sheet3!$B$2:$E$312,3,)</f>
        <v>#N/A</v>
      </c>
      <c r="E865" s="64"/>
      <c r="F865" s="16" t="str">
        <f>IFERROR(VLOOKUP(B865,'Master data'!$A$1:$D$397,3,FALSE),"")</f>
        <v/>
      </c>
      <c r="G865" s="102"/>
      <c r="H865" s="65"/>
      <c r="I865" s="16"/>
      <c r="J865" s="16"/>
      <c r="K865" s="16" t="b">
        <v>0</v>
      </c>
      <c r="L865" s="16" t="b">
        <v>0</v>
      </c>
    </row>
    <row r="866">
      <c r="A866" s="9"/>
      <c r="B866" s="16"/>
      <c r="C866" s="7" t="str">
        <f>IFERROR(VLOOKUP(B866,'Master data'!$A$1:$D$397,2,FALSE),"")</f>
        <v/>
      </c>
      <c r="D866" s="70" t="str">
        <f>VLOOKUP(B866,Sheet3!$B$2:$E$312,3,)</f>
        <v>#N/A</v>
      </c>
      <c r="E866" s="64"/>
      <c r="F866" s="16" t="str">
        <f>IFERROR(VLOOKUP(B866,'Master data'!$A$1:$D$397,3,FALSE),"")</f>
        <v/>
      </c>
      <c r="G866" s="102"/>
      <c r="H866" s="65"/>
      <c r="I866" s="16"/>
      <c r="J866" s="16"/>
      <c r="K866" s="16" t="b">
        <v>0</v>
      </c>
      <c r="L866" s="16" t="b">
        <v>0</v>
      </c>
    </row>
    <row r="867">
      <c r="A867" s="9"/>
      <c r="B867" s="16"/>
      <c r="C867" s="7" t="str">
        <f>IFERROR(VLOOKUP(B867,'Master data'!$A$1:$D$397,2,FALSE),"")</f>
        <v/>
      </c>
      <c r="D867" s="70" t="str">
        <f>VLOOKUP(B867,Sheet3!$B$2:$E$312,3,)</f>
        <v>#N/A</v>
      </c>
      <c r="E867" s="64"/>
      <c r="F867" s="16" t="str">
        <f>IFERROR(VLOOKUP(B867,'Master data'!$A$1:$D$397,3,FALSE),"")</f>
        <v/>
      </c>
      <c r="G867" s="102"/>
      <c r="H867" s="65"/>
      <c r="I867" s="16"/>
      <c r="J867" s="16"/>
      <c r="K867" s="16" t="b">
        <v>0</v>
      </c>
      <c r="L867" s="16" t="b">
        <v>0</v>
      </c>
    </row>
    <row r="868">
      <c r="A868" s="9"/>
      <c r="B868" s="16"/>
      <c r="C868" s="7" t="str">
        <f>IFERROR(VLOOKUP(B868,'Master data'!$A$1:$D$397,2,FALSE),"")</f>
        <v/>
      </c>
      <c r="D868" s="70" t="str">
        <f>VLOOKUP(B868,Sheet3!$B$2:$E$312,3,)</f>
        <v>#N/A</v>
      </c>
      <c r="E868" s="64"/>
      <c r="F868" s="16" t="str">
        <f>IFERROR(VLOOKUP(B868,'Master data'!$A$1:$D$397,3,FALSE),"")</f>
        <v/>
      </c>
      <c r="G868" s="102"/>
      <c r="H868" s="65"/>
      <c r="I868" s="16"/>
      <c r="J868" s="16"/>
      <c r="K868" s="16" t="b">
        <v>0</v>
      </c>
      <c r="L868" s="16" t="b">
        <v>0</v>
      </c>
    </row>
    <row r="869">
      <c r="A869" s="9"/>
      <c r="B869" s="16"/>
      <c r="C869" s="7" t="str">
        <f>IFERROR(VLOOKUP(B869,'Master data'!$A$1:$D$397,2,FALSE),"")</f>
        <v/>
      </c>
      <c r="D869" s="70" t="str">
        <f>VLOOKUP(B869,Sheet3!$B$2:$E$312,3,)</f>
        <v>#N/A</v>
      </c>
      <c r="E869" s="64"/>
      <c r="F869" s="16" t="str">
        <f>IFERROR(VLOOKUP(B869,'Master data'!$A$1:$D$397,3,FALSE),"")</f>
        <v/>
      </c>
      <c r="G869" s="102"/>
      <c r="H869" s="65"/>
      <c r="I869" s="16"/>
      <c r="J869" s="16"/>
      <c r="K869" s="16" t="b">
        <v>0</v>
      </c>
      <c r="L869" s="16" t="b">
        <v>0</v>
      </c>
    </row>
    <row r="870">
      <c r="A870" s="9"/>
      <c r="B870" s="16"/>
      <c r="C870" s="7" t="str">
        <f>IFERROR(VLOOKUP(B870,'Master data'!$A$1:$D$397,2,FALSE),"")</f>
        <v/>
      </c>
      <c r="D870" s="70" t="str">
        <f>VLOOKUP(B870,Sheet3!$B$2:$E$312,3,)</f>
        <v>#N/A</v>
      </c>
      <c r="E870" s="64"/>
      <c r="F870" s="16" t="str">
        <f>IFERROR(VLOOKUP(B870,'Master data'!$A$1:$D$397,3,FALSE),"")</f>
        <v/>
      </c>
      <c r="G870" s="102"/>
      <c r="H870" s="65"/>
      <c r="I870" s="16"/>
      <c r="J870" s="16"/>
      <c r="K870" s="16" t="b">
        <v>0</v>
      </c>
      <c r="L870" s="16" t="b">
        <v>0</v>
      </c>
    </row>
    <row r="871">
      <c r="A871" s="9"/>
      <c r="B871" s="16"/>
      <c r="C871" s="7" t="str">
        <f>IFERROR(VLOOKUP(B871,'Master data'!$A$1:$D$397,2,FALSE),"")</f>
        <v/>
      </c>
      <c r="D871" s="70" t="str">
        <f>VLOOKUP(B871,Sheet3!$B$2:$E$312,3,)</f>
        <v>#N/A</v>
      </c>
      <c r="E871" s="64"/>
      <c r="F871" s="16" t="str">
        <f>IFERROR(VLOOKUP(B871,'Master data'!$A$1:$D$397,3,FALSE),"")</f>
        <v/>
      </c>
      <c r="G871" s="102"/>
      <c r="H871" s="65"/>
      <c r="I871" s="16"/>
      <c r="J871" s="16"/>
      <c r="K871" s="16" t="b">
        <v>0</v>
      </c>
      <c r="L871" s="16" t="b">
        <v>0</v>
      </c>
    </row>
    <row r="872">
      <c r="A872" s="9"/>
      <c r="B872" s="16"/>
      <c r="C872" s="7" t="str">
        <f>IFERROR(VLOOKUP(B872,'Master data'!$A$1:$D$397,2,FALSE),"")</f>
        <v/>
      </c>
      <c r="D872" s="70" t="str">
        <f>VLOOKUP(B872,Sheet3!$B$2:$E$312,3,)</f>
        <v>#N/A</v>
      </c>
      <c r="E872" s="64"/>
      <c r="F872" s="16" t="str">
        <f>IFERROR(VLOOKUP(B872,'Master data'!$A$1:$D$397,3,FALSE),"")</f>
        <v/>
      </c>
      <c r="G872" s="102"/>
      <c r="H872" s="65"/>
      <c r="I872" s="16"/>
      <c r="J872" s="16"/>
      <c r="K872" s="16" t="b">
        <v>0</v>
      </c>
      <c r="L872" s="16" t="b">
        <v>0</v>
      </c>
    </row>
    <row r="873">
      <c r="A873" s="9"/>
      <c r="B873" s="16"/>
      <c r="C873" s="7" t="str">
        <f>IFERROR(VLOOKUP(B873,'Master data'!$A$1:$D$397,2,FALSE),"")</f>
        <v/>
      </c>
      <c r="D873" s="70" t="str">
        <f>VLOOKUP(B873,Sheet3!$B$2:$E$312,3,)</f>
        <v>#N/A</v>
      </c>
      <c r="E873" s="64"/>
      <c r="F873" s="16" t="str">
        <f>IFERROR(VLOOKUP(B873,'Master data'!$A$1:$D$397,3,FALSE),"")</f>
        <v/>
      </c>
      <c r="G873" s="102"/>
      <c r="H873" s="65"/>
      <c r="I873" s="16"/>
      <c r="J873" s="16"/>
      <c r="K873" s="16" t="b">
        <v>0</v>
      </c>
      <c r="L873" s="16" t="b">
        <v>0</v>
      </c>
    </row>
    <row r="874">
      <c r="A874" s="9"/>
      <c r="B874" s="16"/>
      <c r="C874" s="7" t="str">
        <f>IFERROR(VLOOKUP(B874,'Master data'!$A$1:$D$397,2,FALSE),"")</f>
        <v/>
      </c>
      <c r="D874" s="70" t="str">
        <f>VLOOKUP(B874,Sheet3!$B$2:$E$312,3,)</f>
        <v>#N/A</v>
      </c>
      <c r="E874" s="64"/>
      <c r="F874" s="16" t="str">
        <f>IFERROR(VLOOKUP(B874,'Master data'!$A$1:$D$397,3,FALSE),"")</f>
        <v/>
      </c>
      <c r="G874" s="102"/>
      <c r="H874" s="65"/>
      <c r="I874" s="16"/>
      <c r="J874" s="16"/>
      <c r="K874" s="16" t="b">
        <v>0</v>
      </c>
      <c r="L874" s="16" t="b">
        <v>0</v>
      </c>
    </row>
    <row r="875">
      <c r="A875" s="9"/>
      <c r="B875" s="16"/>
      <c r="C875" s="7" t="str">
        <f>IFERROR(VLOOKUP(B875,'Master data'!$A$1:$D$397,2,FALSE),"")</f>
        <v/>
      </c>
      <c r="D875" s="70" t="str">
        <f>VLOOKUP(B875,Sheet3!$B$2:$E$312,3,)</f>
        <v>#N/A</v>
      </c>
      <c r="E875" s="64"/>
      <c r="F875" s="16" t="str">
        <f>IFERROR(VLOOKUP(B875,'Master data'!$A$1:$D$397,3,FALSE),"")</f>
        <v/>
      </c>
      <c r="G875" s="102"/>
      <c r="H875" s="65"/>
      <c r="I875" s="16"/>
      <c r="J875" s="16"/>
      <c r="K875" s="16" t="b">
        <v>0</v>
      </c>
      <c r="L875" s="16" t="b">
        <v>0</v>
      </c>
    </row>
    <row r="876">
      <c r="A876" s="9"/>
      <c r="B876" s="16"/>
      <c r="C876" s="7" t="str">
        <f>IFERROR(VLOOKUP(B876,'Master data'!$A$1:$D$397,2,FALSE),"")</f>
        <v/>
      </c>
      <c r="D876" s="70" t="str">
        <f>VLOOKUP(B876,Sheet3!$B$2:$E$312,3,)</f>
        <v>#N/A</v>
      </c>
      <c r="E876" s="64"/>
      <c r="F876" s="16" t="str">
        <f>IFERROR(VLOOKUP(B876,'Master data'!$A$1:$D$397,3,FALSE),"")</f>
        <v/>
      </c>
      <c r="G876" s="102"/>
      <c r="H876" s="65"/>
      <c r="I876" s="16"/>
      <c r="J876" s="16"/>
      <c r="K876" s="16" t="b">
        <v>0</v>
      </c>
      <c r="L876" s="16" t="b">
        <v>0</v>
      </c>
    </row>
    <row r="877">
      <c r="A877" s="9"/>
      <c r="B877" s="16"/>
      <c r="C877" s="7" t="str">
        <f>IFERROR(VLOOKUP(B877,'Master data'!$A$1:$D$397,2,FALSE),"")</f>
        <v/>
      </c>
      <c r="D877" s="70" t="str">
        <f>VLOOKUP(B877,Sheet3!$B$2:$E$312,3,)</f>
        <v>#N/A</v>
      </c>
      <c r="E877" s="64"/>
      <c r="F877" s="16" t="str">
        <f>IFERROR(VLOOKUP(B877,'Master data'!$A$1:$D$397,3,FALSE),"")</f>
        <v/>
      </c>
      <c r="G877" s="102"/>
      <c r="H877" s="65"/>
      <c r="I877" s="16"/>
      <c r="J877" s="16"/>
      <c r="K877" s="16" t="b">
        <v>0</v>
      </c>
      <c r="L877" s="16" t="b">
        <v>0</v>
      </c>
    </row>
    <row r="878">
      <c r="A878" s="9"/>
      <c r="B878" s="16"/>
      <c r="C878" s="7" t="str">
        <f>IFERROR(VLOOKUP(B878,'Master data'!$A$1:$D$397,2,FALSE),"")</f>
        <v/>
      </c>
      <c r="D878" s="70" t="str">
        <f>VLOOKUP(B878,Sheet3!$B$2:$E$312,3,)</f>
        <v>#N/A</v>
      </c>
      <c r="E878" s="64"/>
      <c r="F878" s="16" t="str">
        <f>IFERROR(VLOOKUP(B878,'Master data'!$A$1:$D$397,3,FALSE),"")</f>
        <v/>
      </c>
      <c r="G878" s="102"/>
      <c r="H878" s="65"/>
      <c r="I878" s="16"/>
      <c r="J878" s="16"/>
      <c r="K878" s="16" t="b">
        <v>0</v>
      </c>
      <c r="L878" s="16" t="b">
        <v>0</v>
      </c>
    </row>
    <row r="879">
      <c r="A879" s="9"/>
      <c r="B879" s="16"/>
      <c r="C879" s="7" t="str">
        <f>IFERROR(VLOOKUP(B879,'Master data'!$A$1:$D$397,2,FALSE),"")</f>
        <v/>
      </c>
      <c r="D879" s="70" t="str">
        <f>VLOOKUP(B879,Sheet3!$B$2:$E$312,3,)</f>
        <v>#N/A</v>
      </c>
      <c r="E879" s="64"/>
      <c r="F879" s="16" t="str">
        <f>IFERROR(VLOOKUP(B879,'Master data'!$A$1:$D$397,3,FALSE),"")</f>
        <v/>
      </c>
      <c r="G879" s="102"/>
      <c r="H879" s="65"/>
      <c r="I879" s="16"/>
      <c r="J879" s="16"/>
      <c r="K879" s="16" t="b">
        <v>0</v>
      </c>
      <c r="L879" s="16" t="b">
        <v>0</v>
      </c>
    </row>
    <row r="880">
      <c r="A880" s="9"/>
      <c r="B880" s="16"/>
      <c r="C880" s="7" t="str">
        <f>IFERROR(VLOOKUP(B880,'Master data'!$A$1:$D$397,2,FALSE),"")</f>
        <v/>
      </c>
      <c r="D880" s="70" t="str">
        <f>VLOOKUP(B880,Sheet3!$B$2:$E$312,3,)</f>
        <v>#N/A</v>
      </c>
      <c r="E880" s="64"/>
      <c r="F880" s="16" t="str">
        <f>IFERROR(VLOOKUP(B880,'Master data'!$A$1:$D$397,3,FALSE),"")</f>
        <v/>
      </c>
      <c r="G880" s="102"/>
      <c r="H880" s="65"/>
      <c r="I880" s="16"/>
      <c r="J880" s="16"/>
      <c r="K880" s="16" t="b">
        <v>0</v>
      </c>
      <c r="L880" s="16" t="b">
        <v>0</v>
      </c>
    </row>
    <row r="881">
      <c r="A881" s="9"/>
      <c r="B881" s="16"/>
      <c r="C881" s="7" t="str">
        <f>IFERROR(VLOOKUP(B881,'Master data'!$A$1:$D$397,2,FALSE),"")</f>
        <v/>
      </c>
      <c r="D881" s="70" t="str">
        <f>VLOOKUP(B881,Sheet3!$B$2:$E$312,3,)</f>
        <v>#N/A</v>
      </c>
      <c r="E881" s="64"/>
      <c r="F881" s="16" t="str">
        <f>IFERROR(VLOOKUP(B881,'Master data'!$A$1:$D$397,3,FALSE),"")</f>
        <v/>
      </c>
      <c r="G881" s="102"/>
      <c r="H881" s="65"/>
      <c r="I881" s="16"/>
      <c r="J881" s="16"/>
      <c r="K881" s="16" t="b">
        <v>0</v>
      </c>
      <c r="L881" s="16" t="b">
        <v>0</v>
      </c>
    </row>
    <row r="882">
      <c r="A882" s="9"/>
      <c r="B882" s="16"/>
      <c r="C882" s="7" t="str">
        <f>IFERROR(VLOOKUP(B882,'Master data'!$A$1:$D$397,2,FALSE),"")</f>
        <v/>
      </c>
      <c r="D882" s="70" t="str">
        <f>VLOOKUP(B882,Sheet3!$B$2:$E$312,3,)</f>
        <v>#N/A</v>
      </c>
      <c r="E882" s="64"/>
      <c r="F882" s="16" t="str">
        <f>IFERROR(VLOOKUP(B882,'Master data'!$A$1:$D$397,3,FALSE),"")</f>
        <v/>
      </c>
      <c r="G882" s="102"/>
      <c r="H882" s="65"/>
      <c r="I882" s="16"/>
      <c r="J882" s="16"/>
      <c r="K882" s="16" t="b">
        <v>0</v>
      </c>
      <c r="L882" s="16" t="b">
        <v>0</v>
      </c>
    </row>
    <row r="883">
      <c r="A883" s="9"/>
      <c r="B883" s="16"/>
      <c r="C883" s="7" t="str">
        <f>IFERROR(VLOOKUP(B883,'Master data'!$A$1:$D$397,2,FALSE),"")</f>
        <v/>
      </c>
      <c r="D883" s="70" t="str">
        <f>VLOOKUP(B883,Sheet3!$B$2:$E$312,3,)</f>
        <v>#N/A</v>
      </c>
      <c r="E883" s="64"/>
      <c r="F883" s="16" t="str">
        <f>IFERROR(VLOOKUP(B883,'Master data'!$A$1:$D$397,3,FALSE),"")</f>
        <v/>
      </c>
      <c r="G883" s="102"/>
      <c r="H883" s="65"/>
      <c r="I883" s="16"/>
      <c r="J883" s="16"/>
      <c r="K883" s="16" t="b">
        <v>0</v>
      </c>
      <c r="L883" s="16" t="b">
        <v>0</v>
      </c>
    </row>
    <row r="884">
      <c r="A884" s="9"/>
      <c r="B884" s="16"/>
      <c r="C884" s="7" t="str">
        <f>IFERROR(VLOOKUP(B884,'Master data'!$A$1:$D$397,2,FALSE),"")</f>
        <v/>
      </c>
      <c r="D884" s="70" t="str">
        <f>VLOOKUP(B884,Sheet3!$B$2:$E$312,3,)</f>
        <v>#N/A</v>
      </c>
      <c r="E884" s="64"/>
      <c r="F884" s="16" t="str">
        <f>IFERROR(VLOOKUP(B884,'Master data'!$A$1:$D$397,3,FALSE),"")</f>
        <v/>
      </c>
      <c r="G884" s="102"/>
      <c r="H884" s="65"/>
      <c r="I884" s="16"/>
      <c r="J884" s="16"/>
      <c r="K884" s="16" t="b">
        <v>0</v>
      </c>
      <c r="L884" s="16" t="b">
        <v>0</v>
      </c>
    </row>
    <row r="885">
      <c r="A885" s="9"/>
      <c r="B885" s="16"/>
      <c r="C885" s="7" t="str">
        <f>IFERROR(VLOOKUP(B885,'Master data'!$A$1:$D$397,2,FALSE),"")</f>
        <v/>
      </c>
      <c r="D885" s="70" t="str">
        <f>VLOOKUP(B885,Sheet3!$B$2:$E$312,3,)</f>
        <v>#N/A</v>
      </c>
      <c r="E885" s="64"/>
      <c r="F885" s="16" t="str">
        <f>IFERROR(VLOOKUP(B885,'Master data'!$A$1:$D$397,3,FALSE),"")</f>
        <v/>
      </c>
      <c r="G885" s="102"/>
      <c r="H885" s="65"/>
      <c r="I885" s="16"/>
      <c r="J885" s="16"/>
      <c r="K885" s="16" t="b">
        <v>0</v>
      </c>
      <c r="L885" s="16" t="b">
        <v>0</v>
      </c>
    </row>
    <row r="886">
      <c r="A886" s="9"/>
      <c r="B886" s="16"/>
      <c r="C886" s="7" t="str">
        <f>IFERROR(VLOOKUP(B886,'Master data'!$A$1:$D$397,2,FALSE),"")</f>
        <v/>
      </c>
      <c r="D886" s="70" t="str">
        <f>VLOOKUP(B886,Sheet3!$B$2:$E$312,3,)</f>
        <v>#N/A</v>
      </c>
      <c r="E886" s="64"/>
      <c r="F886" s="16" t="str">
        <f>IFERROR(VLOOKUP(B886,'Master data'!$A$1:$D$397,3,FALSE),"")</f>
        <v/>
      </c>
      <c r="G886" s="102"/>
      <c r="H886" s="65"/>
      <c r="I886" s="16"/>
      <c r="J886" s="16"/>
      <c r="K886" s="16" t="b">
        <v>0</v>
      </c>
      <c r="L886" s="16" t="b">
        <v>0</v>
      </c>
    </row>
    <row r="887">
      <c r="A887" s="9"/>
      <c r="B887" s="16"/>
      <c r="C887" s="7" t="str">
        <f>IFERROR(VLOOKUP(B887,'Master data'!$A$1:$D$397,2,FALSE),"")</f>
        <v/>
      </c>
      <c r="D887" s="70" t="str">
        <f>VLOOKUP(B887,Sheet3!$B$2:$E$312,3,)</f>
        <v>#N/A</v>
      </c>
      <c r="E887" s="64"/>
      <c r="F887" s="16" t="str">
        <f>IFERROR(VLOOKUP(B887,'Master data'!$A$1:$D$397,3,FALSE),"")</f>
        <v/>
      </c>
      <c r="G887" s="102"/>
      <c r="H887" s="65"/>
      <c r="I887" s="16"/>
      <c r="J887" s="16"/>
      <c r="K887" s="16" t="b">
        <v>0</v>
      </c>
      <c r="L887" s="16" t="b">
        <v>0</v>
      </c>
    </row>
    <row r="888">
      <c r="A888" s="9"/>
      <c r="B888" s="16"/>
      <c r="C888" s="7" t="str">
        <f>IFERROR(VLOOKUP(B888,'Master data'!$A$1:$D$397,2,FALSE),"")</f>
        <v/>
      </c>
      <c r="D888" s="70" t="str">
        <f>VLOOKUP(B888,Sheet3!$B$2:$E$312,3,)</f>
        <v>#N/A</v>
      </c>
      <c r="E888" s="64"/>
      <c r="F888" s="16" t="str">
        <f>IFERROR(VLOOKUP(B888,'Master data'!$A$1:$D$397,3,FALSE),"")</f>
        <v/>
      </c>
      <c r="G888" s="102"/>
      <c r="H888" s="65"/>
      <c r="I888" s="16"/>
      <c r="J888" s="16"/>
      <c r="K888" s="16" t="b">
        <v>0</v>
      </c>
      <c r="L888" s="16" t="b">
        <v>0</v>
      </c>
    </row>
    <row r="889">
      <c r="A889" s="9"/>
      <c r="B889" s="16"/>
      <c r="C889" s="7" t="str">
        <f>IFERROR(VLOOKUP(B889,'Master data'!$A$1:$D$397,2,FALSE),"")</f>
        <v/>
      </c>
      <c r="D889" s="70" t="str">
        <f>VLOOKUP(B889,Sheet3!$B$2:$E$312,3,)</f>
        <v>#N/A</v>
      </c>
      <c r="E889" s="64"/>
      <c r="F889" s="16" t="str">
        <f>IFERROR(VLOOKUP(B889,'Master data'!$A$1:$D$397,3,FALSE),"")</f>
        <v/>
      </c>
      <c r="G889" s="102"/>
      <c r="H889" s="65"/>
      <c r="I889" s="16"/>
      <c r="J889" s="16"/>
      <c r="K889" s="16" t="b">
        <v>0</v>
      </c>
      <c r="L889" s="16" t="b">
        <v>0</v>
      </c>
    </row>
    <row r="890">
      <c r="A890" s="9"/>
      <c r="B890" s="16"/>
      <c r="C890" s="7" t="str">
        <f>IFERROR(VLOOKUP(B890,'Master data'!$A$1:$D$397,2,FALSE),"")</f>
        <v/>
      </c>
      <c r="D890" s="70" t="str">
        <f>VLOOKUP(B890,Sheet3!$B$2:$E$312,3,)</f>
        <v>#N/A</v>
      </c>
      <c r="E890" s="64"/>
      <c r="F890" s="16" t="str">
        <f>IFERROR(VLOOKUP(B890,'Master data'!$A$1:$D$397,3,FALSE),"")</f>
        <v/>
      </c>
      <c r="G890" s="102"/>
      <c r="H890" s="65"/>
      <c r="I890" s="16"/>
      <c r="J890" s="16"/>
      <c r="K890" s="16" t="b">
        <v>0</v>
      </c>
      <c r="L890" s="16" t="b">
        <v>0</v>
      </c>
    </row>
    <row r="891">
      <c r="A891" s="9"/>
      <c r="B891" s="16"/>
      <c r="C891" s="7" t="str">
        <f>IFERROR(VLOOKUP(B891,'Master data'!$A$1:$D$397,2,FALSE),"")</f>
        <v/>
      </c>
      <c r="D891" s="70" t="str">
        <f>VLOOKUP(B891,Sheet3!$B$2:$E$312,3,)</f>
        <v>#N/A</v>
      </c>
      <c r="E891" s="64"/>
      <c r="F891" s="16" t="str">
        <f>IFERROR(VLOOKUP(B891,'Master data'!$A$1:$D$397,3,FALSE),"")</f>
        <v/>
      </c>
      <c r="G891" s="102"/>
      <c r="H891" s="65"/>
      <c r="I891" s="16"/>
      <c r="J891" s="16"/>
      <c r="K891" s="16" t="b">
        <v>0</v>
      </c>
      <c r="L891" s="16" t="b">
        <v>0</v>
      </c>
    </row>
    <row r="892">
      <c r="A892" s="9"/>
      <c r="B892" s="16"/>
      <c r="C892" s="7" t="str">
        <f>IFERROR(VLOOKUP(B892,'Master data'!$A$1:$D$397,2,FALSE),"")</f>
        <v/>
      </c>
      <c r="D892" s="70" t="str">
        <f>VLOOKUP(B892,Sheet3!$B$2:$E$312,3,)</f>
        <v>#N/A</v>
      </c>
      <c r="E892" s="64"/>
      <c r="F892" s="16" t="str">
        <f>IFERROR(VLOOKUP(B892,'Master data'!$A$1:$D$397,3,FALSE),"")</f>
        <v/>
      </c>
      <c r="G892" s="102"/>
      <c r="H892" s="65"/>
      <c r="I892" s="16"/>
      <c r="J892" s="16"/>
      <c r="K892" s="16" t="b">
        <v>0</v>
      </c>
      <c r="L892" s="16" t="b">
        <v>0</v>
      </c>
    </row>
    <row r="893">
      <c r="A893" s="9"/>
      <c r="B893" s="16"/>
      <c r="C893" s="7" t="str">
        <f>IFERROR(VLOOKUP(B893,'Master data'!$A$1:$D$397,2,FALSE),"")</f>
        <v/>
      </c>
      <c r="D893" s="70" t="str">
        <f>VLOOKUP(B893,Sheet3!$B$2:$E$312,3,)</f>
        <v>#N/A</v>
      </c>
      <c r="E893" s="64"/>
      <c r="F893" s="16" t="str">
        <f>IFERROR(VLOOKUP(B893,'Master data'!$A$1:$D$397,3,FALSE),"")</f>
        <v/>
      </c>
      <c r="G893" s="102"/>
      <c r="H893" s="65"/>
      <c r="I893" s="16"/>
      <c r="J893" s="16"/>
      <c r="K893" s="16" t="b">
        <v>0</v>
      </c>
      <c r="L893" s="16" t="b">
        <v>0</v>
      </c>
    </row>
    <row r="894">
      <c r="A894" s="9"/>
      <c r="B894" s="16"/>
      <c r="C894" s="7" t="str">
        <f>IFERROR(VLOOKUP(B894,'Master data'!$A$1:$D$397,2,FALSE),"")</f>
        <v/>
      </c>
      <c r="D894" s="70" t="str">
        <f>VLOOKUP(B894,Sheet3!$B$2:$E$312,3,)</f>
        <v>#N/A</v>
      </c>
      <c r="E894" s="64"/>
      <c r="F894" s="16" t="str">
        <f>IFERROR(VLOOKUP(B894,'Master data'!$A$1:$D$397,3,FALSE),"")</f>
        <v/>
      </c>
      <c r="G894" s="102"/>
      <c r="H894" s="65"/>
      <c r="I894" s="16"/>
      <c r="J894" s="16"/>
      <c r="K894" s="16" t="b">
        <v>0</v>
      </c>
      <c r="L894" s="16" t="b">
        <v>0</v>
      </c>
    </row>
    <row r="895">
      <c r="A895" s="9"/>
      <c r="B895" s="16"/>
      <c r="C895" s="7" t="str">
        <f>IFERROR(VLOOKUP(B895,'Master data'!$A$1:$D$397,2,FALSE),"")</f>
        <v/>
      </c>
      <c r="D895" s="70" t="str">
        <f>VLOOKUP(B895,Sheet3!$B$2:$E$312,3,)</f>
        <v>#N/A</v>
      </c>
      <c r="E895" s="64"/>
      <c r="F895" s="16" t="str">
        <f>IFERROR(VLOOKUP(B895,'Master data'!$A$1:$D$397,3,FALSE),"")</f>
        <v/>
      </c>
      <c r="G895" s="102"/>
      <c r="H895" s="65"/>
      <c r="I895" s="16"/>
      <c r="J895" s="16"/>
      <c r="K895" s="16" t="b">
        <v>0</v>
      </c>
      <c r="L895" s="16" t="b">
        <v>0</v>
      </c>
    </row>
    <row r="896">
      <c r="A896" s="9"/>
      <c r="B896" s="16"/>
      <c r="C896" s="7" t="str">
        <f>IFERROR(VLOOKUP(B896,'Master data'!$A$1:$D$397,2,FALSE),"")</f>
        <v/>
      </c>
      <c r="D896" s="70" t="str">
        <f>VLOOKUP(B896,Sheet3!$B$2:$E$312,3,)</f>
        <v>#N/A</v>
      </c>
      <c r="E896" s="64"/>
      <c r="F896" s="16" t="str">
        <f>IFERROR(VLOOKUP(B896,'Master data'!$A$1:$D$397,3,FALSE),"")</f>
        <v/>
      </c>
      <c r="G896" s="102"/>
      <c r="H896" s="65"/>
      <c r="I896" s="16"/>
      <c r="J896" s="16"/>
      <c r="K896" s="16" t="b">
        <v>0</v>
      </c>
      <c r="L896" s="16" t="b">
        <v>0</v>
      </c>
    </row>
    <row r="897">
      <c r="A897" s="9"/>
      <c r="B897" s="16"/>
      <c r="C897" s="7" t="str">
        <f>IFERROR(VLOOKUP(B897,'Master data'!$A$1:$D$397,2,FALSE),"")</f>
        <v/>
      </c>
      <c r="D897" s="70" t="str">
        <f>VLOOKUP(B897,Sheet3!$B$2:$E$312,3,)</f>
        <v>#N/A</v>
      </c>
      <c r="E897" s="64"/>
      <c r="F897" s="16" t="str">
        <f>IFERROR(VLOOKUP(B897,'Master data'!$A$1:$D$397,3,FALSE),"")</f>
        <v/>
      </c>
      <c r="G897" s="102"/>
      <c r="H897" s="65"/>
      <c r="I897" s="16"/>
      <c r="J897" s="16"/>
      <c r="K897" s="16" t="b">
        <v>0</v>
      </c>
      <c r="L897" s="16" t="b">
        <v>0</v>
      </c>
    </row>
    <row r="898">
      <c r="A898" s="9"/>
      <c r="B898" s="16"/>
      <c r="C898" s="7" t="str">
        <f>IFERROR(VLOOKUP(B898,'Master data'!$A$1:$D$397,2,FALSE),"")</f>
        <v/>
      </c>
      <c r="D898" s="70" t="str">
        <f>VLOOKUP(B898,Sheet3!$B$2:$E$312,3,)</f>
        <v>#N/A</v>
      </c>
      <c r="E898" s="64"/>
      <c r="F898" s="16" t="str">
        <f>IFERROR(VLOOKUP(B898,'Master data'!$A$1:$D$397,3,FALSE),"")</f>
        <v/>
      </c>
      <c r="G898" s="102"/>
      <c r="H898" s="65"/>
      <c r="I898" s="16"/>
      <c r="J898" s="16"/>
      <c r="K898" s="16" t="b">
        <v>0</v>
      </c>
      <c r="L898" s="16" t="b">
        <v>0</v>
      </c>
    </row>
    <row r="899">
      <c r="A899" s="9"/>
      <c r="B899" s="16"/>
      <c r="C899" s="7" t="str">
        <f>IFERROR(VLOOKUP(B899,'Master data'!$A$1:$D$397,2,FALSE),"")</f>
        <v/>
      </c>
      <c r="D899" s="70" t="str">
        <f>VLOOKUP(B899,Sheet3!$B$2:$E$312,3,)</f>
        <v>#N/A</v>
      </c>
      <c r="E899" s="64"/>
      <c r="F899" s="16" t="str">
        <f>IFERROR(VLOOKUP(B899,'Master data'!$A$1:$D$397,3,FALSE),"")</f>
        <v/>
      </c>
      <c r="G899" s="102"/>
      <c r="H899" s="65"/>
      <c r="I899" s="16"/>
      <c r="J899" s="16"/>
      <c r="K899" s="16" t="b">
        <v>0</v>
      </c>
      <c r="L899" s="16" t="b">
        <v>0</v>
      </c>
    </row>
    <row r="900">
      <c r="A900" s="9"/>
      <c r="B900" s="16"/>
      <c r="C900" s="7" t="str">
        <f>IFERROR(VLOOKUP(B900,'Master data'!$A$1:$D$397,2,FALSE),"")</f>
        <v/>
      </c>
      <c r="D900" s="70" t="str">
        <f>VLOOKUP(B900,Sheet3!$B$2:$E$312,3,)</f>
        <v>#N/A</v>
      </c>
      <c r="E900" s="64"/>
      <c r="F900" s="16" t="str">
        <f>IFERROR(VLOOKUP(B900,'Master data'!$A$1:$D$397,3,FALSE),"")</f>
        <v/>
      </c>
      <c r="G900" s="102"/>
      <c r="H900" s="65"/>
      <c r="I900" s="16"/>
      <c r="J900" s="16"/>
      <c r="K900" s="16" t="b">
        <v>0</v>
      </c>
      <c r="L900" s="16" t="b">
        <v>0</v>
      </c>
    </row>
    <row r="901">
      <c r="A901" s="9"/>
      <c r="B901" s="16"/>
      <c r="C901" s="7" t="str">
        <f>IFERROR(VLOOKUP(B901,'Master data'!$A$1:$D$397,2,FALSE),"")</f>
        <v/>
      </c>
      <c r="D901" s="70" t="str">
        <f>VLOOKUP(B901,Sheet3!$B$2:$E$312,3,)</f>
        <v>#N/A</v>
      </c>
      <c r="E901" s="64"/>
      <c r="F901" s="16" t="str">
        <f>IFERROR(VLOOKUP(B901,'Master data'!$A$1:$D$397,3,FALSE),"")</f>
        <v/>
      </c>
      <c r="G901" s="102"/>
      <c r="H901" s="65"/>
      <c r="I901" s="16"/>
      <c r="J901" s="16"/>
      <c r="K901" s="16" t="b">
        <v>0</v>
      </c>
      <c r="L901" s="16" t="b">
        <v>0</v>
      </c>
    </row>
    <row r="902">
      <c r="A902" s="9"/>
      <c r="B902" s="16"/>
      <c r="C902" s="7" t="str">
        <f>IFERROR(VLOOKUP(B902,'Master data'!$A$1:$D$397,2,FALSE),"")</f>
        <v/>
      </c>
      <c r="D902" s="70" t="str">
        <f>VLOOKUP(B902,Sheet3!$B$2:$E$312,3,)</f>
        <v>#N/A</v>
      </c>
      <c r="E902" s="64"/>
      <c r="F902" s="16" t="str">
        <f>IFERROR(VLOOKUP(B902,'Master data'!$A$1:$D$397,3,FALSE),"")</f>
        <v/>
      </c>
      <c r="G902" s="102"/>
      <c r="H902" s="65"/>
      <c r="I902" s="16"/>
      <c r="J902" s="16"/>
      <c r="K902" s="16" t="b">
        <v>0</v>
      </c>
      <c r="L902" s="16" t="b">
        <v>0</v>
      </c>
    </row>
    <row r="903">
      <c r="A903" s="9"/>
      <c r="B903" s="16"/>
      <c r="C903" s="7" t="str">
        <f>IFERROR(VLOOKUP(B903,'Master data'!$A$1:$D$397,2,FALSE),"")</f>
        <v/>
      </c>
      <c r="D903" s="70" t="str">
        <f>VLOOKUP(B903,Sheet3!$B$2:$E$312,3,)</f>
        <v>#N/A</v>
      </c>
      <c r="E903" s="64"/>
      <c r="F903" s="16" t="str">
        <f>IFERROR(VLOOKUP(B903,'Master data'!$A$1:$D$397,3,FALSE),"")</f>
        <v/>
      </c>
      <c r="G903" s="102"/>
      <c r="H903" s="65"/>
      <c r="I903" s="16"/>
      <c r="J903" s="16"/>
      <c r="K903" s="16" t="b">
        <v>0</v>
      </c>
      <c r="L903" s="16" t="b">
        <v>0</v>
      </c>
    </row>
    <row r="904">
      <c r="A904" s="9"/>
      <c r="B904" s="16"/>
      <c r="C904" s="7" t="str">
        <f>IFERROR(VLOOKUP(B904,'Master data'!$A$1:$D$397,2,FALSE),"")</f>
        <v/>
      </c>
      <c r="D904" s="70" t="str">
        <f>VLOOKUP(B904,Sheet3!$B$2:$E$312,3,)</f>
        <v>#N/A</v>
      </c>
      <c r="E904" s="64"/>
      <c r="F904" s="16" t="str">
        <f>IFERROR(VLOOKUP(B904,'Master data'!$A$1:$D$397,3,FALSE),"")</f>
        <v/>
      </c>
      <c r="G904" s="102"/>
      <c r="H904" s="65"/>
      <c r="I904" s="16"/>
      <c r="J904" s="16"/>
      <c r="K904" s="16" t="b">
        <v>0</v>
      </c>
      <c r="L904" s="16" t="b">
        <v>0</v>
      </c>
    </row>
    <row r="905">
      <c r="A905" s="9"/>
      <c r="B905" s="16"/>
      <c r="C905" s="7" t="str">
        <f>IFERROR(VLOOKUP(B905,'Master data'!$A$1:$D$397,2,FALSE),"")</f>
        <v/>
      </c>
      <c r="D905" s="70" t="str">
        <f>VLOOKUP(B905,Sheet3!$B$2:$E$312,3,)</f>
        <v>#N/A</v>
      </c>
      <c r="E905" s="64"/>
      <c r="F905" s="16" t="str">
        <f>IFERROR(VLOOKUP(B905,'Master data'!$A$1:$D$397,3,FALSE),"")</f>
        <v/>
      </c>
      <c r="G905" s="102"/>
      <c r="H905" s="65"/>
      <c r="I905" s="16"/>
      <c r="J905" s="16"/>
      <c r="K905" s="16" t="b">
        <v>0</v>
      </c>
      <c r="L905" s="16" t="b">
        <v>0</v>
      </c>
    </row>
    <row r="906">
      <c r="A906" s="9"/>
      <c r="B906" s="16"/>
      <c r="C906" s="7" t="str">
        <f>IFERROR(VLOOKUP(B906,'Master data'!$A$1:$D$397,2,FALSE),"")</f>
        <v/>
      </c>
      <c r="D906" s="70" t="str">
        <f>VLOOKUP(B906,Sheet3!$B$2:$E$312,3,)</f>
        <v>#N/A</v>
      </c>
      <c r="E906" s="64"/>
      <c r="F906" s="16" t="str">
        <f>IFERROR(VLOOKUP(B906,'Master data'!$A$1:$D$397,3,FALSE),"")</f>
        <v/>
      </c>
      <c r="G906" s="102"/>
      <c r="H906" s="65"/>
      <c r="I906" s="16"/>
      <c r="J906" s="16"/>
      <c r="K906" s="16" t="b">
        <v>0</v>
      </c>
      <c r="L906" s="16" t="b">
        <v>0</v>
      </c>
    </row>
    <row r="907">
      <c r="A907" s="9"/>
      <c r="B907" s="16"/>
      <c r="C907" s="7" t="str">
        <f>IFERROR(VLOOKUP(B907,'Master data'!$A$1:$D$397,2,FALSE),"")</f>
        <v/>
      </c>
      <c r="D907" s="70" t="str">
        <f>VLOOKUP(B907,Sheet3!$B$2:$E$312,3,)</f>
        <v>#N/A</v>
      </c>
      <c r="E907" s="64"/>
      <c r="F907" s="16" t="str">
        <f>IFERROR(VLOOKUP(B907,'Master data'!$A$1:$D$397,3,FALSE),"")</f>
        <v/>
      </c>
      <c r="G907" s="102"/>
      <c r="H907" s="65"/>
      <c r="I907" s="16"/>
      <c r="J907" s="16"/>
      <c r="K907" s="16" t="b">
        <v>0</v>
      </c>
      <c r="L907" s="16" t="b">
        <v>0</v>
      </c>
    </row>
    <row r="908">
      <c r="A908" s="9"/>
      <c r="B908" s="16"/>
      <c r="C908" s="7" t="str">
        <f>IFERROR(VLOOKUP(B908,'Master data'!$A$1:$D$397,2,FALSE),"")</f>
        <v/>
      </c>
      <c r="D908" s="70" t="str">
        <f>VLOOKUP(B908,Sheet3!$B$2:$E$312,3,)</f>
        <v>#N/A</v>
      </c>
      <c r="E908" s="64"/>
      <c r="F908" s="16" t="str">
        <f>IFERROR(VLOOKUP(B908,'Master data'!$A$1:$D$397,3,FALSE),"")</f>
        <v/>
      </c>
      <c r="G908" s="102"/>
      <c r="H908" s="65"/>
      <c r="I908" s="16"/>
      <c r="J908" s="16"/>
      <c r="K908" s="16" t="b">
        <v>0</v>
      </c>
      <c r="L908" s="16" t="b">
        <v>0</v>
      </c>
    </row>
    <row r="909">
      <c r="A909" s="9"/>
      <c r="B909" s="16"/>
      <c r="C909" s="7" t="str">
        <f>IFERROR(VLOOKUP(B909,'Master data'!$A$1:$D$397,2,FALSE),"")</f>
        <v/>
      </c>
      <c r="D909" s="70" t="str">
        <f>VLOOKUP(B909,Sheet3!$B$2:$E$312,3,)</f>
        <v>#N/A</v>
      </c>
      <c r="E909" s="64"/>
      <c r="F909" s="16" t="str">
        <f>IFERROR(VLOOKUP(B909,'Master data'!$A$1:$D$397,3,FALSE),"")</f>
        <v/>
      </c>
      <c r="G909" s="102"/>
      <c r="H909" s="65"/>
      <c r="I909" s="16"/>
      <c r="J909" s="16"/>
      <c r="K909" s="16" t="b">
        <v>0</v>
      </c>
      <c r="L909" s="16" t="b">
        <v>0</v>
      </c>
    </row>
    <row r="910">
      <c r="A910" s="9"/>
      <c r="B910" s="16"/>
      <c r="C910" s="7" t="str">
        <f>IFERROR(VLOOKUP(B910,'Master data'!$A$1:$D$397,2,FALSE),"")</f>
        <v/>
      </c>
      <c r="D910" s="70" t="str">
        <f>VLOOKUP(B910,Sheet3!$B$2:$E$312,3,)</f>
        <v>#N/A</v>
      </c>
      <c r="E910" s="64"/>
      <c r="F910" s="16" t="str">
        <f>IFERROR(VLOOKUP(B910,'Master data'!$A$1:$D$397,3,FALSE),"")</f>
        <v/>
      </c>
      <c r="G910" s="102"/>
      <c r="H910" s="65"/>
      <c r="I910" s="16"/>
      <c r="J910" s="16"/>
      <c r="K910" s="16" t="b">
        <v>0</v>
      </c>
      <c r="L910" s="16" t="b">
        <v>0</v>
      </c>
    </row>
    <row r="911">
      <c r="A911" s="9"/>
      <c r="B911" s="16"/>
      <c r="C911" s="7" t="str">
        <f>IFERROR(VLOOKUP(B911,'Master data'!$A$1:$D$397,2,FALSE),"")</f>
        <v/>
      </c>
      <c r="D911" s="70" t="str">
        <f>VLOOKUP(B911,Sheet3!$B$2:$E$312,3,)</f>
        <v>#N/A</v>
      </c>
      <c r="E911" s="64"/>
      <c r="F911" s="16" t="str">
        <f>IFERROR(VLOOKUP(B911,'Master data'!$A$1:$D$397,3,FALSE),"")</f>
        <v/>
      </c>
      <c r="G911" s="102"/>
      <c r="H911" s="65"/>
      <c r="I911" s="16"/>
      <c r="J911" s="16"/>
      <c r="K911" s="16" t="b">
        <v>0</v>
      </c>
      <c r="L911" s="16" t="b">
        <v>0</v>
      </c>
    </row>
    <row r="912">
      <c r="A912" s="9"/>
      <c r="B912" s="16"/>
      <c r="C912" s="7" t="str">
        <f>IFERROR(VLOOKUP(B912,'Master data'!$A$1:$D$397,2,FALSE),"")</f>
        <v/>
      </c>
      <c r="D912" s="70" t="str">
        <f>VLOOKUP(B912,Sheet3!$B$2:$E$312,3,)</f>
        <v>#N/A</v>
      </c>
      <c r="E912" s="64"/>
      <c r="F912" s="16" t="str">
        <f>IFERROR(VLOOKUP(B912,'Master data'!$A$1:$D$397,3,FALSE),"")</f>
        <v/>
      </c>
      <c r="G912" s="102"/>
      <c r="H912" s="65"/>
      <c r="I912" s="16"/>
      <c r="J912" s="16"/>
      <c r="K912" s="16" t="b">
        <v>0</v>
      </c>
      <c r="L912" s="16" t="b">
        <v>0</v>
      </c>
    </row>
    <row r="913">
      <c r="A913" s="9"/>
      <c r="B913" s="16"/>
      <c r="C913" s="7" t="str">
        <f>IFERROR(VLOOKUP(B913,'Master data'!$A$1:$D$397,2,FALSE),"")</f>
        <v/>
      </c>
      <c r="D913" s="70" t="str">
        <f>VLOOKUP(B913,Sheet3!$B$2:$E$312,3,)</f>
        <v>#N/A</v>
      </c>
      <c r="E913" s="64"/>
      <c r="F913" s="16" t="str">
        <f>IFERROR(VLOOKUP(B913,'Master data'!$A$1:$D$397,3,FALSE),"")</f>
        <v/>
      </c>
      <c r="G913" s="102"/>
      <c r="H913" s="65"/>
      <c r="I913" s="16"/>
      <c r="J913" s="16"/>
      <c r="K913" s="16" t="b">
        <v>0</v>
      </c>
      <c r="L913" s="16" t="b">
        <v>0</v>
      </c>
    </row>
    <row r="914">
      <c r="A914" s="9"/>
      <c r="B914" s="16"/>
      <c r="C914" s="7" t="str">
        <f>IFERROR(VLOOKUP(B914,'Master data'!$A$1:$D$397,2,FALSE),"")</f>
        <v/>
      </c>
      <c r="D914" s="70" t="str">
        <f>VLOOKUP(B914,Sheet3!$B$2:$E$312,3,)</f>
        <v>#N/A</v>
      </c>
      <c r="E914" s="64"/>
      <c r="F914" s="16" t="str">
        <f>IFERROR(VLOOKUP(B914,'Master data'!$A$1:$D$397,3,FALSE),"")</f>
        <v/>
      </c>
      <c r="G914" s="102"/>
      <c r="H914" s="65"/>
      <c r="I914" s="16"/>
      <c r="J914" s="16"/>
      <c r="K914" s="16" t="b">
        <v>0</v>
      </c>
      <c r="L914" s="16" t="b">
        <v>0</v>
      </c>
    </row>
    <row r="915">
      <c r="A915" s="9"/>
      <c r="B915" s="16"/>
      <c r="C915" s="7" t="str">
        <f>IFERROR(VLOOKUP(B915,'Master data'!$A$1:$D$397,2,FALSE),"")</f>
        <v/>
      </c>
      <c r="D915" s="70" t="str">
        <f>VLOOKUP(B915,Sheet3!$B$2:$E$312,3,)</f>
        <v>#N/A</v>
      </c>
      <c r="E915" s="64"/>
      <c r="F915" s="16" t="str">
        <f>IFERROR(VLOOKUP(B915,'Master data'!$A$1:$D$397,3,FALSE),"")</f>
        <v/>
      </c>
      <c r="G915" s="102"/>
      <c r="H915" s="65"/>
      <c r="I915" s="16"/>
      <c r="J915" s="16"/>
      <c r="K915" s="16" t="b">
        <v>0</v>
      </c>
      <c r="L915" s="16" t="b">
        <v>0</v>
      </c>
    </row>
    <row r="916">
      <c r="A916" s="9"/>
      <c r="B916" s="16"/>
      <c r="C916" s="7" t="str">
        <f>IFERROR(VLOOKUP(B916,'Master data'!$A$1:$D$397,2,FALSE),"")</f>
        <v/>
      </c>
      <c r="D916" s="70" t="str">
        <f>VLOOKUP(B916,Sheet3!$B$2:$E$312,3,)</f>
        <v>#N/A</v>
      </c>
      <c r="E916" s="64"/>
      <c r="F916" s="16" t="str">
        <f>IFERROR(VLOOKUP(B916,'Master data'!$A$1:$D$397,3,FALSE),"")</f>
        <v/>
      </c>
      <c r="G916" s="102"/>
      <c r="H916" s="65"/>
      <c r="I916" s="16"/>
      <c r="J916" s="16"/>
      <c r="K916" s="16" t="b">
        <v>0</v>
      </c>
      <c r="L916" s="16" t="b">
        <v>0</v>
      </c>
    </row>
    <row r="917">
      <c r="A917" s="9"/>
      <c r="B917" s="16"/>
      <c r="C917" s="7" t="str">
        <f>IFERROR(VLOOKUP(B917,'Master data'!$A$1:$D$397,2,FALSE),"")</f>
        <v/>
      </c>
      <c r="D917" s="70" t="str">
        <f>VLOOKUP(B917,Sheet3!$B$2:$E$312,3,)</f>
        <v>#N/A</v>
      </c>
      <c r="E917" s="64"/>
      <c r="F917" s="16" t="str">
        <f>IFERROR(VLOOKUP(B917,'Master data'!$A$1:$D$397,3,FALSE),"")</f>
        <v/>
      </c>
      <c r="G917" s="102"/>
      <c r="H917" s="65"/>
      <c r="I917" s="16"/>
      <c r="J917" s="16"/>
      <c r="K917" s="16" t="b">
        <v>0</v>
      </c>
      <c r="L917" s="16" t="b">
        <v>0</v>
      </c>
    </row>
    <row r="918">
      <c r="A918" s="9"/>
      <c r="B918" s="16"/>
      <c r="C918" s="7" t="str">
        <f>IFERROR(VLOOKUP(B918,'Master data'!$A$1:$D$397,2,FALSE),"")</f>
        <v/>
      </c>
      <c r="D918" s="70" t="str">
        <f>VLOOKUP(B918,Sheet3!$B$2:$E$312,3,)</f>
        <v>#N/A</v>
      </c>
      <c r="E918" s="64"/>
      <c r="F918" s="16" t="str">
        <f>IFERROR(VLOOKUP(B918,'Master data'!$A$1:$D$397,3,FALSE),"")</f>
        <v/>
      </c>
      <c r="G918" s="102"/>
      <c r="H918" s="65"/>
      <c r="I918" s="16"/>
      <c r="J918" s="16"/>
      <c r="K918" s="16" t="b">
        <v>0</v>
      </c>
      <c r="L918" s="16" t="b">
        <v>0</v>
      </c>
    </row>
    <row r="919">
      <c r="A919" s="9"/>
      <c r="B919" s="16"/>
      <c r="C919" s="7" t="str">
        <f>IFERROR(VLOOKUP(B919,'Master data'!$A$1:$D$397,2,FALSE),"")</f>
        <v/>
      </c>
      <c r="D919" s="70" t="str">
        <f>VLOOKUP(B919,Sheet3!$B$2:$E$312,3,)</f>
        <v>#N/A</v>
      </c>
      <c r="E919" s="64"/>
      <c r="F919" s="16" t="str">
        <f>IFERROR(VLOOKUP(B919,'Master data'!$A$1:$D$397,3,FALSE),"")</f>
        <v/>
      </c>
      <c r="G919" s="102"/>
      <c r="H919" s="65"/>
      <c r="I919" s="16"/>
      <c r="J919" s="16"/>
      <c r="K919" s="16" t="b">
        <v>0</v>
      </c>
      <c r="L919" s="16" t="b">
        <v>0</v>
      </c>
    </row>
    <row r="920">
      <c r="A920" s="9"/>
      <c r="B920" s="16"/>
      <c r="C920" s="7" t="str">
        <f>IFERROR(VLOOKUP(B920,'Master data'!$A$1:$D$397,2,FALSE),"")</f>
        <v/>
      </c>
      <c r="D920" s="70" t="str">
        <f>VLOOKUP(B920,Sheet3!$B$2:$E$312,3,)</f>
        <v>#N/A</v>
      </c>
      <c r="E920" s="64"/>
      <c r="F920" s="16" t="str">
        <f>IFERROR(VLOOKUP(B920,'Master data'!$A$1:$D$397,3,FALSE),"")</f>
        <v/>
      </c>
      <c r="G920" s="102"/>
      <c r="H920" s="65"/>
      <c r="I920" s="16"/>
      <c r="J920" s="16"/>
      <c r="K920" s="16" t="b">
        <v>0</v>
      </c>
      <c r="L920" s="16" t="b">
        <v>0</v>
      </c>
    </row>
    <row r="921">
      <c r="A921" s="9"/>
      <c r="B921" s="16"/>
      <c r="C921" s="7" t="str">
        <f>IFERROR(VLOOKUP(B921,'Master data'!$A$1:$D$397,2,FALSE),"")</f>
        <v/>
      </c>
      <c r="D921" s="70" t="str">
        <f>VLOOKUP(B921,Sheet3!$B$2:$E$312,3,)</f>
        <v>#N/A</v>
      </c>
      <c r="E921" s="64"/>
      <c r="F921" s="16" t="str">
        <f>IFERROR(VLOOKUP(B921,'Master data'!$A$1:$D$397,3,FALSE),"")</f>
        <v/>
      </c>
      <c r="G921" s="102"/>
      <c r="H921" s="65"/>
      <c r="I921" s="16"/>
      <c r="J921" s="16"/>
      <c r="K921" s="16" t="b">
        <v>0</v>
      </c>
      <c r="L921" s="16" t="b">
        <v>0</v>
      </c>
    </row>
    <row r="922">
      <c r="A922" s="9"/>
      <c r="B922" s="16"/>
      <c r="C922" s="7" t="str">
        <f>IFERROR(VLOOKUP(B922,'Master data'!$A$1:$D$397,2,FALSE),"")</f>
        <v/>
      </c>
      <c r="D922" s="70" t="str">
        <f>VLOOKUP(B922,Sheet3!$B$2:$E$312,3,)</f>
        <v>#N/A</v>
      </c>
      <c r="E922" s="64"/>
      <c r="F922" s="16" t="str">
        <f>IFERROR(VLOOKUP(B922,'Master data'!$A$1:$D$397,3,FALSE),"")</f>
        <v/>
      </c>
      <c r="G922" s="102"/>
      <c r="H922" s="65"/>
      <c r="I922" s="16"/>
      <c r="J922" s="16"/>
      <c r="K922" s="16" t="b">
        <v>0</v>
      </c>
      <c r="L922" s="16" t="b">
        <v>0</v>
      </c>
    </row>
    <row r="923">
      <c r="A923" s="9"/>
      <c r="B923" s="16"/>
      <c r="C923" s="7" t="str">
        <f>IFERROR(VLOOKUP(B923,'Master data'!$A$1:$D$397,2,FALSE),"")</f>
        <v/>
      </c>
      <c r="D923" s="70" t="str">
        <f>VLOOKUP(B923,Sheet3!$B$2:$E$312,3,)</f>
        <v>#N/A</v>
      </c>
      <c r="E923" s="64"/>
      <c r="F923" s="16" t="str">
        <f>IFERROR(VLOOKUP(B923,'Master data'!$A$1:$D$397,3,FALSE),"")</f>
        <v/>
      </c>
      <c r="G923" s="102"/>
      <c r="H923" s="65"/>
      <c r="I923" s="16"/>
      <c r="J923" s="16"/>
      <c r="K923" s="16" t="b">
        <v>0</v>
      </c>
      <c r="L923" s="16" t="b">
        <v>0</v>
      </c>
    </row>
    <row r="924">
      <c r="A924" s="9"/>
      <c r="B924" s="16"/>
      <c r="C924" s="7" t="str">
        <f>IFERROR(VLOOKUP(B924,'Master data'!$A$1:$D$397,2,FALSE),"")</f>
        <v/>
      </c>
      <c r="D924" s="70" t="str">
        <f>VLOOKUP(B924,Sheet3!$B$2:$E$312,3,)</f>
        <v>#N/A</v>
      </c>
      <c r="E924" s="64"/>
      <c r="F924" s="16" t="str">
        <f>IFERROR(VLOOKUP(B924,'Master data'!$A$1:$D$397,3,FALSE),"")</f>
        <v/>
      </c>
      <c r="G924" s="102"/>
      <c r="H924" s="65"/>
      <c r="I924" s="16"/>
      <c r="J924" s="16"/>
      <c r="K924" s="16" t="b">
        <v>0</v>
      </c>
      <c r="L924" s="16" t="b">
        <v>0</v>
      </c>
    </row>
    <row r="925">
      <c r="A925" s="9"/>
      <c r="B925" s="16"/>
      <c r="C925" s="7" t="str">
        <f>IFERROR(VLOOKUP(B925,'Master data'!$A$1:$D$397,2,FALSE),"")</f>
        <v/>
      </c>
      <c r="D925" s="70" t="str">
        <f>VLOOKUP(B925,Sheet3!$B$2:$E$312,3,)</f>
        <v>#N/A</v>
      </c>
      <c r="E925" s="64"/>
      <c r="F925" s="16" t="str">
        <f>IFERROR(VLOOKUP(B925,'Master data'!$A$1:$D$397,3,FALSE),"")</f>
        <v/>
      </c>
      <c r="G925" s="102"/>
      <c r="H925" s="65"/>
      <c r="I925" s="16"/>
      <c r="J925" s="16"/>
      <c r="K925" s="16" t="b">
        <v>0</v>
      </c>
      <c r="L925" s="16" t="b">
        <v>0</v>
      </c>
    </row>
    <row r="926">
      <c r="A926" s="9"/>
      <c r="B926" s="16"/>
      <c r="C926" s="7" t="str">
        <f>IFERROR(VLOOKUP(B926,'Master data'!$A$1:$D$397,2,FALSE),"")</f>
        <v/>
      </c>
      <c r="D926" s="70" t="str">
        <f>VLOOKUP(B926,Sheet3!$B$2:$E$312,3,)</f>
        <v>#N/A</v>
      </c>
      <c r="E926" s="64"/>
      <c r="F926" s="16" t="str">
        <f>IFERROR(VLOOKUP(B926,'Master data'!$A$1:$D$397,3,FALSE),"")</f>
        <v/>
      </c>
      <c r="G926" s="102"/>
      <c r="H926" s="65"/>
      <c r="I926" s="16"/>
      <c r="J926" s="16"/>
      <c r="K926" s="16" t="b">
        <v>0</v>
      </c>
      <c r="L926" s="16" t="b">
        <v>0</v>
      </c>
    </row>
    <row r="927">
      <c r="A927" s="9"/>
      <c r="B927" s="16"/>
      <c r="C927" s="7" t="str">
        <f>IFERROR(VLOOKUP(B927,'Master data'!$A$1:$D$397,2,FALSE),"")</f>
        <v/>
      </c>
      <c r="D927" s="70" t="str">
        <f>VLOOKUP(B927,Sheet3!$B$2:$E$312,3,)</f>
        <v>#N/A</v>
      </c>
      <c r="E927" s="64"/>
      <c r="F927" s="16" t="str">
        <f>IFERROR(VLOOKUP(B927,'Master data'!$A$1:$D$397,3,FALSE),"")</f>
        <v/>
      </c>
      <c r="G927" s="102"/>
      <c r="H927" s="65"/>
      <c r="I927" s="16"/>
      <c r="J927" s="16"/>
      <c r="K927" s="16" t="b">
        <v>0</v>
      </c>
      <c r="L927" s="16" t="b">
        <v>0</v>
      </c>
    </row>
    <row r="928">
      <c r="A928" s="9"/>
      <c r="B928" s="16"/>
      <c r="C928" s="7" t="str">
        <f>IFERROR(VLOOKUP(B928,'Master data'!$A$1:$D$397,2,FALSE),"")</f>
        <v/>
      </c>
      <c r="D928" s="70" t="str">
        <f>VLOOKUP(B928,Sheet3!$B$2:$E$312,3,)</f>
        <v>#N/A</v>
      </c>
      <c r="E928" s="64"/>
      <c r="F928" s="16" t="str">
        <f>IFERROR(VLOOKUP(B928,'Master data'!$A$1:$D$397,3,FALSE),"")</f>
        <v/>
      </c>
      <c r="G928" s="102"/>
      <c r="H928" s="65"/>
      <c r="I928" s="16"/>
      <c r="J928" s="16"/>
      <c r="K928" s="16" t="b">
        <v>0</v>
      </c>
      <c r="L928" s="16" t="b">
        <v>0</v>
      </c>
    </row>
    <row r="929">
      <c r="A929" s="9"/>
      <c r="B929" s="16"/>
      <c r="C929" s="7" t="str">
        <f>IFERROR(VLOOKUP(B929,'Master data'!$A$1:$D$397,2,FALSE),"")</f>
        <v/>
      </c>
      <c r="D929" s="70" t="str">
        <f>VLOOKUP(B929,Sheet3!$B$2:$E$312,3,)</f>
        <v>#N/A</v>
      </c>
      <c r="E929" s="64"/>
      <c r="F929" s="16" t="str">
        <f>IFERROR(VLOOKUP(B929,'Master data'!$A$1:$D$397,3,FALSE),"")</f>
        <v/>
      </c>
      <c r="G929" s="102"/>
      <c r="H929" s="65"/>
      <c r="I929" s="16"/>
      <c r="J929" s="16"/>
      <c r="K929" s="16" t="b">
        <v>0</v>
      </c>
      <c r="L929" s="16" t="b">
        <v>0</v>
      </c>
    </row>
    <row r="930">
      <c r="A930" s="9"/>
      <c r="B930" s="16"/>
      <c r="C930" s="7" t="str">
        <f>IFERROR(VLOOKUP(B930,'Master data'!$A$1:$D$397,2,FALSE),"")</f>
        <v/>
      </c>
      <c r="D930" s="70" t="str">
        <f>VLOOKUP(B930,Sheet3!$B$2:$E$312,3,)</f>
        <v>#N/A</v>
      </c>
      <c r="E930" s="64"/>
      <c r="F930" s="16" t="str">
        <f>IFERROR(VLOOKUP(B930,'Master data'!$A$1:$D$397,3,FALSE),"")</f>
        <v/>
      </c>
      <c r="G930" s="102"/>
      <c r="H930" s="65"/>
      <c r="I930" s="16"/>
      <c r="J930" s="16"/>
      <c r="K930" s="16" t="b">
        <v>0</v>
      </c>
      <c r="L930" s="16" t="b">
        <v>0</v>
      </c>
    </row>
    <row r="931">
      <c r="A931" s="9"/>
      <c r="B931" s="16"/>
      <c r="C931" s="7" t="str">
        <f>IFERROR(VLOOKUP(B931,'Master data'!$A$1:$D$397,2,FALSE),"")</f>
        <v/>
      </c>
      <c r="D931" s="70" t="str">
        <f>VLOOKUP(B931,Sheet3!$B$2:$E$312,3,)</f>
        <v>#N/A</v>
      </c>
      <c r="E931" s="64"/>
      <c r="F931" s="16" t="str">
        <f>IFERROR(VLOOKUP(B931,'Master data'!$A$1:$D$397,3,FALSE),"")</f>
        <v/>
      </c>
      <c r="G931" s="102"/>
      <c r="H931" s="65"/>
      <c r="I931" s="16"/>
      <c r="J931" s="16"/>
      <c r="K931" s="16" t="b">
        <v>0</v>
      </c>
      <c r="L931" s="16" t="b">
        <v>0</v>
      </c>
    </row>
    <row r="932">
      <c r="A932" s="9"/>
      <c r="B932" s="16"/>
      <c r="C932" s="7" t="str">
        <f>IFERROR(VLOOKUP(B932,'Master data'!$A$1:$D$397,2,FALSE),"")</f>
        <v/>
      </c>
      <c r="D932" s="70" t="str">
        <f>VLOOKUP(B932,Sheet3!$B$2:$E$312,3,)</f>
        <v>#N/A</v>
      </c>
      <c r="E932" s="64"/>
      <c r="F932" s="16" t="str">
        <f>IFERROR(VLOOKUP(B932,'Master data'!$A$1:$D$397,3,FALSE),"")</f>
        <v/>
      </c>
      <c r="G932" s="102"/>
      <c r="H932" s="65"/>
      <c r="I932" s="16"/>
      <c r="J932" s="16"/>
      <c r="K932" s="16" t="b">
        <v>0</v>
      </c>
      <c r="L932" s="16" t="b">
        <v>0</v>
      </c>
    </row>
    <row r="933">
      <c r="A933" s="9"/>
      <c r="B933" s="16"/>
      <c r="C933" s="7" t="str">
        <f>IFERROR(VLOOKUP(B933,'Master data'!$A$1:$D$397,2,FALSE),"")</f>
        <v/>
      </c>
      <c r="D933" s="70" t="str">
        <f>VLOOKUP(B933,Sheet3!$B$2:$E$312,3,)</f>
        <v>#N/A</v>
      </c>
      <c r="E933" s="64"/>
      <c r="F933" s="16" t="str">
        <f>IFERROR(VLOOKUP(B933,'Master data'!$A$1:$D$397,3,FALSE),"")</f>
        <v/>
      </c>
      <c r="G933" s="102"/>
      <c r="H933" s="65"/>
      <c r="I933" s="16"/>
      <c r="J933" s="16"/>
      <c r="K933" s="16" t="b">
        <v>0</v>
      </c>
      <c r="L933" s="16" t="b">
        <v>0</v>
      </c>
    </row>
    <row r="934">
      <c r="A934" s="9"/>
      <c r="B934" s="16"/>
      <c r="C934" s="7" t="str">
        <f>IFERROR(VLOOKUP(B934,'Master data'!$A$1:$D$397,2,FALSE),"")</f>
        <v/>
      </c>
      <c r="D934" s="70" t="str">
        <f>VLOOKUP(B934,Sheet3!$B$2:$E$312,3,)</f>
        <v>#N/A</v>
      </c>
      <c r="E934" s="64"/>
      <c r="F934" s="16" t="str">
        <f>IFERROR(VLOOKUP(B934,'Master data'!$A$1:$D$397,3,FALSE),"")</f>
        <v/>
      </c>
      <c r="G934" s="102"/>
      <c r="H934" s="65"/>
      <c r="I934" s="16"/>
      <c r="J934" s="16"/>
      <c r="K934" s="16" t="b">
        <v>0</v>
      </c>
      <c r="L934" s="16" t="b">
        <v>0</v>
      </c>
    </row>
    <row r="935">
      <c r="A935" s="9"/>
      <c r="B935" s="16"/>
      <c r="C935" s="7" t="str">
        <f>IFERROR(VLOOKUP(B935,'Master data'!$A$1:$D$397,2,FALSE),"")</f>
        <v/>
      </c>
      <c r="D935" s="70" t="str">
        <f>VLOOKUP(B935,Sheet3!$B$2:$E$312,3,)</f>
        <v>#N/A</v>
      </c>
      <c r="E935" s="64"/>
      <c r="F935" s="16" t="str">
        <f>IFERROR(VLOOKUP(B935,'Master data'!$A$1:$D$397,3,FALSE),"")</f>
        <v/>
      </c>
      <c r="G935" s="102"/>
      <c r="H935" s="65"/>
      <c r="I935" s="16"/>
      <c r="J935" s="16"/>
      <c r="K935" s="16" t="b">
        <v>0</v>
      </c>
      <c r="L935" s="16" t="b">
        <v>0</v>
      </c>
    </row>
    <row r="936">
      <c r="A936" s="9"/>
      <c r="B936" s="16"/>
      <c r="C936" s="7" t="str">
        <f>IFERROR(VLOOKUP(B936,'Master data'!$A$1:$D$397,2,FALSE),"")</f>
        <v/>
      </c>
      <c r="D936" s="70" t="str">
        <f>VLOOKUP(B936,Sheet3!$B$2:$E$312,3,)</f>
        <v>#N/A</v>
      </c>
      <c r="E936" s="64"/>
      <c r="F936" s="16" t="str">
        <f>IFERROR(VLOOKUP(B936,'Master data'!$A$1:$D$397,3,FALSE),"")</f>
        <v/>
      </c>
      <c r="G936" s="102"/>
      <c r="H936" s="65"/>
      <c r="I936" s="16"/>
      <c r="J936" s="16"/>
      <c r="K936" s="16" t="b">
        <v>0</v>
      </c>
      <c r="L936" s="16" t="b">
        <v>0</v>
      </c>
    </row>
    <row r="937">
      <c r="A937" s="9"/>
      <c r="B937" s="16"/>
      <c r="C937" s="7" t="str">
        <f>IFERROR(VLOOKUP(B937,'Master data'!$A$1:$D$397,2,FALSE),"")</f>
        <v/>
      </c>
      <c r="D937" s="70" t="str">
        <f>VLOOKUP(B937,Sheet3!$B$2:$E$312,3,)</f>
        <v>#N/A</v>
      </c>
      <c r="E937" s="64"/>
      <c r="F937" s="16" t="str">
        <f>IFERROR(VLOOKUP(B937,'Master data'!$A$1:$D$397,3,FALSE),"")</f>
        <v/>
      </c>
      <c r="G937" s="102"/>
      <c r="H937" s="65"/>
      <c r="I937" s="16"/>
      <c r="J937" s="16"/>
      <c r="K937" s="16" t="b">
        <v>0</v>
      </c>
      <c r="L937" s="16" t="b">
        <v>0</v>
      </c>
    </row>
    <row r="938">
      <c r="A938" s="9"/>
      <c r="B938" s="16"/>
      <c r="C938" s="7" t="str">
        <f>IFERROR(VLOOKUP(B938,'Master data'!$A$1:$D$397,2,FALSE),"")</f>
        <v/>
      </c>
      <c r="D938" s="70" t="str">
        <f>VLOOKUP(B938,Sheet3!$B$2:$E$312,3,)</f>
        <v>#N/A</v>
      </c>
      <c r="E938" s="64"/>
      <c r="F938" s="16" t="str">
        <f>IFERROR(VLOOKUP(B938,'Master data'!$A$1:$D$397,3,FALSE),"")</f>
        <v/>
      </c>
      <c r="G938" s="102"/>
      <c r="H938" s="65"/>
      <c r="I938" s="16"/>
      <c r="J938" s="16"/>
      <c r="K938" s="16" t="b">
        <v>0</v>
      </c>
      <c r="L938" s="16" t="b">
        <v>0</v>
      </c>
    </row>
    <row r="939">
      <c r="A939" s="9"/>
      <c r="B939" s="16"/>
      <c r="C939" s="7" t="str">
        <f>IFERROR(VLOOKUP(B939,'Master data'!$A$1:$D$397,2,FALSE),"")</f>
        <v/>
      </c>
      <c r="D939" s="70" t="str">
        <f>VLOOKUP(B939,Sheet3!$B$2:$E$312,3,)</f>
        <v>#N/A</v>
      </c>
      <c r="E939" s="64"/>
      <c r="F939" s="16" t="str">
        <f>IFERROR(VLOOKUP(B939,'Master data'!$A$1:$D$397,3,FALSE),"")</f>
        <v/>
      </c>
      <c r="G939" s="102"/>
      <c r="H939" s="65"/>
      <c r="I939" s="16"/>
      <c r="J939" s="16"/>
      <c r="K939" s="16" t="b">
        <v>0</v>
      </c>
      <c r="L939" s="16" t="b">
        <v>0</v>
      </c>
    </row>
    <row r="940">
      <c r="A940" s="9"/>
      <c r="B940" s="16"/>
      <c r="C940" s="7" t="str">
        <f>IFERROR(VLOOKUP(B940,'Master data'!$A$1:$D$397,2,FALSE),"")</f>
        <v/>
      </c>
      <c r="D940" s="70" t="str">
        <f>VLOOKUP(B940,Sheet3!$B$2:$E$312,3,)</f>
        <v>#N/A</v>
      </c>
      <c r="E940" s="64"/>
      <c r="F940" s="16" t="str">
        <f>IFERROR(VLOOKUP(B940,'Master data'!$A$1:$D$397,3,FALSE),"")</f>
        <v/>
      </c>
      <c r="G940" s="102"/>
      <c r="H940" s="65"/>
      <c r="I940" s="16"/>
      <c r="J940" s="16"/>
      <c r="K940" s="16" t="b">
        <v>0</v>
      </c>
      <c r="L940" s="16" t="b">
        <v>0</v>
      </c>
    </row>
    <row r="941">
      <c r="A941" s="9"/>
      <c r="B941" s="16"/>
      <c r="C941" s="7" t="str">
        <f>IFERROR(VLOOKUP(B941,'Master data'!$A$1:$D$397,2,FALSE),"")</f>
        <v/>
      </c>
      <c r="D941" s="70" t="str">
        <f>VLOOKUP(B941,Sheet3!$B$2:$E$312,3,)</f>
        <v>#N/A</v>
      </c>
      <c r="E941" s="64"/>
      <c r="F941" s="16" t="str">
        <f>IFERROR(VLOOKUP(B941,'Master data'!$A$1:$D$397,3,FALSE),"")</f>
        <v/>
      </c>
      <c r="G941" s="102"/>
      <c r="H941" s="65"/>
      <c r="I941" s="16"/>
      <c r="J941" s="16"/>
      <c r="K941" s="16" t="b">
        <v>0</v>
      </c>
      <c r="L941" s="16" t="b">
        <v>0</v>
      </c>
    </row>
    <row r="942">
      <c r="A942" s="9"/>
      <c r="B942" s="16"/>
      <c r="C942" s="7" t="str">
        <f>IFERROR(VLOOKUP(B942,'Master data'!$A$1:$D$397,2,FALSE),"")</f>
        <v/>
      </c>
      <c r="D942" s="70" t="str">
        <f>VLOOKUP(B942,Sheet3!$B$2:$E$312,3,)</f>
        <v>#N/A</v>
      </c>
      <c r="E942" s="64"/>
      <c r="F942" s="16" t="str">
        <f>IFERROR(VLOOKUP(B942,'Master data'!$A$1:$D$397,3,FALSE),"")</f>
        <v/>
      </c>
      <c r="G942" s="102"/>
      <c r="H942" s="65"/>
      <c r="I942" s="16"/>
      <c r="J942" s="16"/>
      <c r="K942" s="16" t="b">
        <v>0</v>
      </c>
      <c r="L942" s="16" t="b">
        <v>0</v>
      </c>
    </row>
    <row r="943">
      <c r="A943" s="9"/>
      <c r="B943" s="16"/>
      <c r="C943" s="7" t="str">
        <f>IFERROR(VLOOKUP(B943,'Master data'!$A$1:$D$397,2,FALSE),"")</f>
        <v/>
      </c>
      <c r="D943" s="70" t="str">
        <f>VLOOKUP(B943,Sheet3!$B$2:$E$312,3,)</f>
        <v>#N/A</v>
      </c>
      <c r="E943" s="64"/>
      <c r="F943" s="16" t="str">
        <f>IFERROR(VLOOKUP(B943,'Master data'!$A$1:$D$397,3,FALSE),"")</f>
        <v/>
      </c>
      <c r="G943" s="102"/>
      <c r="H943" s="65"/>
      <c r="I943" s="16"/>
      <c r="J943" s="16"/>
      <c r="K943" s="16" t="b">
        <v>0</v>
      </c>
      <c r="L943" s="16" t="b">
        <v>0</v>
      </c>
    </row>
    <row r="944">
      <c r="A944" s="9"/>
      <c r="B944" s="16"/>
      <c r="C944" s="7" t="str">
        <f>IFERROR(VLOOKUP(B944,'Master data'!$A$1:$D$397,2,FALSE),"")</f>
        <v/>
      </c>
      <c r="D944" s="70" t="str">
        <f>VLOOKUP(B944,Sheet3!$B$2:$E$312,3,)</f>
        <v>#N/A</v>
      </c>
      <c r="E944" s="64"/>
      <c r="F944" s="16" t="str">
        <f>IFERROR(VLOOKUP(B944,'Master data'!$A$1:$D$397,3,FALSE),"")</f>
        <v/>
      </c>
      <c r="G944" s="102"/>
      <c r="H944" s="65"/>
      <c r="I944" s="16"/>
      <c r="J944" s="16"/>
      <c r="K944" s="16" t="b">
        <v>0</v>
      </c>
      <c r="L944" s="16" t="b">
        <v>0</v>
      </c>
    </row>
    <row r="945">
      <c r="A945" s="9"/>
      <c r="B945" s="16"/>
      <c r="C945" s="7" t="str">
        <f>IFERROR(VLOOKUP(B945,'Master data'!$A$1:$D$397,2,FALSE),"")</f>
        <v/>
      </c>
      <c r="D945" s="70" t="str">
        <f>VLOOKUP(B945,Sheet3!$B$2:$E$312,3,)</f>
        <v>#N/A</v>
      </c>
      <c r="E945" s="64"/>
      <c r="F945" s="16" t="str">
        <f>IFERROR(VLOOKUP(B945,'Master data'!$A$1:$D$397,3,FALSE),"")</f>
        <v/>
      </c>
      <c r="G945" s="102"/>
      <c r="H945" s="65"/>
      <c r="I945" s="16"/>
      <c r="J945" s="16"/>
      <c r="K945" s="16" t="b">
        <v>0</v>
      </c>
      <c r="L945" s="16" t="b">
        <v>0</v>
      </c>
    </row>
    <row r="946">
      <c r="A946" s="9"/>
      <c r="B946" s="16"/>
      <c r="C946" s="7" t="str">
        <f>IFERROR(VLOOKUP(B946,'Master data'!$A$1:$D$397,2,FALSE),"")</f>
        <v/>
      </c>
      <c r="D946" s="70" t="str">
        <f>VLOOKUP(B946,Sheet3!$B$2:$E$312,3,)</f>
        <v>#N/A</v>
      </c>
      <c r="E946" s="64"/>
      <c r="F946" s="16" t="str">
        <f>IFERROR(VLOOKUP(B946,'Master data'!$A$1:$D$397,3,FALSE),"")</f>
        <v/>
      </c>
      <c r="G946" s="102"/>
      <c r="H946" s="65"/>
      <c r="I946" s="16"/>
      <c r="J946" s="16"/>
      <c r="K946" s="16" t="b">
        <v>0</v>
      </c>
      <c r="L946" s="16" t="b">
        <v>0</v>
      </c>
    </row>
    <row r="947">
      <c r="A947" s="9"/>
      <c r="B947" s="16"/>
      <c r="C947" s="7" t="str">
        <f>IFERROR(VLOOKUP(B947,'Master data'!$A$1:$D$397,2,FALSE),"")</f>
        <v/>
      </c>
      <c r="D947" s="70" t="str">
        <f>VLOOKUP(B947,Sheet3!$B$2:$E$312,3,)</f>
        <v>#N/A</v>
      </c>
      <c r="E947" s="64"/>
      <c r="F947" s="16" t="str">
        <f>IFERROR(VLOOKUP(B947,'Master data'!$A$1:$D$397,3,FALSE),"")</f>
        <v/>
      </c>
      <c r="G947" s="102"/>
      <c r="H947" s="65"/>
      <c r="I947" s="16"/>
      <c r="J947" s="16"/>
      <c r="K947" s="16" t="b">
        <v>0</v>
      </c>
      <c r="L947" s="16" t="b">
        <v>0</v>
      </c>
    </row>
    <row r="948">
      <c r="A948" s="9"/>
      <c r="B948" s="16"/>
      <c r="C948" s="7" t="str">
        <f>IFERROR(VLOOKUP(B948,'Master data'!$A$1:$D$397,2,FALSE),"")</f>
        <v/>
      </c>
      <c r="D948" s="70" t="str">
        <f>VLOOKUP(B948,Sheet3!$B$2:$E$312,3,)</f>
        <v>#N/A</v>
      </c>
      <c r="E948" s="64"/>
      <c r="F948" s="16" t="str">
        <f>IFERROR(VLOOKUP(B948,'Master data'!$A$1:$D$397,3,FALSE),"")</f>
        <v/>
      </c>
      <c r="G948" s="102"/>
      <c r="H948" s="65"/>
      <c r="I948" s="16"/>
      <c r="J948" s="16"/>
      <c r="K948" s="16" t="b">
        <v>0</v>
      </c>
      <c r="L948" s="16" t="b">
        <v>0</v>
      </c>
    </row>
    <row r="949">
      <c r="A949" s="9"/>
      <c r="B949" s="16"/>
      <c r="C949" s="7" t="str">
        <f>IFERROR(VLOOKUP(B949,'Master data'!$A$1:$D$397,2,FALSE),"")</f>
        <v/>
      </c>
      <c r="D949" s="70" t="str">
        <f>VLOOKUP(B949,Sheet3!$B$2:$E$312,3,)</f>
        <v>#N/A</v>
      </c>
      <c r="E949" s="64"/>
      <c r="F949" s="16" t="str">
        <f>IFERROR(VLOOKUP(B949,'Master data'!$A$1:$D$397,3,FALSE),"")</f>
        <v/>
      </c>
      <c r="G949" s="102"/>
      <c r="H949" s="65"/>
      <c r="I949" s="16"/>
      <c r="J949" s="16"/>
      <c r="K949" s="16" t="b">
        <v>0</v>
      </c>
      <c r="L949" s="16" t="b">
        <v>0</v>
      </c>
    </row>
    <row r="950">
      <c r="A950" s="9"/>
      <c r="B950" s="16"/>
      <c r="C950" s="7" t="str">
        <f>IFERROR(VLOOKUP(B950,'Master data'!$A$1:$D$397,2,FALSE),"")</f>
        <v/>
      </c>
      <c r="D950" s="70" t="str">
        <f>VLOOKUP(B950,Sheet3!$B$2:$E$312,3,)</f>
        <v>#N/A</v>
      </c>
      <c r="E950" s="64"/>
      <c r="F950" s="16" t="str">
        <f>IFERROR(VLOOKUP(B950,'Master data'!$A$1:$D$397,3,FALSE),"")</f>
        <v/>
      </c>
      <c r="G950" s="102"/>
      <c r="H950" s="65"/>
      <c r="I950" s="16"/>
      <c r="J950" s="16"/>
      <c r="K950" s="16" t="b">
        <v>0</v>
      </c>
      <c r="L950" s="16" t="b">
        <v>0</v>
      </c>
    </row>
    <row r="951">
      <c r="A951" s="9"/>
      <c r="B951" s="16"/>
      <c r="C951" s="7" t="str">
        <f>IFERROR(VLOOKUP(B951,'Master data'!$A$1:$D$397,2,FALSE),"")</f>
        <v/>
      </c>
      <c r="D951" s="70" t="str">
        <f>VLOOKUP(B951,Sheet3!$B$2:$E$312,3,)</f>
        <v>#N/A</v>
      </c>
      <c r="E951" s="64"/>
      <c r="F951" s="16" t="str">
        <f>IFERROR(VLOOKUP(B951,'Master data'!$A$1:$D$397,3,FALSE),"")</f>
        <v/>
      </c>
      <c r="G951" s="102"/>
      <c r="H951" s="65"/>
      <c r="I951" s="16"/>
      <c r="J951" s="16"/>
      <c r="K951" s="16" t="b">
        <v>0</v>
      </c>
      <c r="L951" s="16" t="b">
        <v>0</v>
      </c>
    </row>
    <row r="952">
      <c r="A952" s="9"/>
      <c r="B952" s="16"/>
      <c r="C952" s="7" t="str">
        <f>IFERROR(VLOOKUP(B952,'Master data'!$A$1:$D$397,2,FALSE),"")</f>
        <v/>
      </c>
      <c r="D952" s="70" t="str">
        <f>VLOOKUP(B952,Sheet3!$B$2:$E$312,3,)</f>
        <v>#N/A</v>
      </c>
      <c r="E952" s="64"/>
      <c r="F952" s="16" t="str">
        <f>IFERROR(VLOOKUP(B952,'Master data'!$A$1:$D$397,3,FALSE),"")</f>
        <v/>
      </c>
      <c r="G952" s="102"/>
      <c r="H952" s="65"/>
      <c r="I952" s="16"/>
      <c r="J952" s="16"/>
      <c r="K952" s="16" t="b">
        <v>0</v>
      </c>
      <c r="L952" s="16" t="b">
        <v>0</v>
      </c>
    </row>
    <row r="953">
      <c r="A953" s="9"/>
      <c r="B953" s="16"/>
      <c r="C953" s="7" t="str">
        <f>IFERROR(VLOOKUP(B953,'Master data'!$A$1:$D$397,2,FALSE),"")</f>
        <v/>
      </c>
      <c r="D953" s="70" t="str">
        <f>VLOOKUP(B953,Sheet3!$B$2:$E$312,3,)</f>
        <v>#N/A</v>
      </c>
      <c r="E953" s="64"/>
      <c r="F953" s="16" t="str">
        <f>IFERROR(VLOOKUP(B953,'Master data'!$A$1:$D$397,3,FALSE),"")</f>
        <v/>
      </c>
      <c r="G953" s="102"/>
      <c r="H953" s="65"/>
      <c r="I953" s="16"/>
      <c r="J953" s="16"/>
      <c r="K953" s="16" t="b">
        <v>0</v>
      </c>
      <c r="L953" s="16" t="b">
        <v>0</v>
      </c>
    </row>
    <row r="954">
      <c r="A954" s="9"/>
      <c r="B954" s="16"/>
      <c r="C954" s="7" t="str">
        <f>IFERROR(VLOOKUP(B954,'Master data'!$A$1:$D$397,2,FALSE),"")</f>
        <v/>
      </c>
      <c r="D954" s="70" t="str">
        <f>VLOOKUP(B954,Sheet3!$B$2:$E$312,3,)</f>
        <v>#N/A</v>
      </c>
      <c r="E954" s="64"/>
      <c r="F954" s="16" t="str">
        <f>IFERROR(VLOOKUP(B954,'Master data'!$A$1:$D$397,3,FALSE),"")</f>
        <v/>
      </c>
      <c r="G954" s="102"/>
      <c r="H954" s="65"/>
      <c r="I954" s="16"/>
      <c r="J954" s="16"/>
      <c r="K954" s="16" t="b">
        <v>0</v>
      </c>
      <c r="L954" s="16" t="b">
        <v>0</v>
      </c>
    </row>
    <row r="955">
      <c r="A955" s="9"/>
      <c r="B955" s="16"/>
      <c r="C955" s="7" t="str">
        <f>IFERROR(VLOOKUP(B955,'Master data'!$A$1:$D$397,2,FALSE),"")</f>
        <v/>
      </c>
      <c r="D955" s="70" t="str">
        <f>VLOOKUP(B955,Sheet3!$B$2:$E$312,3,)</f>
        <v>#N/A</v>
      </c>
      <c r="E955" s="64"/>
      <c r="F955" s="16" t="str">
        <f>IFERROR(VLOOKUP(B955,'Master data'!$A$1:$D$397,3,FALSE),"")</f>
        <v/>
      </c>
      <c r="G955" s="102"/>
      <c r="H955" s="65"/>
      <c r="I955" s="16"/>
      <c r="J955" s="16"/>
      <c r="K955" s="16" t="b">
        <v>0</v>
      </c>
      <c r="L955" s="16" t="b">
        <v>0</v>
      </c>
    </row>
    <row r="956">
      <c r="A956" s="9"/>
      <c r="B956" s="16"/>
      <c r="C956" s="7" t="str">
        <f>IFERROR(VLOOKUP(B956,'Master data'!$A$1:$D$397,2,FALSE),"")</f>
        <v/>
      </c>
      <c r="D956" s="70" t="str">
        <f>VLOOKUP(B956,Sheet3!$B$2:$E$312,3,)</f>
        <v>#N/A</v>
      </c>
      <c r="E956" s="64"/>
      <c r="F956" s="16" t="str">
        <f>IFERROR(VLOOKUP(B956,'Master data'!$A$1:$D$397,3,FALSE),"")</f>
        <v/>
      </c>
      <c r="G956" s="102"/>
      <c r="H956" s="65"/>
      <c r="I956" s="16"/>
      <c r="J956" s="16"/>
      <c r="K956" s="16" t="b">
        <v>0</v>
      </c>
      <c r="L956" s="16" t="b">
        <v>0</v>
      </c>
    </row>
    <row r="957">
      <c r="A957" s="9"/>
      <c r="B957" s="16"/>
      <c r="C957" s="7" t="str">
        <f>IFERROR(VLOOKUP(B957,'Master data'!$A$1:$D$397,2,FALSE),"")</f>
        <v/>
      </c>
      <c r="D957" s="70" t="str">
        <f>VLOOKUP(B957,Sheet3!$B$2:$E$312,3,)</f>
        <v>#N/A</v>
      </c>
      <c r="E957" s="64"/>
      <c r="F957" s="16" t="str">
        <f>IFERROR(VLOOKUP(B957,'Master data'!$A$1:$D$397,3,FALSE),"")</f>
        <v/>
      </c>
      <c r="G957" s="102"/>
      <c r="H957" s="65"/>
      <c r="I957" s="16"/>
      <c r="J957" s="16"/>
      <c r="K957" s="16" t="b">
        <v>0</v>
      </c>
      <c r="L957" s="16" t="b">
        <v>0</v>
      </c>
    </row>
    <row r="958">
      <c r="A958" s="9"/>
      <c r="B958" s="16"/>
      <c r="C958" s="7" t="str">
        <f>IFERROR(VLOOKUP(B958,'Master data'!$A$1:$D$397,2,FALSE),"")</f>
        <v/>
      </c>
      <c r="D958" s="70" t="str">
        <f>VLOOKUP(B958,Sheet3!$B$2:$E$312,3,)</f>
        <v>#N/A</v>
      </c>
      <c r="E958" s="64"/>
      <c r="F958" s="16" t="str">
        <f>IFERROR(VLOOKUP(B958,'Master data'!$A$1:$D$397,3,FALSE),"")</f>
        <v/>
      </c>
      <c r="G958" s="102"/>
      <c r="H958" s="65"/>
      <c r="I958" s="16"/>
      <c r="J958" s="16"/>
      <c r="K958" s="16" t="b">
        <v>0</v>
      </c>
      <c r="L958" s="16" t="b">
        <v>0</v>
      </c>
    </row>
    <row r="959">
      <c r="A959" s="9"/>
      <c r="B959" s="16"/>
      <c r="C959" s="7" t="str">
        <f>IFERROR(VLOOKUP(B959,'Master data'!$A$1:$D$397,2,FALSE),"")</f>
        <v/>
      </c>
      <c r="D959" s="70" t="str">
        <f>VLOOKUP(B959,Sheet3!$B$2:$E$312,3,)</f>
        <v>#N/A</v>
      </c>
      <c r="E959" s="64"/>
      <c r="F959" s="16" t="str">
        <f>IFERROR(VLOOKUP(B959,'Master data'!$A$1:$D$397,3,FALSE),"")</f>
        <v/>
      </c>
      <c r="G959" s="102"/>
      <c r="H959" s="65"/>
      <c r="I959" s="16"/>
      <c r="J959" s="16"/>
      <c r="K959" s="16" t="b">
        <v>0</v>
      </c>
      <c r="L959" s="16" t="b">
        <v>0</v>
      </c>
    </row>
    <row r="960">
      <c r="A960" s="9"/>
      <c r="B960" s="16"/>
      <c r="C960" s="7" t="str">
        <f>IFERROR(VLOOKUP(B960,'Master data'!$A$1:$D$397,2,FALSE),"")</f>
        <v/>
      </c>
      <c r="D960" s="70" t="str">
        <f>VLOOKUP(B960,Sheet3!$B$2:$E$312,3,)</f>
        <v>#N/A</v>
      </c>
      <c r="E960" s="64"/>
      <c r="F960" s="16" t="str">
        <f>IFERROR(VLOOKUP(B960,'Master data'!$A$1:$D$397,3,FALSE),"")</f>
        <v/>
      </c>
      <c r="G960" s="102"/>
      <c r="H960" s="65"/>
      <c r="I960" s="16"/>
      <c r="J960" s="16"/>
      <c r="K960" s="16" t="b">
        <v>0</v>
      </c>
      <c r="L960" s="16" t="b">
        <v>0</v>
      </c>
    </row>
    <row r="961">
      <c r="A961" s="9"/>
      <c r="B961" s="16"/>
      <c r="C961" s="7" t="str">
        <f>IFERROR(VLOOKUP(B961,'Master data'!$A$1:$D$397,2,FALSE),"")</f>
        <v/>
      </c>
      <c r="D961" s="70" t="str">
        <f>VLOOKUP(B961,Sheet3!$B$2:$E$312,3,)</f>
        <v>#N/A</v>
      </c>
      <c r="E961" s="64"/>
      <c r="F961" s="16" t="str">
        <f>IFERROR(VLOOKUP(B961,'Master data'!$A$1:$D$397,3,FALSE),"")</f>
        <v/>
      </c>
      <c r="G961" s="102"/>
      <c r="H961" s="65"/>
      <c r="I961" s="16"/>
      <c r="J961" s="16"/>
      <c r="K961" s="16" t="b">
        <v>0</v>
      </c>
      <c r="L961" s="16" t="b">
        <v>0</v>
      </c>
    </row>
    <row r="962">
      <c r="A962" s="9"/>
      <c r="B962" s="16"/>
      <c r="C962" s="7" t="str">
        <f>IFERROR(VLOOKUP(B962,'Master data'!$A$1:$D$397,2,FALSE),"")</f>
        <v/>
      </c>
      <c r="D962" s="70" t="str">
        <f>VLOOKUP(B962,Sheet3!$B$2:$E$312,3,)</f>
        <v>#N/A</v>
      </c>
      <c r="E962" s="64"/>
      <c r="F962" s="16" t="str">
        <f>IFERROR(VLOOKUP(B962,'Master data'!$A$1:$D$397,3,FALSE),"")</f>
        <v/>
      </c>
      <c r="G962" s="102"/>
      <c r="H962" s="65"/>
      <c r="I962" s="16"/>
      <c r="J962" s="16"/>
      <c r="K962" s="16" t="b">
        <v>0</v>
      </c>
      <c r="L962" s="16" t="b">
        <v>0</v>
      </c>
    </row>
    <row r="963">
      <c r="A963" s="9"/>
      <c r="B963" s="16"/>
      <c r="C963" s="7" t="str">
        <f>IFERROR(VLOOKUP(B963,'Master data'!$A$1:$D$397,2,FALSE),"")</f>
        <v/>
      </c>
      <c r="D963" s="70" t="str">
        <f>VLOOKUP(B963,Sheet3!$B$2:$E$312,3,)</f>
        <v>#N/A</v>
      </c>
      <c r="E963" s="64"/>
      <c r="F963" s="16" t="str">
        <f>IFERROR(VLOOKUP(B963,'Master data'!$A$1:$D$397,3,FALSE),"")</f>
        <v/>
      </c>
      <c r="G963" s="102"/>
      <c r="H963" s="65"/>
      <c r="I963" s="16"/>
      <c r="J963" s="16"/>
      <c r="K963" s="16" t="b">
        <v>0</v>
      </c>
      <c r="L963" s="16" t="b">
        <v>0</v>
      </c>
    </row>
    <row r="964">
      <c r="A964" s="9"/>
      <c r="B964" s="16"/>
      <c r="C964" s="7" t="str">
        <f>IFERROR(VLOOKUP(B964,'Master data'!$A$1:$D$397,2,FALSE),"")</f>
        <v/>
      </c>
      <c r="D964" s="70" t="str">
        <f>VLOOKUP(B964,Sheet3!$B$2:$E$312,3,)</f>
        <v>#N/A</v>
      </c>
      <c r="E964" s="64"/>
      <c r="F964" s="16" t="str">
        <f>IFERROR(VLOOKUP(B964,'Master data'!$A$1:$D$397,3,FALSE),"")</f>
        <v/>
      </c>
      <c r="G964" s="102"/>
      <c r="H964" s="65"/>
      <c r="I964" s="16"/>
      <c r="J964" s="16"/>
      <c r="K964" s="16" t="b">
        <v>0</v>
      </c>
      <c r="L964" s="16" t="b">
        <v>0</v>
      </c>
    </row>
    <row r="965">
      <c r="A965" s="9"/>
      <c r="B965" s="16"/>
      <c r="C965" s="7" t="str">
        <f>IFERROR(VLOOKUP(B965,'Master data'!$A$1:$D$397,2,FALSE),"")</f>
        <v/>
      </c>
      <c r="D965" s="70" t="str">
        <f>VLOOKUP(B965,Sheet3!$B$2:$E$312,3,)</f>
        <v>#N/A</v>
      </c>
      <c r="E965" s="64"/>
      <c r="F965" s="16" t="str">
        <f>IFERROR(VLOOKUP(B965,'Master data'!$A$1:$D$397,3,FALSE),"")</f>
        <v/>
      </c>
      <c r="G965" s="102"/>
      <c r="H965" s="65"/>
      <c r="I965" s="16"/>
      <c r="J965" s="16"/>
      <c r="K965" s="16" t="b">
        <v>0</v>
      </c>
      <c r="L965" s="16" t="b">
        <v>0</v>
      </c>
    </row>
    <row r="966">
      <c r="A966" s="9"/>
      <c r="B966" s="16"/>
      <c r="C966" s="7" t="str">
        <f>IFERROR(VLOOKUP(B966,'Master data'!$A$1:$D$397,2,FALSE),"")</f>
        <v/>
      </c>
      <c r="D966" s="70" t="str">
        <f>VLOOKUP(B966,Sheet3!$B$2:$E$312,3,)</f>
        <v>#N/A</v>
      </c>
      <c r="E966" s="64"/>
      <c r="F966" s="16" t="str">
        <f>IFERROR(VLOOKUP(B966,'Master data'!$A$1:$D$397,3,FALSE),"")</f>
        <v/>
      </c>
      <c r="G966" s="102"/>
      <c r="H966" s="65"/>
      <c r="I966" s="16"/>
      <c r="J966" s="16"/>
      <c r="K966" s="16" t="b">
        <v>0</v>
      </c>
      <c r="L966" s="16" t="b">
        <v>0</v>
      </c>
    </row>
    <row r="967">
      <c r="A967" s="9"/>
      <c r="B967" s="16"/>
      <c r="C967" s="7" t="str">
        <f>IFERROR(VLOOKUP(B967,'Master data'!$A$1:$D$397,2,FALSE),"")</f>
        <v/>
      </c>
      <c r="D967" s="70" t="str">
        <f>VLOOKUP(B967,Sheet3!$B$2:$E$312,3,)</f>
        <v>#N/A</v>
      </c>
      <c r="E967" s="64"/>
      <c r="F967" s="16" t="str">
        <f>IFERROR(VLOOKUP(B967,'Master data'!$A$1:$D$397,3,FALSE),"")</f>
        <v/>
      </c>
      <c r="G967" s="102"/>
      <c r="H967" s="65"/>
      <c r="I967" s="16"/>
      <c r="J967" s="16"/>
      <c r="K967" s="16" t="b">
        <v>0</v>
      </c>
      <c r="L967" s="16" t="b">
        <v>0</v>
      </c>
    </row>
    <row r="968">
      <c r="A968" s="9"/>
      <c r="B968" s="16"/>
      <c r="C968" s="7" t="str">
        <f>IFERROR(VLOOKUP(B968,'Master data'!$A$1:$D$397,2,FALSE),"")</f>
        <v/>
      </c>
      <c r="D968" s="70" t="str">
        <f>VLOOKUP(B968,Sheet3!$B$2:$E$312,3,)</f>
        <v>#N/A</v>
      </c>
      <c r="E968" s="64"/>
      <c r="F968" s="16" t="str">
        <f>IFERROR(VLOOKUP(B968,'Master data'!$A$1:$D$397,3,FALSE),"")</f>
        <v/>
      </c>
      <c r="G968" s="102"/>
      <c r="H968" s="65"/>
      <c r="I968" s="16"/>
      <c r="J968" s="16"/>
      <c r="K968" s="16" t="b">
        <v>0</v>
      </c>
      <c r="L968" s="16" t="b">
        <v>0</v>
      </c>
    </row>
    <row r="969">
      <c r="A969" s="9"/>
      <c r="B969" s="16"/>
      <c r="C969" s="7" t="str">
        <f>IFERROR(VLOOKUP(B969,'Master data'!$A$1:$D$397,2,FALSE),"")</f>
        <v/>
      </c>
      <c r="D969" s="70" t="str">
        <f>VLOOKUP(B969,Sheet3!$B$2:$E$312,3,)</f>
        <v>#N/A</v>
      </c>
      <c r="E969" s="64"/>
      <c r="F969" s="16" t="str">
        <f>IFERROR(VLOOKUP(B969,'Master data'!$A$1:$D$397,3,FALSE),"")</f>
        <v/>
      </c>
      <c r="G969" s="102"/>
      <c r="H969" s="65"/>
      <c r="I969" s="16"/>
      <c r="J969" s="16"/>
      <c r="K969" s="16" t="b">
        <v>0</v>
      </c>
      <c r="L969" s="16" t="b">
        <v>0</v>
      </c>
    </row>
    <row r="970">
      <c r="A970" s="9"/>
      <c r="B970" s="16"/>
      <c r="C970" s="7" t="str">
        <f>IFERROR(VLOOKUP(B970,'Master data'!$A$1:$D$397,2,FALSE),"")</f>
        <v/>
      </c>
      <c r="D970" s="70" t="str">
        <f>VLOOKUP(B970,Sheet3!$B$2:$E$312,3,)</f>
        <v>#N/A</v>
      </c>
      <c r="E970" s="64"/>
      <c r="F970" s="16" t="str">
        <f>IFERROR(VLOOKUP(B970,'Master data'!$A$1:$D$397,3,FALSE),"")</f>
        <v/>
      </c>
      <c r="G970" s="102"/>
      <c r="H970" s="65"/>
      <c r="I970" s="16"/>
      <c r="J970" s="16"/>
      <c r="K970" s="16" t="b">
        <v>0</v>
      </c>
      <c r="L970" s="16" t="b">
        <v>0</v>
      </c>
    </row>
    <row r="971">
      <c r="A971" s="9"/>
      <c r="B971" s="16"/>
      <c r="C971" s="7" t="str">
        <f>IFERROR(VLOOKUP(B971,'Master data'!$A$1:$D$397,2,FALSE),"")</f>
        <v/>
      </c>
      <c r="D971" s="70" t="str">
        <f>VLOOKUP(B971,Sheet3!$B$2:$E$312,3,)</f>
        <v>#N/A</v>
      </c>
      <c r="E971" s="64"/>
      <c r="F971" s="16" t="str">
        <f>IFERROR(VLOOKUP(B971,'Master data'!$A$1:$D$397,3,FALSE),"")</f>
        <v/>
      </c>
      <c r="G971" s="102"/>
      <c r="H971" s="65"/>
      <c r="I971" s="16"/>
      <c r="J971" s="16"/>
      <c r="K971" s="16" t="b">
        <v>0</v>
      </c>
      <c r="L971" s="16" t="b">
        <v>0</v>
      </c>
    </row>
    <row r="972">
      <c r="A972" s="9"/>
      <c r="B972" s="16"/>
      <c r="C972" s="7" t="str">
        <f>IFERROR(VLOOKUP(B972,'Master data'!$A$1:$D$397,2,FALSE),"")</f>
        <v/>
      </c>
      <c r="D972" s="70" t="str">
        <f>VLOOKUP(B972,Sheet3!$B$2:$E$312,3,)</f>
        <v>#N/A</v>
      </c>
      <c r="E972" s="64"/>
      <c r="F972" s="16" t="str">
        <f>IFERROR(VLOOKUP(B972,'Master data'!$A$1:$D$397,3,FALSE),"")</f>
        <v/>
      </c>
      <c r="G972" s="102"/>
      <c r="H972" s="65"/>
      <c r="I972" s="16"/>
      <c r="J972" s="16"/>
      <c r="K972" s="16" t="b">
        <v>0</v>
      </c>
      <c r="L972" s="16" t="b">
        <v>0</v>
      </c>
    </row>
    <row r="973">
      <c r="A973" s="9"/>
      <c r="B973" s="16"/>
      <c r="C973" s="7" t="str">
        <f>IFERROR(VLOOKUP(B973,'Master data'!$A$1:$D$397,2,FALSE),"")</f>
        <v/>
      </c>
      <c r="D973" s="70" t="str">
        <f>VLOOKUP(B973,Sheet3!$B$2:$E$312,3,)</f>
        <v>#N/A</v>
      </c>
      <c r="E973" s="64"/>
      <c r="F973" s="16" t="str">
        <f>IFERROR(VLOOKUP(B973,'Master data'!$A$1:$D$397,3,FALSE),"")</f>
        <v/>
      </c>
      <c r="G973" s="102"/>
      <c r="H973" s="65"/>
      <c r="I973" s="16"/>
      <c r="J973" s="16"/>
      <c r="K973" s="16" t="b">
        <v>0</v>
      </c>
      <c r="L973" s="16" t="b">
        <v>0</v>
      </c>
    </row>
    <row r="974">
      <c r="A974" s="9"/>
      <c r="B974" s="16"/>
      <c r="C974" s="7" t="str">
        <f>IFERROR(VLOOKUP(B974,'Master data'!$A$1:$D$397,2,FALSE),"")</f>
        <v/>
      </c>
      <c r="D974" s="70" t="str">
        <f>VLOOKUP(B974,Sheet3!$B$2:$E$312,3,)</f>
        <v>#N/A</v>
      </c>
      <c r="E974" s="64"/>
      <c r="F974" s="16" t="str">
        <f>IFERROR(VLOOKUP(B974,'Master data'!$A$1:$D$397,3,FALSE),"")</f>
        <v/>
      </c>
      <c r="G974" s="102"/>
      <c r="H974" s="65"/>
      <c r="I974" s="16"/>
      <c r="J974" s="16"/>
      <c r="K974" s="16" t="b">
        <v>0</v>
      </c>
      <c r="L974" s="16" t="b">
        <v>0</v>
      </c>
    </row>
    <row r="975">
      <c r="A975" s="9"/>
      <c r="B975" s="16"/>
      <c r="C975" s="7" t="str">
        <f>IFERROR(VLOOKUP(B975,'Master data'!$A$1:$D$397,2,FALSE),"")</f>
        <v/>
      </c>
      <c r="D975" s="70" t="str">
        <f>VLOOKUP(B975,Sheet3!$B$2:$E$312,3,)</f>
        <v>#N/A</v>
      </c>
      <c r="E975" s="64"/>
      <c r="F975" s="16" t="str">
        <f>IFERROR(VLOOKUP(B975,'Master data'!$A$1:$D$397,3,FALSE),"")</f>
        <v/>
      </c>
      <c r="G975" s="102"/>
      <c r="H975" s="65"/>
      <c r="I975" s="16"/>
      <c r="J975" s="16"/>
      <c r="K975" s="16" t="b">
        <v>0</v>
      </c>
      <c r="L975" s="16" t="b">
        <v>0</v>
      </c>
    </row>
    <row r="976">
      <c r="A976" s="9"/>
      <c r="B976" s="16"/>
      <c r="C976" s="7" t="str">
        <f>IFERROR(VLOOKUP(B976,'Master data'!$A$1:$D$397,2,FALSE),"")</f>
        <v/>
      </c>
      <c r="D976" s="70" t="str">
        <f>VLOOKUP(B976,Sheet3!$B$2:$E$312,3,)</f>
        <v>#N/A</v>
      </c>
      <c r="E976" s="64"/>
      <c r="F976" s="16" t="str">
        <f>IFERROR(VLOOKUP(B976,'Master data'!$A$1:$D$397,3,FALSE),"")</f>
        <v/>
      </c>
      <c r="G976" s="102"/>
      <c r="H976" s="65"/>
      <c r="I976" s="16"/>
      <c r="J976" s="16"/>
      <c r="K976" s="16" t="b">
        <v>0</v>
      </c>
      <c r="L976" s="16" t="b">
        <v>0</v>
      </c>
    </row>
    <row r="977">
      <c r="A977" s="9"/>
      <c r="B977" s="16"/>
      <c r="C977" s="7" t="str">
        <f>IFERROR(VLOOKUP(B977,'Master data'!$A$1:$D$397,2,FALSE),"")</f>
        <v/>
      </c>
      <c r="D977" s="70" t="str">
        <f>VLOOKUP(B977,Sheet3!$B$2:$E$312,3,)</f>
        <v>#N/A</v>
      </c>
      <c r="E977" s="64"/>
      <c r="F977" s="16" t="str">
        <f>IFERROR(VLOOKUP(B977,'Master data'!$A$1:$D$397,3,FALSE),"")</f>
        <v/>
      </c>
      <c r="G977" s="102"/>
      <c r="H977" s="65"/>
      <c r="I977" s="16"/>
      <c r="J977" s="16"/>
      <c r="K977" s="16" t="b">
        <v>0</v>
      </c>
      <c r="L977" s="16" t="b">
        <v>0</v>
      </c>
    </row>
    <row r="978">
      <c r="A978" s="9"/>
      <c r="B978" s="16"/>
      <c r="C978" s="7" t="str">
        <f>IFERROR(VLOOKUP(B978,'Master data'!$A$1:$D$397,2,FALSE),"")</f>
        <v/>
      </c>
      <c r="D978" s="70" t="str">
        <f>VLOOKUP(B978,Sheet3!$B$2:$E$312,3,)</f>
        <v>#N/A</v>
      </c>
      <c r="E978" s="64"/>
      <c r="F978" s="16" t="str">
        <f>IFERROR(VLOOKUP(B978,'Master data'!$A$1:$D$397,3,FALSE),"")</f>
        <v/>
      </c>
      <c r="G978" s="102"/>
      <c r="H978" s="65"/>
      <c r="I978" s="16"/>
      <c r="J978" s="16"/>
      <c r="K978" s="16" t="b">
        <v>0</v>
      </c>
      <c r="L978" s="16" t="b">
        <v>0</v>
      </c>
    </row>
    <row r="979">
      <c r="A979" s="9"/>
      <c r="B979" s="16"/>
      <c r="C979" s="7" t="str">
        <f>IFERROR(VLOOKUP(B979,'Master data'!$A$1:$D$397,2,FALSE),"")</f>
        <v/>
      </c>
      <c r="D979" s="70" t="str">
        <f>VLOOKUP(B979,Sheet3!$B$2:$E$312,3,)</f>
        <v>#N/A</v>
      </c>
      <c r="E979" s="64"/>
      <c r="F979" s="16" t="str">
        <f>IFERROR(VLOOKUP(B979,'Master data'!$A$1:$D$397,3,FALSE),"")</f>
        <v/>
      </c>
      <c r="G979" s="102"/>
      <c r="H979" s="65"/>
      <c r="I979" s="16"/>
      <c r="J979" s="16"/>
      <c r="K979" s="16" t="b">
        <v>0</v>
      </c>
      <c r="L979" s="16" t="b">
        <v>0</v>
      </c>
    </row>
    <row r="980">
      <c r="A980" s="9"/>
      <c r="B980" s="16"/>
      <c r="C980" s="7" t="str">
        <f>IFERROR(VLOOKUP(B980,'Master data'!$A$1:$D$397,2,FALSE),"")</f>
        <v/>
      </c>
      <c r="D980" s="70" t="str">
        <f>VLOOKUP(B980,Sheet3!$B$2:$E$312,3,)</f>
        <v>#N/A</v>
      </c>
      <c r="E980" s="64"/>
      <c r="F980" s="16" t="str">
        <f>IFERROR(VLOOKUP(B980,'Master data'!$A$1:$D$397,3,FALSE),"")</f>
        <v/>
      </c>
      <c r="G980" s="102"/>
      <c r="H980" s="65"/>
      <c r="I980" s="16"/>
      <c r="J980" s="16"/>
      <c r="K980" s="16" t="b">
        <v>0</v>
      </c>
      <c r="L980" s="16" t="b">
        <v>0</v>
      </c>
    </row>
    <row r="981">
      <c r="A981" s="9"/>
      <c r="B981" s="16"/>
      <c r="C981" s="7" t="str">
        <f>IFERROR(VLOOKUP(B981,'Master data'!$A$1:$D$397,2,FALSE),"")</f>
        <v/>
      </c>
      <c r="D981" s="70" t="str">
        <f>VLOOKUP(B981,Sheet3!$B$2:$E$312,3,)</f>
        <v>#N/A</v>
      </c>
      <c r="E981" s="64"/>
      <c r="F981" s="16" t="str">
        <f>IFERROR(VLOOKUP(B981,'Master data'!$A$1:$D$397,3,FALSE),"")</f>
        <v/>
      </c>
      <c r="G981" s="102"/>
      <c r="H981" s="65"/>
      <c r="I981" s="16"/>
      <c r="J981" s="16"/>
      <c r="K981" s="16" t="b">
        <v>0</v>
      </c>
      <c r="L981" s="16" t="b">
        <v>0</v>
      </c>
    </row>
    <row r="982">
      <c r="A982" s="9"/>
      <c r="B982" s="16"/>
      <c r="C982" s="7" t="str">
        <f>IFERROR(VLOOKUP(B982,'Master data'!$A$1:$D$397,2,FALSE),"")</f>
        <v/>
      </c>
      <c r="D982" s="70" t="str">
        <f>VLOOKUP(B982,Sheet3!$B$2:$E$312,3,)</f>
        <v>#N/A</v>
      </c>
      <c r="E982" s="64"/>
      <c r="F982" s="16" t="str">
        <f>IFERROR(VLOOKUP(B982,'Master data'!$A$1:$D$397,3,FALSE),"")</f>
        <v/>
      </c>
      <c r="G982" s="102"/>
      <c r="H982" s="65"/>
      <c r="I982" s="16"/>
      <c r="J982" s="16"/>
      <c r="K982" s="16" t="b">
        <v>0</v>
      </c>
      <c r="L982" s="16" t="b">
        <v>0</v>
      </c>
    </row>
    <row r="983">
      <c r="A983" s="9"/>
      <c r="B983" s="16"/>
      <c r="C983" s="7" t="str">
        <f>IFERROR(VLOOKUP(B983,'Master data'!$A$1:$D$397,2,FALSE),"")</f>
        <v/>
      </c>
      <c r="D983" s="70" t="str">
        <f>VLOOKUP(B983,Sheet3!$B$2:$E$312,3,)</f>
        <v>#N/A</v>
      </c>
      <c r="E983" s="64"/>
      <c r="F983" s="16" t="str">
        <f>IFERROR(VLOOKUP(B983,'Master data'!$A$1:$D$397,3,FALSE),"")</f>
        <v/>
      </c>
      <c r="G983" s="102"/>
      <c r="H983" s="65"/>
      <c r="I983" s="16"/>
      <c r="J983" s="16"/>
      <c r="K983" s="16" t="b">
        <v>0</v>
      </c>
      <c r="L983" s="16" t="b">
        <v>0</v>
      </c>
    </row>
    <row r="984">
      <c r="A984" s="9"/>
      <c r="B984" s="16"/>
      <c r="C984" s="7" t="str">
        <f>IFERROR(VLOOKUP(B984,'Master data'!$A$1:$D$397,2,FALSE),"")</f>
        <v/>
      </c>
      <c r="D984" s="70" t="str">
        <f>VLOOKUP(B984,Sheet3!$B$2:$E$312,3,)</f>
        <v>#N/A</v>
      </c>
      <c r="E984" s="64"/>
      <c r="F984" s="16" t="str">
        <f>IFERROR(VLOOKUP(B984,'Master data'!$A$1:$D$397,3,FALSE),"")</f>
        <v/>
      </c>
      <c r="G984" s="102"/>
      <c r="H984" s="65"/>
      <c r="I984" s="16"/>
      <c r="J984" s="16"/>
      <c r="K984" s="16" t="b">
        <v>0</v>
      </c>
      <c r="L984" s="16" t="b">
        <v>0</v>
      </c>
    </row>
    <row r="985">
      <c r="A985" s="9"/>
      <c r="B985" s="16"/>
      <c r="C985" s="7" t="str">
        <f>IFERROR(VLOOKUP(B985,'Master data'!$A$1:$D$397,2,FALSE),"")</f>
        <v/>
      </c>
      <c r="D985" s="70" t="str">
        <f>VLOOKUP(B985,Sheet3!$B$2:$E$312,3,)</f>
        <v>#N/A</v>
      </c>
      <c r="E985" s="64"/>
      <c r="F985" s="16" t="str">
        <f>IFERROR(VLOOKUP(B985,'Master data'!$A$1:$D$397,3,FALSE),"")</f>
        <v/>
      </c>
      <c r="G985" s="102"/>
      <c r="H985" s="65"/>
      <c r="I985" s="16"/>
      <c r="J985" s="16"/>
      <c r="K985" s="16" t="b">
        <v>0</v>
      </c>
      <c r="L985" s="16" t="b">
        <v>0</v>
      </c>
    </row>
    <row r="986">
      <c r="A986" s="9"/>
      <c r="B986" s="16"/>
      <c r="C986" s="7" t="str">
        <f>IFERROR(VLOOKUP(B986,'Master data'!$A$1:$D$397,2,FALSE),"")</f>
        <v/>
      </c>
      <c r="D986" s="70" t="str">
        <f>VLOOKUP(B986,Sheet3!$B$2:$E$312,3,)</f>
        <v>#N/A</v>
      </c>
      <c r="E986" s="64"/>
      <c r="F986" s="16" t="str">
        <f>IFERROR(VLOOKUP(B986,'Master data'!$A$1:$D$397,3,FALSE),"")</f>
        <v/>
      </c>
      <c r="G986" s="102"/>
      <c r="H986" s="65"/>
      <c r="I986" s="16"/>
      <c r="J986" s="16"/>
      <c r="K986" s="16" t="b">
        <v>0</v>
      </c>
      <c r="L986" s="16" t="b">
        <v>0</v>
      </c>
    </row>
    <row r="987">
      <c r="A987" s="9"/>
      <c r="B987" s="16"/>
      <c r="C987" s="7" t="str">
        <f>IFERROR(VLOOKUP(B987,'Master data'!$A$1:$D$397,2,FALSE),"")</f>
        <v/>
      </c>
      <c r="D987" s="70" t="str">
        <f>VLOOKUP(B987,Sheet3!$B$2:$E$312,3,)</f>
        <v>#N/A</v>
      </c>
      <c r="E987" s="64"/>
      <c r="F987" s="16" t="str">
        <f>IFERROR(VLOOKUP(B987,'Master data'!$A$1:$D$397,3,FALSE),"")</f>
        <v/>
      </c>
      <c r="G987" s="102"/>
      <c r="H987" s="65"/>
      <c r="I987" s="16"/>
      <c r="J987" s="16"/>
      <c r="K987" s="16" t="b">
        <v>0</v>
      </c>
      <c r="L987" s="16" t="b">
        <v>0</v>
      </c>
    </row>
    <row r="988">
      <c r="A988" s="9"/>
      <c r="B988" s="16"/>
      <c r="C988" s="7" t="str">
        <f>IFERROR(VLOOKUP(B988,'Master data'!$A$1:$D$397,2,FALSE),"")</f>
        <v/>
      </c>
      <c r="D988" s="70" t="str">
        <f>VLOOKUP(B988,Sheet3!$B$2:$E$312,3,)</f>
        <v>#N/A</v>
      </c>
      <c r="E988" s="64"/>
      <c r="F988" s="16" t="str">
        <f>IFERROR(VLOOKUP(B988,'Master data'!$A$1:$D$397,3,FALSE),"")</f>
        <v/>
      </c>
      <c r="G988" s="102"/>
      <c r="H988" s="65"/>
      <c r="I988" s="16"/>
      <c r="J988" s="16"/>
      <c r="K988" s="16" t="b">
        <v>0</v>
      </c>
      <c r="L988" s="16" t="b">
        <v>0</v>
      </c>
    </row>
    <row r="989">
      <c r="A989" s="9"/>
      <c r="B989" s="16"/>
      <c r="C989" s="7" t="str">
        <f>IFERROR(VLOOKUP(B989,'Master data'!$A$1:$D$397,2,FALSE),"")</f>
        <v/>
      </c>
      <c r="D989" s="70" t="str">
        <f>VLOOKUP(B989,Sheet3!$B$2:$E$312,3,)</f>
        <v>#N/A</v>
      </c>
      <c r="E989" s="64"/>
      <c r="F989" s="16" t="str">
        <f>IFERROR(VLOOKUP(B989,'Master data'!$A$1:$D$397,3,FALSE),"")</f>
        <v/>
      </c>
      <c r="G989" s="102"/>
      <c r="H989" s="65"/>
      <c r="I989" s="16"/>
      <c r="J989" s="16"/>
      <c r="K989" s="16" t="b">
        <v>0</v>
      </c>
      <c r="L989" s="16" t="b">
        <v>0</v>
      </c>
    </row>
    <row r="990">
      <c r="A990" s="9"/>
      <c r="B990" s="16"/>
      <c r="C990" s="7" t="str">
        <f>IFERROR(VLOOKUP(B990,'Master data'!$A$1:$D$397,2,FALSE),"")</f>
        <v/>
      </c>
      <c r="D990" s="70" t="str">
        <f>VLOOKUP(B990,Sheet3!$B$2:$E$312,3,)</f>
        <v>#N/A</v>
      </c>
      <c r="E990" s="64"/>
      <c r="F990" s="16" t="str">
        <f>IFERROR(VLOOKUP(B990,'Master data'!$A$1:$D$397,3,FALSE),"")</f>
        <v/>
      </c>
      <c r="G990" s="102"/>
      <c r="H990" s="65"/>
      <c r="I990" s="16"/>
      <c r="J990" s="16"/>
      <c r="K990" s="16" t="b">
        <v>0</v>
      </c>
      <c r="L990" s="16" t="b">
        <v>0</v>
      </c>
    </row>
    <row r="991">
      <c r="A991" s="9"/>
      <c r="B991" s="16"/>
      <c r="C991" s="7" t="str">
        <f>IFERROR(VLOOKUP(B991,'Master data'!$A$1:$D$397,2,FALSE),"")</f>
        <v/>
      </c>
      <c r="D991" s="70" t="str">
        <f>VLOOKUP(B991,Sheet3!$B$2:$E$312,3,)</f>
        <v>#N/A</v>
      </c>
      <c r="E991" s="64"/>
      <c r="F991" s="16" t="str">
        <f>IFERROR(VLOOKUP(B991,'Master data'!$A$1:$D$397,3,FALSE),"")</f>
        <v/>
      </c>
      <c r="G991" s="102"/>
      <c r="H991" s="65"/>
      <c r="I991" s="16"/>
      <c r="J991" s="16"/>
      <c r="K991" s="16" t="b">
        <v>0</v>
      </c>
      <c r="L991" s="16" t="b">
        <v>0</v>
      </c>
    </row>
    <row r="992">
      <c r="A992" s="9"/>
      <c r="B992" s="16"/>
      <c r="C992" s="7" t="str">
        <f>IFERROR(VLOOKUP(B992,'Master data'!$A$1:$D$397,2,FALSE),"")</f>
        <v/>
      </c>
      <c r="D992" s="70" t="str">
        <f>VLOOKUP(B992,Sheet3!$B$2:$E$312,3,)</f>
        <v>#N/A</v>
      </c>
      <c r="E992" s="64"/>
      <c r="F992" s="16" t="str">
        <f>IFERROR(VLOOKUP(B992,'Master data'!$A$1:$D$397,3,FALSE),"")</f>
        <v/>
      </c>
      <c r="G992" s="102"/>
      <c r="H992" s="65"/>
      <c r="I992" s="16"/>
      <c r="J992" s="16"/>
      <c r="K992" s="16" t="b">
        <v>0</v>
      </c>
      <c r="L992" s="16" t="b">
        <v>0</v>
      </c>
    </row>
    <row r="993">
      <c r="A993" s="9"/>
      <c r="B993" s="16"/>
      <c r="C993" s="7" t="str">
        <f>IFERROR(VLOOKUP(B993,'Master data'!$A$1:$D$397,2,FALSE),"")</f>
        <v/>
      </c>
      <c r="D993" s="70" t="str">
        <f>VLOOKUP(B993,Sheet3!$B$2:$E$312,3,)</f>
        <v>#N/A</v>
      </c>
      <c r="E993" s="64"/>
      <c r="F993" s="16" t="str">
        <f>IFERROR(VLOOKUP(B993,'Master data'!$A$1:$D$397,3,FALSE),"")</f>
        <v/>
      </c>
      <c r="G993" s="102"/>
      <c r="H993" s="65"/>
      <c r="I993" s="16"/>
      <c r="J993" s="16"/>
      <c r="K993" s="16" t="b">
        <v>0</v>
      </c>
      <c r="L993" s="16" t="b">
        <v>0</v>
      </c>
    </row>
    <row r="994">
      <c r="A994" s="9"/>
      <c r="B994" s="16"/>
      <c r="C994" s="7" t="str">
        <f>IFERROR(VLOOKUP(B994,'Master data'!$A$1:$D$397,2,FALSE),"")</f>
        <v/>
      </c>
      <c r="D994" s="70" t="str">
        <f>VLOOKUP(B994,Sheet3!$B$2:$E$312,3,)</f>
        <v>#N/A</v>
      </c>
      <c r="E994" s="64"/>
      <c r="F994" s="16" t="str">
        <f>IFERROR(VLOOKUP(B994,'Master data'!$A$1:$D$397,3,FALSE),"")</f>
        <v/>
      </c>
      <c r="G994" s="102"/>
      <c r="H994" s="65"/>
      <c r="I994" s="16"/>
      <c r="J994" s="16"/>
      <c r="K994" s="16" t="b">
        <v>0</v>
      </c>
      <c r="L994" s="16" t="b">
        <v>0</v>
      </c>
    </row>
    <row r="995">
      <c r="A995" s="9"/>
      <c r="B995" s="16"/>
      <c r="C995" s="7" t="str">
        <f>IFERROR(VLOOKUP(B995,'Master data'!$A$1:$D$397,2,FALSE),"")</f>
        <v/>
      </c>
      <c r="D995" s="70" t="str">
        <f>VLOOKUP(B995,Sheet3!$B$2:$E$312,3,)</f>
        <v>#N/A</v>
      </c>
      <c r="E995" s="64"/>
      <c r="F995" s="16" t="str">
        <f>IFERROR(VLOOKUP(B995,'Master data'!$A$1:$D$397,3,FALSE),"")</f>
        <v/>
      </c>
      <c r="G995" s="102"/>
      <c r="H995" s="65"/>
      <c r="I995" s="16"/>
      <c r="J995" s="16"/>
      <c r="K995" s="16" t="b">
        <v>0</v>
      </c>
      <c r="L995" s="16" t="b">
        <v>0</v>
      </c>
    </row>
    <row r="996">
      <c r="A996" s="9"/>
      <c r="B996" s="16"/>
      <c r="C996" s="7" t="str">
        <f>IFERROR(VLOOKUP(B996,'Master data'!$A$1:$D$397,2,FALSE),"")</f>
        <v/>
      </c>
      <c r="D996" s="70" t="str">
        <f>VLOOKUP(B996,Sheet3!$B$2:$E$312,3,)</f>
        <v>#N/A</v>
      </c>
      <c r="E996" s="64"/>
      <c r="F996" s="16" t="str">
        <f>IFERROR(VLOOKUP(B996,'Master data'!$A$1:$D$397,3,FALSE),"")</f>
        <v/>
      </c>
      <c r="G996" s="102"/>
      <c r="H996" s="65"/>
      <c r="I996" s="16"/>
      <c r="J996" s="16"/>
      <c r="K996" s="16" t="b">
        <v>0</v>
      </c>
      <c r="L996" s="16" t="b">
        <v>0</v>
      </c>
    </row>
    <row r="997">
      <c r="A997" s="9"/>
      <c r="B997" s="16"/>
      <c r="C997" s="7" t="str">
        <f>IFERROR(VLOOKUP(B997,'Master data'!$A$1:$D$397,2,FALSE),"")</f>
        <v/>
      </c>
      <c r="D997" s="70" t="str">
        <f>VLOOKUP(B997,Sheet3!$B$2:$E$312,3,)</f>
        <v>#N/A</v>
      </c>
      <c r="E997" s="64"/>
      <c r="F997" s="16" t="str">
        <f>IFERROR(VLOOKUP(B997,'Master data'!$A$1:$D$397,3,FALSE),"")</f>
        <v/>
      </c>
      <c r="G997" s="102"/>
      <c r="H997" s="65"/>
      <c r="I997" s="16"/>
      <c r="J997" s="16"/>
      <c r="K997" s="16" t="b">
        <v>0</v>
      </c>
      <c r="L997" s="16" t="b">
        <v>0</v>
      </c>
    </row>
    <row r="998">
      <c r="A998" s="9"/>
      <c r="B998" s="16"/>
      <c r="C998" s="7" t="str">
        <f>IFERROR(VLOOKUP(B998,'Master data'!$A$1:$D$397,2,FALSE),"")</f>
        <v/>
      </c>
      <c r="D998" s="70" t="str">
        <f>VLOOKUP(B998,Sheet3!$B$2:$E$312,3,)</f>
        <v>#N/A</v>
      </c>
      <c r="E998" s="64"/>
      <c r="F998" s="16" t="str">
        <f>IFERROR(VLOOKUP(B998,'Master data'!$A$1:$D$397,3,FALSE),"")</f>
        <v/>
      </c>
      <c r="G998" s="102"/>
      <c r="H998" s="65"/>
      <c r="I998" s="16"/>
      <c r="J998" s="16"/>
      <c r="K998" s="16" t="b">
        <v>0</v>
      </c>
      <c r="L998" s="16" t="b">
        <v>0</v>
      </c>
    </row>
    <row r="999">
      <c r="A999" s="9"/>
      <c r="B999" s="16"/>
      <c r="C999" s="7" t="str">
        <f>IFERROR(VLOOKUP(B999,'Master data'!$A$1:$D$397,2,FALSE),"")</f>
        <v/>
      </c>
      <c r="D999" s="70" t="str">
        <f>VLOOKUP(B999,Sheet3!$B$2:$E$312,3,)</f>
        <v>#N/A</v>
      </c>
      <c r="E999" s="64"/>
      <c r="F999" s="16" t="str">
        <f>IFERROR(VLOOKUP(B999,'Master data'!$A$1:$D$397,3,FALSE),"")</f>
        <v/>
      </c>
      <c r="G999" s="102"/>
      <c r="H999" s="65"/>
      <c r="I999" s="16"/>
      <c r="J999" s="16"/>
      <c r="K999" s="16" t="b">
        <v>0</v>
      </c>
      <c r="L999" s="16" t="b">
        <v>0</v>
      </c>
    </row>
    <row r="1000">
      <c r="A1000" s="9"/>
      <c r="B1000" s="16"/>
      <c r="C1000" s="7" t="str">
        <f>IFERROR(VLOOKUP(B1000,'Master data'!$A$1:$D$397,2,FALSE),"")</f>
        <v/>
      </c>
      <c r="D1000" s="70" t="str">
        <f>VLOOKUP(B1000,Sheet3!$B$2:$E$312,3,)</f>
        <v>#N/A</v>
      </c>
      <c r="E1000" s="64"/>
      <c r="F1000" s="16" t="str">
        <f>IFERROR(VLOOKUP(B1000,'Master data'!$A$1:$D$397,3,FALSE),"")</f>
        <v/>
      </c>
      <c r="G1000" s="102"/>
      <c r="H1000" s="65"/>
      <c r="I1000" s="16"/>
      <c r="J1000" s="16"/>
      <c r="K1000" s="16" t="b">
        <v>0</v>
      </c>
      <c r="L1000" s="16" t="b">
        <v>0</v>
      </c>
    </row>
    <row r="1001">
      <c r="A1001" s="9"/>
      <c r="B1001" s="16"/>
      <c r="C1001" s="7" t="str">
        <f>IFERROR(VLOOKUP(B1001,'Master data'!$A$1:$D$397,2,FALSE),"")</f>
        <v/>
      </c>
      <c r="D1001" s="70" t="str">
        <f>VLOOKUP(B1001,Sheet3!$B$2:$E$312,3,)</f>
        <v>#N/A</v>
      </c>
      <c r="E1001" s="64"/>
      <c r="F1001" s="16" t="str">
        <f>IFERROR(VLOOKUP(B1001,'Master data'!$A$1:$D$397,3,FALSE),"")</f>
        <v/>
      </c>
      <c r="G1001" s="102"/>
      <c r="H1001" s="65"/>
      <c r="I1001" s="16"/>
      <c r="J1001" s="16"/>
      <c r="K1001" s="16" t="b">
        <v>0</v>
      </c>
      <c r="L1001" s="16" t="b">
        <v>0</v>
      </c>
    </row>
    <row r="1002">
      <c r="A1002" s="9"/>
      <c r="B1002" s="16"/>
      <c r="C1002" s="7" t="str">
        <f>IFERROR(VLOOKUP(B1002,'Master data'!$A$1:$D$397,2,FALSE),"")</f>
        <v/>
      </c>
      <c r="D1002" s="70" t="str">
        <f>VLOOKUP(B1002,Sheet3!$B$2:$E$312,3,)</f>
        <v>#N/A</v>
      </c>
      <c r="E1002" s="64"/>
      <c r="F1002" s="16" t="str">
        <f>IFERROR(VLOOKUP(B1002,'Master data'!$A$1:$D$397,3,FALSE),"")</f>
        <v/>
      </c>
      <c r="G1002" s="102"/>
      <c r="H1002" s="65"/>
      <c r="I1002" s="16"/>
      <c r="J1002" s="16"/>
      <c r="K1002" s="16" t="b">
        <v>0</v>
      </c>
      <c r="L1002" s="16" t="b">
        <v>0</v>
      </c>
    </row>
    <row r="1003">
      <c r="A1003" s="9"/>
      <c r="B1003" s="16"/>
      <c r="C1003" s="7" t="str">
        <f>IFERROR(VLOOKUP(B1003,'Master data'!$A$1:$D$397,2,FALSE),"")</f>
        <v/>
      </c>
      <c r="D1003" s="70" t="str">
        <f>VLOOKUP(B1003,Sheet3!$B$2:$E$312,3,)</f>
        <v>#N/A</v>
      </c>
      <c r="E1003" s="64"/>
      <c r="F1003" s="16" t="str">
        <f>IFERROR(VLOOKUP(B1003,'Master data'!$A$1:$D$397,3,FALSE),"")</f>
        <v/>
      </c>
      <c r="G1003" s="102"/>
      <c r="H1003" s="65"/>
      <c r="I1003" s="16"/>
      <c r="J1003" s="16"/>
      <c r="K1003" s="16" t="b">
        <v>0</v>
      </c>
      <c r="L1003" s="16" t="b">
        <v>0</v>
      </c>
    </row>
    <row r="1004">
      <c r="A1004" s="9"/>
      <c r="B1004" s="16"/>
      <c r="C1004" s="7" t="str">
        <f>IFERROR(VLOOKUP(B1004,'Master data'!$A$1:$D$397,2,FALSE),"")</f>
        <v/>
      </c>
      <c r="D1004" s="70" t="str">
        <f>VLOOKUP(B1004,Sheet3!$B$2:$E$312,3,)</f>
        <v>#N/A</v>
      </c>
      <c r="E1004" s="64"/>
      <c r="F1004" s="16" t="str">
        <f>IFERROR(VLOOKUP(B1004,'Master data'!$A$1:$D$397,3,FALSE),"")</f>
        <v/>
      </c>
      <c r="G1004" s="102"/>
      <c r="H1004" s="65"/>
      <c r="I1004" s="16"/>
      <c r="J1004" s="16"/>
      <c r="K1004" s="16" t="b">
        <v>0</v>
      </c>
      <c r="L1004" s="16" t="b">
        <v>0</v>
      </c>
    </row>
    <row r="1005">
      <c r="A1005" s="9"/>
      <c r="B1005" s="16"/>
      <c r="C1005" s="7" t="str">
        <f>IFERROR(VLOOKUP(B1005,'Master data'!$A$1:$D$397,2,FALSE),"")</f>
        <v/>
      </c>
      <c r="D1005" s="70" t="str">
        <f>VLOOKUP(B1005,Sheet3!$B$2:$E$312,3,)</f>
        <v>#N/A</v>
      </c>
      <c r="E1005" s="64"/>
      <c r="F1005" s="16" t="str">
        <f>IFERROR(VLOOKUP(B1005,'Master data'!$A$1:$D$397,3,FALSE),"")</f>
        <v/>
      </c>
      <c r="G1005" s="102"/>
      <c r="H1005" s="65"/>
      <c r="I1005" s="16"/>
      <c r="J1005" s="16"/>
      <c r="K1005" s="16" t="b">
        <v>0</v>
      </c>
      <c r="L1005" s="16" t="b">
        <v>0</v>
      </c>
    </row>
    <row r="1006">
      <c r="A1006" s="9"/>
      <c r="B1006" s="16"/>
      <c r="C1006" s="7" t="str">
        <f>IFERROR(VLOOKUP(B1006,'Master data'!$A$1:$D$397,2,FALSE),"")</f>
        <v/>
      </c>
      <c r="D1006" s="70" t="str">
        <f>VLOOKUP(B1006,Sheet3!$B$2:$E$312,3,)</f>
        <v>#N/A</v>
      </c>
      <c r="E1006" s="64"/>
      <c r="F1006" s="16" t="str">
        <f>IFERROR(VLOOKUP(B1006,'Master data'!$A$1:$D$397,3,FALSE),"")</f>
        <v/>
      </c>
      <c r="G1006" s="102"/>
      <c r="H1006" s="65"/>
      <c r="I1006" s="16"/>
      <c r="J1006" s="16"/>
      <c r="K1006" s="16" t="b">
        <v>0</v>
      </c>
      <c r="L1006" s="16" t="b">
        <v>0</v>
      </c>
    </row>
    <row r="1007">
      <c r="A1007" s="9"/>
      <c r="B1007" s="16"/>
      <c r="C1007" s="7" t="str">
        <f>IFERROR(VLOOKUP(B1007,'Master data'!$A$1:$D$397,2,FALSE),"")</f>
        <v/>
      </c>
      <c r="D1007" s="70" t="str">
        <f>VLOOKUP(B1007,Sheet3!$B$2:$E$312,3,)</f>
        <v>#N/A</v>
      </c>
      <c r="E1007" s="64"/>
      <c r="F1007" s="16" t="str">
        <f>IFERROR(VLOOKUP(B1007,'Master data'!$A$1:$D$397,3,FALSE),"")</f>
        <v/>
      </c>
      <c r="G1007" s="102"/>
      <c r="H1007" s="65"/>
      <c r="I1007" s="16"/>
      <c r="J1007" s="16"/>
      <c r="K1007" s="16" t="b">
        <v>0</v>
      </c>
      <c r="L1007" s="16" t="b">
        <v>0</v>
      </c>
    </row>
    <row r="1008">
      <c r="A1008" s="9"/>
      <c r="B1008" s="16"/>
      <c r="C1008" s="7" t="str">
        <f>IFERROR(VLOOKUP(B1008,'Master data'!$A$1:$D$397,2,FALSE),"")</f>
        <v/>
      </c>
      <c r="D1008" s="70" t="str">
        <f>VLOOKUP(B1008,Sheet3!$B$2:$E$312,3,)</f>
        <v>#N/A</v>
      </c>
      <c r="E1008" s="64"/>
      <c r="F1008" s="16" t="str">
        <f>IFERROR(VLOOKUP(B1008,'Master data'!$A$1:$D$397,3,FALSE),"")</f>
        <v/>
      </c>
      <c r="G1008" s="102"/>
      <c r="H1008" s="65"/>
      <c r="I1008" s="16"/>
      <c r="J1008" s="16"/>
      <c r="K1008" s="16" t="b">
        <v>0</v>
      </c>
      <c r="L1008" s="16" t="b">
        <v>0</v>
      </c>
    </row>
    <row r="1009">
      <c r="A1009" s="9"/>
      <c r="B1009" s="16"/>
      <c r="C1009" s="7" t="str">
        <f>IFERROR(VLOOKUP(B1009,'Master data'!$A$1:$D$397,2,FALSE),"")</f>
        <v/>
      </c>
      <c r="D1009" s="70" t="str">
        <f>VLOOKUP(B1009,Sheet3!$B$2:$E$312,3,)</f>
        <v>#N/A</v>
      </c>
      <c r="E1009" s="64"/>
      <c r="F1009" s="16" t="str">
        <f>IFERROR(VLOOKUP(B1009,'Master data'!$A$1:$D$397,3,FALSE),"")</f>
        <v/>
      </c>
      <c r="G1009" s="102"/>
      <c r="H1009" s="65"/>
      <c r="I1009" s="16"/>
      <c r="J1009" s="16"/>
      <c r="K1009" s="16" t="b">
        <v>0</v>
      </c>
      <c r="L1009" s="16" t="b">
        <v>0</v>
      </c>
    </row>
    <row r="1010">
      <c r="A1010" s="9"/>
      <c r="B1010" s="16"/>
      <c r="C1010" s="7" t="str">
        <f>IFERROR(VLOOKUP(B1010,'Master data'!$A$1:$D$397,2,FALSE),"")</f>
        <v/>
      </c>
      <c r="D1010" s="70" t="str">
        <f>VLOOKUP(B1010,Sheet3!$B$2:$E$312,3,)</f>
        <v>#N/A</v>
      </c>
      <c r="E1010" s="64"/>
      <c r="F1010" s="16" t="str">
        <f>IFERROR(VLOOKUP(B1010,'Master data'!$A$1:$D$397,3,FALSE),"")</f>
        <v/>
      </c>
      <c r="G1010" s="102"/>
      <c r="H1010" s="65"/>
      <c r="I1010" s="16"/>
      <c r="J1010" s="16"/>
      <c r="K1010" s="16" t="b">
        <v>0</v>
      </c>
      <c r="L1010" s="16" t="b">
        <v>0</v>
      </c>
    </row>
    <row r="1011">
      <c r="A1011" s="9"/>
      <c r="B1011" s="16"/>
      <c r="C1011" s="7" t="str">
        <f>IFERROR(VLOOKUP(B1011,'Master data'!$A$1:$D$397,2,FALSE),"")</f>
        <v/>
      </c>
      <c r="D1011" s="70" t="str">
        <f>VLOOKUP(B1011,Sheet3!$B$2:$E$312,3,)</f>
        <v>#N/A</v>
      </c>
      <c r="E1011" s="64"/>
      <c r="F1011" s="16" t="str">
        <f>IFERROR(VLOOKUP(B1011,'Master data'!$A$1:$D$397,3,FALSE),"")</f>
        <v/>
      </c>
      <c r="G1011" s="102"/>
      <c r="H1011" s="65"/>
      <c r="I1011" s="16"/>
      <c r="J1011" s="16"/>
      <c r="K1011" s="16" t="b">
        <v>0</v>
      </c>
      <c r="L1011" s="16" t="b">
        <v>0</v>
      </c>
    </row>
    <row r="1012">
      <c r="A1012" s="9"/>
      <c r="B1012" s="16"/>
      <c r="C1012" s="7" t="str">
        <f>IFERROR(VLOOKUP(B1012,'Master data'!$A$1:$D$397,2,FALSE),"")</f>
        <v/>
      </c>
      <c r="D1012" s="70" t="str">
        <f>VLOOKUP(B1012,Sheet3!$B$2:$E$312,3,)</f>
        <v>#N/A</v>
      </c>
      <c r="E1012" s="64"/>
      <c r="F1012" s="16" t="str">
        <f>IFERROR(VLOOKUP(B1012,'Master data'!$A$1:$D$397,3,FALSE),"")</f>
        <v/>
      </c>
      <c r="G1012" s="102"/>
      <c r="H1012" s="65"/>
      <c r="I1012" s="16"/>
      <c r="J1012" s="16"/>
      <c r="K1012" s="16" t="b">
        <v>0</v>
      </c>
      <c r="L1012" s="16" t="b">
        <v>0</v>
      </c>
    </row>
    <row r="1013">
      <c r="A1013" s="9"/>
      <c r="B1013" s="16"/>
      <c r="C1013" s="7" t="str">
        <f>IFERROR(VLOOKUP(B1013,'Master data'!$A$1:$D$397,2,FALSE),"")</f>
        <v/>
      </c>
      <c r="D1013" s="70" t="str">
        <f>VLOOKUP(B1013,Sheet3!$B$2:$E$312,3,)</f>
        <v>#N/A</v>
      </c>
      <c r="E1013" s="64"/>
      <c r="F1013" s="16" t="str">
        <f>IFERROR(VLOOKUP(B1013,'Master data'!$A$1:$D$397,3,FALSE),"")</f>
        <v/>
      </c>
      <c r="G1013" s="102"/>
      <c r="H1013" s="65"/>
      <c r="I1013" s="16"/>
      <c r="J1013" s="16"/>
      <c r="K1013" s="16" t="b">
        <v>0</v>
      </c>
      <c r="L1013" s="16" t="b">
        <v>0</v>
      </c>
    </row>
    <row r="1014">
      <c r="A1014" s="9"/>
      <c r="B1014" s="16"/>
      <c r="C1014" s="7" t="str">
        <f>IFERROR(VLOOKUP(B1014,'Master data'!$A$1:$D$397,2,FALSE),"")</f>
        <v/>
      </c>
      <c r="D1014" s="70" t="str">
        <f>VLOOKUP(B1014,Sheet3!$B$2:$E$312,3,)</f>
        <v>#N/A</v>
      </c>
      <c r="E1014" s="64"/>
      <c r="F1014" s="16" t="str">
        <f>IFERROR(VLOOKUP(B1014,'Master data'!$A$1:$D$397,3,FALSE),"")</f>
        <v/>
      </c>
      <c r="G1014" s="102"/>
      <c r="H1014" s="65"/>
      <c r="I1014" s="16"/>
      <c r="J1014" s="16"/>
      <c r="K1014" s="16" t="b">
        <v>0</v>
      </c>
      <c r="L1014" s="16" t="b">
        <v>0</v>
      </c>
    </row>
    <row r="1015">
      <c r="A1015" s="9"/>
      <c r="B1015" s="16"/>
      <c r="C1015" s="7" t="str">
        <f>IFERROR(VLOOKUP(B1015,'Master data'!$A$1:$D$397,2,FALSE),"")</f>
        <v/>
      </c>
      <c r="D1015" s="70" t="str">
        <f>VLOOKUP(B1015,Sheet3!$B$2:$E$312,3,)</f>
        <v>#N/A</v>
      </c>
      <c r="E1015" s="64"/>
      <c r="F1015" s="16" t="str">
        <f>IFERROR(VLOOKUP(B1015,'Master data'!$A$1:$D$397,3,FALSE),"")</f>
        <v/>
      </c>
      <c r="G1015" s="102"/>
      <c r="H1015" s="65"/>
      <c r="I1015" s="16"/>
      <c r="J1015" s="16"/>
      <c r="K1015" s="16" t="b">
        <v>0</v>
      </c>
      <c r="L1015" s="16" t="b">
        <v>0</v>
      </c>
    </row>
    <row r="1016">
      <c r="A1016" s="9"/>
      <c r="B1016" s="16"/>
      <c r="C1016" s="7" t="str">
        <f>IFERROR(VLOOKUP(B1016,'Master data'!$A$1:$D$397,2,FALSE),"")</f>
        <v/>
      </c>
      <c r="D1016" s="70" t="str">
        <f>VLOOKUP(B1016,Sheet3!$B$2:$E$312,3,)</f>
        <v>#N/A</v>
      </c>
      <c r="E1016" s="64"/>
      <c r="F1016" s="16" t="str">
        <f>IFERROR(VLOOKUP(B1016,'Master data'!$A$1:$D$397,3,FALSE),"")</f>
        <v/>
      </c>
      <c r="G1016" s="102"/>
      <c r="H1016" s="65"/>
      <c r="I1016" s="16"/>
      <c r="J1016" s="16"/>
      <c r="K1016" s="16" t="b">
        <v>0</v>
      </c>
      <c r="L1016" s="16" t="b">
        <v>0</v>
      </c>
    </row>
    <row r="1017">
      <c r="A1017" s="9"/>
      <c r="B1017" s="16"/>
      <c r="C1017" s="7" t="str">
        <f>IFERROR(VLOOKUP(B1017,'Master data'!$A$1:$D$397,2,FALSE),"")</f>
        <v/>
      </c>
      <c r="D1017" s="70" t="str">
        <f>VLOOKUP(B1017,Sheet3!$B$2:$E$312,3,)</f>
        <v>#N/A</v>
      </c>
      <c r="E1017" s="64"/>
      <c r="F1017" s="16" t="str">
        <f>IFERROR(VLOOKUP(B1017,'Master data'!$A$1:$D$397,3,FALSE),"")</f>
        <v/>
      </c>
      <c r="G1017" s="102"/>
      <c r="H1017" s="65"/>
      <c r="I1017" s="16"/>
      <c r="J1017" s="16"/>
      <c r="K1017" s="16" t="b">
        <v>0</v>
      </c>
      <c r="L1017" s="16" t="b">
        <v>0</v>
      </c>
    </row>
    <row r="1018">
      <c r="A1018" s="9"/>
      <c r="B1018" s="16"/>
      <c r="C1018" s="7" t="str">
        <f>IFERROR(VLOOKUP(B1018,'Master data'!$A$1:$D$397,2,FALSE),"")</f>
        <v/>
      </c>
      <c r="D1018" s="70" t="str">
        <f>VLOOKUP(B1018,Sheet3!$B$2:$E$312,3,)</f>
        <v>#N/A</v>
      </c>
      <c r="E1018" s="64"/>
      <c r="F1018" s="16" t="str">
        <f>IFERROR(VLOOKUP(B1018,'Master data'!$A$1:$D$397,3,FALSE),"")</f>
        <v/>
      </c>
      <c r="G1018" s="102"/>
      <c r="H1018" s="65"/>
      <c r="I1018" s="16"/>
      <c r="J1018" s="16"/>
      <c r="K1018" s="16" t="b">
        <v>0</v>
      </c>
      <c r="L1018" s="16" t="b">
        <v>0</v>
      </c>
    </row>
  </sheetData>
  <autoFilter ref="$A$6:$AC$1018"/>
  <mergeCells count="105">
    <mergeCell ref="G45:G46"/>
    <mergeCell ref="H45:H46"/>
    <mergeCell ref="G52:G61"/>
    <mergeCell ref="H52:H61"/>
    <mergeCell ref="G62:G68"/>
    <mergeCell ref="H62:H68"/>
    <mergeCell ref="G70:G71"/>
    <mergeCell ref="H70:H71"/>
    <mergeCell ref="H72:H73"/>
    <mergeCell ref="H76:H77"/>
    <mergeCell ref="H78:H79"/>
    <mergeCell ref="G81:G82"/>
    <mergeCell ref="H81:H82"/>
    <mergeCell ref="G85:G86"/>
    <mergeCell ref="H85:H86"/>
    <mergeCell ref="H88:H89"/>
    <mergeCell ref="H91:H92"/>
    <mergeCell ref="H94:H99"/>
    <mergeCell ref="H101:H103"/>
    <mergeCell ref="H104:H106"/>
    <mergeCell ref="H110:H115"/>
    <mergeCell ref="H117:H120"/>
    <mergeCell ref="H123:H124"/>
    <mergeCell ref="H126:H127"/>
    <mergeCell ref="H129:H130"/>
    <mergeCell ref="H131:H134"/>
    <mergeCell ref="H135:H136"/>
    <mergeCell ref="H137:H138"/>
    <mergeCell ref="H141:H143"/>
    <mergeCell ref="H144:H145"/>
    <mergeCell ref="H147:H149"/>
    <mergeCell ref="H150:H156"/>
    <mergeCell ref="H157:H161"/>
    <mergeCell ref="H162:H163"/>
    <mergeCell ref="H165:H166"/>
    <mergeCell ref="H251:H252"/>
    <mergeCell ref="H254:H256"/>
    <mergeCell ref="H257:H258"/>
    <mergeCell ref="H259:H261"/>
    <mergeCell ref="H167:H168"/>
    <mergeCell ref="H169:H170"/>
    <mergeCell ref="H175:H197"/>
    <mergeCell ref="H208:H210"/>
    <mergeCell ref="H221:H228"/>
    <mergeCell ref="H242:H245"/>
    <mergeCell ref="H247:H248"/>
    <mergeCell ref="H198:H201"/>
    <mergeCell ref="H202:H203"/>
    <mergeCell ref="H48:H51"/>
    <mergeCell ref="H172:H174"/>
    <mergeCell ref="G175:G179"/>
    <mergeCell ref="G180:G181"/>
    <mergeCell ref="G182:G184"/>
    <mergeCell ref="G185:G191"/>
    <mergeCell ref="G192:G197"/>
    <mergeCell ref="A235:A241"/>
    <mergeCell ref="A242:A246"/>
    <mergeCell ref="A247:A249"/>
    <mergeCell ref="A250:A261"/>
    <mergeCell ref="A150:A166"/>
    <mergeCell ref="A167:A184"/>
    <mergeCell ref="A185:A208"/>
    <mergeCell ref="A209:A218"/>
    <mergeCell ref="A219:A223"/>
    <mergeCell ref="A224:A225"/>
    <mergeCell ref="A226:A234"/>
    <mergeCell ref="H8:H11"/>
    <mergeCell ref="H12:H13"/>
    <mergeCell ref="G8:G11"/>
    <mergeCell ref="H20:H21"/>
    <mergeCell ref="A1:L1"/>
    <mergeCell ref="A2:L2"/>
    <mergeCell ref="A3:L3"/>
    <mergeCell ref="A4:L4"/>
    <mergeCell ref="A7:A11"/>
    <mergeCell ref="A12:A19"/>
    <mergeCell ref="H24:H25"/>
    <mergeCell ref="A20:A25"/>
    <mergeCell ref="A26:A31"/>
    <mergeCell ref="A32:A41"/>
    <mergeCell ref="A42:A44"/>
    <mergeCell ref="A45:A61"/>
    <mergeCell ref="A62:A74"/>
    <mergeCell ref="A75:A83"/>
    <mergeCell ref="A84:A86"/>
    <mergeCell ref="A87:A97"/>
    <mergeCell ref="A98:A109"/>
    <mergeCell ref="A110:A124"/>
    <mergeCell ref="A125:A130"/>
    <mergeCell ref="A131:A140"/>
    <mergeCell ref="A141:A149"/>
    <mergeCell ref="H205:H207"/>
    <mergeCell ref="H213:H214"/>
    <mergeCell ref="H215:H217"/>
    <mergeCell ref="H230:H231"/>
    <mergeCell ref="H232:H234"/>
    <mergeCell ref="H236:H238"/>
    <mergeCell ref="H239:H241"/>
    <mergeCell ref="H15:H16"/>
    <mergeCell ref="H17:H18"/>
    <mergeCell ref="H26:H27"/>
    <mergeCell ref="H29:H31"/>
    <mergeCell ref="H35:H36"/>
    <mergeCell ref="H40:H41"/>
    <mergeCell ref="H43:H44"/>
  </mergeCells>
  <dataValidations>
    <dataValidation type="list" allowBlank="1" showErrorMessage="1" sqref="M8:M9 M11:M50 M52:M55 M60:M65 M69:M74 M78:M91 M93:M96 M98:M103 M106:M111 M113 M115:M140 B573:B1018">
      <formula1>#REF!</formula1>
    </dataValidation>
    <dataValidation type="list" allowBlank="1" showErrorMessage="1" sqref="M10 B7:B182 B184:B572">
      <formula1>'Master data'!$A$2:$A$429</formula1>
    </dataValidation>
    <dataValidation type="list" allowBlank="1" showErrorMessage="1" sqref="J7:J1018">
      <formula1>"Waste,Spoil,Training,Discontinued,Test food/ Kalibrasi"</formula1>
    </dataValidation>
    <dataValidation type="list" allowBlank="1" showErrorMessage="1" sqref="I7:I1018">
      <formula1>"BAR,COOK,ASSEMBLY,MP,DINING"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1.29"/>
    <col customWidth="1" hidden="1" min="4" max="4" width="28.57"/>
    <col customWidth="1" min="5" max="5" width="16.86"/>
    <col customWidth="1" min="7" max="7" width="24.14"/>
    <col hidden="1" min="8" max="8" width="14.43"/>
    <col customWidth="1" hidden="1" min="9" max="9" width="18.0"/>
    <col customWidth="1" hidden="1" min="10" max="10" width="19.71"/>
    <col customWidth="1" min="11" max="11" width="8.43"/>
    <col customWidth="1" min="12" max="12" width="9.0"/>
    <col customWidth="1" min="13" max="13" width="24.57"/>
    <col customWidth="1" min="14" max="14" width="33.71"/>
  </cols>
  <sheetData>
    <row r="1">
      <c r="A1" s="105" t="s">
        <v>0</v>
      </c>
    </row>
    <row r="2">
      <c r="A2" s="105" t="s">
        <v>12</v>
      </c>
    </row>
    <row r="3">
      <c r="A3" s="105" t="s">
        <v>13</v>
      </c>
    </row>
    <row r="4">
      <c r="A4" s="106" t="s">
        <v>1846</v>
      </c>
    </row>
    <row r="5">
      <c r="A5" s="107"/>
      <c r="G5" s="100"/>
      <c r="H5" s="100"/>
    </row>
    <row r="6">
      <c r="A6" s="12" t="s">
        <v>10</v>
      </c>
      <c r="B6" s="13" t="s">
        <v>2</v>
      </c>
      <c r="C6" s="14" t="s">
        <v>11</v>
      </c>
      <c r="D6" s="15" t="s">
        <v>3</v>
      </c>
      <c r="E6" s="15" t="s">
        <v>5</v>
      </c>
      <c r="F6" s="14" t="s">
        <v>4</v>
      </c>
      <c r="G6" s="14" t="s">
        <v>6</v>
      </c>
      <c r="H6" s="15" t="s">
        <v>7</v>
      </c>
      <c r="I6" s="15" t="s">
        <v>56</v>
      </c>
      <c r="J6" s="15" t="s">
        <v>57</v>
      </c>
      <c r="K6" s="15" t="s">
        <v>1847</v>
      </c>
      <c r="L6" s="15" t="s">
        <v>60</v>
      </c>
    </row>
    <row r="7" hidden="1">
      <c r="A7" s="36">
        <v>1.0</v>
      </c>
      <c r="B7" s="7" t="s">
        <v>208</v>
      </c>
      <c r="C7" s="7" t="str">
        <f>IFERROR(VLOOKUP(B7,'Master data'!$A$1:$F$1000,2,FALSE),"")</f>
        <v>B001-087</v>
      </c>
      <c r="D7" s="36" t="str">
        <f>IFERROR(VLOOKUP(B7,'Master data'!$A$1:$F$1000,6,FALSE),"")</f>
        <v>bahan baku</v>
      </c>
      <c r="E7" s="7">
        <v>1.0</v>
      </c>
      <c r="F7" s="7" t="str">
        <f>IFERROR(VLOOKUP(B7,'Master data'!$A$1:$F$1000,3,FALSE),"")</f>
        <v>PCS</v>
      </c>
      <c r="G7" s="36" t="s">
        <v>1224</v>
      </c>
      <c r="H7" s="36" t="s">
        <v>1225</v>
      </c>
      <c r="I7" s="7" t="s">
        <v>1548</v>
      </c>
      <c r="J7" s="7" t="s">
        <v>1561</v>
      </c>
      <c r="K7" s="7" t="b">
        <v>1</v>
      </c>
      <c r="L7" s="7" t="b">
        <v>1</v>
      </c>
    </row>
    <row r="8">
      <c r="B8" s="7" t="s">
        <v>211</v>
      </c>
      <c r="C8" s="7" t="str">
        <f>IFERROR(VLOOKUP(B8,'Master data'!$A$1:$F$1000,2,FALSE),"")</f>
        <v>B001-088</v>
      </c>
      <c r="D8" s="36" t="str">
        <f>IFERROR(VLOOKUP(B8,'Master data'!$A$1:$F$1000,6,FALSE),"")</f>
        <v>bahan baku</v>
      </c>
      <c r="E8" s="7">
        <v>4560.0</v>
      </c>
      <c r="F8" s="7" t="str">
        <f>IFERROR(VLOOKUP(B8,'Master data'!$A$1:$F$1000,3,FALSE),"")</f>
        <v>GR</v>
      </c>
      <c r="G8" s="36" t="s">
        <v>1475</v>
      </c>
      <c r="H8" s="36" t="s">
        <v>1567</v>
      </c>
      <c r="I8" s="7" t="s">
        <v>1556</v>
      </c>
      <c r="J8" s="7" t="s">
        <v>61</v>
      </c>
      <c r="K8" s="16" t="b">
        <v>0</v>
      </c>
      <c r="L8" s="7" t="b">
        <v>1</v>
      </c>
    </row>
    <row r="9" hidden="1">
      <c r="B9" s="7" t="s">
        <v>698</v>
      </c>
      <c r="C9" s="7" t="str">
        <f>IFERROR(VLOOKUP(B9,'Master data'!$A$1:$F$1000,2,FALSE),"")</f>
        <v>P004-038</v>
      </c>
      <c r="D9" s="36" t="str">
        <f>IFERROR(VLOOKUP(B9,'Master data'!$A$1:$F$1000,6,FALSE),"")</f>
        <v>barang jadi &amp; bahan baku</v>
      </c>
      <c r="E9" s="7">
        <v>1.0</v>
      </c>
      <c r="F9" s="7" t="str">
        <f>IFERROR(VLOOKUP(B9,'Master data'!$A$1:$F$1000,3,FALSE),"")</f>
        <v>PRS</v>
      </c>
      <c r="G9" s="36" t="s">
        <v>1848</v>
      </c>
      <c r="H9" s="36" t="s">
        <v>1523</v>
      </c>
      <c r="I9" s="7" t="s">
        <v>1542</v>
      </c>
      <c r="J9" s="7" t="s">
        <v>1561</v>
      </c>
      <c r="K9" s="7" t="b">
        <v>1</v>
      </c>
      <c r="L9" s="7" t="b">
        <v>1</v>
      </c>
    </row>
    <row r="10" hidden="1">
      <c r="B10" s="7" t="s">
        <v>148</v>
      </c>
      <c r="C10" s="7" t="str">
        <f>IFERROR(VLOOKUP(B10,'Master data'!$A$1:$F$1000,2,FALSE),"")</f>
        <v>B001-064</v>
      </c>
      <c r="D10" s="36" t="str">
        <f>IFERROR(VLOOKUP(B10,'Master data'!$A$1:$F$1000,6,FALSE),"")</f>
        <v>bahan baku</v>
      </c>
      <c r="E10" s="7">
        <v>488.0</v>
      </c>
      <c r="F10" s="7" t="str">
        <f>IFERROR(VLOOKUP(B10,'Master data'!$A$1:$F$1000,3,FALSE),"")</f>
        <v>GR</v>
      </c>
      <c r="G10" s="36" t="s">
        <v>1224</v>
      </c>
      <c r="I10" s="7" t="s">
        <v>1542</v>
      </c>
      <c r="J10" s="7" t="s">
        <v>1561</v>
      </c>
      <c r="K10" s="7" t="b">
        <v>1</v>
      </c>
      <c r="L10" s="7" t="b">
        <v>1</v>
      </c>
    </row>
    <row r="11">
      <c r="B11" s="7" t="s">
        <v>28</v>
      </c>
      <c r="C11" s="7" t="str">
        <f>IFERROR(VLOOKUP(B11,'Master data'!$A$1:$F$1000,2,FALSE),"")</f>
        <v>B001-006</v>
      </c>
      <c r="D11" s="36" t="str">
        <f>IFERROR(VLOOKUP(B11,'Master data'!$A$1:$F$1000,6,FALSE),"")</f>
        <v>bahan baku</v>
      </c>
      <c r="E11" s="7">
        <v>45.0</v>
      </c>
      <c r="F11" s="7" t="str">
        <f>IFERROR(VLOOKUP(B11,'Master data'!$A$1:$F$1000,3,FALSE),"")</f>
        <v>GR</v>
      </c>
      <c r="G11" s="36" t="s">
        <v>1824</v>
      </c>
      <c r="I11" s="7" t="s">
        <v>1542</v>
      </c>
      <c r="J11" s="7" t="s">
        <v>61</v>
      </c>
      <c r="K11" s="16" t="b">
        <v>0</v>
      </c>
      <c r="L11" s="7" t="b">
        <v>1</v>
      </c>
    </row>
    <row r="12" hidden="1">
      <c r="B12" s="7" t="s">
        <v>653</v>
      </c>
      <c r="C12" s="7" t="str">
        <f>IFERROR(VLOOKUP(B12,'Master data'!$A$1:$F$1000,2,FALSE),"")</f>
        <v>P004-022</v>
      </c>
      <c r="D12" s="36" t="str">
        <f>IFERROR(VLOOKUP(B12,'Master data'!$A$1:$F$1000,6,FALSE),"")</f>
        <v>barang jadi &amp; bahan baku</v>
      </c>
      <c r="E12" s="7">
        <v>623.0</v>
      </c>
      <c r="F12" s="7" t="str">
        <f>IFERROR(VLOOKUP(B12,'Master data'!$A$1:$F$1000,3,FALSE),"")</f>
        <v>GR</v>
      </c>
      <c r="G12" s="36" t="s">
        <v>1216</v>
      </c>
      <c r="H12" s="36" t="s">
        <v>1843</v>
      </c>
      <c r="I12" s="7" t="s">
        <v>1552</v>
      </c>
      <c r="J12" s="7" t="s">
        <v>1561</v>
      </c>
      <c r="K12" s="7" t="b">
        <v>1</v>
      </c>
      <c r="L12" s="7" t="b">
        <v>1</v>
      </c>
    </row>
    <row r="13" hidden="1">
      <c r="B13" s="7" t="s">
        <v>657</v>
      </c>
      <c r="C13" s="7" t="str">
        <f>IFERROR(VLOOKUP(B13,'Master data'!$A$1:$F$1000,2,FALSE),"")</f>
        <v>P004-023</v>
      </c>
      <c r="D13" s="36" t="str">
        <f>IFERROR(VLOOKUP(B13,'Master data'!$A$1:$F$1000,6,FALSE),"")</f>
        <v>barang jadi &amp; bahan baku</v>
      </c>
      <c r="E13" s="7">
        <v>147.0</v>
      </c>
      <c r="F13" s="7" t="str">
        <f>IFERROR(VLOOKUP(B13,'Master data'!$A$1:$F$1000,3,FALSE),"")</f>
        <v>GR</v>
      </c>
      <c r="G13" s="36" t="s">
        <v>1216</v>
      </c>
      <c r="I13" s="7" t="s">
        <v>1552</v>
      </c>
      <c r="J13" s="7" t="s">
        <v>1561</v>
      </c>
      <c r="K13" s="7" t="b">
        <v>1</v>
      </c>
      <c r="L13" s="7" t="b">
        <v>1</v>
      </c>
    </row>
    <row r="14" hidden="1">
      <c r="B14" s="7" t="s">
        <v>660</v>
      </c>
      <c r="C14" s="7" t="str">
        <f>IFERROR(VLOOKUP(B14,'Master data'!$A$1:$F$1000,2,FALSE),"")</f>
        <v>P004-024</v>
      </c>
      <c r="D14" s="36" t="str">
        <f>IFERROR(VLOOKUP(B14,'Master data'!$A$1:$F$1000,6,FALSE),"")</f>
        <v>barang jadi &amp; bahan baku</v>
      </c>
      <c r="E14" s="7">
        <v>523.0</v>
      </c>
      <c r="F14" s="7" t="str">
        <f>IFERROR(VLOOKUP(B14,'Master data'!$A$1:$F$1000,3,FALSE),"")</f>
        <v>ML</v>
      </c>
      <c r="G14" s="36" t="s">
        <v>1216</v>
      </c>
      <c r="I14" s="7" t="s">
        <v>1552</v>
      </c>
      <c r="J14" s="7" t="s">
        <v>1561</v>
      </c>
      <c r="K14" s="7" t="b">
        <v>1</v>
      </c>
      <c r="L14" s="7" t="b">
        <v>1</v>
      </c>
    </row>
    <row r="15" hidden="1">
      <c r="B15" s="7" t="s">
        <v>664</v>
      </c>
      <c r="C15" s="7" t="str">
        <f>IFERROR(VLOOKUP(B15,'Master data'!$A$1:$F$1000,2,FALSE),"")</f>
        <v>P004-025</v>
      </c>
      <c r="D15" s="36" t="str">
        <f>IFERROR(VLOOKUP(B15,'Master data'!$A$1:$F$1000,6,FALSE),"")</f>
        <v>barang jadi &amp; bahan baku</v>
      </c>
      <c r="E15" s="7">
        <v>244.0</v>
      </c>
      <c r="F15" s="7" t="s">
        <v>78</v>
      </c>
      <c r="G15" s="36" t="s">
        <v>1216</v>
      </c>
      <c r="I15" s="7" t="s">
        <v>1552</v>
      </c>
      <c r="J15" s="7" t="s">
        <v>1561</v>
      </c>
      <c r="K15" s="7" t="b">
        <v>1</v>
      </c>
      <c r="L15" s="7" t="b">
        <v>1</v>
      </c>
    </row>
    <row r="16" hidden="1">
      <c r="A16" s="36">
        <v>2.0</v>
      </c>
      <c r="B16" s="7" t="s">
        <v>1257</v>
      </c>
      <c r="C16" s="7" t="str">
        <f>IFERROR(VLOOKUP(B16,'Master data'!$A$1:$F$1000,2,FALSE),"")</f>
        <v>P004-043</v>
      </c>
      <c r="D16" s="36" t="str">
        <f>IFERROR(VLOOKUP(B16,'Master data'!$A$1:$F$1000,6,FALSE),"")</f>
        <v>barang jadi &amp; bahan baku</v>
      </c>
      <c r="E16" s="7">
        <v>100.0</v>
      </c>
      <c r="F16" s="7" t="s">
        <v>78</v>
      </c>
      <c r="G16" s="36" t="s">
        <v>1164</v>
      </c>
      <c r="H16" s="36" t="s">
        <v>1523</v>
      </c>
      <c r="I16" s="7" t="s">
        <v>1542</v>
      </c>
      <c r="J16" s="7" t="s">
        <v>1561</v>
      </c>
      <c r="K16" s="7" t="b">
        <v>1</v>
      </c>
      <c r="L16" s="7" t="b">
        <v>1</v>
      </c>
    </row>
    <row r="17">
      <c r="B17" s="7" t="s">
        <v>28</v>
      </c>
      <c r="C17" s="7" t="str">
        <f>IFERROR(VLOOKUP(B17,'Master data'!$A$1:$F$1000,2,FALSE),"")</f>
        <v>B001-006</v>
      </c>
      <c r="D17" s="36" t="str">
        <f>IFERROR(VLOOKUP(B17,'Master data'!$A$1:$F$1000,6,FALSE),"")</f>
        <v>bahan baku</v>
      </c>
      <c r="E17" s="7">
        <v>40.0</v>
      </c>
      <c r="F17" s="7" t="str">
        <f>IFERROR(VLOOKUP(B17,'Master data'!$A$1:$F$1000,3,FALSE),"")</f>
        <v>GR</v>
      </c>
      <c r="G17" s="36" t="s">
        <v>1824</v>
      </c>
      <c r="I17" s="7" t="s">
        <v>1542</v>
      </c>
      <c r="J17" s="7" t="s">
        <v>61</v>
      </c>
      <c r="K17" s="16" t="b">
        <v>0</v>
      </c>
      <c r="L17" s="7" t="b">
        <v>1</v>
      </c>
    </row>
    <row r="18" hidden="1">
      <c r="B18" s="7" t="s">
        <v>926</v>
      </c>
      <c r="C18" s="7" t="str">
        <f>IFERROR(VLOOKUP(B18,'Master data'!$A$1:$F$1000,2,FALSE),"")</f>
        <v>B001-165</v>
      </c>
      <c r="D18" s="36" t="str">
        <f>IFERROR(VLOOKUP(B18,'Master data'!$A$1:$F$1000,6,FALSE),"")</f>
        <v>bahan baku</v>
      </c>
      <c r="E18" s="7">
        <v>116.0</v>
      </c>
      <c r="F18" s="7" t="s">
        <v>20</v>
      </c>
      <c r="G18" s="36" t="s">
        <v>1164</v>
      </c>
      <c r="I18" s="7" t="s">
        <v>1542</v>
      </c>
      <c r="J18" s="7" t="s">
        <v>1561</v>
      </c>
      <c r="K18" s="7" t="b">
        <v>1</v>
      </c>
      <c r="L18" s="7" t="b">
        <v>1</v>
      </c>
    </row>
    <row r="19">
      <c r="B19" s="7" t="s">
        <v>211</v>
      </c>
      <c r="C19" s="7" t="str">
        <f>IFERROR(VLOOKUP(B19,'Master data'!$A$1:$F$1000,2,FALSE),"")</f>
        <v>B001-088</v>
      </c>
      <c r="D19" s="36" t="str">
        <f>IFERROR(VLOOKUP(B19,'Master data'!$A$1:$F$1000,6,FALSE),"")</f>
        <v>bahan baku</v>
      </c>
      <c r="E19" s="7">
        <v>3185.0</v>
      </c>
      <c r="F19" s="7" t="str">
        <f>IFERROR(VLOOKUP(B19,'Master data'!$A$1:$F$1000,3,FALSE),"")</f>
        <v>GR</v>
      </c>
      <c r="G19" s="36" t="s">
        <v>1475</v>
      </c>
      <c r="H19" s="36" t="s">
        <v>1567</v>
      </c>
      <c r="I19" s="7" t="s">
        <v>1556</v>
      </c>
      <c r="J19" s="7" t="s">
        <v>61</v>
      </c>
      <c r="K19" s="16" t="b">
        <v>0</v>
      </c>
      <c r="L19" s="7" t="b">
        <v>1</v>
      </c>
    </row>
    <row r="20" hidden="1">
      <c r="B20" s="7" t="s">
        <v>33</v>
      </c>
      <c r="C20" s="7" t="str">
        <f>IFERROR(VLOOKUP(B20,'Master data'!$A$1:$F$1000,2,FALSE),"")</f>
        <v>B001-008</v>
      </c>
      <c r="D20" s="36" t="str">
        <f>IFERROR(VLOOKUP(B20,'Master data'!$A$1:$F$1000,6,FALSE),"")</f>
        <v>bahan baku</v>
      </c>
      <c r="E20" s="16">
        <f>1030/1.56</f>
        <v>660.2564103</v>
      </c>
      <c r="F20" s="7" t="str">
        <f>IFERROR(VLOOKUP(B20,'Master data'!$A$1:$F$1000,3,FALSE),"")</f>
        <v>GR</v>
      </c>
      <c r="G20" s="36" t="s">
        <v>1801</v>
      </c>
      <c r="H20" s="36" t="s">
        <v>1417</v>
      </c>
      <c r="I20" s="7" t="s">
        <v>1548</v>
      </c>
      <c r="J20" s="7" t="s">
        <v>1561</v>
      </c>
      <c r="K20" s="7" t="b">
        <v>1</v>
      </c>
      <c r="L20" s="7" t="b">
        <v>1</v>
      </c>
    </row>
    <row r="21" hidden="1">
      <c r="B21" s="7" t="s">
        <v>129</v>
      </c>
      <c r="C21" s="7" t="str">
        <f>IFERROR(VLOOKUP(B21,'Master data'!$A$1:$F$1000,2,FALSE),"")</f>
        <v>B001-056</v>
      </c>
      <c r="D21" s="36" t="str">
        <f>IFERROR(VLOOKUP(B21,'Master data'!$A$1:$F$1000,6,FALSE),"")</f>
        <v>bahan baku</v>
      </c>
      <c r="E21" s="7">
        <v>6.0</v>
      </c>
      <c r="F21" s="7" t="str">
        <f>IFERROR(VLOOKUP(B21,'Master data'!$A$1:$F$1000,3,FALSE),"")</f>
        <v>ML</v>
      </c>
      <c r="G21" s="36" t="s">
        <v>1801</v>
      </c>
      <c r="I21" s="7" t="s">
        <v>1548</v>
      </c>
      <c r="J21" s="7" t="s">
        <v>1561</v>
      </c>
      <c r="K21" s="7" t="b">
        <v>1</v>
      </c>
      <c r="L21" s="7" t="b">
        <v>1</v>
      </c>
    </row>
    <row r="22" hidden="1">
      <c r="B22" s="7" t="s">
        <v>664</v>
      </c>
      <c r="C22" s="7" t="str">
        <f>IFERROR(VLOOKUP(B22,'Master data'!$A$1:$F$1000,2,FALSE),"")</f>
        <v>P004-025</v>
      </c>
      <c r="D22" s="36" t="str">
        <f>IFERROR(VLOOKUP(B22,'Master data'!$A$1:$F$1000,6,FALSE),"")</f>
        <v>barang jadi &amp; bahan baku</v>
      </c>
      <c r="E22" s="7">
        <v>619.0</v>
      </c>
      <c r="F22" s="7" t="str">
        <f>IFERROR(VLOOKUP(B22,'Master data'!$A$1:$F$1000,3,FALSE),"")</f>
        <v>PRS</v>
      </c>
      <c r="G22" s="36" t="s">
        <v>1216</v>
      </c>
      <c r="H22" s="36" t="s">
        <v>1843</v>
      </c>
      <c r="I22" s="7" t="s">
        <v>1552</v>
      </c>
      <c r="J22" s="7" t="s">
        <v>1561</v>
      </c>
      <c r="K22" s="7" t="b">
        <v>1</v>
      </c>
      <c r="L22" s="7" t="b">
        <v>1</v>
      </c>
    </row>
    <row r="23" hidden="1">
      <c r="B23" s="7" t="s">
        <v>660</v>
      </c>
      <c r="C23" s="7" t="str">
        <f>IFERROR(VLOOKUP(B23,'Master data'!$A$1:$F$1000,2,FALSE),"")</f>
        <v>P004-024</v>
      </c>
      <c r="D23" s="36" t="str">
        <f>IFERROR(VLOOKUP(B23,'Master data'!$A$1:$F$1000,6,FALSE),"")</f>
        <v>barang jadi &amp; bahan baku</v>
      </c>
      <c r="E23" s="7">
        <v>185.0</v>
      </c>
      <c r="F23" s="7" t="str">
        <f>IFERROR(VLOOKUP(B23,'Master data'!$A$1:$F$1000,3,FALSE),"")</f>
        <v>ML</v>
      </c>
      <c r="G23" s="36" t="s">
        <v>1216</v>
      </c>
      <c r="I23" s="7" t="s">
        <v>1552</v>
      </c>
      <c r="J23" s="7" t="s">
        <v>1561</v>
      </c>
      <c r="K23" s="7" t="b">
        <v>1</v>
      </c>
      <c r="L23" s="7" t="b">
        <v>1</v>
      </c>
    </row>
    <row r="24" hidden="1">
      <c r="B24" s="7" t="s">
        <v>653</v>
      </c>
      <c r="C24" s="7" t="str">
        <f>IFERROR(VLOOKUP(B24,'Master data'!$A$1:$F$1000,2,FALSE),"")</f>
        <v>P004-022</v>
      </c>
      <c r="D24" s="36" t="str">
        <f>IFERROR(VLOOKUP(B24,'Master data'!$A$1:$F$1000,6,FALSE),"")</f>
        <v>barang jadi &amp; bahan baku</v>
      </c>
      <c r="E24" s="7">
        <v>158.0</v>
      </c>
      <c r="F24" s="7" t="str">
        <f>IFERROR(VLOOKUP(B24,'Master data'!$A$1:$F$1000,3,FALSE),"")</f>
        <v>GR</v>
      </c>
      <c r="G24" s="36" t="s">
        <v>1216</v>
      </c>
      <c r="I24" s="7" t="s">
        <v>1552</v>
      </c>
      <c r="J24" s="7" t="s">
        <v>1561</v>
      </c>
      <c r="K24" s="7" t="b">
        <v>1</v>
      </c>
      <c r="L24" s="7" t="b">
        <v>1</v>
      </c>
    </row>
    <row r="25" hidden="1">
      <c r="B25" s="7" t="s">
        <v>657</v>
      </c>
      <c r="C25" s="7" t="str">
        <f>IFERROR(VLOOKUP(B25,'Master data'!$A$1:$F$1000,2,FALSE),"")</f>
        <v>P004-023</v>
      </c>
      <c r="D25" s="36" t="str">
        <f>IFERROR(VLOOKUP(B25,'Master data'!$A$1:$F$1000,6,FALSE),"")</f>
        <v>barang jadi &amp; bahan baku</v>
      </c>
      <c r="E25" s="7">
        <v>246.0</v>
      </c>
      <c r="F25" s="7" t="str">
        <f>IFERROR(VLOOKUP(B25,'Master data'!$A$1:$F$1000,3,FALSE),"")</f>
        <v>GR</v>
      </c>
      <c r="G25" s="36" t="s">
        <v>1216</v>
      </c>
      <c r="I25" s="7" t="s">
        <v>1552</v>
      </c>
      <c r="J25" s="7" t="s">
        <v>1561</v>
      </c>
      <c r="K25" s="7" t="b">
        <v>1</v>
      </c>
      <c r="L25" s="7" t="b">
        <v>1</v>
      </c>
    </row>
    <row r="26" hidden="1">
      <c r="A26" s="36">
        <v>3.0</v>
      </c>
      <c r="B26" s="7" t="s">
        <v>648</v>
      </c>
      <c r="C26" s="7" t="str">
        <f>IFERROR(VLOOKUP(B26,'Master data'!$A$1:$F$1000,2,FALSE),"")</f>
        <v>P004-020</v>
      </c>
      <c r="D26" s="36" t="str">
        <f>IFERROR(VLOOKUP(B26,'Master data'!$A$1:$F$1000,6,FALSE),"")</f>
        <v>barang jadi &amp; bahan baku</v>
      </c>
      <c r="E26" s="7">
        <v>116.0</v>
      </c>
      <c r="F26" s="7" t="str">
        <f>IFERROR(VLOOKUP(B26,'Master data'!$A$1:$F$1000,3,FALSE),"")</f>
        <v>PCS</v>
      </c>
      <c r="G26" s="36" t="s">
        <v>1164</v>
      </c>
      <c r="H26" s="36" t="s">
        <v>1512</v>
      </c>
      <c r="I26" s="7" t="s">
        <v>1552</v>
      </c>
      <c r="J26" s="7" t="s">
        <v>1561</v>
      </c>
      <c r="K26" s="7" t="b">
        <v>1</v>
      </c>
      <c r="L26" s="7" t="b">
        <v>1</v>
      </c>
    </row>
    <row r="27">
      <c r="B27" s="7" t="s">
        <v>28</v>
      </c>
      <c r="C27" s="7" t="str">
        <f>IFERROR(VLOOKUP(B27,'Master data'!$A$1:$F$1000,2,FALSE),"")</f>
        <v>B001-006</v>
      </c>
      <c r="D27" s="36" t="str">
        <f>IFERROR(VLOOKUP(B27,'Master data'!$A$1:$F$1000,6,FALSE),"")</f>
        <v>bahan baku</v>
      </c>
      <c r="E27" s="7">
        <v>18.0</v>
      </c>
      <c r="F27" s="7" t="str">
        <f>IFERROR(VLOOKUP(B27,'Master data'!$A$1:$F$1000,3,FALSE),"")</f>
        <v>GR</v>
      </c>
      <c r="G27" s="36" t="s">
        <v>1824</v>
      </c>
      <c r="H27" s="36" t="s">
        <v>1539</v>
      </c>
      <c r="I27" s="7" t="s">
        <v>1542</v>
      </c>
      <c r="J27" s="7" t="s">
        <v>61</v>
      </c>
      <c r="K27" s="16" t="b">
        <v>0</v>
      </c>
      <c r="L27" s="7" t="b">
        <v>1</v>
      </c>
    </row>
    <row r="28">
      <c r="B28" s="7" t="s">
        <v>148</v>
      </c>
      <c r="C28" s="7" t="str">
        <f>IFERROR(VLOOKUP(B28,'Master data'!$A$1:$F$1000,2,FALSE),"")</f>
        <v>B001-064</v>
      </c>
      <c r="D28" s="36" t="str">
        <f>IFERROR(VLOOKUP(B28,'Master data'!$A$1:$F$1000,6,FALSE),"")</f>
        <v>bahan baku</v>
      </c>
      <c r="E28" s="7">
        <v>46.0</v>
      </c>
      <c r="F28" s="7" t="str">
        <f>IFERROR(VLOOKUP(B28,'Master data'!$A$1:$F$1000,3,FALSE),"")</f>
        <v>GR</v>
      </c>
      <c r="G28" s="36" t="s">
        <v>1824</v>
      </c>
      <c r="I28" s="7" t="s">
        <v>1542</v>
      </c>
      <c r="J28" s="7" t="s">
        <v>61</v>
      </c>
      <c r="K28" s="16" t="b">
        <v>0</v>
      </c>
      <c r="L28" s="7" t="b">
        <v>1</v>
      </c>
    </row>
    <row r="29" hidden="1">
      <c r="B29" s="7" t="s">
        <v>33</v>
      </c>
      <c r="C29" s="7" t="str">
        <f>IFERROR(VLOOKUP(B29,'Master data'!$A$1:$F$1000,2,FALSE),"")</f>
        <v>B001-008</v>
      </c>
      <c r="D29" s="7" t="str">
        <f>IFERROR(VLOOKUP(B29,'Master data'!$A$1:$F$1000,6,FALSE),"")</f>
        <v>bahan baku</v>
      </c>
      <c r="E29" s="16">
        <f>2365/1.56</f>
        <v>1516.025641</v>
      </c>
      <c r="F29" s="7" t="str">
        <f>IFERROR(VLOOKUP(B29,'Master data'!$A$1:$F$1000,3,FALSE),"")</f>
        <v>GR</v>
      </c>
      <c r="G29" s="36" t="s">
        <v>1801</v>
      </c>
      <c r="H29" s="36" t="s">
        <v>1225</v>
      </c>
      <c r="I29" s="7" t="s">
        <v>1548</v>
      </c>
      <c r="J29" s="7" t="s">
        <v>1561</v>
      </c>
      <c r="K29" s="7" t="b">
        <v>1</v>
      </c>
      <c r="L29" s="7" t="b">
        <v>1</v>
      </c>
    </row>
    <row r="30" hidden="1">
      <c r="B30" s="7" t="s">
        <v>129</v>
      </c>
      <c r="C30" s="7" t="str">
        <f>IFERROR(VLOOKUP(B30,'Master data'!$A$1:$F$1000,2,FALSE),"")</f>
        <v>B001-056</v>
      </c>
      <c r="D30" s="7" t="str">
        <f>IFERROR(VLOOKUP(B30,'Master data'!$A$1:$F$1000,6,FALSE),"")</f>
        <v>bahan baku</v>
      </c>
      <c r="E30" s="7">
        <v>15.0</v>
      </c>
      <c r="F30" s="7" t="str">
        <f>IFERROR(VLOOKUP(B30,'Master data'!$A$1:$F$1000,3,FALSE),"")</f>
        <v>ML</v>
      </c>
      <c r="G30" s="36" t="s">
        <v>1849</v>
      </c>
      <c r="I30" s="7" t="s">
        <v>1548</v>
      </c>
      <c r="J30" s="7" t="s">
        <v>1561</v>
      </c>
      <c r="K30" s="7" t="b">
        <v>1</v>
      </c>
      <c r="L30" s="7" t="b">
        <v>1</v>
      </c>
    </row>
    <row r="31" hidden="1">
      <c r="B31" s="7" t="s">
        <v>926</v>
      </c>
      <c r="C31" s="7" t="str">
        <f>IFERROR(VLOOKUP(B31,'Master data'!$A$1:$F$1000,2,FALSE),"")</f>
        <v>B001-165</v>
      </c>
      <c r="D31" s="7" t="str">
        <f>IFERROR(VLOOKUP(B31,'Master data'!$A$1:$F$1000,6,FALSE),"")</f>
        <v>bahan baku</v>
      </c>
      <c r="E31" s="7">
        <v>135.0</v>
      </c>
      <c r="F31" s="7" t="s">
        <v>20</v>
      </c>
      <c r="G31" s="36" t="s">
        <v>1850</v>
      </c>
      <c r="I31" s="7" t="s">
        <v>1548</v>
      </c>
      <c r="J31" s="7" t="s">
        <v>1561</v>
      </c>
      <c r="K31" s="7" t="b">
        <v>1</v>
      </c>
      <c r="L31" s="7" t="b">
        <v>1</v>
      </c>
    </row>
    <row r="32" hidden="1">
      <c r="B32" s="7" t="s">
        <v>653</v>
      </c>
      <c r="C32" s="7" t="str">
        <f>IFERROR(VLOOKUP(B32,'Master data'!$A$1:$F$1000,2,FALSE),"")</f>
        <v>P004-022</v>
      </c>
      <c r="D32" s="7" t="str">
        <f>IFERROR(VLOOKUP(B32,'Master data'!$A$1:$F$1000,6,FALSE),"")</f>
        <v>barang jadi &amp; bahan baku</v>
      </c>
      <c r="E32" s="7">
        <v>76.0</v>
      </c>
      <c r="F32" s="7" t="s">
        <v>78</v>
      </c>
      <c r="G32" s="36" t="s">
        <v>1216</v>
      </c>
      <c r="H32" s="36" t="s">
        <v>1843</v>
      </c>
      <c r="I32" s="7" t="s">
        <v>1552</v>
      </c>
      <c r="J32" s="7" t="s">
        <v>1561</v>
      </c>
      <c r="K32" s="7" t="b">
        <v>1</v>
      </c>
      <c r="L32" s="7" t="b">
        <v>1</v>
      </c>
    </row>
    <row r="33" hidden="1">
      <c r="B33" s="7" t="s">
        <v>657</v>
      </c>
      <c r="C33" s="7" t="str">
        <f>IFERROR(VLOOKUP(B33,'Master data'!$A$1:$F$1000,2,FALSE),"")</f>
        <v>P004-023</v>
      </c>
      <c r="D33" s="7" t="str">
        <f>IFERROR(VLOOKUP(B33,'Master data'!$A$1:$F$1000,6,FALSE),"")</f>
        <v>barang jadi &amp; bahan baku</v>
      </c>
      <c r="E33" s="7">
        <v>415.0</v>
      </c>
      <c r="F33" s="7" t="str">
        <f>IFERROR(VLOOKUP(B33,'Master data'!$A$1:$F$1000,3,FALSE),"")</f>
        <v>GR</v>
      </c>
      <c r="G33" s="36" t="s">
        <v>1216</v>
      </c>
      <c r="I33" s="7" t="s">
        <v>1552</v>
      </c>
      <c r="J33" s="7" t="s">
        <v>1561</v>
      </c>
      <c r="K33" s="7" t="b">
        <v>1</v>
      </c>
      <c r="L33" s="7" t="b">
        <v>1</v>
      </c>
    </row>
    <row r="34" hidden="1">
      <c r="B34" s="7" t="s">
        <v>660</v>
      </c>
      <c r="C34" s="7" t="str">
        <f>IFERROR(VLOOKUP(B34,'Master data'!$A$1:$F$1000,2,FALSE),"")</f>
        <v>P004-024</v>
      </c>
      <c r="D34" s="7" t="str">
        <f>IFERROR(VLOOKUP(B34,'Master data'!$A$1:$F$1000,6,FALSE),"")</f>
        <v>barang jadi &amp; bahan baku</v>
      </c>
      <c r="E34" s="7">
        <v>1018.0</v>
      </c>
      <c r="F34" s="7" t="str">
        <f>IFERROR(VLOOKUP(B34,'Master data'!$A$1:$F$1000,3,FALSE),"")</f>
        <v>ML</v>
      </c>
      <c r="G34" s="36" t="s">
        <v>1216</v>
      </c>
      <c r="I34" s="7" t="s">
        <v>1552</v>
      </c>
      <c r="J34" s="7" t="s">
        <v>1561</v>
      </c>
      <c r="K34" s="7" t="b">
        <v>1</v>
      </c>
      <c r="L34" s="7" t="b">
        <v>1</v>
      </c>
    </row>
    <row r="35" hidden="1">
      <c r="B35" s="7" t="s">
        <v>664</v>
      </c>
      <c r="C35" s="7" t="str">
        <f>IFERROR(VLOOKUP(B35,'Master data'!$A$1:$F$1000,2,FALSE),"")</f>
        <v>P004-025</v>
      </c>
      <c r="D35" s="7" t="str">
        <f>IFERROR(VLOOKUP(B35,'Master data'!$A$1:$F$1000,6,FALSE),"")</f>
        <v>barang jadi &amp; bahan baku</v>
      </c>
      <c r="E35" s="7">
        <v>608.0</v>
      </c>
      <c r="F35" s="7" t="s">
        <v>78</v>
      </c>
      <c r="G35" s="36" t="s">
        <v>1216</v>
      </c>
      <c r="I35" s="7" t="s">
        <v>1552</v>
      </c>
      <c r="J35" s="7" t="s">
        <v>1561</v>
      </c>
      <c r="K35" s="7" t="b">
        <v>1</v>
      </c>
      <c r="L35" s="7" t="b">
        <v>1</v>
      </c>
    </row>
    <row r="36">
      <c r="B36" s="7" t="s">
        <v>211</v>
      </c>
      <c r="C36" s="7" t="str">
        <f>IFERROR(VLOOKUP(B36,'Master data'!$A$1:$F$1000,2,FALSE),"")</f>
        <v>B001-088</v>
      </c>
      <c r="D36" s="7" t="str">
        <f>IFERROR(VLOOKUP(B36,'Master data'!$A$1:$F$1000,6,FALSE),"")</f>
        <v>bahan baku</v>
      </c>
      <c r="E36" s="7">
        <v>2195.0</v>
      </c>
      <c r="F36" s="7" t="str">
        <f>IFERROR(VLOOKUP(B36,'Master data'!$A$1:$F$1000,3,FALSE),"")</f>
        <v>GR</v>
      </c>
      <c r="G36" s="36" t="s">
        <v>1475</v>
      </c>
      <c r="H36" s="36" t="s">
        <v>1290</v>
      </c>
      <c r="I36" s="7" t="s">
        <v>1556</v>
      </c>
      <c r="J36" s="7" t="s">
        <v>61</v>
      </c>
      <c r="K36" s="16" t="b">
        <v>0</v>
      </c>
      <c r="L36" s="7" t="b">
        <v>1</v>
      </c>
    </row>
    <row r="37">
      <c r="B37" s="7" t="s">
        <v>570</v>
      </c>
      <c r="C37" s="7" t="str">
        <f>IFERROR(VLOOKUP(B37,'Master data'!$A$1:$F$1000,2,FALSE),"")</f>
        <v>B001-054</v>
      </c>
      <c r="D37" s="7" t="str">
        <f>IFERROR(VLOOKUP(B37,'Master data'!$A$1:$F$1000,6,FALSE),"")</f>
        <v>bahan baku</v>
      </c>
      <c r="E37" s="7">
        <v>60000.0</v>
      </c>
      <c r="F37" s="7" t="str">
        <f>IFERROR(VLOOKUP(B37,'Master data'!$A$1:$F$1000,3,FALSE),"")</f>
        <v>GR</v>
      </c>
      <c r="G37" s="36" t="s">
        <v>1851</v>
      </c>
      <c r="H37" s="36" t="s">
        <v>1814</v>
      </c>
      <c r="I37" s="7" t="s">
        <v>1556</v>
      </c>
      <c r="J37" s="7" t="s">
        <v>61</v>
      </c>
      <c r="K37" s="16" t="b">
        <v>0</v>
      </c>
      <c r="L37" s="7" t="b">
        <v>0</v>
      </c>
    </row>
    <row r="38" hidden="1">
      <c r="A38" s="36">
        <v>4.0</v>
      </c>
      <c r="B38" s="7" t="s">
        <v>657</v>
      </c>
      <c r="C38" s="7" t="str">
        <f>IFERROR(VLOOKUP(B38,'Master data'!$A$1:$F$1000,2,FALSE),"")</f>
        <v>P004-023</v>
      </c>
      <c r="D38" s="7" t="str">
        <f>IFERROR(VLOOKUP(B38,'Master data'!$A$1:$F$1000,6,FALSE),"")</f>
        <v>barang jadi &amp; bahan baku</v>
      </c>
      <c r="E38" s="7">
        <v>483.0</v>
      </c>
      <c r="F38" s="7" t="s">
        <v>78</v>
      </c>
      <c r="G38" s="36" t="s">
        <v>1216</v>
      </c>
      <c r="H38" s="36" t="s">
        <v>1843</v>
      </c>
      <c r="I38" s="7" t="s">
        <v>1552</v>
      </c>
      <c r="J38" s="7" t="s">
        <v>1561</v>
      </c>
      <c r="K38" s="7" t="b">
        <v>1</v>
      </c>
      <c r="L38" s="7" t="b">
        <v>1</v>
      </c>
    </row>
    <row r="39" hidden="1">
      <c r="B39" s="7" t="s">
        <v>660</v>
      </c>
      <c r="C39" s="7" t="str">
        <f>IFERROR(VLOOKUP(B39,'Master data'!$A$1:$F$1000,2,FALSE),"")</f>
        <v>P004-024</v>
      </c>
      <c r="D39" s="7" t="str">
        <f>IFERROR(VLOOKUP(B39,'Master data'!$A$1:$F$1000,6,FALSE),"")</f>
        <v>barang jadi &amp; bahan baku</v>
      </c>
      <c r="E39" s="7">
        <v>200.0</v>
      </c>
      <c r="F39" s="7" t="str">
        <f>IFERROR(VLOOKUP(B39,'Master data'!$A$1:$F$1000,3,FALSE),"")</f>
        <v>ML</v>
      </c>
      <c r="G39" s="36" t="s">
        <v>1216</v>
      </c>
      <c r="I39" s="7" t="s">
        <v>1552</v>
      </c>
      <c r="J39" s="7" t="s">
        <v>1561</v>
      </c>
      <c r="K39" s="7" t="b">
        <v>1</v>
      </c>
      <c r="L39" s="7" t="b">
        <v>1</v>
      </c>
    </row>
    <row r="40" hidden="1">
      <c r="B40" s="7" t="s">
        <v>664</v>
      </c>
      <c r="C40" s="7" t="str">
        <f>IFERROR(VLOOKUP(B40,'Master data'!$A$1:$F$1000,2,FALSE),"")</f>
        <v>P004-025</v>
      </c>
      <c r="D40" s="7" t="str">
        <f>IFERROR(VLOOKUP(B40,'Master data'!$A$1:$F$1000,6,FALSE),"")</f>
        <v>barang jadi &amp; bahan baku</v>
      </c>
      <c r="E40" s="7">
        <v>200.0</v>
      </c>
      <c r="F40" s="7" t="s">
        <v>78</v>
      </c>
      <c r="G40" s="36" t="s">
        <v>1216</v>
      </c>
      <c r="I40" s="7" t="s">
        <v>1552</v>
      </c>
      <c r="J40" s="7" t="s">
        <v>1561</v>
      </c>
      <c r="K40" s="7" t="b">
        <v>1</v>
      </c>
      <c r="L40" s="7" t="b">
        <v>1</v>
      </c>
    </row>
    <row r="41" hidden="1">
      <c r="A41" s="36">
        <v>5.0</v>
      </c>
      <c r="B41" s="7" t="s">
        <v>28</v>
      </c>
      <c r="C41" s="7" t="str">
        <f>IFERROR(VLOOKUP(B41,'Master data'!$A$1:$F$1000,2,FALSE),"")</f>
        <v>B001-006</v>
      </c>
      <c r="D41" s="7" t="str">
        <f>IFERROR(VLOOKUP(B41,'Master data'!$A$1:$F$1000,6,FALSE),"")</f>
        <v>bahan baku</v>
      </c>
      <c r="E41" s="7">
        <v>42.0</v>
      </c>
      <c r="F41" s="7" t="str">
        <f>IFERROR(VLOOKUP(B41,'Master data'!$A$1:$F$1000,3,FALSE),"")</f>
        <v>GR</v>
      </c>
      <c r="G41" s="36" t="s">
        <v>1370</v>
      </c>
      <c r="H41" s="36" t="s">
        <v>1539</v>
      </c>
      <c r="I41" s="7" t="s">
        <v>1542</v>
      </c>
      <c r="J41" s="7" t="s">
        <v>61</v>
      </c>
      <c r="K41" s="7" t="b">
        <v>1</v>
      </c>
      <c r="L41" s="7" t="b">
        <v>1</v>
      </c>
    </row>
    <row r="42" hidden="1">
      <c r="B42" s="7" t="s">
        <v>148</v>
      </c>
      <c r="C42" s="7" t="str">
        <f>IFERROR(VLOOKUP(B42,'Master data'!$A$1:$F$1000,2,FALSE),"")</f>
        <v>B001-064</v>
      </c>
      <c r="D42" s="7" t="str">
        <f>IFERROR(VLOOKUP(B42,'Master data'!$A$1:$F$1000,6,FALSE),"")</f>
        <v>bahan baku</v>
      </c>
      <c r="E42" s="7">
        <v>53.0</v>
      </c>
      <c r="F42" s="7" t="str">
        <f>IFERROR(VLOOKUP(B42,'Master data'!$A$1:$F$1000,3,FALSE),"")</f>
        <v>GR</v>
      </c>
      <c r="G42" s="36" t="s">
        <v>1370</v>
      </c>
      <c r="I42" s="7" t="s">
        <v>1542</v>
      </c>
      <c r="J42" s="7" t="s">
        <v>61</v>
      </c>
      <c r="K42" s="7" t="b">
        <v>1</v>
      </c>
      <c r="L42" s="7" t="b">
        <v>1</v>
      </c>
    </row>
    <row r="43" hidden="1">
      <c r="B43" s="7" t="s">
        <v>664</v>
      </c>
      <c r="C43" s="7" t="str">
        <f>IFERROR(VLOOKUP(B43,'Master data'!$A$1:$F$1000,2,FALSE),"")</f>
        <v>P004-025</v>
      </c>
      <c r="D43" s="7" t="str">
        <f>IFERROR(VLOOKUP(B43,'Master data'!$A$1:$F$1000,6,FALSE),"")</f>
        <v>barang jadi &amp; bahan baku</v>
      </c>
      <c r="E43" s="7">
        <v>619.0</v>
      </c>
      <c r="F43" s="7" t="s">
        <v>78</v>
      </c>
      <c r="G43" s="36" t="s">
        <v>1216</v>
      </c>
      <c r="H43" s="36" t="s">
        <v>1567</v>
      </c>
      <c r="I43" s="7" t="s">
        <v>1552</v>
      </c>
      <c r="J43" s="7" t="s">
        <v>1561</v>
      </c>
      <c r="K43" s="7" t="b">
        <v>1</v>
      </c>
      <c r="L43" s="7" t="b">
        <v>1</v>
      </c>
    </row>
    <row r="44" hidden="1">
      <c r="B44" s="7" t="s">
        <v>657</v>
      </c>
      <c r="C44" s="7" t="str">
        <f>IFERROR(VLOOKUP(B44,'Master data'!$A$1:$F$1000,2,FALSE),"")</f>
        <v>P004-023</v>
      </c>
      <c r="D44" s="7" t="str">
        <f>IFERROR(VLOOKUP(B44,'Master data'!$A$1:$F$1000,6,FALSE),"")</f>
        <v>barang jadi &amp; bahan baku</v>
      </c>
      <c r="E44" s="7">
        <v>219.0</v>
      </c>
      <c r="F44" s="7" t="s">
        <v>78</v>
      </c>
      <c r="G44" s="36" t="s">
        <v>1216</v>
      </c>
      <c r="I44" s="7" t="s">
        <v>1552</v>
      </c>
      <c r="J44" s="7" t="s">
        <v>1561</v>
      </c>
      <c r="K44" s="7" t="b">
        <v>1</v>
      </c>
      <c r="L44" s="7" t="b">
        <v>1</v>
      </c>
    </row>
    <row r="45" hidden="1">
      <c r="B45" s="7" t="s">
        <v>653</v>
      </c>
      <c r="C45" s="7" t="str">
        <f>IFERROR(VLOOKUP(B45,'Master data'!$A$1:$F$1000,2,FALSE),"")</f>
        <v>P004-022</v>
      </c>
      <c r="D45" s="7" t="str">
        <f>IFERROR(VLOOKUP(B45,'Master data'!$A$1:$F$1000,6,FALSE),"")</f>
        <v>barang jadi &amp; bahan baku</v>
      </c>
      <c r="E45" s="7">
        <v>225.0</v>
      </c>
      <c r="F45" s="7" t="s">
        <v>78</v>
      </c>
      <c r="G45" s="36" t="s">
        <v>1216</v>
      </c>
      <c r="I45" s="7" t="s">
        <v>1552</v>
      </c>
      <c r="J45" s="7" t="s">
        <v>1561</v>
      </c>
      <c r="K45" s="7" t="b">
        <v>1</v>
      </c>
      <c r="L45" s="7" t="b">
        <v>1</v>
      </c>
    </row>
    <row r="46">
      <c r="B46" s="7" t="s">
        <v>926</v>
      </c>
      <c r="C46" s="7" t="str">
        <f>IFERROR(VLOOKUP(B46,'Master data'!$A$1:$F$1000,2,FALSE),"")</f>
        <v>B001-165</v>
      </c>
      <c r="D46" s="7" t="str">
        <f>IFERROR(VLOOKUP(B46,'Master data'!$A$1:$F$1000,6,FALSE),"")</f>
        <v>bahan baku</v>
      </c>
      <c r="E46" s="7">
        <v>60.0</v>
      </c>
      <c r="F46" s="7" t="s">
        <v>20</v>
      </c>
      <c r="G46" s="36" t="s">
        <v>1525</v>
      </c>
      <c r="H46" s="36" t="s">
        <v>1225</v>
      </c>
      <c r="I46" s="7" t="s">
        <v>1548</v>
      </c>
      <c r="J46" s="7" t="s">
        <v>61</v>
      </c>
      <c r="K46" s="16" t="b">
        <v>0</v>
      </c>
      <c r="L46" s="7" t="b">
        <v>1</v>
      </c>
    </row>
    <row r="47" hidden="1">
      <c r="B47" s="7" t="s">
        <v>33</v>
      </c>
      <c r="C47" s="7" t="str">
        <f>IFERROR(VLOOKUP(B47,'Master data'!$A$1:$F$1000,2,FALSE),"")</f>
        <v>B001-008</v>
      </c>
      <c r="D47" s="7" t="str">
        <f>IFERROR(VLOOKUP(B47,'Master data'!$A$1:$F$1000,6,FALSE),"")</f>
        <v>bahan baku</v>
      </c>
      <c r="E47" s="7">
        <v>1721.0</v>
      </c>
      <c r="F47" s="7" t="str">
        <f>IFERROR(VLOOKUP(B47,'Master data'!$A$1:$F$1000,3,FALSE),"")</f>
        <v>GR</v>
      </c>
      <c r="G47" s="36" t="s">
        <v>1801</v>
      </c>
      <c r="I47" s="7" t="s">
        <v>1548</v>
      </c>
      <c r="J47" s="7" t="s">
        <v>1561</v>
      </c>
      <c r="K47" s="7" t="b">
        <v>1</v>
      </c>
      <c r="L47" s="7" t="b">
        <v>1</v>
      </c>
    </row>
    <row r="48" hidden="1">
      <c r="B48" s="7" t="s">
        <v>129</v>
      </c>
      <c r="C48" s="7" t="str">
        <f>IFERROR(VLOOKUP(B48,'Master data'!$A$1:$F$1000,2,FALSE),"")</f>
        <v>B001-056</v>
      </c>
      <c r="D48" s="7" t="str">
        <f>IFERROR(VLOOKUP(B48,'Master data'!$A$1:$F$1000,6,FALSE),"")</f>
        <v>bahan baku</v>
      </c>
      <c r="E48" s="7">
        <v>17.0</v>
      </c>
      <c r="F48" s="7" t="str">
        <f>IFERROR(VLOOKUP(B48,'Master data'!$A$1:$F$1000,3,FALSE),"")</f>
        <v>ML</v>
      </c>
      <c r="G48" s="36" t="s">
        <v>1801</v>
      </c>
      <c r="I48" s="7" t="s">
        <v>1548</v>
      </c>
      <c r="J48" s="7" t="s">
        <v>1561</v>
      </c>
      <c r="K48" s="7" t="b">
        <v>1</v>
      </c>
      <c r="L48" s="7" t="b">
        <v>1</v>
      </c>
    </row>
    <row r="49" hidden="1">
      <c r="B49" s="7" t="s">
        <v>111</v>
      </c>
      <c r="C49" s="7" t="str">
        <f>IFERROR(VLOOKUP(B49,'Master data'!$A$1:$F$1000,2,FALSE),"")</f>
        <v>B001-047</v>
      </c>
      <c r="D49" s="7" t="str">
        <f>IFERROR(VLOOKUP(B49,'Master data'!$A$1:$F$1000,6,FALSE),"")</f>
        <v>bahan baku</v>
      </c>
      <c r="E49" s="7">
        <v>393.0</v>
      </c>
      <c r="F49" s="7" t="str">
        <f>IFERROR(VLOOKUP(B49,'Master data'!$A$1:$F$1000,3,FALSE),"")</f>
        <v>GR</v>
      </c>
      <c r="G49" s="36" t="s">
        <v>1455</v>
      </c>
      <c r="H49" s="36" t="s">
        <v>1512</v>
      </c>
      <c r="I49" s="7" t="s">
        <v>1552</v>
      </c>
      <c r="J49" s="7" t="s">
        <v>1561</v>
      </c>
      <c r="K49" s="7" t="b">
        <v>1</v>
      </c>
      <c r="L49" s="7" t="b">
        <v>1</v>
      </c>
    </row>
    <row r="50" hidden="1">
      <c r="A50" s="36">
        <v>6.0</v>
      </c>
      <c r="B50" s="7" t="s">
        <v>629</v>
      </c>
      <c r="C50" s="7" t="str">
        <f>IFERROR(VLOOKUP(B50,'Master data'!$A$1:$F$1000,2,FALSE),"")</f>
        <v>P004-012</v>
      </c>
      <c r="D50" s="7" t="str">
        <f>IFERROR(VLOOKUP(B50,'Master data'!$A$1:$F$1000,6,FALSE),"")</f>
        <v>barang jadi &amp; bahan baku</v>
      </c>
      <c r="E50" s="7">
        <v>66.0</v>
      </c>
      <c r="F50" s="7" t="str">
        <f>IFERROR(VLOOKUP(B50,'Master data'!$A$1:$F$1000,3,FALSE),"")</f>
        <v>GR</v>
      </c>
      <c r="G50" s="36" t="s">
        <v>1164</v>
      </c>
      <c r="H50" s="36" t="s">
        <v>1384</v>
      </c>
      <c r="I50" s="7" t="s">
        <v>1542</v>
      </c>
      <c r="J50" s="7" t="s">
        <v>1561</v>
      </c>
      <c r="K50" s="7" t="b">
        <v>1</v>
      </c>
      <c r="L50" s="7" t="b">
        <v>1</v>
      </c>
    </row>
    <row r="51">
      <c r="B51" s="7" t="s">
        <v>148</v>
      </c>
      <c r="C51" s="7" t="str">
        <f>IFERROR(VLOOKUP(B51,'Master data'!$A$1:$F$1000,2,FALSE),"")</f>
        <v>B001-064</v>
      </c>
      <c r="D51" s="7" t="str">
        <f>IFERROR(VLOOKUP(B51,'Master data'!$A$1:$F$1000,6,FALSE),"")</f>
        <v>bahan baku</v>
      </c>
      <c r="E51" s="7">
        <v>144.0</v>
      </c>
      <c r="F51" s="7" t="str">
        <f>IFERROR(VLOOKUP(B51,'Master data'!$A$1:$F$1000,3,FALSE),"")</f>
        <v>GR</v>
      </c>
      <c r="G51" s="36" t="s">
        <v>1824</v>
      </c>
      <c r="I51" s="7" t="s">
        <v>1542</v>
      </c>
      <c r="J51" s="7" t="s">
        <v>61</v>
      </c>
      <c r="K51" s="16" t="b">
        <v>0</v>
      </c>
      <c r="L51" s="7" t="b">
        <v>1</v>
      </c>
    </row>
    <row r="52" hidden="1">
      <c r="B52" s="7" t="s">
        <v>298</v>
      </c>
      <c r="C52" s="7" t="str">
        <f>IFERROR(VLOOKUP(B52,'Master data'!$A$1:$F$1000,2,FALSE),"")</f>
        <v>B001-125</v>
      </c>
      <c r="D52" s="7" t="str">
        <f>IFERROR(VLOOKUP(B52,'Master data'!$A$1:$F$1000,6,FALSE),"")</f>
        <v>bahan baku</v>
      </c>
      <c r="E52" s="7">
        <v>86.0</v>
      </c>
      <c r="F52" s="7" t="str">
        <f>IFERROR(VLOOKUP(B52,'Master data'!$A$1:$F$1000,3,FALSE),"")</f>
        <v>GR</v>
      </c>
      <c r="G52" s="36" t="s">
        <v>1164</v>
      </c>
      <c r="I52" s="7" t="s">
        <v>1542</v>
      </c>
      <c r="J52" s="7" t="s">
        <v>1561</v>
      </c>
      <c r="K52" s="7" t="b">
        <v>1</v>
      </c>
      <c r="L52" s="7" t="b">
        <v>1</v>
      </c>
    </row>
    <row r="53" hidden="1">
      <c r="B53" s="7" t="s">
        <v>698</v>
      </c>
      <c r="C53" s="7" t="str">
        <f>IFERROR(VLOOKUP(B53,'Master data'!$A$1:$F$1000,2,FALSE),"")</f>
        <v>P004-038</v>
      </c>
      <c r="D53" s="7" t="str">
        <f>IFERROR(VLOOKUP(B53,'Master data'!$A$1:$F$1000,6,FALSE),"")</f>
        <v>barang jadi &amp; bahan baku</v>
      </c>
      <c r="E53" s="7">
        <v>1.0</v>
      </c>
      <c r="F53" s="7" t="str">
        <f>IFERROR(VLOOKUP(B53,'Master data'!$A$1:$F$1000,3,FALSE),"")</f>
        <v>PRS</v>
      </c>
      <c r="G53" s="36" t="s">
        <v>1333</v>
      </c>
      <c r="I53" s="7" t="s">
        <v>1542</v>
      </c>
      <c r="J53" s="7" t="s">
        <v>61</v>
      </c>
      <c r="K53" s="7" t="b">
        <v>1</v>
      </c>
      <c r="L53" s="7" t="b">
        <v>1</v>
      </c>
    </row>
    <row r="54" hidden="1">
      <c r="B54" s="7" t="s">
        <v>657</v>
      </c>
      <c r="C54" s="7" t="str">
        <f>IFERROR(VLOOKUP(B54,'Master data'!$A$1:$F$1000,2,FALSE),"")</f>
        <v>P004-023</v>
      </c>
      <c r="D54" s="7" t="str">
        <f>IFERROR(VLOOKUP(B54,'Master data'!$A$1:$F$1000,6,FALSE),"")</f>
        <v>barang jadi &amp; bahan baku</v>
      </c>
      <c r="E54" s="7">
        <v>355.0</v>
      </c>
      <c r="F54" s="7" t="s">
        <v>78</v>
      </c>
      <c r="G54" s="36" t="s">
        <v>1216</v>
      </c>
      <c r="H54" s="36" t="s">
        <v>1567</v>
      </c>
      <c r="I54" s="7" t="s">
        <v>1552</v>
      </c>
      <c r="J54" s="7" t="s">
        <v>1561</v>
      </c>
      <c r="K54" s="7" t="b">
        <v>1</v>
      </c>
      <c r="L54" s="7" t="b">
        <v>1</v>
      </c>
    </row>
    <row r="55" hidden="1">
      <c r="B55" s="7" t="s">
        <v>653</v>
      </c>
      <c r="C55" s="7" t="str">
        <f>IFERROR(VLOOKUP(B55,'Master data'!$A$1:$F$1000,2,FALSE),"")</f>
        <v>P004-022</v>
      </c>
      <c r="D55" s="7" t="str">
        <f>IFERROR(VLOOKUP(B55,'Master data'!$A$1:$F$1000,6,FALSE),"")</f>
        <v>barang jadi &amp; bahan baku</v>
      </c>
      <c r="E55" s="7">
        <v>208.0</v>
      </c>
      <c r="F55" s="7" t="s">
        <v>78</v>
      </c>
      <c r="G55" s="36" t="s">
        <v>1216</v>
      </c>
      <c r="I55" s="7" t="s">
        <v>1552</v>
      </c>
      <c r="J55" s="7" t="s">
        <v>1561</v>
      </c>
      <c r="K55" s="7" t="b">
        <v>1</v>
      </c>
      <c r="L55" s="7" t="b">
        <v>1</v>
      </c>
    </row>
    <row r="56" hidden="1">
      <c r="B56" s="7" t="s">
        <v>664</v>
      </c>
      <c r="C56" s="7" t="str">
        <f>IFERROR(VLOOKUP(B56,'Master data'!$A$1:$F$1000,2,FALSE),"")</f>
        <v>P004-025</v>
      </c>
      <c r="D56" s="7" t="str">
        <f>IFERROR(VLOOKUP(B56,'Master data'!$A$1:$F$1000,6,FALSE),"")</f>
        <v>barang jadi &amp; bahan baku</v>
      </c>
      <c r="E56" s="7">
        <v>706.0</v>
      </c>
      <c r="F56" s="7" t="s">
        <v>78</v>
      </c>
      <c r="G56" s="36" t="s">
        <v>1216</v>
      </c>
      <c r="I56" s="7" t="s">
        <v>1552</v>
      </c>
      <c r="J56" s="7" t="s">
        <v>1561</v>
      </c>
      <c r="K56" s="7" t="b">
        <v>1</v>
      </c>
      <c r="L56" s="7" t="b">
        <v>1</v>
      </c>
    </row>
    <row r="57" hidden="1">
      <c r="B57" s="7" t="s">
        <v>660</v>
      </c>
      <c r="C57" s="7" t="str">
        <f>IFERROR(VLOOKUP(B57,'Master data'!$A$1:$F$1000,2,FALSE),"")</f>
        <v>P004-024</v>
      </c>
      <c r="D57" s="7" t="str">
        <f>IFERROR(VLOOKUP(B57,'Master data'!$A$1:$F$1000,6,FALSE),"")</f>
        <v>barang jadi &amp; bahan baku</v>
      </c>
      <c r="E57" s="7">
        <v>763.0</v>
      </c>
      <c r="F57" s="7" t="str">
        <f>IFERROR(VLOOKUP(B57,'Master data'!$A$1:$F$1000,3,FALSE),"")</f>
        <v>ML</v>
      </c>
      <c r="G57" s="36" t="s">
        <v>1216</v>
      </c>
      <c r="I57" s="7" t="s">
        <v>1552</v>
      </c>
      <c r="J57" s="7" t="s">
        <v>1561</v>
      </c>
      <c r="K57" s="7" t="b">
        <v>1</v>
      </c>
      <c r="L57" s="7" t="b">
        <v>1</v>
      </c>
    </row>
    <row r="58">
      <c r="B58" s="7" t="s">
        <v>211</v>
      </c>
      <c r="C58" s="7" t="str">
        <f>IFERROR(VLOOKUP(B58,'Master data'!$A$1:$F$1000,2,FALSE),"")</f>
        <v>B001-088</v>
      </c>
      <c r="D58" s="7" t="str">
        <f>IFERROR(VLOOKUP(B58,'Master data'!$A$1:$F$1000,6,FALSE),"")</f>
        <v>bahan baku</v>
      </c>
      <c r="E58" s="16">
        <f>1340+1595</f>
        <v>2935</v>
      </c>
      <c r="F58" s="7" t="str">
        <f>IFERROR(VLOOKUP(B58,'Master data'!$A$1:$F$1000,3,FALSE),"")</f>
        <v>GR</v>
      </c>
      <c r="G58" s="36" t="s">
        <v>1475</v>
      </c>
      <c r="H58" s="36" t="s">
        <v>1290</v>
      </c>
      <c r="I58" s="7" t="s">
        <v>1556</v>
      </c>
      <c r="J58" s="7" t="s">
        <v>61</v>
      </c>
      <c r="K58" s="16" t="b">
        <v>0</v>
      </c>
      <c r="L58" s="7" t="b">
        <v>1</v>
      </c>
    </row>
    <row r="59" hidden="1">
      <c r="A59" s="36">
        <v>7.0</v>
      </c>
      <c r="B59" s="7" t="s">
        <v>33</v>
      </c>
      <c r="C59" s="7" t="str">
        <f>IFERROR(VLOOKUP(B59,'Master data'!$A$1:$F$1000,2,FALSE),"")</f>
        <v>B001-008</v>
      </c>
      <c r="D59" s="7" t="str">
        <f>IFERROR(VLOOKUP(B59,'Master data'!$A$1:$F$1000,6,FALSE),"")</f>
        <v>bahan baku</v>
      </c>
      <c r="E59" s="7">
        <v>1411.0</v>
      </c>
      <c r="F59" s="7" t="str">
        <f>IFERROR(VLOOKUP(B59,'Master data'!$A$1:$F$1000,3,FALSE),"")</f>
        <v>GR</v>
      </c>
      <c r="G59" s="36" t="s">
        <v>1827</v>
      </c>
      <c r="H59" s="36" t="s">
        <v>1225</v>
      </c>
      <c r="I59" s="7" t="s">
        <v>1548</v>
      </c>
      <c r="J59" s="7" t="s">
        <v>1561</v>
      </c>
      <c r="K59" s="7" t="b">
        <v>1</v>
      </c>
      <c r="L59" s="7" t="b">
        <v>1</v>
      </c>
    </row>
    <row r="60" hidden="1">
      <c r="B60" s="7" t="s">
        <v>129</v>
      </c>
      <c r="C60" s="7" t="str">
        <f>IFERROR(VLOOKUP(B60,'Master data'!$A$1:$F$1000,2,FALSE),"")</f>
        <v>B001-056</v>
      </c>
      <c r="D60" s="7" t="str">
        <f>IFERROR(VLOOKUP(B60,'Master data'!$A$1:$F$1000,6,FALSE),"")</f>
        <v>bahan baku</v>
      </c>
      <c r="E60" s="7">
        <v>14.0</v>
      </c>
      <c r="F60" s="7" t="str">
        <f>IFERROR(VLOOKUP(B60,'Master data'!$A$1:$F$1000,3,FALSE),"")</f>
        <v>ML</v>
      </c>
      <c r="G60" s="36" t="s">
        <v>1827</v>
      </c>
      <c r="I60" s="7" t="s">
        <v>1548</v>
      </c>
      <c r="J60" s="7" t="s">
        <v>1561</v>
      </c>
      <c r="K60" s="7" t="b">
        <v>1</v>
      </c>
      <c r="L60" s="7" t="b">
        <v>1</v>
      </c>
    </row>
    <row r="61" hidden="1">
      <c r="B61" s="7" t="s">
        <v>640</v>
      </c>
      <c r="C61" s="7" t="str">
        <f>IFERROR(VLOOKUP(B61,'Master data'!$A$1:$F$1000,2,FALSE),"")</f>
        <v>P004-016</v>
      </c>
      <c r="D61" s="7" t="str">
        <f>IFERROR(VLOOKUP(B61,'Master data'!$A$1:$F$1000,6,FALSE),"")</f>
        <v>barang jadi &amp; bahan baku</v>
      </c>
      <c r="E61" s="7">
        <v>21.0</v>
      </c>
      <c r="F61" s="7" t="s">
        <v>20</v>
      </c>
      <c r="G61" s="36" t="s">
        <v>1245</v>
      </c>
      <c r="H61" s="36" t="s">
        <v>1523</v>
      </c>
      <c r="I61" s="7" t="s">
        <v>1542</v>
      </c>
      <c r="J61" s="7" t="s">
        <v>1561</v>
      </c>
      <c r="K61" s="7" t="b">
        <v>1</v>
      </c>
      <c r="L61" s="16" t="b">
        <v>0</v>
      </c>
    </row>
    <row r="62">
      <c r="B62" s="7" t="s">
        <v>28</v>
      </c>
      <c r="C62" s="7" t="str">
        <f>IFERROR(VLOOKUP(B62,'Master data'!$A$1:$F$1000,2,FALSE),"")</f>
        <v>B001-006</v>
      </c>
      <c r="D62" s="7" t="str">
        <f>IFERROR(VLOOKUP(B62,'Master data'!$A$1:$F$1000,6,FALSE),"")</f>
        <v>bahan baku</v>
      </c>
      <c r="E62" s="7">
        <v>18.0</v>
      </c>
      <c r="F62" s="7" t="str">
        <f>IFERROR(VLOOKUP(B62,'Master data'!$A$1:$F$1000,3,FALSE),"")</f>
        <v>GR</v>
      </c>
      <c r="G62" s="36" t="s">
        <v>1370</v>
      </c>
      <c r="I62" s="7" t="s">
        <v>1542</v>
      </c>
      <c r="J62" s="7" t="s">
        <v>61</v>
      </c>
      <c r="K62" s="7" t="b">
        <v>0</v>
      </c>
      <c r="L62" s="16" t="b">
        <v>0</v>
      </c>
    </row>
    <row r="63" hidden="1">
      <c r="B63" s="7" t="s">
        <v>148</v>
      </c>
      <c r="C63" s="7" t="str">
        <f>IFERROR(VLOOKUP(B63,'Master data'!$A$1:$F$1000,2,FALSE),"")</f>
        <v>B001-064</v>
      </c>
      <c r="D63" s="7" t="str">
        <f>IFERROR(VLOOKUP(B63,'Master data'!$A$1:$F$1000,6,FALSE),"")</f>
        <v>bahan baku</v>
      </c>
      <c r="E63" s="7">
        <v>754.0</v>
      </c>
      <c r="F63" s="7" t="str">
        <f>IFERROR(VLOOKUP(B63,'Master data'!$A$1:$F$1000,3,FALSE),"")</f>
        <v>GR</v>
      </c>
      <c r="G63" s="36" t="s">
        <v>1224</v>
      </c>
      <c r="I63" s="7" t="s">
        <v>1542</v>
      </c>
      <c r="J63" s="7" t="s">
        <v>1561</v>
      </c>
      <c r="K63" s="7" t="b">
        <v>1</v>
      </c>
      <c r="L63" s="16" t="b">
        <v>0</v>
      </c>
    </row>
    <row r="64" hidden="1">
      <c r="B64" s="7" t="s">
        <v>653</v>
      </c>
      <c r="C64" s="7" t="str">
        <f>IFERROR(VLOOKUP(B64,'Master data'!$A$1:$F$1000,2,FALSE),"")</f>
        <v>P004-022</v>
      </c>
      <c r="D64" s="7" t="str">
        <f>IFERROR(VLOOKUP(B64,'Master data'!$A$1:$F$1000,6,FALSE),"")</f>
        <v>barang jadi &amp; bahan baku</v>
      </c>
      <c r="E64" s="7">
        <v>336.0</v>
      </c>
      <c r="F64" s="7" t="s">
        <v>78</v>
      </c>
      <c r="G64" s="36" t="s">
        <v>1216</v>
      </c>
      <c r="H64" s="36" t="s">
        <v>1843</v>
      </c>
      <c r="I64" s="7" t="s">
        <v>1552</v>
      </c>
      <c r="J64" s="7" t="s">
        <v>1561</v>
      </c>
      <c r="K64" s="7" t="b">
        <v>1</v>
      </c>
      <c r="L64" s="16" t="b">
        <v>0</v>
      </c>
    </row>
    <row r="65" hidden="1">
      <c r="B65" s="7" t="s">
        <v>657</v>
      </c>
      <c r="C65" s="7" t="str">
        <f>IFERROR(VLOOKUP(B65,'Master data'!$A$1:$F$1000,2,FALSE),"")</f>
        <v>P004-023</v>
      </c>
      <c r="D65" s="7" t="str">
        <f>IFERROR(VLOOKUP(B65,'Master data'!$A$1:$F$1000,6,FALSE),"")</f>
        <v>barang jadi &amp; bahan baku</v>
      </c>
      <c r="E65" s="7">
        <v>640.0</v>
      </c>
      <c r="F65" s="7" t="s">
        <v>78</v>
      </c>
      <c r="G65" s="36" t="s">
        <v>1216</v>
      </c>
      <c r="I65" s="7" t="s">
        <v>1552</v>
      </c>
      <c r="J65" s="7" t="s">
        <v>1561</v>
      </c>
      <c r="K65" s="7" t="b">
        <v>1</v>
      </c>
      <c r="L65" s="16" t="b">
        <v>0</v>
      </c>
    </row>
    <row r="66" hidden="1">
      <c r="B66" s="7" t="s">
        <v>664</v>
      </c>
      <c r="C66" s="7" t="str">
        <f>IFERROR(VLOOKUP(B66,'Master data'!$A$1:$F$1000,2,FALSE),"")</f>
        <v>P004-025</v>
      </c>
      <c r="D66" s="7" t="str">
        <f>IFERROR(VLOOKUP(B66,'Master data'!$A$1:$F$1000,6,FALSE),"")</f>
        <v>barang jadi &amp; bahan baku</v>
      </c>
      <c r="E66" s="7">
        <v>581.0</v>
      </c>
      <c r="F66" s="7" t="s">
        <v>78</v>
      </c>
      <c r="G66" s="36" t="s">
        <v>1216</v>
      </c>
      <c r="I66" s="7" t="s">
        <v>1552</v>
      </c>
      <c r="J66" s="7" t="s">
        <v>1561</v>
      </c>
      <c r="K66" s="7" t="b">
        <v>1</v>
      </c>
      <c r="L66" s="16" t="b">
        <v>0</v>
      </c>
    </row>
    <row r="67">
      <c r="A67" s="36">
        <v>8.0</v>
      </c>
      <c r="B67" s="7" t="s">
        <v>28</v>
      </c>
      <c r="C67" s="7" t="str">
        <f>IFERROR(VLOOKUP(B67,'Master data'!$A$1:$F$1000,2,FALSE),"")</f>
        <v>B001-006</v>
      </c>
      <c r="D67" s="7" t="str">
        <f>IFERROR(VLOOKUP(B67,'Master data'!$A$1:$F$1000,6,FALSE),"")</f>
        <v>bahan baku</v>
      </c>
      <c r="E67" s="7">
        <v>13.0</v>
      </c>
      <c r="F67" s="7" t="str">
        <f>IFERROR(VLOOKUP(B67,'Master data'!$A$1:$F$1000,3,FALSE),"")</f>
        <v>GR</v>
      </c>
      <c r="G67" s="36" t="s">
        <v>1370</v>
      </c>
      <c r="H67" s="36" t="s">
        <v>1523</v>
      </c>
      <c r="I67" s="7" t="s">
        <v>1542</v>
      </c>
      <c r="J67" s="7" t="s">
        <v>61</v>
      </c>
      <c r="K67" s="16" t="b">
        <v>0</v>
      </c>
      <c r="L67" s="16" t="b">
        <v>0</v>
      </c>
    </row>
    <row r="68" hidden="1">
      <c r="B68" s="7" t="s">
        <v>33</v>
      </c>
      <c r="C68" s="7" t="str">
        <f>IFERROR(VLOOKUP(B68,'Master data'!$A$1:$F$1000,2,FALSE),"")</f>
        <v>B001-008</v>
      </c>
      <c r="D68" s="7" t="str">
        <f>IFERROR(VLOOKUP(B68,'Master data'!$A$1:$F$1000,6,FALSE),"")</f>
        <v>bahan baku</v>
      </c>
      <c r="E68" s="7">
        <v>243.0</v>
      </c>
      <c r="F68" s="7" t="str">
        <f>IFERROR(VLOOKUP(B68,'Master data'!$A$1:$F$1000,3,FALSE),"")</f>
        <v>GR</v>
      </c>
      <c r="G68" s="36" t="s">
        <v>1857</v>
      </c>
      <c r="H68" s="36" t="s">
        <v>1225</v>
      </c>
      <c r="I68" s="7" t="s">
        <v>1548</v>
      </c>
      <c r="J68" s="7" t="s">
        <v>1561</v>
      </c>
      <c r="K68" s="7" t="b">
        <v>1</v>
      </c>
      <c r="L68" s="16" t="b">
        <v>0</v>
      </c>
    </row>
    <row r="69" hidden="1">
      <c r="B69" s="7" t="s">
        <v>129</v>
      </c>
      <c r="C69" s="7" t="str">
        <f>IFERROR(VLOOKUP(B69,'Master data'!$A$1:$F$1000,2,FALSE),"")</f>
        <v>B001-056</v>
      </c>
      <c r="D69" s="7" t="str">
        <f>IFERROR(VLOOKUP(B69,'Master data'!$A$1:$F$1000,6,FALSE),"")</f>
        <v>bahan baku</v>
      </c>
      <c r="E69" s="7">
        <v>2.0</v>
      </c>
      <c r="F69" s="7" t="str">
        <f>IFERROR(VLOOKUP(B69,'Master data'!$A$1:$F$1000,3,FALSE),"")</f>
        <v>ML</v>
      </c>
      <c r="G69" s="36" t="s">
        <v>1857</v>
      </c>
      <c r="I69" s="7" t="s">
        <v>1548</v>
      </c>
      <c r="J69" s="7" t="s">
        <v>1561</v>
      </c>
      <c r="K69" s="7" t="b">
        <v>1</v>
      </c>
      <c r="L69" s="16" t="b">
        <v>0</v>
      </c>
    </row>
    <row r="70" hidden="1">
      <c r="B70" s="7" t="s">
        <v>653</v>
      </c>
      <c r="C70" s="7" t="str">
        <f>IFERROR(VLOOKUP(B70,'Master data'!$A$1:$F$1000,2,FALSE),"")</f>
        <v>P004-022</v>
      </c>
      <c r="D70" s="7" t="str">
        <f>IFERROR(VLOOKUP(B70,'Master data'!$A$1:$F$1000,6,FALSE),"")</f>
        <v>barang jadi &amp; bahan baku</v>
      </c>
      <c r="E70" s="7">
        <v>172.0</v>
      </c>
      <c r="F70" s="7" t="s">
        <v>78</v>
      </c>
      <c r="G70" s="36" t="s">
        <v>1216</v>
      </c>
      <c r="H70" s="36" t="s">
        <v>1512</v>
      </c>
      <c r="I70" s="7" t="s">
        <v>1552</v>
      </c>
      <c r="J70" s="7" t="s">
        <v>1561</v>
      </c>
      <c r="K70" s="7" t="b">
        <v>1</v>
      </c>
      <c r="L70" s="16" t="b">
        <v>0</v>
      </c>
    </row>
    <row r="71" hidden="1">
      <c r="B71" s="7" t="s">
        <v>657</v>
      </c>
      <c r="C71" s="7" t="str">
        <f>IFERROR(VLOOKUP(B71,'Master data'!$A$1:$F$1000,2,FALSE),"")</f>
        <v>P004-023</v>
      </c>
      <c r="D71" s="7" t="str">
        <f>IFERROR(VLOOKUP(B71,'Master data'!$A$1:$F$1000,6,FALSE),"")</f>
        <v>barang jadi &amp; bahan baku</v>
      </c>
      <c r="E71" s="7">
        <v>124.0</v>
      </c>
      <c r="F71" s="7" t="s">
        <v>78</v>
      </c>
      <c r="G71" s="36" t="s">
        <v>1216</v>
      </c>
      <c r="I71" s="7" t="s">
        <v>1552</v>
      </c>
      <c r="J71" s="7" t="s">
        <v>1561</v>
      </c>
      <c r="K71" s="7" t="b">
        <v>1</v>
      </c>
      <c r="L71" s="16" t="b">
        <v>0</v>
      </c>
    </row>
    <row r="72">
      <c r="B72" s="7" t="s">
        <v>211</v>
      </c>
      <c r="C72" s="7" t="str">
        <f>IFERROR(VLOOKUP(B72,'Master data'!$A$1:$F$1000,2,FALSE),"")</f>
        <v>B001-088</v>
      </c>
      <c r="D72" s="7" t="str">
        <f>IFERROR(VLOOKUP(B72,'Master data'!$A$1:$F$1000,6,FALSE),"")</f>
        <v>bahan baku</v>
      </c>
      <c r="E72" s="7">
        <v>4890.0</v>
      </c>
      <c r="F72" s="7" t="str">
        <f>IFERROR(VLOOKUP(B72,'Master data'!$A$1:$F$1000,3,FALSE),"")</f>
        <v>GR</v>
      </c>
      <c r="G72" s="36" t="s">
        <v>1475</v>
      </c>
      <c r="H72" s="36" t="s">
        <v>1290</v>
      </c>
      <c r="I72" s="7" t="s">
        <v>1556</v>
      </c>
      <c r="J72" s="7" t="s">
        <v>61</v>
      </c>
      <c r="K72" s="16" t="b">
        <v>0</v>
      </c>
      <c r="L72" s="16" t="b">
        <v>0</v>
      </c>
    </row>
    <row r="73" hidden="1">
      <c r="A73" s="36">
        <v>9.0</v>
      </c>
      <c r="B73" s="7" t="s">
        <v>33</v>
      </c>
      <c r="C73" s="7" t="str">
        <f>IFERROR(VLOOKUP(B73,'Master data'!$A$1:$F$1000,2,FALSE),"")</f>
        <v>B001-008</v>
      </c>
      <c r="D73" s="7" t="str">
        <f>IFERROR(VLOOKUP(B73,'Master data'!$A$1:$F$1000,6,FALSE),"")</f>
        <v>bahan baku</v>
      </c>
      <c r="E73" s="7">
        <v>993.0</v>
      </c>
      <c r="F73" s="7" t="str">
        <f>IFERROR(VLOOKUP(B73,'Master data'!$A$1:$F$1000,3,FALSE),"")</f>
        <v>GR</v>
      </c>
      <c r="G73" s="36" t="s">
        <v>1827</v>
      </c>
      <c r="H73" s="36" t="s">
        <v>1225</v>
      </c>
      <c r="I73" s="7" t="s">
        <v>1548</v>
      </c>
      <c r="J73" s="7" t="s">
        <v>1561</v>
      </c>
      <c r="K73" s="7" t="b">
        <v>1</v>
      </c>
      <c r="L73" s="16" t="b">
        <v>0</v>
      </c>
    </row>
    <row r="74" hidden="1">
      <c r="B74" s="7" t="s">
        <v>129</v>
      </c>
      <c r="C74" s="7" t="str">
        <f>IFERROR(VLOOKUP(B74,'Master data'!$A$1:$F$1000,2,FALSE),"")</f>
        <v>B001-056</v>
      </c>
      <c r="D74" s="7" t="str">
        <f>IFERROR(VLOOKUP(B74,'Master data'!$A$1:$F$1000,6,FALSE),"")</f>
        <v>bahan baku</v>
      </c>
      <c r="E74" s="7">
        <v>9.0</v>
      </c>
      <c r="F74" s="7" t="str">
        <f>IFERROR(VLOOKUP(B74,'Master data'!$A$1:$F$1000,3,FALSE),"")</f>
        <v>ML</v>
      </c>
      <c r="G74" s="36" t="s">
        <v>1827</v>
      </c>
      <c r="I74" s="7" t="s">
        <v>1548</v>
      </c>
      <c r="J74" s="7" t="s">
        <v>1561</v>
      </c>
      <c r="K74" s="7" t="b">
        <v>1</v>
      </c>
      <c r="L74" s="16" t="b">
        <v>0</v>
      </c>
    </row>
    <row r="75">
      <c r="B75" s="7" t="s">
        <v>23</v>
      </c>
      <c r="C75" s="7" t="str">
        <f>IFERROR(VLOOKUP(B75,'Master data'!$A$1:$F$1000,2,FALSE),"")</f>
        <v>B001-004</v>
      </c>
      <c r="D75" s="7" t="str">
        <f>IFERROR(VLOOKUP(B75,'Master data'!$A$1:$F$1000,6,FALSE),"")</f>
        <v>bahan baku</v>
      </c>
      <c r="E75" s="7">
        <v>2.0</v>
      </c>
      <c r="F75" s="7" t="str">
        <f>IFERROR(VLOOKUP(B75,'Master data'!$A$1:$F$1000,3,FALSE),"")</f>
        <v>PCS</v>
      </c>
      <c r="G75" s="36" t="s">
        <v>1859</v>
      </c>
      <c r="H75" s="36" t="s">
        <v>1814</v>
      </c>
      <c r="I75" s="7" t="s">
        <v>1548</v>
      </c>
      <c r="J75" s="7" t="s">
        <v>817</v>
      </c>
      <c r="K75" s="16" t="b">
        <v>0</v>
      </c>
      <c r="L75" s="16" t="b">
        <v>0</v>
      </c>
    </row>
    <row r="76">
      <c r="B76" s="7" t="s">
        <v>632</v>
      </c>
      <c r="C76" s="7" t="str">
        <f>IFERROR(VLOOKUP(B76,'Master data'!$A$1:$F$1000,2,FALSE),"")</f>
        <v>P004-013</v>
      </c>
      <c r="D76" s="7" t="str">
        <f>IFERROR(VLOOKUP(B76,'Master data'!$A$1:$F$1000,6,FALSE),"")</f>
        <v>barang jadi &amp; bahan baku</v>
      </c>
      <c r="E76" s="7">
        <v>160.0</v>
      </c>
      <c r="F76" s="7" t="str">
        <f>IFERROR(VLOOKUP(B76,'Master data'!$A$1:$F$1000,3,FALSE),"")</f>
        <v>GR</v>
      </c>
      <c r="I76" s="7" t="s">
        <v>1548</v>
      </c>
      <c r="J76" s="7" t="s">
        <v>817</v>
      </c>
      <c r="K76" s="16" t="b">
        <v>0</v>
      </c>
      <c r="L76" s="16" t="b">
        <v>0</v>
      </c>
    </row>
    <row r="77">
      <c r="B77" s="7" t="s">
        <v>247</v>
      </c>
      <c r="C77" s="7" t="str">
        <f>IFERROR(VLOOKUP(B77,'Master data'!$A$1:$F$1000,2,FALSE),"")</f>
        <v>B001-025</v>
      </c>
      <c r="D77" s="7" t="str">
        <f>IFERROR(VLOOKUP(B77,'Master data'!$A$1:$F$1000,6,FALSE),"")</f>
        <v>barang jadi</v>
      </c>
      <c r="E77" s="7">
        <v>100.0</v>
      </c>
      <c r="F77" s="7" t="str">
        <f>IFERROR(VLOOKUP(B77,'Master data'!$A$1:$F$1000,3,FALSE),"")</f>
        <v>GR</v>
      </c>
      <c r="I77" s="7" t="s">
        <v>1548</v>
      </c>
      <c r="J77" s="7" t="s">
        <v>817</v>
      </c>
      <c r="K77" s="16" t="b">
        <v>0</v>
      </c>
      <c r="L77" s="16" t="b">
        <v>0</v>
      </c>
    </row>
    <row r="78">
      <c r="B78" s="7" t="s">
        <v>858</v>
      </c>
      <c r="C78" s="7" t="str">
        <f>IFERROR(VLOOKUP(B78,'Master data'!$A$1:$F$1000,2,FALSE),"")</f>
        <v>B001-139</v>
      </c>
      <c r="D78" s="7" t="str">
        <f>IFERROR(VLOOKUP(B78,'Master data'!$A$1:$F$1000,6,FALSE),"")</f>
        <v>bahan baku</v>
      </c>
      <c r="E78" s="7">
        <v>150.0</v>
      </c>
      <c r="F78" s="7" t="str">
        <f>IFERROR(VLOOKUP(B78,'Master data'!$A$1:$F$1000,3,FALSE),"")</f>
        <v>GR</v>
      </c>
      <c r="I78" s="7" t="s">
        <v>1548</v>
      </c>
      <c r="J78" s="7" t="s">
        <v>817</v>
      </c>
      <c r="K78" s="16" t="b">
        <v>0</v>
      </c>
      <c r="L78" s="16" t="b">
        <v>0</v>
      </c>
    </row>
    <row r="79">
      <c r="B79" s="7" t="s">
        <v>197</v>
      </c>
      <c r="C79" s="7" t="str">
        <f>IFERROR(VLOOKUP(B79,'Master data'!$A$1:$F$1000,2,FALSE),"")</f>
        <v>B001-082</v>
      </c>
      <c r="D79" s="7" t="str">
        <f>IFERROR(VLOOKUP(B79,'Master data'!$A$1:$F$1000,6,FALSE),"")</f>
        <v>bahan baku</v>
      </c>
      <c r="E79" s="7">
        <v>100.0</v>
      </c>
      <c r="F79" s="7" t="str">
        <f>IFERROR(VLOOKUP(B79,'Master data'!$A$1:$F$1000,3,FALSE),"")</f>
        <v>ML</v>
      </c>
      <c r="I79" s="7" t="s">
        <v>1548</v>
      </c>
      <c r="J79" s="7" t="s">
        <v>817</v>
      </c>
      <c r="K79" s="16" t="b">
        <v>0</v>
      </c>
      <c r="L79" s="16" t="b">
        <v>0</v>
      </c>
    </row>
    <row r="80">
      <c r="B80" s="7" t="s">
        <v>648</v>
      </c>
      <c r="C80" s="7" t="str">
        <f>IFERROR(VLOOKUP(B80,'Master data'!$A$1:$F$1000,2,FALSE),"")</f>
        <v>P004-020</v>
      </c>
      <c r="D80" s="7" t="str">
        <f>IFERROR(VLOOKUP(B80,'Master data'!$A$1:$F$1000,6,FALSE),"")</f>
        <v>barang jadi &amp; bahan baku</v>
      </c>
      <c r="E80" s="7">
        <v>30.0</v>
      </c>
      <c r="F80" s="7" t="s">
        <v>20</v>
      </c>
      <c r="I80" s="7" t="s">
        <v>1548</v>
      </c>
      <c r="J80" s="7" t="s">
        <v>817</v>
      </c>
      <c r="K80" s="16" t="b">
        <v>0</v>
      </c>
      <c r="L80" s="16" t="b">
        <v>0</v>
      </c>
    </row>
    <row r="81">
      <c r="B81" s="7" t="s">
        <v>677</v>
      </c>
      <c r="C81" s="7" t="str">
        <f>IFERROR(VLOOKUP(B81,'Master data'!$A$1:$F$1000,2,FALSE),"")</f>
        <v>P004-031</v>
      </c>
      <c r="D81" s="7" t="str">
        <f>IFERROR(VLOOKUP(B81,'Master data'!$A$1:$F$1000,6,FALSE),"")</f>
        <v>barang jadi &amp; bahan baku</v>
      </c>
      <c r="E81" s="7">
        <v>45.0</v>
      </c>
      <c r="F81" s="7" t="s">
        <v>20</v>
      </c>
      <c r="I81" s="7" t="s">
        <v>1548</v>
      </c>
      <c r="J81" s="7" t="s">
        <v>817</v>
      </c>
      <c r="K81" s="16" t="b">
        <v>0</v>
      </c>
      <c r="L81" s="16" t="b">
        <v>0</v>
      </c>
    </row>
    <row r="82">
      <c r="B82" s="36" t="s">
        <v>1861</v>
      </c>
      <c r="C82" s="7" t="str">
        <f>IFERROR(VLOOKUP(B82,'Master data'!$A$1:$F$1000,2,FALSE),"")</f>
        <v/>
      </c>
      <c r="D82" s="7" t="str">
        <f>IFERROR(VLOOKUP(B82,'Master data'!$A$1:$F$1000,6,FALSE),"")</f>
        <v/>
      </c>
      <c r="E82" s="7">
        <v>60.0</v>
      </c>
      <c r="F82" s="7" t="s">
        <v>20</v>
      </c>
      <c r="I82" s="7" t="s">
        <v>1548</v>
      </c>
      <c r="J82" s="7" t="s">
        <v>817</v>
      </c>
      <c r="K82" s="16" t="b">
        <v>0</v>
      </c>
      <c r="L82" s="16" t="b">
        <v>0</v>
      </c>
    </row>
    <row r="83">
      <c r="A83" s="36">
        <v>10.0</v>
      </c>
      <c r="B83" s="7" t="s">
        <v>923</v>
      </c>
      <c r="C83" s="7" t="str">
        <f>IFERROR(VLOOKUP(B83,'Master data'!$A$1:$F$1000,2,FALSE),"")</f>
        <v>B001-164</v>
      </c>
      <c r="D83" s="7" t="str">
        <f>IFERROR(VLOOKUP(B83,'Master data'!$A$1:$F$1000,6,FALSE),"")</f>
        <v>bahan baku</v>
      </c>
      <c r="E83" s="7">
        <v>1.0</v>
      </c>
      <c r="F83" s="7" t="str">
        <f>IFERROR(VLOOKUP(B83,'Master data'!$A$1:$F$1000,3,FALSE),"")</f>
        <v>PCS</v>
      </c>
      <c r="G83" s="36" t="s">
        <v>1863</v>
      </c>
      <c r="H83" s="36" t="s">
        <v>1814</v>
      </c>
      <c r="I83" s="7" t="s">
        <v>1542</v>
      </c>
      <c r="J83" s="7" t="s">
        <v>817</v>
      </c>
      <c r="K83" s="16" t="b">
        <v>0</v>
      </c>
      <c r="L83" s="16" t="b">
        <v>0</v>
      </c>
    </row>
    <row r="84" hidden="1">
      <c r="B84" s="7" t="s">
        <v>23</v>
      </c>
      <c r="C84" s="7" t="str">
        <f>IFERROR(VLOOKUP(B84,'Master data'!$A$1:$F$1000,2,FALSE),"")</f>
        <v>B001-004</v>
      </c>
      <c r="D84" s="7" t="str">
        <f>IFERROR(VLOOKUP(B84,'Master data'!$A$1:$F$1000,6,FALSE),"")</f>
        <v>bahan baku</v>
      </c>
      <c r="E84" s="7">
        <v>5.0</v>
      </c>
      <c r="F84" s="7" t="str">
        <f>IFERROR(VLOOKUP(B84,'Master data'!$A$1:$F$1000,3,FALSE),"")</f>
        <v>PCS</v>
      </c>
      <c r="G84" s="36" t="s">
        <v>1864</v>
      </c>
      <c r="H84" s="36" t="s">
        <v>1581</v>
      </c>
      <c r="I84" s="7" t="s">
        <v>1548</v>
      </c>
      <c r="J84" s="7" t="s">
        <v>1561</v>
      </c>
      <c r="K84" s="7" t="b">
        <v>1</v>
      </c>
      <c r="L84" s="16" t="b">
        <v>0</v>
      </c>
    </row>
    <row r="85" hidden="1">
      <c r="B85" s="7" t="s">
        <v>218</v>
      </c>
      <c r="C85" s="7" t="str">
        <f>IFERROR(VLOOKUP(B85,'Master data'!$A$1:$F$1000,2,FALSE),"")</f>
        <v>B001-095</v>
      </c>
      <c r="D85" s="7" t="str">
        <f>IFERROR(VLOOKUP(B85,'Master data'!$A$1:$F$1000,6,FALSE),"")</f>
        <v>bahan baku</v>
      </c>
      <c r="E85" s="7">
        <v>140.0</v>
      </c>
      <c r="F85" s="7" t="str">
        <f>IFERROR(VLOOKUP(B85,'Master data'!$A$1:$F$1000,3,FALSE),"")</f>
        <v>GR</v>
      </c>
      <c r="G85" s="36" t="s">
        <v>1865</v>
      </c>
      <c r="H85" s="36" t="s">
        <v>1417</v>
      </c>
      <c r="I85" s="7" t="s">
        <v>1548</v>
      </c>
      <c r="J85" s="7" t="s">
        <v>1561</v>
      </c>
      <c r="K85" s="7" t="b">
        <v>1</v>
      </c>
      <c r="L85" s="16" t="b">
        <v>0</v>
      </c>
    </row>
    <row r="86" hidden="1">
      <c r="B86" s="7" t="s">
        <v>653</v>
      </c>
      <c r="C86" s="7" t="str">
        <f>IFERROR(VLOOKUP(B86,'Master data'!$A$1:$F$1000,2,FALSE),"")</f>
        <v>P004-022</v>
      </c>
      <c r="D86" s="7" t="str">
        <f>IFERROR(VLOOKUP(B86,'Master data'!$A$1:$F$1000,6,FALSE),"")</f>
        <v>barang jadi &amp; bahan baku</v>
      </c>
      <c r="E86" s="7">
        <v>705.0</v>
      </c>
      <c r="F86" s="7" t="str">
        <f>IFERROR(VLOOKUP(B86,'Master data'!$A$1:$F$1000,3,FALSE),"")</f>
        <v>GR</v>
      </c>
      <c r="G86" s="36" t="s">
        <v>1216</v>
      </c>
      <c r="H86" s="36" t="s">
        <v>1567</v>
      </c>
      <c r="I86" s="7" t="s">
        <v>1552</v>
      </c>
      <c r="J86" s="7" t="s">
        <v>1561</v>
      </c>
      <c r="K86" s="7" t="b">
        <v>1</v>
      </c>
      <c r="L86" s="16" t="b">
        <v>0</v>
      </c>
    </row>
    <row r="87" hidden="1">
      <c r="B87" s="7" t="s">
        <v>657</v>
      </c>
      <c r="C87" s="7" t="str">
        <f>IFERROR(VLOOKUP(B87,'Master data'!$A$1:$F$1000,2,FALSE),"")</f>
        <v>P004-023</v>
      </c>
      <c r="D87" s="7" t="str">
        <f>IFERROR(VLOOKUP(B87,'Master data'!$A$1:$F$1000,6,FALSE),"")</f>
        <v>barang jadi &amp; bahan baku</v>
      </c>
      <c r="E87" s="7">
        <v>1216.0</v>
      </c>
      <c r="F87" s="7" t="str">
        <f>IFERROR(VLOOKUP(B87,'Master data'!$A$1:$F$1000,3,FALSE),"")</f>
        <v>GR</v>
      </c>
      <c r="G87" s="36" t="s">
        <v>1216</v>
      </c>
      <c r="I87" s="7" t="s">
        <v>1552</v>
      </c>
      <c r="J87" s="7" t="s">
        <v>1561</v>
      </c>
      <c r="K87" s="7" t="b">
        <v>1</v>
      </c>
      <c r="L87" s="16" t="b">
        <v>0</v>
      </c>
    </row>
    <row r="88" hidden="1">
      <c r="B88" s="7" t="s">
        <v>52</v>
      </c>
      <c r="C88" s="7" t="str">
        <f>IFERROR(VLOOKUP(B88,'Master data'!$A$1:$F$1000,2,FALSE),"")</f>
        <v>B001-018</v>
      </c>
      <c r="D88" s="7" t="str">
        <f>IFERROR(VLOOKUP(B88,'Master data'!$A$1:$F$1000,6,FALSE),"")</f>
        <v>bahan baku</v>
      </c>
      <c r="E88" s="7">
        <v>200.0</v>
      </c>
      <c r="F88" s="7" t="str">
        <f>IFERROR(VLOOKUP(B88,'Master data'!$A$1:$F$1000,3,FALSE),"")</f>
        <v>GR</v>
      </c>
      <c r="G88" s="36" t="s">
        <v>1445</v>
      </c>
      <c r="H88" s="36" t="s">
        <v>1225</v>
      </c>
      <c r="I88" s="7" t="s">
        <v>1548</v>
      </c>
      <c r="J88" s="7" t="s">
        <v>61</v>
      </c>
      <c r="K88" s="7" t="b">
        <v>1</v>
      </c>
      <c r="L88" s="16" t="b">
        <v>0</v>
      </c>
    </row>
    <row r="89" hidden="1">
      <c r="B89" s="7" t="s">
        <v>930</v>
      </c>
      <c r="C89" s="7" t="str">
        <f>IFERROR(VLOOKUP(B89,'Master data'!$A$1:$F$1000,2,FALSE),"")</f>
        <v>B001-166</v>
      </c>
      <c r="D89" s="7" t="str">
        <f>IFERROR(VLOOKUP(B89,'Master data'!$A$1:$F$1000,6,FALSE),"")</f>
        <v>bahan baku</v>
      </c>
      <c r="E89" s="7">
        <v>155.0</v>
      </c>
      <c r="F89" s="7" t="s">
        <v>20</v>
      </c>
      <c r="G89" s="36" t="s">
        <v>1867</v>
      </c>
      <c r="I89" s="7" t="s">
        <v>1548</v>
      </c>
      <c r="J89" s="7" t="s">
        <v>61</v>
      </c>
      <c r="K89" s="7" t="b">
        <v>1</v>
      </c>
      <c r="L89" s="16" t="b">
        <v>0</v>
      </c>
    </row>
    <row r="90" hidden="1">
      <c r="A90" s="36">
        <v>11.0</v>
      </c>
      <c r="B90" s="7" t="s">
        <v>33</v>
      </c>
      <c r="C90" s="7" t="str">
        <f>IFERROR(VLOOKUP(B90,'Master data'!$A$1:$F$1000,2,FALSE),"")</f>
        <v>B001-008</v>
      </c>
      <c r="D90" s="7" t="str">
        <f>IFERROR(VLOOKUP(B90,'Master data'!$A$1:$F$1000,6,FALSE),"")</f>
        <v>bahan baku</v>
      </c>
      <c r="E90" s="7">
        <v>737.0</v>
      </c>
      <c r="F90" s="7" t="str">
        <f>IFERROR(VLOOKUP(B90,'Master data'!$A$1:$F$1000,3,FALSE),"")</f>
        <v>GR</v>
      </c>
      <c r="G90" s="36" t="s">
        <v>1857</v>
      </c>
      <c r="H90" s="36" t="s">
        <v>1417</v>
      </c>
      <c r="I90" s="7" t="s">
        <v>1548</v>
      </c>
      <c r="J90" s="7" t="s">
        <v>1561</v>
      </c>
      <c r="K90" s="7" t="b">
        <v>1</v>
      </c>
      <c r="L90" s="16" t="b">
        <v>0</v>
      </c>
    </row>
    <row r="91" hidden="1">
      <c r="B91" s="7" t="s">
        <v>129</v>
      </c>
      <c r="C91" s="7" t="str">
        <f>IFERROR(VLOOKUP(B91,'Master data'!$A$1:$F$1000,2,FALSE),"")</f>
        <v>B001-056</v>
      </c>
      <c r="D91" s="7" t="str">
        <f>IFERROR(VLOOKUP(B91,'Master data'!$A$1:$F$1000,6,FALSE),"")</f>
        <v>bahan baku</v>
      </c>
      <c r="E91" s="7">
        <v>7.0</v>
      </c>
      <c r="F91" s="7" t="str">
        <f>IFERROR(VLOOKUP(B91,'Master data'!$A$1:$F$1000,3,FALSE),"")</f>
        <v>ML</v>
      </c>
      <c r="G91" s="36" t="s">
        <v>1857</v>
      </c>
      <c r="I91" s="7" t="s">
        <v>1548</v>
      </c>
      <c r="J91" s="7" t="s">
        <v>1561</v>
      </c>
      <c r="K91" s="7" t="b">
        <v>1</v>
      </c>
      <c r="L91" s="16" t="b">
        <v>0</v>
      </c>
    </row>
    <row r="92" hidden="1">
      <c r="B92" s="7" t="s">
        <v>657</v>
      </c>
      <c r="C92" s="7" t="str">
        <f>IFERROR(VLOOKUP(B92,'Master data'!$A$1:$F$1000,2,FALSE),"")</f>
        <v>P004-023</v>
      </c>
      <c r="D92" s="7" t="str">
        <f>IFERROR(VLOOKUP(B92,'Master data'!$A$1:$F$1000,6,FALSE),"")</f>
        <v>barang jadi &amp; bahan baku</v>
      </c>
      <c r="E92" s="7">
        <v>519.0</v>
      </c>
      <c r="F92" s="7" t="s">
        <v>78</v>
      </c>
      <c r="G92" s="36" t="s">
        <v>1216</v>
      </c>
      <c r="H92" s="36" t="s">
        <v>1567</v>
      </c>
      <c r="I92" s="7" t="s">
        <v>1552</v>
      </c>
      <c r="J92" s="7" t="s">
        <v>1561</v>
      </c>
      <c r="K92" s="7" t="b">
        <v>1</v>
      </c>
      <c r="L92" s="16" t="b">
        <v>0</v>
      </c>
    </row>
    <row r="93">
      <c r="B93" s="7" t="s">
        <v>211</v>
      </c>
      <c r="C93" s="7" t="str">
        <f>IFERROR(VLOOKUP(B93,'Master data'!$A$1:$F$1000,2,FALSE),"")</f>
        <v>B001-088</v>
      </c>
      <c r="D93" s="7" t="str">
        <f>IFERROR(VLOOKUP(B93,'Master data'!$A$1:$F$1000,6,FALSE),"")</f>
        <v>bahan baku</v>
      </c>
      <c r="E93" s="7">
        <v>1905.0</v>
      </c>
      <c r="F93" s="7" t="str">
        <f>IFERROR(VLOOKUP(B93,'Master data'!$A$1:$F$1000,3,FALSE),"")</f>
        <v>GR</v>
      </c>
      <c r="G93" s="36" t="s">
        <v>1475</v>
      </c>
      <c r="H93" s="36" t="s">
        <v>1803</v>
      </c>
      <c r="I93" s="7" t="s">
        <v>1556</v>
      </c>
      <c r="J93" s="7" t="s">
        <v>61</v>
      </c>
      <c r="K93" s="16" t="b">
        <v>0</v>
      </c>
      <c r="L93" s="16" t="b">
        <v>0</v>
      </c>
    </row>
    <row r="94" hidden="1">
      <c r="B94" s="7" t="s">
        <v>660</v>
      </c>
      <c r="C94" s="7" t="str">
        <f>IFERROR(VLOOKUP(B94,'Master data'!$A$1:$F$1000,2,FALSE),"")</f>
        <v>P004-024</v>
      </c>
      <c r="D94" s="7" t="str">
        <f>IFERROR(VLOOKUP(B94,'Master data'!$A$1:$F$1000,6,FALSE),"")</f>
        <v>barang jadi &amp; bahan baku</v>
      </c>
      <c r="E94" s="7">
        <v>519.0</v>
      </c>
      <c r="F94" s="7" t="str">
        <f>IFERROR(VLOOKUP(B94,'Master data'!$A$1:$F$1000,3,FALSE),"")</f>
        <v>ML</v>
      </c>
      <c r="G94" s="36" t="s">
        <v>1216</v>
      </c>
      <c r="H94" s="36" t="s">
        <v>1567</v>
      </c>
      <c r="I94" s="7" t="s">
        <v>1552</v>
      </c>
      <c r="J94" s="7" t="s">
        <v>1561</v>
      </c>
      <c r="K94" s="7" t="b">
        <v>1</v>
      </c>
      <c r="L94" s="16" t="b">
        <v>0</v>
      </c>
    </row>
    <row r="95">
      <c r="B95" s="7" t="s">
        <v>28</v>
      </c>
      <c r="C95" s="7" t="str">
        <f>IFERROR(VLOOKUP(B95,'Master data'!$A$1:$F$1000,2,FALSE),"")</f>
        <v>B001-006</v>
      </c>
      <c r="D95" s="7" t="str">
        <f>IFERROR(VLOOKUP(B95,'Master data'!$A$1:$F$1000,6,FALSE),"")</f>
        <v>bahan baku</v>
      </c>
      <c r="E95" s="7">
        <v>21.0</v>
      </c>
      <c r="F95" s="7" t="str">
        <f>IFERROR(VLOOKUP(B95,'Master data'!$A$1:$F$1000,3,FALSE),"")</f>
        <v>GR</v>
      </c>
      <c r="G95" s="36" t="s">
        <v>1370</v>
      </c>
      <c r="H95" s="36" t="s">
        <v>1539</v>
      </c>
      <c r="I95" s="7" t="s">
        <v>1542</v>
      </c>
      <c r="J95" s="7" t="s">
        <v>61</v>
      </c>
      <c r="K95" s="16" t="b">
        <v>0</v>
      </c>
      <c r="L95" s="16" t="b">
        <v>0</v>
      </c>
    </row>
    <row r="96" hidden="1">
      <c r="B96" s="7" t="s">
        <v>930</v>
      </c>
      <c r="C96" s="7" t="str">
        <f>IFERROR(VLOOKUP(B96,'Master data'!$A$1:$F$1000,2,FALSE),"")</f>
        <v>B001-166</v>
      </c>
      <c r="D96" s="7" t="str">
        <f>IFERROR(VLOOKUP(B96,'Master data'!$A$1:$F$1000,6,FALSE),"")</f>
        <v>bahan baku</v>
      </c>
      <c r="E96" s="7">
        <v>85.0</v>
      </c>
      <c r="F96" s="7" t="s">
        <v>20</v>
      </c>
      <c r="G96" s="36" t="s">
        <v>1869</v>
      </c>
      <c r="H96" s="36" t="s">
        <v>1225</v>
      </c>
      <c r="I96" s="7" t="s">
        <v>1548</v>
      </c>
      <c r="J96" s="7"/>
      <c r="K96" s="7" t="b">
        <v>1</v>
      </c>
      <c r="L96" s="16" t="b">
        <v>0</v>
      </c>
    </row>
    <row r="97">
      <c r="B97" s="7" t="s">
        <v>570</v>
      </c>
      <c r="C97" s="7" t="str">
        <f>IFERROR(VLOOKUP(B97,'Master data'!$A$1:$F$1000,2,FALSE),"")</f>
        <v>B001-054</v>
      </c>
      <c r="D97" s="7" t="str">
        <f>IFERROR(VLOOKUP(B97,'Master data'!$A$1:$F$1000,6,FALSE),"")</f>
        <v>bahan baku</v>
      </c>
      <c r="E97" s="7">
        <v>41000.0</v>
      </c>
      <c r="F97" s="7" t="str">
        <f>IFERROR(VLOOKUP(B97,'Master data'!$A$1:$F$1000,3,FALSE),"")</f>
        <v>GR</v>
      </c>
      <c r="G97" s="36" t="s">
        <v>1870</v>
      </c>
      <c r="H97" s="36" t="s">
        <v>1814</v>
      </c>
      <c r="I97" s="7" t="s">
        <v>1556</v>
      </c>
      <c r="J97" s="7" t="s">
        <v>61</v>
      </c>
      <c r="K97" s="7" t="b">
        <v>0</v>
      </c>
      <c r="L97" s="16" t="b">
        <v>0</v>
      </c>
    </row>
    <row r="98" hidden="1">
      <c r="A98" s="36">
        <v>12.0</v>
      </c>
      <c r="B98" s="7" t="s">
        <v>660</v>
      </c>
      <c r="C98" s="7" t="str">
        <f>IFERROR(VLOOKUP(B98,'Master data'!$A$1:$F$1000,2,FALSE),"")</f>
        <v>P004-024</v>
      </c>
      <c r="D98" s="7" t="str">
        <f>IFERROR(VLOOKUP(B98,'Master data'!$A$1:$F$1000,6,FALSE),"")</f>
        <v>barang jadi &amp; bahan baku</v>
      </c>
      <c r="E98" s="7">
        <v>671.0</v>
      </c>
      <c r="F98" s="7" t="str">
        <f>IFERROR(VLOOKUP(B98,'Master data'!$A$1:$F$1000,3,FALSE),"")</f>
        <v>ML</v>
      </c>
      <c r="G98" s="36" t="s">
        <v>1216</v>
      </c>
      <c r="H98" s="36" t="s">
        <v>1567</v>
      </c>
      <c r="I98" s="7" t="s">
        <v>1552</v>
      </c>
      <c r="J98" s="7" t="s">
        <v>1561</v>
      </c>
      <c r="K98" s="7" t="b">
        <v>1</v>
      </c>
      <c r="L98" s="16" t="b">
        <v>0</v>
      </c>
    </row>
    <row r="99">
      <c r="B99" s="7" t="s">
        <v>211</v>
      </c>
      <c r="C99" s="7" t="str">
        <f>IFERROR(VLOOKUP(B99,'Master data'!$A$1:$F$1000,2,FALSE),"")</f>
        <v>B001-088</v>
      </c>
      <c r="D99" s="7" t="str">
        <f>IFERROR(VLOOKUP(B99,'Master data'!$A$1:$F$1000,6,FALSE),"")</f>
        <v>bahan baku</v>
      </c>
      <c r="E99" s="7">
        <v>2210.0</v>
      </c>
      <c r="F99" s="7" t="str">
        <f>IFERROR(VLOOKUP(B99,'Master data'!$A$1:$F$1000,3,FALSE),"")</f>
        <v>GR</v>
      </c>
      <c r="G99" s="36" t="s">
        <v>1475</v>
      </c>
      <c r="H99" s="36" t="s">
        <v>1803</v>
      </c>
      <c r="I99" s="7" t="s">
        <v>1556</v>
      </c>
      <c r="J99" s="7" t="s">
        <v>61</v>
      </c>
      <c r="K99" s="16" t="b">
        <v>0</v>
      </c>
      <c r="L99" s="16" t="b">
        <v>0</v>
      </c>
    </row>
    <row r="100" hidden="1">
      <c r="B100" s="7" t="s">
        <v>629</v>
      </c>
      <c r="C100" s="7" t="str">
        <f>IFERROR(VLOOKUP(B100,'Master data'!$A$1:$F$1000,2,FALSE),"")</f>
        <v>P004-012</v>
      </c>
      <c r="D100" s="7" t="str">
        <f>IFERROR(VLOOKUP(B100,'Master data'!$A$1:$F$1000,6,FALSE),"")</f>
        <v>barang jadi &amp; bahan baku</v>
      </c>
      <c r="E100" s="7">
        <v>100.0</v>
      </c>
      <c r="F100" s="7" t="str">
        <f>IFERROR(VLOOKUP(B100,'Master data'!$A$1:$F$1000,3,FALSE),"")</f>
        <v>GR</v>
      </c>
      <c r="G100" s="36" t="s">
        <v>1164</v>
      </c>
      <c r="H100" s="36" t="s">
        <v>1539</v>
      </c>
      <c r="I100" s="7" t="s">
        <v>1542</v>
      </c>
      <c r="J100" s="7" t="s">
        <v>1561</v>
      </c>
      <c r="K100" s="7" t="b">
        <v>1</v>
      </c>
      <c r="L100" s="16" t="b">
        <v>0</v>
      </c>
    </row>
    <row r="101">
      <c r="B101" s="7" t="s">
        <v>269</v>
      </c>
      <c r="C101" s="7" t="str">
        <f>IFERROR(VLOOKUP(B101,'Master data'!$A$1:$F$1000,2,FALSE),"")</f>
        <v>B001-119</v>
      </c>
      <c r="D101" s="7" t="str">
        <f>IFERROR(VLOOKUP(B101,'Master data'!$A$1:$F$1000,6,FALSE),"")</f>
        <v>bahan baku</v>
      </c>
      <c r="E101" s="7">
        <v>2.0</v>
      </c>
      <c r="F101" s="7" t="str">
        <f>IFERROR(VLOOKUP(B101,'Master data'!$A$1:$F$1000,3,FALSE),"")</f>
        <v>GR</v>
      </c>
      <c r="G101" s="36" t="s">
        <v>1370</v>
      </c>
      <c r="I101" s="7" t="s">
        <v>1542</v>
      </c>
      <c r="J101" s="7" t="s">
        <v>61</v>
      </c>
      <c r="K101" s="16" t="b">
        <v>0</v>
      </c>
      <c r="L101" s="16" t="b">
        <v>0</v>
      </c>
    </row>
    <row r="102" hidden="1">
      <c r="A102" s="36">
        <v>13.0</v>
      </c>
      <c r="B102" s="7" t="s">
        <v>660</v>
      </c>
      <c r="C102" s="7" t="str">
        <f>IFERROR(VLOOKUP(B102,'Master data'!$A$1:$F$1000,2,FALSE),"")</f>
        <v>P004-024</v>
      </c>
      <c r="D102" s="7" t="str">
        <f>IFERROR(VLOOKUP(B102,'Master data'!$A$1:$F$1000,6,FALSE),"")</f>
        <v>barang jadi &amp; bahan baku</v>
      </c>
      <c r="E102" s="7">
        <v>651.0</v>
      </c>
      <c r="F102" s="7" t="str">
        <f>IFERROR(VLOOKUP(B102,'Master data'!$A$1:$F$1000,3,FALSE),"")</f>
        <v>ML</v>
      </c>
      <c r="G102" s="36" t="s">
        <v>1216</v>
      </c>
      <c r="H102" s="36" t="s">
        <v>1843</v>
      </c>
      <c r="I102" s="7" t="s">
        <v>1552</v>
      </c>
      <c r="J102" s="7" t="s">
        <v>1561</v>
      </c>
      <c r="K102" s="7" t="b">
        <v>1</v>
      </c>
      <c r="L102" s="16" t="b">
        <v>0</v>
      </c>
    </row>
    <row r="103" hidden="1">
      <c r="B103" s="7" t="s">
        <v>653</v>
      </c>
      <c r="C103" s="7" t="str">
        <f>IFERROR(VLOOKUP(B103,'Master data'!$A$1:$F$1000,2,FALSE),"")</f>
        <v>P004-022</v>
      </c>
      <c r="D103" s="7" t="str">
        <f>IFERROR(VLOOKUP(B103,'Master data'!$A$1:$F$1000,6,FALSE),"")</f>
        <v>barang jadi &amp; bahan baku</v>
      </c>
      <c r="E103" s="7">
        <v>550.0</v>
      </c>
      <c r="F103" s="7" t="s">
        <v>78</v>
      </c>
      <c r="G103" s="36" t="s">
        <v>1216</v>
      </c>
      <c r="I103" s="7" t="s">
        <v>1552</v>
      </c>
      <c r="J103" s="7" t="s">
        <v>1561</v>
      </c>
      <c r="K103" s="7" t="b">
        <v>1</v>
      </c>
      <c r="L103" s="16" t="b">
        <v>0</v>
      </c>
    </row>
    <row r="104" hidden="1">
      <c r="B104" s="7" t="s">
        <v>33</v>
      </c>
      <c r="C104" s="7" t="str">
        <f>IFERROR(VLOOKUP(B104,'Master data'!$A$1:$F$1000,2,FALSE),"")</f>
        <v>B001-008</v>
      </c>
      <c r="D104" s="7" t="str">
        <f>IFERROR(VLOOKUP(B104,'Master data'!$A$1:$F$1000,6,FALSE),"")</f>
        <v>bahan baku</v>
      </c>
      <c r="E104" s="7">
        <v>763.0</v>
      </c>
      <c r="F104" s="7" t="str">
        <f>IFERROR(VLOOKUP(B104,'Master data'!$A$1:$F$1000,3,FALSE),"")</f>
        <v>GR</v>
      </c>
      <c r="G104" s="36" t="s">
        <v>1871</v>
      </c>
      <c r="H104" s="36" t="s">
        <v>1417</v>
      </c>
      <c r="I104" s="7" t="s">
        <v>1548</v>
      </c>
      <c r="J104" s="7" t="s">
        <v>1561</v>
      </c>
      <c r="K104" s="7" t="b">
        <v>1</v>
      </c>
      <c r="L104" s="16" t="b">
        <v>0</v>
      </c>
    </row>
    <row r="105" hidden="1">
      <c r="B105" s="7" t="s">
        <v>129</v>
      </c>
      <c r="C105" s="7" t="str">
        <f>IFERROR(VLOOKUP(B105,'Master data'!$A$1:$F$1000,2,FALSE),"")</f>
        <v>B001-056</v>
      </c>
      <c r="D105" s="7" t="str">
        <f>IFERROR(VLOOKUP(B105,'Master data'!$A$1:$F$1000,6,FALSE),"")</f>
        <v>bahan baku</v>
      </c>
      <c r="E105" s="7">
        <v>7.0</v>
      </c>
      <c r="F105" s="7" t="str">
        <f>IFERROR(VLOOKUP(B105,'Master data'!$A$1:$F$1000,3,FALSE),"")</f>
        <v>ML</v>
      </c>
      <c r="G105" s="36" t="s">
        <v>1872</v>
      </c>
      <c r="I105" s="7" t="s">
        <v>1548</v>
      </c>
      <c r="J105" s="7" t="s">
        <v>1561</v>
      </c>
      <c r="K105" s="7" t="b">
        <v>1</v>
      </c>
      <c r="L105" s="16" t="b">
        <v>0</v>
      </c>
    </row>
    <row r="106">
      <c r="B106" s="7" t="s">
        <v>211</v>
      </c>
      <c r="C106" s="7" t="str">
        <f>IFERROR(VLOOKUP(B106,'Master data'!$A$1:$F$1000,2,FALSE),"")</f>
        <v>B001-088</v>
      </c>
      <c r="D106" s="7" t="str">
        <f>IFERROR(VLOOKUP(B106,'Master data'!$A$1:$F$1000,6,FALSE),"")</f>
        <v>bahan baku</v>
      </c>
      <c r="E106" s="7">
        <v>2490.0</v>
      </c>
      <c r="F106" s="7" t="str">
        <f>IFERROR(VLOOKUP(B106,'Master data'!$A$1:$F$1000,3,FALSE),"")</f>
        <v>GR</v>
      </c>
      <c r="G106" s="36" t="s">
        <v>1475</v>
      </c>
      <c r="I106" s="7" t="s">
        <v>1556</v>
      </c>
      <c r="J106" s="7" t="s">
        <v>61</v>
      </c>
      <c r="K106" s="16" t="b">
        <v>0</v>
      </c>
      <c r="L106" s="16" t="b">
        <v>0</v>
      </c>
    </row>
    <row r="107" hidden="1">
      <c r="B107" s="7" t="s">
        <v>854</v>
      </c>
      <c r="C107" s="7" t="str">
        <f>IFERROR(VLOOKUP(B107,'Master data'!$A$1:$F$1000,2,FALSE),"")</f>
        <v>B001-138</v>
      </c>
      <c r="D107" s="7" t="str">
        <f>IFERROR(VLOOKUP(B107,'Master data'!$A$1:$F$1000,6,FALSE),"")</f>
        <v>bahan baku</v>
      </c>
      <c r="E107" s="7">
        <v>169.0</v>
      </c>
      <c r="F107" s="7" t="str">
        <f>IFERROR(VLOOKUP(B107,'Master data'!$A$1:$F$1000,3,FALSE),"")</f>
        <v>ML</v>
      </c>
      <c r="G107" s="36" t="s">
        <v>1873</v>
      </c>
      <c r="H107" s="36" t="s">
        <v>1539</v>
      </c>
      <c r="I107" s="7" t="s">
        <v>1542</v>
      </c>
      <c r="J107" s="7" t="s">
        <v>1561</v>
      </c>
      <c r="K107" s="7" t="b">
        <v>1</v>
      </c>
      <c r="L107" s="16" t="b">
        <v>0</v>
      </c>
    </row>
    <row r="108" hidden="1">
      <c r="B108" s="7" t="s">
        <v>156</v>
      </c>
      <c r="C108" s="7" t="str">
        <f>IFERROR(VLOOKUP(B108,'Master data'!$A$1:$F$1000,2,FALSE),"")</f>
        <v>B001-068</v>
      </c>
      <c r="D108" s="7" t="str">
        <f>IFERROR(VLOOKUP(B108,'Master data'!$A$1:$F$1000,6,FALSE),"")</f>
        <v>bahan baku</v>
      </c>
      <c r="E108" s="7">
        <v>16.0</v>
      </c>
      <c r="F108" s="7" t="str">
        <f>IFERROR(VLOOKUP(B108,'Master data'!$A$1:$F$1000,3,FALSE),"")</f>
        <v>GR</v>
      </c>
      <c r="I108" s="7" t="s">
        <v>1542</v>
      </c>
      <c r="J108" s="7" t="s">
        <v>1561</v>
      </c>
      <c r="K108" s="7" t="b">
        <v>1</v>
      </c>
      <c r="L108" s="16" t="b">
        <v>0</v>
      </c>
    </row>
    <row r="109" hidden="1">
      <c r="A109" s="36">
        <v>14.0</v>
      </c>
      <c r="B109" s="7" t="s">
        <v>660</v>
      </c>
      <c r="C109" s="7" t="str">
        <f>IFERROR(VLOOKUP(B109,'Master data'!$A$1:$F$1000,2,FALSE),"")</f>
        <v>P004-024</v>
      </c>
      <c r="D109" s="7" t="str">
        <f>IFERROR(VLOOKUP(B109,'Master data'!$A$1:$F$1000,6,FALSE),"")</f>
        <v>barang jadi &amp; bahan baku</v>
      </c>
      <c r="E109" s="7">
        <v>679.0</v>
      </c>
      <c r="F109" s="7" t="str">
        <f>IFERROR(VLOOKUP(B109,'Master data'!$A$1:$F$1000,3,FALSE),"")</f>
        <v>ML</v>
      </c>
      <c r="G109" s="36" t="s">
        <v>1216</v>
      </c>
      <c r="H109" s="36" t="s">
        <v>1843</v>
      </c>
      <c r="I109" s="7" t="s">
        <v>1552</v>
      </c>
      <c r="J109" s="7" t="s">
        <v>1561</v>
      </c>
      <c r="K109" s="7" t="b">
        <v>1</v>
      </c>
      <c r="L109" s="16" t="b">
        <v>0</v>
      </c>
    </row>
    <row r="110" hidden="1">
      <c r="B110" s="7" t="s">
        <v>33</v>
      </c>
      <c r="C110" s="7" t="str">
        <f>IFERROR(VLOOKUP(B110,'Master data'!$A$1:$F$1000,2,FALSE),"")</f>
        <v>B001-008</v>
      </c>
      <c r="D110" s="7" t="str">
        <f>IFERROR(VLOOKUP(B110,'Master data'!$A$1:$F$1000,6,FALSE),"")</f>
        <v>bahan baku</v>
      </c>
      <c r="E110" s="7">
        <v>689.0</v>
      </c>
      <c r="F110" s="7" t="str">
        <f>IFERROR(VLOOKUP(B110,'Master data'!$A$1:$F$1000,3,FALSE),"")</f>
        <v>GR</v>
      </c>
      <c r="G110" s="36" t="s">
        <v>1872</v>
      </c>
      <c r="H110" s="36" t="s">
        <v>1417</v>
      </c>
      <c r="I110" s="7" t="s">
        <v>1548</v>
      </c>
      <c r="J110" s="7" t="s">
        <v>1561</v>
      </c>
      <c r="K110" s="7" t="b">
        <v>1</v>
      </c>
      <c r="L110" s="16" t="b">
        <v>0</v>
      </c>
    </row>
    <row r="111" hidden="1">
      <c r="B111" s="7" t="s">
        <v>129</v>
      </c>
      <c r="C111" s="7" t="str">
        <f>IFERROR(VLOOKUP(B111,'Master data'!$A$1:$F$1000,2,FALSE),"")</f>
        <v>B001-056</v>
      </c>
      <c r="D111" s="7" t="str">
        <f>IFERROR(VLOOKUP(B111,'Master data'!$A$1:$F$1000,6,FALSE),"")</f>
        <v>bahan baku</v>
      </c>
      <c r="E111" s="7">
        <v>6.0</v>
      </c>
      <c r="F111" s="7" t="str">
        <f>IFERROR(VLOOKUP(B111,'Master data'!$A$1:$F$1000,3,FALSE),"")</f>
        <v>ML</v>
      </c>
      <c r="G111" s="36" t="s">
        <v>1872</v>
      </c>
      <c r="I111" s="7" t="s">
        <v>1548</v>
      </c>
      <c r="J111" s="7" t="s">
        <v>1561</v>
      </c>
      <c r="K111" s="7" t="b">
        <v>1</v>
      </c>
      <c r="L111" s="16" t="b">
        <v>0</v>
      </c>
    </row>
    <row r="112" hidden="1">
      <c r="B112" s="7" t="s">
        <v>691</v>
      </c>
      <c r="C112" s="7" t="str">
        <f>IFERROR(VLOOKUP(B112,'Master data'!$A$1:$F$1000,2,FALSE),"")</f>
        <v>P004-036</v>
      </c>
      <c r="D112" s="7" t="str">
        <f>IFERROR(VLOOKUP(B112,'Master data'!$A$1:$F$1000,6,FALSE),"")</f>
        <v>barang jadi &amp; bahan baku</v>
      </c>
      <c r="E112" s="7">
        <v>5790.0</v>
      </c>
      <c r="F112" s="7" t="s">
        <v>20</v>
      </c>
      <c r="G112" s="36" t="s">
        <v>1245</v>
      </c>
      <c r="H112" s="36" t="s">
        <v>1512</v>
      </c>
      <c r="I112" s="7" t="s">
        <v>1552</v>
      </c>
      <c r="J112" s="7" t="s">
        <v>1561</v>
      </c>
      <c r="K112" s="7" t="b">
        <v>1</v>
      </c>
      <c r="L112" s="16" t="b">
        <v>0</v>
      </c>
    </row>
    <row r="113" hidden="1">
      <c r="B113" s="7" t="s">
        <v>216</v>
      </c>
      <c r="C113" s="7" t="str">
        <f>IFERROR(VLOOKUP(B113,'Master data'!$A$1:$F$1000,2,FALSE),"")</f>
        <v>B001-093</v>
      </c>
      <c r="D113" s="7" t="str">
        <f>IFERROR(VLOOKUP(B113,'Master data'!$A$1:$F$1000,6,FALSE),"")</f>
        <v>bahan baku</v>
      </c>
      <c r="E113" s="7">
        <v>105.0</v>
      </c>
      <c r="F113" s="7" t="str">
        <f>IFERROR(VLOOKUP(B113,'Master data'!$A$1:$F$1000,3,FALSE),"")</f>
        <v>ML</v>
      </c>
      <c r="G113" s="36" t="s">
        <v>1245</v>
      </c>
      <c r="I113" s="7" t="s">
        <v>1552</v>
      </c>
      <c r="J113" s="7" t="s">
        <v>1561</v>
      </c>
      <c r="K113" s="7" t="b">
        <v>1</v>
      </c>
      <c r="L113" s="16" t="b">
        <v>0</v>
      </c>
    </row>
    <row r="114" hidden="1">
      <c r="B114" s="7" t="s">
        <v>211</v>
      </c>
      <c r="C114" s="7" t="str">
        <f>IFERROR(VLOOKUP(B114,'Master data'!$A$1:$F$1000,2,FALSE),"")</f>
        <v>B001-088</v>
      </c>
      <c r="D114" s="7" t="str">
        <f>IFERROR(VLOOKUP(B114,'Master data'!$A$1:$F$1000,6,FALSE),"")</f>
        <v>bahan baku</v>
      </c>
      <c r="E114" s="7">
        <v>1685.0</v>
      </c>
      <c r="F114" s="7" t="str">
        <f>IFERROR(VLOOKUP(B114,'Master data'!$A$1:$F$1000,3,FALSE),"")</f>
        <v>GR</v>
      </c>
      <c r="G114" s="36" t="s">
        <v>1475</v>
      </c>
      <c r="H114" s="36" t="s">
        <v>1567</v>
      </c>
      <c r="I114" s="7" t="s">
        <v>1556</v>
      </c>
      <c r="J114" s="7" t="s">
        <v>1561</v>
      </c>
      <c r="K114" s="7" t="b">
        <v>1</v>
      </c>
      <c r="L114" s="16" t="b">
        <v>0</v>
      </c>
    </row>
    <row r="115" hidden="1">
      <c r="A115" s="36">
        <v>15.0</v>
      </c>
      <c r="B115" s="7" t="s">
        <v>33</v>
      </c>
      <c r="C115" s="7" t="str">
        <f>IFERROR(VLOOKUP(B115,'Master data'!$A$1:$F$1000,2,FALSE),"")</f>
        <v>B001-008</v>
      </c>
      <c r="D115" s="7" t="str">
        <f>IFERROR(VLOOKUP(B115,'Master data'!$A$1:$F$1000,6,FALSE),"")</f>
        <v>bahan baku</v>
      </c>
      <c r="E115" s="7">
        <v>291.0</v>
      </c>
      <c r="F115" s="7" t="str">
        <f>IFERROR(VLOOKUP(B115,'Master data'!$A$1:$F$1000,3,FALSE),"")</f>
        <v>GR</v>
      </c>
      <c r="G115" s="36" t="s">
        <v>1872</v>
      </c>
      <c r="H115" s="36" t="s">
        <v>1417</v>
      </c>
      <c r="I115" s="7" t="s">
        <v>1548</v>
      </c>
      <c r="J115" s="7" t="s">
        <v>1561</v>
      </c>
      <c r="K115" s="7" t="b">
        <v>1</v>
      </c>
      <c r="L115" s="16" t="b">
        <v>0</v>
      </c>
    </row>
    <row r="116" hidden="1">
      <c r="B116" s="7" t="s">
        <v>129</v>
      </c>
      <c r="C116" s="7" t="str">
        <f>IFERROR(VLOOKUP(B116,'Master data'!$A$1:$F$1000,2,FALSE),"")</f>
        <v>B001-056</v>
      </c>
      <c r="D116" s="7" t="str">
        <f>IFERROR(VLOOKUP(B116,'Master data'!$A$1:$F$1000,6,FALSE),"")</f>
        <v>bahan baku</v>
      </c>
      <c r="E116" s="16">
        <f>2</f>
        <v>2</v>
      </c>
      <c r="F116" s="7" t="str">
        <f>IFERROR(VLOOKUP(B116,'Master data'!$A$1:$F$1000,3,FALSE),"")</f>
        <v>ML</v>
      </c>
      <c r="G116" s="36" t="s">
        <v>1872</v>
      </c>
      <c r="I116" s="7" t="s">
        <v>1548</v>
      </c>
      <c r="J116" s="7" t="s">
        <v>1561</v>
      </c>
      <c r="K116" s="7" t="b">
        <v>1</v>
      </c>
      <c r="L116" s="16" t="b">
        <v>0</v>
      </c>
    </row>
    <row r="117" hidden="1">
      <c r="B117" s="7" t="s">
        <v>851</v>
      </c>
      <c r="C117" s="7" t="str">
        <f>IFERROR(VLOOKUP(B117,'Master data'!$A$1:$F$1000,2,FALSE),"")</f>
        <v>B001-137</v>
      </c>
      <c r="D117" s="7" t="str">
        <f>IFERROR(VLOOKUP(B117,'Master data'!$A$1:$F$1000,6,FALSE),"")</f>
        <v>bahan baku</v>
      </c>
      <c r="E117" s="7">
        <v>1.0</v>
      </c>
      <c r="F117" s="7" t="str">
        <f>IFERROR(VLOOKUP(B117,'Master data'!$A$1:$F$1000,3,FALSE),"")</f>
        <v>PCS</v>
      </c>
      <c r="G117" s="36" t="s">
        <v>1875</v>
      </c>
      <c r="I117" s="7" t="s">
        <v>1548</v>
      </c>
      <c r="J117" s="7" t="s">
        <v>1561</v>
      </c>
      <c r="K117" s="7" t="b">
        <v>1</v>
      </c>
      <c r="L117" s="16" t="b">
        <v>0</v>
      </c>
    </row>
    <row r="118" hidden="1">
      <c r="B118" s="7" t="s">
        <v>1257</v>
      </c>
      <c r="C118" s="7" t="str">
        <f>IFERROR(VLOOKUP(B118,'Master data'!$A$1:$F$1000,2,FALSE),"")</f>
        <v>P004-043</v>
      </c>
      <c r="D118" s="7" t="str">
        <f>IFERROR(VLOOKUP(B118,'Master data'!$A$1:$F$1000,6,FALSE),"")</f>
        <v>barang jadi &amp; bahan baku</v>
      </c>
      <c r="E118" s="7">
        <v>52.0</v>
      </c>
      <c r="F118" s="7" t="s">
        <v>20</v>
      </c>
      <c r="G118" s="36" t="s">
        <v>1404</v>
      </c>
      <c r="H118" s="36" t="s">
        <v>1539</v>
      </c>
      <c r="I118" s="7" t="s">
        <v>1542</v>
      </c>
      <c r="J118" s="7" t="s">
        <v>1561</v>
      </c>
      <c r="K118" s="7" t="b">
        <v>1</v>
      </c>
      <c r="L118" s="16" t="b">
        <v>0</v>
      </c>
    </row>
    <row r="119">
      <c r="B119" s="7" t="s">
        <v>211</v>
      </c>
      <c r="C119" s="7" t="str">
        <f>IFERROR(VLOOKUP(B119,'Master data'!$A$1:$F$1000,2,FALSE),"")</f>
        <v>B001-088</v>
      </c>
      <c r="D119" s="7" t="str">
        <f>IFERROR(VLOOKUP(B119,'Master data'!$A$1:$F$1000,6,FALSE),"")</f>
        <v>bahan baku</v>
      </c>
      <c r="E119" s="7">
        <v>4995.0</v>
      </c>
      <c r="F119" s="7" t="str">
        <f>IFERROR(VLOOKUP(B119,'Master data'!$A$1:$F$1000,3,FALSE),"")</f>
        <v>GR</v>
      </c>
      <c r="G119" s="36" t="s">
        <v>1475</v>
      </c>
      <c r="H119" s="36" t="s">
        <v>1803</v>
      </c>
      <c r="I119" s="7" t="s">
        <v>1556</v>
      </c>
      <c r="J119" s="7" t="s">
        <v>61</v>
      </c>
      <c r="K119" s="7" t="b">
        <v>0</v>
      </c>
      <c r="L119" s="16" t="b">
        <v>0</v>
      </c>
    </row>
    <row r="120" hidden="1">
      <c r="B120" s="7" t="s">
        <v>657</v>
      </c>
      <c r="C120" s="7" t="str">
        <f>IFERROR(VLOOKUP(B120,'Master data'!$A$1:$F$1000,2,FALSE),"")</f>
        <v>P004-023</v>
      </c>
      <c r="D120" s="7" t="str">
        <f>IFERROR(VLOOKUP(B120,'Master data'!$A$1:$F$1000,6,FALSE),"")</f>
        <v>barang jadi &amp; bahan baku</v>
      </c>
      <c r="E120" s="7">
        <v>518.0</v>
      </c>
      <c r="F120" s="7" t="str">
        <f>IFERROR(VLOOKUP(B120,'Master data'!$A$1:$F$1000,3,FALSE),"")</f>
        <v>GR</v>
      </c>
      <c r="G120" s="36" t="s">
        <v>1216</v>
      </c>
      <c r="H120" s="36" t="s">
        <v>1567</v>
      </c>
      <c r="I120" s="7" t="s">
        <v>1552</v>
      </c>
      <c r="J120" s="7" t="s">
        <v>1561</v>
      </c>
      <c r="K120" s="7" t="b">
        <v>1</v>
      </c>
      <c r="L120" s="16" t="b">
        <v>0</v>
      </c>
    </row>
    <row r="121" hidden="1">
      <c r="B121" s="7" t="s">
        <v>653</v>
      </c>
      <c r="C121" s="7" t="str">
        <f>IFERROR(VLOOKUP(B121,'Master data'!$A$1:$F$1000,2,FALSE),"")</f>
        <v>P004-022</v>
      </c>
      <c r="D121" s="7" t="str">
        <f>IFERROR(VLOOKUP(B121,'Master data'!$A$1:$F$1000,6,FALSE),"")</f>
        <v>barang jadi &amp; bahan baku</v>
      </c>
      <c r="E121" s="7">
        <v>470.0</v>
      </c>
      <c r="F121" s="7" t="str">
        <f>IFERROR(VLOOKUP(B121,'Master data'!$A$1:$F$1000,3,FALSE),"")</f>
        <v>GR</v>
      </c>
      <c r="G121" s="36" t="s">
        <v>1216</v>
      </c>
      <c r="H121" s="36" t="s">
        <v>1567</v>
      </c>
      <c r="I121" s="7" t="s">
        <v>1552</v>
      </c>
      <c r="J121" s="7" t="s">
        <v>1561</v>
      </c>
      <c r="K121" s="7" t="b">
        <v>1</v>
      </c>
      <c r="L121" s="16" t="b">
        <v>0</v>
      </c>
    </row>
    <row r="122" hidden="1">
      <c r="B122" s="7" t="s">
        <v>660</v>
      </c>
      <c r="C122" s="7" t="str">
        <f>IFERROR(VLOOKUP(B122,'Master data'!$A$1:$F$1000,2,FALSE),"")</f>
        <v>P004-024</v>
      </c>
      <c r="D122" s="7" t="str">
        <f>IFERROR(VLOOKUP(B122,'Master data'!$A$1:$F$1000,6,FALSE),"")</f>
        <v>barang jadi &amp; bahan baku</v>
      </c>
      <c r="E122" s="7">
        <v>345.0</v>
      </c>
      <c r="F122" s="7" t="str">
        <f>IFERROR(VLOOKUP(B122,'Master data'!$A$1:$F$1000,3,FALSE),"")</f>
        <v>ML</v>
      </c>
      <c r="G122" s="36" t="s">
        <v>1216</v>
      </c>
      <c r="H122" s="36" t="s">
        <v>1567</v>
      </c>
      <c r="I122" s="7" t="s">
        <v>1552</v>
      </c>
      <c r="J122" s="7" t="s">
        <v>1561</v>
      </c>
      <c r="K122" s="7" t="b">
        <v>1</v>
      </c>
      <c r="L122" s="16" t="b">
        <v>0</v>
      </c>
    </row>
    <row r="123">
      <c r="A123" s="36">
        <v>16.0</v>
      </c>
      <c r="B123" s="7" t="s">
        <v>926</v>
      </c>
      <c r="C123" s="7" t="str">
        <f>IFERROR(VLOOKUP(B123,'Master data'!$A$1:$F$1000,2,FALSE),"")</f>
        <v>B001-165</v>
      </c>
      <c r="D123" s="7" t="str">
        <f>IFERROR(VLOOKUP(B123,'Master data'!$A$1:$F$1000,6,FALSE),"")</f>
        <v>bahan baku</v>
      </c>
      <c r="E123" s="7">
        <v>145.0</v>
      </c>
      <c r="F123" s="7" t="s">
        <v>20</v>
      </c>
      <c r="G123" s="36" t="s">
        <v>1525</v>
      </c>
      <c r="H123" s="36" t="s">
        <v>1225</v>
      </c>
      <c r="I123" s="7" t="s">
        <v>1548</v>
      </c>
      <c r="J123" s="7" t="s">
        <v>61</v>
      </c>
      <c r="K123" s="16" t="b">
        <v>0</v>
      </c>
      <c r="L123" s="16" t="b">
        <v>0</v>
      </c>
    </row>
    <row r="124" hidden="1">
      <c r="B124" s="7" t="s">
        <v>660</v>
      </c>
      <c r="C124" s="7" t="str">
        <f>IFERROR(VLOOKUP(B124,'Master data'!$A$1:$F$1000,2,FALSE),"")</f>
        <v>P004-024</v>
      </c>
      <c r="D124" s="7" t="str">
        <f>IFERROR(VLOOKUP(B124,'Master data'!$A$1:$F$1000,6,FALSE),"")</f>
        <v>barang jadi &amp; bahan baku</v>
      </c>
      <c r="E124" s="7">
        <v>235.0</v>
      </c>
      <c r="F124" s="7" t="str">
        <f>IFERROR(VLOOKUP(B124,'Master data'!$A$1:$F$1000,3,FALSE),"")</f>
        <v>ML</v>
      </c>
      <c r="G124" s="36" t="s">
        <v>1216</v>
      </c>
      <c r="H124" s="36" t="s">
        <v>1567</v>
      </c>
      <c r="I124" s="7" t="s">
        <v>1552</v>
      </c>
      <c r="J124" s="7" t="s">
        <v>1561</v>
      </c>
      <c r="K124" s="7" t="b">
        <v>1</v>
      </c>
      <c r="L124" s="16" t="b">
        <v>0</v>
      </c>
    </row>
    <row r="125">
      <c r="B125" s="7" t="s">
        <v>211</v>
      </c>
      <c r="C125" s="7" t="str">
        <f>IFERROR(VLOOKUP(B125,'Master data'!$A$1:$F$1000,2,FALSE),"")</f>
        <v>B001-088</v>
      </c>
      <c r="D125" s="7" t="str">
        <f>IFERROR(VLOOKUP(B125,'Master data'!$A$1:$F$1000,6,FALSE),"")</f>
        <v>bahan baku</v>
      </c>
      <c r="E125" s="7">
        <v>3515.0</v>
      </c>
      <c r="F125" s="7" t="str">
        <f>IFERROR(VLOOKUP(B125,'Master data'!$A$1:$F$1000,3,FALSE),"")</f>
        <v>GR</v>
      </c>
      <c r="G125" s="36" t="s">
        <v>1475</v>
      </c>
      <c r="H125" s="36" t="s">
        <v>1803</v>
      </c>
      <c r="I125" s="7" t="s">
        <v>1556</v>
      </c>
      <c r="J125" s="7" t="s">
        <v>61</v>
      </c>
      <c r="K125" s="16" t="b">
        <v>0</v>
      </c>
      <c r="L125" s="16" t="b">
        <v>0</v>
      </c>
    </row>
    <row r="126" hidden="1">
      <c r="B126" s="7" t="s">
        <v>132</v>
      </c>
      <c r="C126" s="7" t="str">
        <f>IFERROR(VLOOKUP(B126,'Master data'!$A$1:$F$1000,2,FALSE),"")</f>
        <v>B001-057</v>
      </c>
      <c r="D126" s="7" t="str">
        <f>IFERROR(VLOOKUP(B126,'Master data'!$A$1:$F$1000,6,FALSE),"")</f>
        <v>bahan baku</v>
      </c>
      <c r="E126" s="7">
        <v>166.0</v>
      </c>
      <c r="F126" s="7" t="str">
        <f>IFERROR(VLOOKUP(B126,'Master data'!$A$1:$F$1000,3,FALSE),"")</f>
        <v>GR</v>
      </c>
      <c r="G126" s="36" t="s">
        <v>1245</v>
      </c>
      <c r="H126" s="36" t="s">
        <v>1539</v>
      </c>
      <c r="I126" s="7" t="s">
        <v>1542</v>
      </c>
      <c r="J126" s="7" t="s">
        <v>1561</v>
      </c>
      <c r="K126" s="7" t="b">
        <v>1</v>
      </c>
      <c r="L126" s="16" t="b">
        <v>0</v>
      </c>
    </row>
    <row r="127" hidden="1">
      <c r="B127" s="7" t="s">
        <v>629</v>
      </c>
      <c r="C127" s="7" t="str">
        <f>IFERROR(VLOOKUP(B127,'Master data'!$A$1:$F$1000,2,FALSE),"")</f>
        <v>P004-012</v>
      </c>
      <c r="D127" s="7" t="str">
        <f>IFERROR(VLOOKUP(B127,'Master data'!$A$1:$F$1000,6,FALSE),"")</f>
        <v>barang jadi &amp; bahan baku</v>
      </c>
      <c r="E127" s="7">
        <v>189.0</v>
      </c>
      <c r="F127" s="7" t="str">
        <f>IFERROR(VLOOKUP(B127,'Master data'!$A$1:$F$1000,3,FALSE),"")</f>
        <v>GR</v>
      </c>
      <c r="G127" s="36" t="s">
        <v>1164</v>
      </c>
      <c r="I127" s="7" t="s">
        <v>1542</v>
      </c>
      <c r="J127" s="7" t="s">
        <v>1561</v>
      </c>
      <c r="K127" s="7" t="b">
        <v>1</v>
      </c>
      <c r="L127" s="16" t="b">
        <v>0</v>
      </c>
    </row>
    <row r="128" hidden="1">
      <c r="A128" s="36">
        <v>17.0</v>
      </c>
      <c r="B128" s="7" t="s">
        <v>698</v>
      </c>
      <c r="C128" s="7" t="str">
        <f>IFERROR(VLOOKUP(B128,'Master data'!$A$1:$F$1000,2,FALSE),"")</f>
        <v>P004-038</v>
      </c>
      <c r="D128" s="7" t="str">
        <f>IFERROR(VLOOKUP(B128,'Master data'!$A$1:$F$1000,6,FALSE),"")</f>
        <v>barang jadi &amp; bahan baku</v>
      </c>
      <c r="E128" s="7">
        <v>2.0</v>
      </c>
      <c r="F128" s="7" t="str">
        <f>IFERROR(VLOOKUP(B128,'Master data'!$A$1:$F$1000,3,FALSE),"")</f>
        <v>PRS</v>
      </c>
      <c r="G128" s="36" t="s">
        <v>1377</v>
      </c>
      <c r="H128" s="36" t="s">
        <v>1441</v>
      </c>
      <c r="I128" s="7" t="s">
        <v>1542</v>
      </c>
      <c r="J128" s="7" t="s">
        <v>1561</v>
      </c>
      <c r="K128" s="7" t="b">
        <v>1</v>
      </c>
      <c r="L128" s="16" t="b">
        <v>0</v>
      </c>
    </row>
    <row r="129" hidden="1">
      <c r="B129" s="7" t="s">
        <v>28</v>
      </c>
      <c r="C129" s="7" t="str">
        <f>IFERROR(VLOOKUP(B129,'Master data'!$A$1:$F$1000,2,FALSE),"")</f>
        <v>B001-006</v>
      </c>
      <c r="D129" s="7" t="str">
        <f>IFERROR(VLOOKUP(B129,'Master data'!$A$1:$F$1000,6,FALSE),"")</f>
        <v>bahan baku</v>
      </c>
      <c r="E129" s="7">
        <v>6.0</v>
      </c>
      <c r="F129" s="7" t="str">
        <f>IFERROR(VLOOKUP(B129,'Master data'!$A$1:$F$1000,3,FALSE),"")</f>
        <v>GR</v>
      </c>
      <c r="G129" s="36" t="s">
        <v>1370</v>
      </c>
      <c r="H129" s="36" t="s">
        <v>1441</v>
      </c>
      <c r="I129" s="7" t="s">
        <v>1542</v>
      </c>
      <c r="J129" s="7" t="s">
        <v>61</v>
      </c>
      <c r="K129" s="7" t="b">
        <v>1</v>
      </c>
      <c r="L129" s="16" t="b">
        <v>0</v>
      </c>
    </row>
    <row r="130" hidden="1">
      <c r="B130" s="7" t="s">
        <v>298</v>
      </c>
      <c r="C130" s="7" t="str">
        <f>IFERROR(VLOOKUP(B130,'Master data'!$A$1:$F$1000,2,FALSE),"")</f>
        <v>B001-125</v>
      </c>
      <c r="D130" s="7" t="str">
        <f>IFERROR(VLOOKUP(B130,'Master data'!$A$1:$F$1000,6,FALSE),"")</f>
        <v>bahan baku</v>
      </c>
      <c r="E130" s="7">
        <v>70.0</v>
      </c>
      <c r="F130" s="7" t="str">
        <f>IFERROR(VLOOKUP(B130,'Master data'!$A$1:$F$1000,3,FALSE),"")</f>
        <v>GR</v>
      </c>
      <c r="G130" s="36" t="s">
        <v>1224</v>
      </c>
      <c r="H130" s="36" t="s">
        <v>1441</v>
      </c>
      <c r="I130" s="7" t="s">
        <v>1542</v>
      </c>
      <c r="J130" s="7" t="s">
        <v>1561</v>
      </c>
      <c r="K130" s="7" t="b">
        <v>1</v>
      </c>
      <c r="L130" s="16" t="b">
        <v>0</v>
      </c>
    </row>
    <row r="131">
      <c r="B131" s="7" t="s">
        <v>211</v>
      </c>
      <c r="C131" s="7" t="str">
        <f>IFERROR(VLOOKUP(B131,'Master data'!$A$1:$F$1000,2,FALSE),"")</f>
        <v>B001-088</v>
      </c>
      <c r="D131" s="7" t="str">
        <f>IFERROR(VLOOKUP(B131,'Master data'!$A$1:$F$1000,6,FALSE),"")</f>
        <v>bahan baku</v>
      </c>
      <c r="E131" s="7">
        <v>3875.0</v>
      </c>
      <c r="F131" s="7" t="str">
        <f>IFERROR(VLOOKUP(B131,'Master data'!$A$1:$F$1000,3,FALSE),"")</f>
        <v>GR</v>
      </c>
      <c r="G131" s="36" t="s">
        <v>1475</v>
      </c>
      <c r="H131" s="36" t="s">
        <v>1567</v>
      </c>
      <c r="I131" s="7" t="s">
        <v>1556</v>
      </c>
      <c r="J131" s="7" t="s">
        <v>61</v>
      </c>
      <c r="K131" s="7" t="b">
        <v>0</v>
      </c>
      <c r="L131" s="16" t="b">
        <v>0</v>
      </c>
    </row>
    <row r="132" hidden="1">
      <c r="B132" s="7" t="s">
        <v>653</v>
      </c>
      <c r="C132" s="7" t="str">
        <f>IFERROR(VLOOKUP(B132,'Master data'!$A$1:$F$1000,2,FALSE),"")</f>
        <v>P004-022</v>
      </c>
      <c r="D132" s="7" t="str">
        <f>IFERROR(VLOOKUP(B132,'Master data'!$A$1:$F$1000,6,FALSE),"")</f>
        <v>barang jadi &amp; bahan baku</v>
      </c>
      <c r="E132" s="7">
        <v>806.0</v>
      </c>
      <c r="F132" s="7" t="str">
        <f>IFERROR(VLOOKUP(B132,'Master data'!$A$1:$F$1000,3,FALSE),"")</f>
        <v>GR</v>
      </c>
      <c r="G132" s="36" t="s">
        <v>1216</v>
      </c>
      <c r="H132" s="36" t="s">
        <v>1843</v>
      </c>
      <c r="I132" s="7" t="s">
        <v>1552</v>
      </c>
      <c r="J132" s="7" t="s">
        <v>1561</v>
      </c>
      <c r="K132" s="7" t="b">
        <v>1</v>
      </c>
      <c r="L132" s="16" t="b">
        <v>0</v>
      </c>
    </row>
    <row r="133" hidden="1">
      <c r="B133" s="7" t="s">
        <v>657</v>
      </c>
      <c r="C133" s="7" t="str">
        <f>IFERROR(VLOOKUP(B133,'Master data'!$A$1:$F$1000,2,FALSE),"")</f>
        <v>P004-023</v>
      </c>
      <c r="D133" s="7" t="str">
        <f>IFERROR(VLOOKUP(B133,'Master data'!$A$1:$F$1000,6,FALSE),"")</f>
        <v>barang jadi &amp; bahan baku</v>
      </c>
      <c r="E133" s="7">
        <v>800.0</v>
      </c>
      <c r="F133" s="7" t="str">
        <f>IFERROR(VLOOKUP(B133,'Master data'!$A$1:$F$1000,3,FALSE),"")</f>
        <v>GR</v>
      </c>
      <c r="G133" s="36" t="s">
        <v>1216</v>
      </c>
      <c r="I133" s="7" t="s">
        <v>1552</v>
      </c>
      <c r="J133" s="7" t="s">
        <v>1561</v>
      </c>
      <c r="K133" s="7" t="b">
        <v>1</v>
      </c>
      <c r="L133" s="16" t="b">
        <v>0</v>
      </c>
    </row>
    <row r="134" hidden="1">
      <c r="A134" s="36">
        <v>18.0</v>
      </c>
      <c r="B134" s="7" t="s">
        <v>648</v>
      </c>
      <c r="C134" s="7" t="str">
        <f>IFERROR(VLOOKUP(B134,'Master data'!$A$1:$F$1000,2,FALSE),"")</f>
        <v>P004-020</v>
      </c>
      <c r="D134" s="7" t="str">
        <f>IFERROR(VLOOKUP(B134,'Master data'!$A$1:$F$1000,6,FALSE),"")</f>
        <v>barang jadi &amp; bahan baku</v>
      </c>
      <c r="E134" s="7">
        <v>563.0</v>
      </c>
      <c r="F134" s="7" t="s">
        <v>20</v>
      </c>
      <c r="G134" s="36" t="s">
        <v>1455</v>
      </c>
      <c r="H134" s="36" t="s">
        <v>1512</v>
      </c>
      <c r="I134" s="7" t="s">
        <v>1552</v>
      </c>
      <c r="J134" s="7" t="s">
        <v>1561</v>
      </c>
      <c r="K134" s="7" t="b">
        <v>1</v>
      </c>
      <c r="L134" s="16" t="b">
        <v>0</v>
      </c>
    </row>
    <row r="135" hidden="1">
      <c r="B135" s="7" t="s">
        <v>930</v>
      </c>
      <c r="C135" s="7" t="str">
        <f>IFERROR(VLOOKUP(B135,'Master data'!$A$1:$F$1000,2,FALSE),"")</f>
        <v>B001-166</v>
      </c>
      <c r="D135" s="7" t="str">
        <f>IFERROR(VLOOKUP(B135,'Master data'!$A$1:$F$1000,6,FALSE),"")</f>
        <v>bahan baku</v>
      </c>
      <c r="E135" s="7">
        <v>125.0</v>
      </c>
      <c r="F135" s="7" t="s">
        <v>20</v>
      </c>
      <c r="G135" s="36" t="s">
        <v>1878</v>
      </c>
      <c r="H135" s="36" t="s">
        <v>1225</v>
      </c>
      <c r="I135" s="7" t="s">
        <v>1548</v>
      </c>
      <c r="J135" s="7" t="s">
        <v>1561</v>
      </c>
      <c r="K135" s="7" t="b">
        <v>1</v>
      </c>
      <c r="L135" s="16" t="b">
        <v>0</v>
      </c>
    </row>
    <row r="136">
      <c r="B136" s="7" t="s">
        <v>926</v>
      </c>
      <c r="C136" s="7" t="str">
        <f>IFERROR(VLOOKUP(B136,'Master data'!$A$1:$F$1000,2,FALSE),"")</f>
        <v>B001-165</v>
      </c>
      <c r="D136" s="7" t="str">
        <f>IFERROR(VLOOKUP(B136,'Master data'!$A$1:$F$1000,6,FALSE),"")</f>
        <v>bahan baku</v>
      </c>
      <c r="E136" s="7">
        <v>105.0</v>
      </c>
      <c r="F136" s="7" t="s">
        <v>20</v>
      </c>
      <c r="G136" s="36" t="s">
        <v>1525</v>
      </c>
      <c r="I136" s="7" t="s">
        <v>1548</v>
      </c>
      <c r="J136" s="7" t="s">
        <v>61</v>
      </c>
      <c r="K136" s="16" t="b">
        <v>0</v>
      </c>
      <c r="L136" s="16" t="b">
        <v>0</v>
      </c>
    </row>
    <row r="137" hidden="1">
      <c r="B137" s="7" t="s">
        <v>33</v>
      </c>
      <c r="C137" s="7" t="str">
        <f>IFERROR(VLOOKUP(B137,'Master data'!$A$1:$F$1000,2,FALSE),"")</f>
        <v>B001-008</v>
      </c>
      <c r="D137" s="7" t="str">
        <f>IFERROR(VLOOKUP(B137,'Master data'!$A$1:$F$1000,6,FALSE),"")</f>
        <v>bahan baku</v>
      </c>
      <c r="E137" s="7">
        <v>314.0</v>
      </c>
      <c r="F137" s="7" t="str">
        <f>IFERROR(VLOOKUP(B137,'Master data'!$A$1:$F$1000,3,FALSE),"")</f>
        <v>GR</v>
      </c>
      <c r="G137" s="36" t="s">
        <v>1872</v>
      </c>
      <c r="I137" s="7" t="s">
        <v>1548</v>
      </c>
      <c r="J137" s="7" t="s">
        <v>1561</v>
      </c>
      <c r="K137" s="7" t="b">
        <v>1</v>
      </c>
      <c r="L137" s="16" t="b">
        <v>0</v>
      </c>
    </row>
    <row r="138" hidden="1">
      <c r="B138" s="7" t="s">
        <v>129</v>
      </c>
      <c r="C138" s="7" t="str">
        <f>IFERROR(VLOOKUP(B138,'Master data'!$A$1:$F$1000,2,FALSE),"")</f>
        <v>B001-056</v>
      </c>
      <c r="D138" s="7" t="str">
        <f>IFERROR(VLOOKUP(B138,'Master data'!$A$1:$F$1000,6,FALSE),"")</f>
        <v>bahan baku</v>
      </c>
      <c r="E138" s="7">
        <v>3.0</v>
      </c>
      <c r="F138" s="7" t="str">
        <f>IFERROR(VLOOKUP(B138,'Master data'!$A$1:$F$1000,3,FALSE),"")</f>
        <v>ML</v>
      </c>
      <c r="G138" s="36" t="s">
        <v>1872</v>
      </c>
      <c r="I138" s="7" t="s">
        <v>1548</v>
      </c>
      <c r="J138" s="7" t="s">
        <v>1561</v>
      </c>
      <c r="K138" s="7" t="b">
        <v>1</v>
      </c>
      <c r="L138" s="16" t="b">
        <v>0</v>
      </c>
    </row>
    <row r="139">
      <c r="B139" s="7" t="s">
        <v>54</v>
      </c>
      <c r="C139" s="7" t="str">
        <f>IFERROR(VLOOKUP(B139,'Master data'!$A$1:$F$1000,2,FALSE),"")</f>
        <v>B001-019</v>
      </c>
      <c r="D139" s="7" t="str">
        <f>IFERROR(VLOOKUP(B139,'Master data'!$A$1:$F$1000,6,FALSE),"")</f>
        <v>bahan baku</v>
      </c>
      <c r="E139" s="7">
        <v>71.0</v>
      </c>
      <c r="F139" s="7" t="str">
        <f>IFERROR(VLOOKUP(B139,'Master data'!$A$1:$F$1000,3,FALSE),"")</f>
        <v>GR</v>
      </c>
      <c r="G139" s="36" t="s">
        <v>1879</v>
      </c>
      <c r="H139" s="36" t="s">
        <v>1539</v>
      </c>
      <c r="I139" s="7" t="s">
        <v>1542</v>
      </c>
      <c r="J139" s="7" t="s">
        <v>61</v>
      </c>
      <c r="K139" s="16" t="b">
        <v>0</v>
      </c>
      <c r="L139" s="16" t="b">
        <v>0</v>
      </c>
    </row>
    <row r="140" hidden="1">
      <c r="B140" s="7" t="s">
        <v>132</v>
      </c>
      <c r="C140" s="7" t="str">
        <f>IFERROR(VLOOKUP(B140,'Master data'!$A$1:$F$1000,2,FALSE),"")</f>
        <v>B001-057</v>
      </c>
      <c r="D140" s="7" t="str">
        <f>IFERROR(VLOOKUP(B140,'Master data'!$A$1:$F$1000,6,FALSE),"")</f>
        <v>bahan baku</v>
      </c>
      <c r="E140" s="7">
        <v>69.0</v>
      </c>
      <c r="F140" s="7" t="str">
        <f>IFERROR(VLOOKUP(B140,'Master data'!$A$1:$F$1000,3,FALSE),"")</f>
        <v>GR</v>
      </c>
      <c r="G140" s="36" t="s">
        <v>1245</v>
      </c>
      <c r="H140" s="36" t="s">
        <v>1384</v>
      </c>
      <c r="I140" s="7" t="s">
        <v>1542</v>
      </c>
      <c r="J140" s="7" t="s">
        <v>1561</v>
      </c>
      <c r="K140" s="7" t="b">
        <v>1</v>
      </c>
      <c r="L140" s="16" t="b">
        <v>0</v>
      </c>
    </row>
    <row r="141" hidden="1">
      <c r="B141" s="7" t="s">
        <v>148</v>
      </c>
      <c r="C141" s="7" t="str">
        <f>IFERROR(VLOOKUP(B141,'Master data'!$A$1:$F$1000,2,FALSE),"")</f>
        <v>B001-064</v>
      </c>
      <c r="D141" s="7" t="str">
        <f>IFERROR(VLOOKUP(B141,'Master data'!$A$1:$F$1000,6,FALSE),"")</f>
        <v>bahan baku</v>
      </c>
      <c r="E141" s="7">
        <v>92.0</v>
      </c>
      <c r="F141" s="7" t="str">
        <f>IFERROR(VLOOKUP(B141,'Master data'!$A$1:$F$1000,3,FALSE),"")</f>
        <v>GR</v>
      </c>
      <c r="G141" s="36" t="s">
        <v>1224</v>
      </c>
      <c r="I141" s="7" t="s">
        <v>1542</v>
      </c>
      <c r="J141" s="7" t="s">
        <v>1561</v>
      </c>
      <c r="K141" s="7" t="b">
        <v>1</v>
      </c>
      <c r="L141" s="16" t="b">
        <v>0</v>
      </c>
    </row>
    <row r="142">
      <c r="B142" s="7" t="s">
        <v>118</v>
      </c>
      <c r="C142" s="7" t="str">
        <f>IFERROR(VLOOKUP(B142,'Master data'!$A$1:$F$1000,2,FALSE),"")</f>
        <v>B001-007</v>
      </c>
      <c r="D142" s="7" t="str">
        <f>IFERROR(VLOOKUP(B142,'Master data'!$A$1:$F$1000,6,FALSE),"")</f>
        <v>bahan baku</v>
      </c>
      <c r="E142" s="7">
        <v>106.0</v>
      </c>
      <c r="F142" s="7" t="str">
        <f>IFERROR(VLOOKUP(B142,'Master data'!$A$1:$F$1000,3,FALSE),"")</f>
        <v>GR</v>
      </c>
      <c r="G142" s="36" t="s">
        <v>1529</v>
      </c>
      <c r="I142" s="7" t="s">
        <v>1542</v>
      </c>
      <c r="J142" s="7" t="s">
        <v>61</v>
      </c>
      <c r="K142" s="16" t="b">
        <v>0</v>
      </c>
      <c r="L142" s="16" t="b">
        <v>0</v>
      </c>
    </row>
    <row r="143">
      <c r="B143" s="7" t="s">
        <v>52</v>
      </c>
      <c r="C143" s="7" t="str">
        <f>IFERROR(VLOOKUP(B143,'Master data'!$A$1:$F$1000,2,FALSE),"")</f>
        <v>B001-018</v>
      </c>
      <c r="D143" s="7" t="str">
        <f>IFERROR(VLOOKUP(B143,'Master data'!$A$1:$F$1000,6,FALSE),"")</f>
        <v>bahan baku</v>
      </c>
      <c r="E143" s="7">
        <v>184.0</v>
      </c>
      <c r="F143" s="7" t="str">
        <f>IFERROR(VLOOKUP(B143,'Master data'!$A$1:$F$1000,3,FALSE),"")</f>
        <v>GR</v>
      </c>
      <c r="G143" s="36" t="s">
        <v>1527</v>
      </c>
      <c r="I143" s="7" t="s">
        <v>1542</v>
      </c>
      <c r="J143" s="7" t="s">
        <v>61</v>
      </c>
      <c r="K143" s="16" t="b">
        <v>0</v>
      </c>
      <c r="L143" s="16" t="b">
        <v>0</v>
      </c>
    </row>
    <row r="144" hidden="1">
      <c r="B144" s="7" t="s">
        <v>653</v>
      </c>
      <c r="C144" s="7" t="str">
        <f>IFERROR(VLOOKUP(B144,'Master data'!$A$1:$F$1000,2,FALSE),"")</f>
        <v>P004-022</v>
      </c>
      <c r="D144" s="7" t="str">
        <f>IFERROR(VLOOKUP(B144,'Master data'!$A$1:$F$1000,6,FALSE),"")</f>
        <v>barang jadi &amp; bahan baku</v>
      </c>
      <c r="E144" s="7">
        <v>143.0</v>
      </c>
      <c r="F144" s="7" t="str">
        <f>IFERROR(VLOOKUP(B144,'Master data'!$A$1:$F$1000,3,FALSE),"")</f>
        <v>GR</v>
      </c>
      <c r="G144" s="36" t="s">
        <v>1216</v>
      </c>
      <c r="H144" s="36" t="s">
        <v>1843</v>
      </c>
      <c r="I144" s="7" t="s">
        <v>1552</v>
      </c>
      <c r="J144" s="7" t="s">
        <v>1561</v>
      </c>
      <c r="K144" s="7" t="b">
        <v>1</v>
      </c>
      <c r="L144" s="16" t="b">
        <v>0</v>
      </c>
    </row>
    <row r="145" hidden="1">
      <c r="B145" s="7" t="s">
        <v>657</v>
      </c>
      <c r="C145" s="7" t="str">
        <f>IFERROR(VLOOKUP(B145,'Master data'!$A$1:$F$1000,2,FALSE),"")</f>
        <v>P004-023</v>
      </c>
      <c r="D145" s="7" t="str">
        <f>IFERROR(VLOOKUP(B145,'Master data'!$A$1:$F$1000,6,FALSE),"")</f>
        <v>barang jadi &amp; bahan baku</v>
      </c>
      <c r="E145" s="7">
        <v>322.0</v>
      </c>
      <c r="F145" s="7" t="str">
        <f>IFERROR(VLOOKUP(B145,'Master data'!$A$1:$F$1000,3,FALSE),"")</f>
        <v>GR</v>
      </c>
      <c r="G145" s="36" t="s">
        <v>1216</v>
      </c>
      <c r="I145" s="7" t="s">
        <v>1552</v>
      </c>
      <c r="J145" s="7" t="s">
        <v>1561</v>
      </c>
      <c r="K145" s="7" t="b">
        <v>1</v>
      </c>
      <c r="L145" s="16" t="b">
        <v>0</v>
      </c>
    </row>
    <row r="146" hidden="1">
      <c r="B146" s="7" t="s">
        <v>660</v>
      </c>
      <c r="C146" s="7" t="str">
        <f>IFERROR(VLOOKUP(B146,'Master data'!$A$1:$F$1000,2,FALSE),"")</f>
        <v>P004-024</v>
      </c>
      <c r="D146" s="7" t="str">
        <f>IFERROR(VLOOKUP(B146,'Master data'!$A$1:$F$1000,6,FALSE),"")</f>
        <v>barang jadi &amp; bahan baku</v>
      </c>
      <c r="E146" s="7">
        <v>731.0</v>
      </c>
      <c r="F146" s="7" t="str">
        <f>IFERROR(VLOOKUP(B146,'Master data'!$A$1:$F$1000,3,FALSE),"")</f>
        <v>ML</v>
      </c>
      <c r="G146" s="36" t="s">
        <v>1216</v>
      </c>
      <c r="I146" s="7" t="s">
        <v>1552</v>
      </c>
      <c r="J146" s="7" t="s">
        <v>1561</v>
      </c>
      <c r="K146" s="7" t="b">
        <v>1</v>
      </c>
      <c r="L146" s="16" t="b">
        <v>0</v>
      </c>
    </row>
    <row r="147">
      <c r="B147" s="7" t="s">
        <v>211</v>
      </c>
      <c r="C147" s="7" t="str">
        <f>IFERROR(VLOOKUP(B147,'Master data'!$A$1:$F$1000,2,FALSE),"")</f>
        <v>B001-088</v>
      </c>
      <c r="D147" s="7" t="str">
        <f>IFERROR(VLOOKUP(B147,'Master data'!$A$1:$F$1000,6,FALSE),"")</f>
        <v>bahan baku</v>
      </c>
      <c r="E147" s="7">
        <v>3155.0</v>
      </c>
      <c r="F147" s="7" t="str">
        <f>IFERROR(VLOOKUP(B147,'Master data'!$A$1:$F$1000,3,FALSE),"")</f>
        <v>GR</v>
      </c>
      <c r="G147" s="36" t="s">
        <v>1475</v>
      </c>
      <c r="H147" s="36" t="s">
        <v>1567</v>
      </c>
      <c r="I147" s="7" t="s">
        <v>1556</v>
      </c>
      <c r="J147" s="7" t="s">
        <v>61</v>
      </c>
      <c r="K147" s="16" t="b">
        <v>0</v>
      </c>
      <c r="L147" s="16" t="b">
        <v>0</v>
      </c>
    </row>
    <row r="148">
      <c r="B148" s="7" t="s">
        <v>570</v>
      </c>
      <c r="C148" s="7" t="str">
        <f>IFERROR(VLOOKUP(B148,'Master data'!$A$1:$F$1000,2,FALSE),"")</f>
        <v>B001-054</v>
      </c>
      <c r="D148" s="7" t="str">
        <f>IFERROR(VLOOKUP(B148,'Master data'!$A$1:$F$1000,6,FALSE),"")</f>
        <v>bahan baku</v>
      </c>
      <c r="E148" s="7">
        <v>29000.0</v>
      </c>
      <c r="F148" s="7" t="str">
        <f>IFERROR(VLOOKUP(B148,'Master data'!$A$1:$F$1000,3,FALSE),"")</f>
        <v>GR</v>
      </c>
      <c r="G148" s="36" t="s">
        <v>1851</v>
      </c>
      <c r="H148" s="36" t="s">
        <v>1814</v>
      </c>
      <c r="I148" s="7" t="s">
        <v>1556</v>
      </c>
      <c r="J148" s="7" t="s">
        <v>61</v>
      </c>
      <c r="K148" s="16" t="b">
        <v>0</v>
      </c>
      <c r="L148" s="16" t="b">
        <v>0</v>
      </c>
    </row>
    <row r="149">
      <c r="A149" s="36">
        <v>19.0</v>
      </c>
      <c r="B149" s="7" t="s">
        <v>50</v>
      </c>
      <c r="C149" s="7" t="str">
        <f>IFERROR(VLOOKUP(B149,'Master data'!$A$1:$F$1000,2,FALSE),"")</f>
        <v>B001-017</v>
      </c>
      <c r="D149" s="7" t="str">
        <f>IFERROR(VLOOKUP(B149,'Master data'!$A$1:$F$1000,6,FALSE),"")</f>
        <v>bahan baku</v>
      </c>
      <c r="E149" s="7">
        <v>54.0</v>
      </c>
      <c r="F149" s="7" t="str">
        <f>IFERROR(VLOOKUP(B149,'Master data'!$A$1:$F$1000,3,FALSE),"")</f>
        <v>GR</v>
      </c>
      <c r="G149" s="36" t="s">
        <v>1880</v>
      </c>
      <c r="H149" s="36" t="s">
        <v>1539</v>
      </c>
      <c r="I149" s="7" t="s">
        <v>1542</v>
      </c>
      <c r="J149" s="7" t="s">
        <v>61</v>
      </c>
      <c r="K149" s="16" t="b">
        <v>0</v>
      </c>
      <c r="L149" s="16" t="b">
        <v>0</v>
      </c>
    </row>
    <row r="150">
      <c r="B150" s="7" t="s">
        <v>933</v>
      </c>
      <c r="C150" s="7" t="str">
        <f>IFERROR(VLOOKUP(B150,'Master data'!$A$1:$F$1000,2,FALSE),"")</f>
        <v>B001-167</v>
      </c>
      <c r="D150" s="7" t="str">
        <f>IFERROR(VLOOKUP(B150,'Master data'!$A$1:$F$1000,6,FALSE),"")</f>
        <v>bahan baku</v>
      </c>
      <c r="E150" s="7">
        <v>112.0</v>
      </c>
      <c r="F150" s="7" t="s">
        <v>20</v>
      </c>
      <c r="G150" s="36" t="s">
        <v>1527</v>
      </c>
      <c r="I150" s="7" t="s">
        <v>1542</v>
      </c>
      <c r="J150" s="7" t="s">
        <v>61</v>
      </c>
      <c r="K150" s="16" t="b">
        <v>0</v>
      </c>
      <c r="L150" s="16" t="b">
        <v>0</v>
      </c>
    </row>
    <row r="151">
      <c r="B151" s="7" t="s">
        <v>28</v>
      </c>
      <c r="C151" s="7" t="str">
        <f>IFERROR(VLOOKUP(B151,'Master data'!$A$1:$F$1000,2,FALSE),"")</f>
        <v>B001-006</v>
      </c>
      <c r="D151" s="7" t="str">
        <f>IFERROR(VLOOKUP(B151,'Master data'!$A$1:$F$1000,6,FALSE),"")</f>
        <v>bahan baku</v>
      </c>
      <c r="E151" s="7">
        <v>27.0</v>
      </c>
      <c r="F151" s="7" t="str">
        <f>IFERROR(VLOOKUP(B151,'Master data'!$A$1:$F$1000,3,FALSE),"")</f>
        <v>GR</v>
      </c>
      <c r="G151" s="36" t="s">
        <v>1529</v>
      </c>
      <c r="I151" s="7" t="s">
        <v>1542</v>
      </c>
      <c r="J151" s="7" t="s">
        <v>1561</v>
      </c>
      <c r="K151" s="16" t="b">
        <v>0</v>
      </c>
      <c r="L151" s="16" t="b">
        <v>0</v>
      </c>
    </row>
    <row r="152" hidden="1">
      <c r="B152" s="7" t="s">
        <v>629</v>
      </c>
      <c r="C152" s="7" t="str">
        <f>IFERROR(VLOOKUP(B152,'Master data'!$A$1:$F$1000,2,FALSE),"")</f>
        <v>P004-012</v>
      </c>
      <c r="D152" s="7" t="str">
        <f>IFERROR(VLOOKUP(B152,'Master data'!$A$1:$F$1000,6,FALSE),"")</f>
        <v>barang jadi &amp; bahan baku</v>
      </c>
      <c r="E152" s="7">
        <v>15.0</v>
      </c>
      <c r="F152" s="7" t="str">
        <f>IFERROR(VLOOKUP(B152,'Master data'!$A$1:$F$1000,3,FALSE),"")</f>
        <v>GR</v>
      </c>
      <c r="G152" s="36" t="s">
        <v>1245</v>
      </c>
      <c r="I152" s="7" t="s">
        <v>1542</v>
      </c>
      <c r="J152" s="7" t="s">
        <v>1561</v>
      </c>
      <c r="K152" s="7" t="b">
        <v>1</v>
      </c>
      <c r="L152" s="16" t="b">
        <v>0</v>
      </c>
    </row>
    <row r="153">
      <c r="B153" s="7" t="s">
        <v>118</v>
      </c>
      <c r="C153" s="7" t="str">
        <f>IFERROR(VLOOKUP(B153,'Master data'!$A$1:$F$1000,2,FALSE),"")</f>
        <v>B001-007</v>
      </c>
      <c r="D153" s="7" t="str">
        <f>IFERROR(VLOOKUP(B153,'Master data'!$A$1:$F$1000,6,FALSE),"")</f>
        <v>bahan baku</v>
      </c>
      <c r="E153" s="7">
        <v>82.0</v>
      </c>
      <c r="F153" s="7" t="str">
        <f>IFERROR(VLOOKUP(B153,'Master data'!$A$1:$F$1000,3,FALSE),"")</f>
        <v>GR</v>
      </c>
      <c r="G153" s="36" t="s">
        <v>1529</v>
      </c>
      <c r="I153" s="7" t="s">
        <v>1542</v>
      </c>
      <c r="J153" s="7" t="s">
        <v>61</v>
      </c>
      <c r="K153" s="16" t="b">
        <v>0</v>
      </c>
      <c r="L153" s="16" t="b">
        <v>0</v>
      </c>
    </row>
    <row r="154" hidden="1">
      <c r="B154" s="7" t="s">
        <v>660</v>
      </c>
      <c r="C154" s="7" t="str">
        <f>IFERROR(VLOOKUP(B154,'Master data'!$A$1:$F$1000,2,FALSE),"")</f>
        <v>P004-024</v>
      </c>
      <c r="D154" s="7" t="str">
        <f>IFERROR(VLOOKUP(B154,'Master data'!$A$1:$F$1000,6,FALSE),"")</f>
        <v>barang jadi &amp; bahan baku</v>
      </c>
      <c r="E154" s="7">
        <v>1666.0</v>
      </c>
      <c r="F154" s="7" t="str">
        <f>IFERROR(VLOOKUP(B154,'Master data'!$A$1:$F$1000,3,FALSE),"")</f>
        <v>ML</v>
      </c>
      <c r="G154" s="36" t="s">
        <v>1216</v>
      </c>
      <c r="H154" s="36" t="s">
        <v>1881</v>
      </c>
      <c r="I154" s="7" t="s">
        <v>1542</v>
      </c>
      <c r="J154" s="7" t="s">
        <v>1561</v>
      </c>
      <c r="K154" s="7" t="b">
        <v>1</v>
      </c>
      <c r="L154" s="16" t="b">
        <v>0</v>
      </c>
    </row>
    <row r="155" hidden="1">
      <c r="B155" s="7" t="s">
        <v>664</v>
      </c>
      <c r="C155" s="7" t="str">
        <f>IFERROR(VLOOKUP(B155,'Master data'!$A$1:$F$1000,2,FALSE),"")</f>
        <v>P004-025</v>
      </c>
      <c r="D155" s="7" t="str">
        <f>IFERROR(VLOOKUP(B155,'Master data'!$A$1:$F$1000,6,FALSE),"")</f>
        <v>barang jadi &amp; bahan baku</v>
      </c>
      <c r="E155" s="7">
        <v>2265.0</v>
      </c>
      <c r="F155" s="7" t="s">
        <v>78</v>
      </c>
      <c r="G155" s="36" t="s">
        <v>1216</v>
      </c>
      <c r="H155" s="36" t="s">
        <v>1881</v>
      </c>
      <c r="I155" s="7" t="s">
        <v>1542</v>
      </c>
      <c r="J155" s="7" t="s">
        <v>1561</v>
      </c>
      <c r="K155" s="7" t="b">
        <v>1</v>
      </c>
      <c r="L155" s="16" t="b">
        <v>0</v>
      </c>
    </row>
    <row r="156">
      <c r="B156" s="7" t="s">
        <v>211</v>
      </c>
      <c r="C156" s="7" t="str">
        <f>IFERROR(VLOOKUP(B156,'Master data'!$A$1:$F$1000,2,FALSE),"")</f>
        <v>B001-088</v>
      </c>
      <c r="D156" s="7" t="str">
        <f>IFERROR(VLOOKUP(B156,'Master data'!$A$1:$F$1000,6,FALSE),"")</f>
        <v>bahan baku</v>
      </c>
      <c r="E156" s="7">
        <v>2180.0</v>
      </c>
      <c r="F156" s="7" t="str">
        <f>IFERROR(VLOOKUP(B156,'Master data'!$A$1:$F$1000,3,FALSE),"")</f>
        <v>GR</v>
      </c>
      <c r="G156" s="36" t="s">
        <v>1475</v>
      </c>
      <c r="H156" s="36" t="s">
        <v>1290</v>
      </c>
      <c r="I156" s="7" t="s">
        <v>1556</v>
      </c>
      <c r="J156" s="7" t="s">
        <v>61</v>
      </c>
      <c r="K156" s="16" t="b">
        <v>0</v>
      </c>
      <c r="L156" s="16" t="b">
        <v>0</v>
      </c>
    </row>
    <row r="157">
      <c r="A157" s="36">
        <v>20.0</v>
      </c>
      <c r="B157" s="7" t="s">
        <v>211</v>
      </c>
      <c r="C157" s="7" t="str">
        <f>IFERROR(VLOOKUP(B157,'Master data'!$A$1:$F$1000,2,FALSE),"")</f>
        <v>B001-088</v>
      </c>
      <c r="D157" s="7" t="str">
        <f>IFERROR(VLOOKUP(B157,'Master data'!$A$1:$F$1000,6,FALSE),"")</f>
        <v>bahan baku</v>
      </c>
      <c r="E157" s="7">
        <v>1830.0</v>
      </c>
      <c r="F157" s="7" t="str">
        <f>IFERROR(VLOOKUP(B157,'Master data'!$A$1:$F$1000,3,FALSE),"")</f>
        <v>GR</v>
      </c>
      <c r="G157" s="36" t="s">
        <v>1475</v>
      </c>
      <c r="I157" s="7" t="s">
        <v>1556</v>
      </c>
      <c r="J157" s="7" t="s">
        <v>61</v>
      </c>
      <c r="K157" s="16" t="b">
        <v>0</v>
      </c>
      <c r="L157" s="16" t="b">
        <v>0</v>
      </c>
    </row>
    <row r="158">
      <c r="B158" s="7" t="s">
        <v>28</v>
      </c>
      <c r="C158" s="7" t="str">
        <f>IFERROR(VLOOKUP(B158,'Master data'!$A$1:$F$1000,2,FALSE),"")</f>
        <v>B001-006</v>
      </c>
      <c r="D158" s="7" t="str">
        <f>IFERROR(VLOOKUP(B158,'Master data'!$A$1:$F$1000,6,FALSE),"")</f>
        <v>bahan baku</v>
      </c>
      <c r="E158" s="7">
        <v>31.0</v>
      </c>
      <c r="F158" s="7" t="str">
        <f>IFERROR(VLOOKUP(B158,'Master data'!$A$1:$F$1000,3,FALSE),"")</f>
        <v>GR</v>
      </c>
      <c r="G158" s="36" t="s">
        <v>1529</v>
      </c>
      <c r="H158" s="36" t="s">
        <v>1384</v>
      </c>
      <c r="I158" s="7" t="s">
        <v>1542</v>
      </c>
      <c r="J158" s="7" t="s">
        <v>61</v>
      </c>
      <c r="K158" s="7" t="b">
        <v>0</v>
      </c>
      <c r="L158" s="16" t="b">
        <v>0</v>
      </c>
    </row>
    <row r="159" hidden="1">
      <c r="B159" s="7" t="s">
        <v>186</v>
      </c>
      <c r="C159" s="7" t="str">
        <f>IFERROR(VLOOKUP(B159,'Master data'!$A$1:$F$1000,2,FALSE),"")</f>
        <v>B001-078</v>
      </c>
      <c r="D159" s="7" t="str">
        <f>IFERROR(VLOOKUP(B159,'Master data'!$A$1:$F$1000,6,FALSE),"")</f>
        <v>bahan baku</v>
      </c>
      <c r="E159" s="7">
        <v>25.0</v>
      </c>
      <c r="F159" s="7" t="str">
        <f>IFERROR(VLOOKUP(B159,'Master data'!$A$1:$F$1000,3,FALSE),"")</f>
        <v>GR</v>
      </c>
      <c r="G159" s="36" t="s">
        <v>1164</v>
      </c>
      <c r="I159" s="7" t="s">
        <v>1542</v>
      </c>
      <c r="J159" s="7" t="s">
        <v>1561</v>
      </c>
      <c r="K159" s="7" t="b">
        <v>1</v>
      </c>
      <c r="L159" s="16" t="b">
        <v>0</v>
      </c>
    </row>
    <row r="160" hidden="1">
      <c r="B160" s="7" t="s">
        <v>643</v>
      </c>
      <c r="C160" s="7" t="str">
        <f>IFERROR(VLOOKUP(B160,'Master data'!$A$1:$F$1000,2,FALSE),"")</f>
        <v>P004-018</v>
      </c>
      <c r="D160" s="7" t="str">
        <f>IFERROR(VLOOKUP(B160,'Master data'!$A$1:$F$1000,6,FALSE),"")</f>
        <v>barang jadi &amp; bahan baku</v>
      </c>
      <c r="E160" s="7">
        <v>85.0</v>
      </c>
      <c r="F160" s="7" t="s">
        <v>20</v>
      </c>
      <c r="G160" s="36" t="s">
        <v>1164</v>
      </c>
      <c r="I160" s="7" t="s">
        <v>1542</v>
      </c>
      <c r="J160" s="7" t="s">
        <v>1561</v>
      </c>
      <c r="K160" s="7" t="b">
        <v>1</v>
      </c>
      <c r="L160" s="16" t="b">
        <v>0</v>
      </c>
    </row>
    <row r="161" hidden="1">
      <c r="B161" s="7" t="s">
        <v>653</v>
      </c>
      <c r="C161" s="7" t="str">
        <f>IFERROR(VLOOKUP(B161,'Master data'!$A$1:$F$1000,2,FALSE),"")</f>
        <v>P004-022</v>
      </c>
      <c r="D161" s="7" t="str">
        <f>IFERROR(VLOOKUP(B161,'Master data'!$A$1:$F$1000,6,FALSE),"")</f>
        <v>barang jadi &amp; bahan baku</v>
      </c>
      <c r="E161" s="7">
        <v>1061.0</v>
      </c>
      <c r="F161" s="7" t="str">
        <f>IFERROR(VLOOKUP(B161,'Master data'!$A$1:$F$1000,3,FALSE),"")</f>
        <v>GR</v>
      </c>
      <c r="G161" s="36" t="s">
        <v>1216</v>
      </c>
      <c r="H161" s="36" t="s">
        <v>1512</v>
      </c>
      <c r="I161" s="7" t="s">
        <v>1552</v>
      </c>
      <c r="J161" s="7" t="s">
        <v>1561</v>
      </c>
      <c r="K161" s="7" t="b">
        <v>1</v>
      </c>
      <c r="L161" s="16" t="b">
        <v>0</v>
      </c>
    </row>
    <row r="162" hidden="1">
      <c r="B162" s="7" t="s">
        <v>657</v>
      </c>
      <c r="C162" s="7" t="str">
        <f>IFERROR(VLOOKUP(B162,'Master data'!$A$1:$F$1000,2,FALSE),"")</f>
        <v>P004-023</v>
      </c>
      <c r="D162" s="7" t="str">
        <f>IFERROR(VLOOKUP(B162,'Master data'!$A$1:$F$1000,6,FALSE),"")</f>
        <v>barang jadi &amp; bahan baku</v>
      </c>
      <c r="E162" s="7">
        <v>1107.0</v>
      </c>
      <c r="F162" s="7" t="str">
        <f>IFERROR(VLOOKUP(B162,'Master data'!$A$1:$F$1000,3,FALSE),"")</f>
        <v>GR</v>
      </c>
      <c r="G162" s="36" t="s">
        <v>1216</v>
      </c>
      <c r="I162" s="7" t="s">
        <v>1552</v>
      </c>
      <c r="J162" s="7" t="s">
        <v>1561</v>
      </c>
      <c r="K162" s="7" t="b">
        <v>1</v>
      </c>
      <c r="L162" s="16" t="b">
        <v>0</v>
      </c>
    </row>
    <row r="163" hidden="1">
      <c r="B163" s="7" t="s">
        <v>28</v>
      </c>
      <c r="C163" s="7" t="str">
        <f>IFERROR(VLOOKUP(B163,'Master data'!$A$1:$F$1000,2,FALSE),"")</f>
        <v>B001-006</v>
      </c>
      <c r="D163" s="7" t="str">
        <f>IFERROR(VLOOKUP(B163,'Master data'!$A$1:$F$1000,6,FALSE),"")</f>
        <v>bahan baku</v>
      </c>
      <c r="E163" s="7">
        <v>2.0</v>
      </c>
      <c r="F163" s="7" t="str">
        <f>IFERROR(VLOOKUP(B163,'Master data'!$A$1:$F$1000,3,FALSE),"")</f>
        <v>GR</v>
      </c>
      <c r="G163" s="36" t="s">
        <v>1370</v>
      </c>
      <c r="H163" s="36" t="s">
        <v>1539</v>
      </c>
      <c r="I163" s="7" t="s">
        <v>1542</v>
      </c>
      <c r="J163" s="7" t="s">
        <v>61</v>
      </c>
      <c r="K163" s="7" t="b">
        <v>1</v>
      </c>
      <c r="L163" s="16" t="b">
        <v>0</v>
      </c>
    </row>
    <row r="164" hidden="1">
      <c r="B164" s="7" t="s">
        <v>298</v>
      </c>
      <c r="C164" s="7" t="str">
        <f>IFERROR(VLOOKUP(B164,'Master data'!$A$1:$F$1000,2,FALSE),"")</f>
        <v>B001-125</v>
      </c>
      <c r="D164" s="7" t="str">
        <f>IFERROR(VLOOKUP(B164,'Master data'!$A$1:$F$1000,6,FALSE),"")</f>
        <v>bahan baku</v>
      </c>
      <c r="E164" s="7">
        <v>271.0</v>
      </c>
      <c r="F164" s="7" t="str">
        <f>IFERROR(VLOOKUP(B164,'Master data'!$A$1:$F$1000,3,FALSE),"")</f>
        <v>GR</v>
      </c>
      <c r="G164" s="36" t="s">
        <v>1723</v>
      </c>
      <c r="I164" s="7" t="s">
        <v>1542</v>
      </c>
      <c r="J164" s="7" t="s">
        <v>1561</v>
      </c>
      <c r="K164" s="7" t="b">
        <v>1</v>
      </c>
      <c r="L164" s="16" t="b">
        <v>0</v>
      </c>
    </row>
    <row r="165">
      <c r="B165" s="7" t="s">
        <v>139</v>
      </c>
      <c r="C165" s="7" t="str">
        <f>IFERROR(VLOOKUP(B165,'Master data'!$A$1:$F$1000,2,FALSE),"")</f>
        <v>B001-061</v>
      </c>
      <c r="D165" s="7" t="str">
        <f>IFERROR(VLOOKUP(B165,'Master data'!$A$1:$F$1000,6,FALSE),"")</f>
        <v>bahan baku</v>
      </c>
      <c r="E165" s="7">
        <v>60.0</v>
      </c>
      <c r="F165" s="7" t="str">
        <f>IFERROR(VLOOKUP(B165,'Master data'!$A$1:$F$1000,3,FALSE),"")</f>
        <v>GR</v>
      </c>
      <c r="G165" s="36" t="s">
        <v>1884</v>
      </c>
      <c r="I165" s="7" t="s">
        <v>1542</v>
      </c>
      <c r="J165" s="7" t="s">
        <v>61</v>
      </c>
      <c r="K165" s="16" t="b">
        <v>0</v>
      </c>
      <c r="L165" s="16" t="b">
        <v>0</v>
      </c>
    </row>
    <row r="166" hidden="1">
      <c r="B166" s="7" t="s">
        <v>33</v>
      </c>
      <c r="C166" s="7" t="str">
        <f>IFERROR(VLOOKUP(B166,'Master data'!$A$1:$F$1000,2,FALSE),"")</f>
        <v>B001-008</v>
      </c>
      <c r="D166" s="7" t="str">
        <f>IFERROR(VLOOKUP(B166,'Master data'!$A$1:$F$1000,6,FALSE),"")</f>
        <v>bahan baku</v>
      </c>
      <c r="E166" s="7">
        <v>638.0</v>
      </c>
      <c r="F166" s="7" t="str">
        <f>IFERROR(VLOOKUP(B166,'Master data'!$A$1:$F$1000,3,FALSE),"")</f>
        <v>GR</v>
      </c>
      <c r="G166" s="36" t="s">
        <v>1872</v>
      </c>
      <c r="H166" s="36" t="s">
        <v>1417</v>
      </c>
      <c r="I166" s="7" t="s">
        <v>1548</v>
      </c>
      <c r="J166" s="7" t="s">
        <v>1561</v>
      </c>
      <c r="K166" s="7" t="b">
        <v>1</v>
      </c>
      <c r="L166" s="16" t="b">
        <v>0</v>
      </c>
    </row>
    <row r="167" hidden="1">
      <c r="B167" s="7" t="s">
        <v>129</v>
      </c>
      <c r="C167" s="7" t="str">
        <f>IFERROR(VLOOKUP(B167,'Master data'!$A$1:$F$1000,2,FALSE),"")</f>
        <v>B001-056</v>
      </c>
      <c r="D167" s="7" t="str">
        <f>IFERROR(VLOOKUP(B167,'Master data'!$A$1:$F$1000,6,FALSE),"")</f>
        <v>bahan baku</v>
      </c>
      <c r="E167" s="7">
        <v>6.0</v>
      </c>
      <c r="F167" s="7" t="str">
        <f>IFERROR(VLOOKUP(B167,'Master data'!$A$1:$F$1000,3,FALSE),"")</f>
        <v>ML</v>
      </c>
      <c r="G167" s="36" t="s">
        <v>1872</v>
      </c>
      <c r="I167" s="7" t="s">
        <v>1548</v>
      </c>
      <c r="J167" s="7" t="s">
        <v>1561</v>
      </c>
      <c r="K167" s="7" t="b">
        <v>1</v>
      </c>
      <c r="L167" s="16" t="b">
        <v>0</v>
      </c>
    </row>
    <row r="168" hidden="1">
      <c r="A168" s="36">
        <v>21.0</v>
      </c>
      <c r="B168" s="7" t="s">
        <v>165</v>
      </c>
      <c r="C168" s="7" t="str">
        <f>IFERROR(VLOOKUP(B168,'Master data'!$A$1:$F$1000,2,FALSE),"")</f>
        <v>B001-071</v>
      </c>
      <c r="D168" s="7" t="str">
        <f>IFERROR(VLOOKUP(B168,'Master data'!$A$1:$F$1000,6,FALSE),"")</f>
        <v>bahan baku</v>
      </c>
      <c r="E168" s="7">
        <v>21.0</v>
      </c>
      <c r="F168" s="7" t="str">
        <f>IFERROR(VLOOKUP(B168,'Master data'!$A$1:$F$1000,3,FALSE),"")</f>
        <v>GR</v>
      </c>
      <c r="G168" s="36" t="s">
        <v>1723</v>
      </c>
      <c r="I168" s="7" t="s">
        <v>1542</v>
      </c>
      <c r="J168" s="7" t="s">
        <v>1561</v>
      </c>
      <c r="K168" s="7" t="b">
        <v>1</v>
      </c>
      <c r="L168" s="16" t="b">
        <v>0</v>
      </c>
    </row>
    <row r="169">
      <c r="B169" s="7" t="s">
        <v>28</v>
      </c>
      <c r="C169" s="7" t="str">
        <f>IFERROR(VLOOKUP(B169,'Master data'!$A$1:$F$1000,2,FALSE),"")</f>
        <v>B001-006</v>
      </c>
      <c r="D169" s="7" t="str">
        <f>IFERROR(VLOOKUP(B169,'Master data'!$A$1:$F$1000,6,FALSE),"")</f>
        <v>bahan baku</v>
      </c>
      <c r="E169" s="7">
        <v>56.0</v>
      </c>
      <c r="F169" s="7" t="str">
        <f>IFERROR(VLOOKUP(B169,'Master data'!$A$1:$F$1000,3,FALSE),"")</f>
        <v>GR</v>
      </c>
      <c r="G169" s="36" t="s">
        <v>1529</v>
      </c>
      <c r="I169" s="7" t="s">
        <v>1542</v>
      </c>
      <c r="J169" s="7" t="s">
        <v>61</v>
      </c>
      <c r="K169" s="16" t="b">
        <v>0</v>
      </c>
      <c r="L169" s="16" t="b">
        <v>0</v>
      </c>
    </row>
    <row r="170" hidden="1">
      <c r="B170" s="7" t="s">
        <v>660</v>
      </c>
      <c r="C170" s="7" t="str">
        <f>IFERROR(VLOOKUP(B170,'Master data'!$A$1:$F$1000,2,FALSE),"")</f>
        <v>P004-024</v>
      </c>
      <c r="D170" s="7" t="str">
        <f>IFERROR(VLOOKUP(B170,'Master data'!$A$1:$F$1000,6,FALSE),"")</f>
        <v>barang jadi &amp; bahan baku</v>
      </c>
      <c r="E170" s="7">
        <v>1329.0</v>
      </c>
      <c r="F170" s="7" t="str">
        <f>IFERROR(VLOOKUP(B170,'Master data'!$A$1:$F$1000,3,FALSE),"")</f>
        <v>ML</v>
      </c>
      <c r="G170" s="36" t="s">
        <v>1216</v>
      </c>
      <c r="H170" s="36" t="s">
        <v>1881</v>
      </c>
      <c r="I170" s="7" t="s">
        <v>1552</v>
      </c>
      <c r="J170" s="7" t="s">
        <v>1561</v>
      </c>
      <c r="K170" s="7" t="b">
        <v>1</v>
      </c>
      <c r="L170" s="16" t="b">
        <v>0</v>
      </c>
    </row>
    <row r="171" hidden="1">
      <c r="B171" s="7" t="s">
        <v>33</v>
      </c>
      <c r="C171" s="7" t="str">
        <f>IFERROR(VLOOKUP(B171,'Master data'!$A$1:$F$1000,2,FALSE),"")</f>
        <v>B001-008</v>
      </c>
      <c r="D171" s="7" t="str">
        <f>IFERROR(VLOOKUP(B171,'Master data'!$A$1:$F$1000,6,FALSE),"")</f>
        <v>bahan baku</v>
      </c>
      <c r="E171" s="7">
        <v>862.0</v>
      </c>
      <c r="F171" s="7" t="str">
        <f>IFERROR(VLOOKUP(B171,'Master data'!$A$1:$F$1000,3,FALSE),"")</f>
        <v>GR</v>
      </c>
      <c r="G171" s="36" t="s">
        <v>1872</v>
      </c>
      <c r="H171" s="36" t="s">
        <v>1885</v>
      </c>
      <c r="I171" s="7" t="s">
        <v>1548</v>
      </c>
      <c r="J171" s="7" t="s">
        <v>1561</v>
      </c>
      <c r="K171" s="7" t="b">
        <v>1</v>
      </c>
      <c r="L171" s="16" t="b">
        <v>0</v>
      </c>
    </row>
    <row r="172" hidden="1">
      <c r="B172" s="7" t="s">
        <v>129</v>
      </c>
      <c r="C172" s="7" t="str">
        <f>IFERROR(VLOOKUP(B172,'Master data'!$A$1:$F$1000,2,FALSE),"")</f>
        <v>B001-056</v>
      </c>
      <c r="D172" s="7" t="str">
        <f>IFERROR(VLOOKUP(B172,'Master data'!$A$1:$F$1000,6,FALSE),"")</f>
        <v>bahan baku</v>
      </c>
      <c r="E172" s="7">
        <v>8.0</v>
      </c>
      <c r="F172" s="7" t="str">
        <f>IFERROR(VLOOKUP(B172,'Master data'!$A$1:$F$1000,3,FALSE),"")</f>
        <v>ML</v>
      </c>
      <c r="G172" s="36" t="s">
        <v>1872</v>
      </c>
      <c r="I172" s="7" t="s">
        <v>1548</v>
      </c>
      <c r="J172" s="7" t="s">
        <v>1561</v>
      </c>
      <c r="K172" s="7" t="b">
        <v>1</v>
      </c>
      <c r="L172" s="16" t="b">
        <v>0</v>
      </c>
    </row>
    <row r="173">
      <c r="B173" s="7" t="s">
        <v>211</v>
      </c>
      <c r="C173" s="7" t="str">
        <f>IFERROR(VLOOKUP(B173,'Master data'!$A$1:$F$1000,2,FALSE),"")</f>
        <v>B001-088</v>
      </c>
      <c r="D173" s="7" t="str">
        <f>IFERROR(VLOOKUP(B173,'Master data'!$A$1:$F$1000,6,FALSE),"")</f>
        <v>bahan baku</v>
      </c>
      <c r="E173" s="7">
        <v>2400.0</v>
      </c>
      <c r="F173" s="7" t="str">
        <f>IFERROR(VLOOKUP(B173,'Master data'!$A$1:$F$1000,3,FALSE),"")</f>
        <v>GR</v>
      </c>
      <c r="G173" s="36" t="s">
        <v>1475</v>
      </c>
      <c r="H173" s="36" t="s">
        <v>1290</v>
      </c>
      <c r="I173" s="7" t="s">
        <v>1556</v>
      </c>
      <c r="J173" s="7" t="s">
        <v>61</v>
      </c>
      <c r="K173" s="16" t="b">
        <v>0</v>
      </c>
      <c r="L173" s="16" t="b">
        <v>0</v>
      </c>
    </row>
    <row r="174">
      <c r="A174" s="36">
        <v>22.0</v>
      </c>
      <c r="B174" s="7" t="s">
        <v>28</v>
      </c>
      <c r="C174" s="7" t="str">
        <f>IFERROR(VLOOKUP(B174,'Master data'!$A$1:$F$1000,2,FALSE),"")</f>
        <v>B001-006</v>
      </c>
      <c r="D174" s="7" t="str">
        <f>IFERROR(VLOOKUP(B174,'Master data'!$A$1:$F$1000,6,FALSE),"")</f>
        <v>bahan baku</v>
      </c>
      <c r="E174" s="7">
        <v>15.0</v>
      </c>
      <c r="F174" s="7" t="str">
        <f>IFERROR(VLOOKUP(B174,'Master data'!$A$1:$F$1000,3,FALSE),"")</f>
        <v>GR</v>
      </c>
      <c r="G174" s="36" t="s">
        <v>1529</v>
      </c>
      <c r="H174" s="36" t="s">
        <v>1539</v>
      </c>
      <c r="I174" s="7" t="s">
        <v>1542</v>
      </c>
      <c r="J174" s="7" t="s">
        <v>61</v>
      </c>
      <c r="K174" s="16" t="b">
        <v>0</v>
      </c>
      <c r="L174" s="16" t="b">
        <v>0</v>
      </c>
    </row>
    <row r="175" hidden="1">
      <c r="B175" s="7" t="s">
        <v>33</v>
      </c>
      <c r="C175" s="7" t="str">
        <f>IFERROR(VLOOKUP(B175,'Master data'!$A$1:$F$1000,2,FALSE),"")</f>
        <v>B001-008</v>
      </c>
      <c r="D175" s="7" t="str">
        <f>IFERROR(VLOOKUP(B175,'Master data'!$A$1:$F$1000,6,FALSE),"")</f>
        <v>bahan baku</v>
      </c>
      <c r="E175" s="7">
        <v>971.0</v>
      </c>
      <c r="F175" s="7" t="str">
        <f>IFERROR(VLOOKUP(B175,'Master data'!$A$1:$F$1000,3,FALSE),"")</f>
        <v>GR</v>
      </c>
      <c r="G175" s="36" t="s">
        <v>1872</v>
      </c>
      <c r="H175" s="36" t="s">
        <v>1417</v>
      </c>
      <c r="I175" s="7" t="s">
        <v>1548</v>
      </c>
      <c r="J175" s="7" t="s">
        <v>1561</v>
      </c>
      <c r="K175" s="7" t="b">
        <v>1</v>
      </c>
      <c r="L175" s="16" t="b">
        <v>0</v>
      </c>
    </row>
    <row r="176" hidden="1">
      <c r="B176" s="7" t="s">
        <v>129</v>
      </c>
      <c r="C176" s="7" t="str">
        <f>IFERROR(VLOOKUP(B176,'Master data'!$A$1:$F$1000,2,FALSE),"")</f>
        <v>B001-056</v>
      </c>
      <c r="D176" s="7" t="str">
        <f>IFERROR(VLOOKUP(B176,'Master data'!$A$1:$F$1000,6,FALSE),"")</f>
        <v>bahan baku</v>
      </c>
      <c r="E176" s="7">
        <v>9.0</v>
      </c>
      <c r="F176" s="7" t="str">
        <f>IFERROR(VLOOKUP(B176,'Master data'!$A$1:$F$1000,3,FALSE),"")</f>
        <v>ML</v>
      </c>
      <c r="G176" s="36" t="s">
        <v>1872</v>
      </c>
      <c r="I176" s="7" t="s">
        <v>1548</v>
      </c>
      <c r="J176" s="7" t="s">
        <v>1561</v>
      </c>
      <c r="K176" s="7" t="b">
        <v>1</v>
      </c>
      <c r="L176" s="16" t="b">
        <v>0</v>
      </c>
    </row>
    <row r="177" hidden="1">
      <c r="B177" s="7" t="s">
        <v>653</v>
      </c>
      <c r="C177" s="7" t="str">
        <f>IFERROR(VLOOKUP(B177,'Master data'!$A$1:$F$1000,2,FALSE),"")</f>
        <v>P004-022</v>
      </c>
      <c r="D177" s="7" t="str">
        <f>IFERROR(VLOOKUP(B177,'Master data'!$A$1:$F$1000,6,FALSE),"")</f>
        <v>barang jadi &amp; bahan baku</v>
      </c>
      <c r="E177" s="7">
        <v>1186.0</v>
      </c>
      <c r="F177" s="7" t="s">
        <v>78</v>
      </c>
      <c r="G177" s="36" t="s">
        <v>1216</v>
      </c>
      <c r="H177" s="36" t="s">
        <v>1886</v>
      </c>
      <c r="I177" s="7" t="s">
        <v>1552</v>
      </c>
      <c r="J177" s="7" t="s">
        <v>1561</v>
      </c>
      <c r="K177" s="7" t="b">
        <v>1</v>
      </c>
      <c r="L177" s="16" t="b">
        <v>0</v>
      </c>
    </row>
    <row r="178" hidden="1">
      <c r="B178" s="7" t="s">
        <v>657</v>
      </c>
      <c r="C178" s="7" t="str">
        <f>IFERROR(VLOOKUP(B178,'Master data'!$A$1:$F$1000,2,FALSE),"")</f>
        <v>P004-023</v>
      </c>
      <c r="D178" s="7" t="str">
        <f>IFERROR(VLOOKUP(B178,'Master data'!$A$1:$F$1000,6,FALSE),"")</f>
        <v>barang jadi &amp; bahan baku</v>
      </c>
      <c r="E178" s="7">
        <v>535.0</v>
      </c>
      <c r="F178" s="7" t="s">
        <v>78</v>
      </c>
      <c r="G178" s="36" t="s">
        <v>1216</v>
      </c>
      <c r="I178" s="7" t="s">
        <v>1552</v>
      </c>
      <c r="J178" s="7" t="s">
        <v>1561</v>
      </c>
      <c r="K178" s="7" t="b">
        <v>1</v>
      </c>
      <c r="L178" s="16" t="b">
        <v>0</v>
      </c>
    </row>
    <row r="179">
      <c r="B179" s="7" t="s">
        <v>211</v>
      </c>
      <c r="C179" s="7" t="str">
        <f>IFERROR(VLOOKUP(B179,'Master data'!$A$1:$F$1000,2,FALSE),"")</f>
        <v>B001-088</v>
      </c>
      <c r="D179" s="7" t="str">
        <f>IFERROR(VLOOKUP(B179,'Master data'!$A$1:$F$1000,6,FALSE),"")</f>
        <v>bahan baku</v>
      </c>
      <c r="E179" s="7">
        <v>3065.0</v>
      </c>
      <c r="F179" s="7" t="str">
        <f>IFERROR(VLOOKUP(B179,'Master data'!$A$1:$F$1000,3,FALSE),"")</f>
        <v>GR</v>
      </c>
      <c r="G179" s="36" t="s">
        <v>1475</v>
      </c>
      <c r="H179" s="36" t="s">
        <v>1290</v>
      </c>
      <c r="I179" s="7" t="s">
        <v>1556</v>
      </c>
      <c r="J179" s="7" t="s">
        <v>61</v>
      </c>
      <c r="K179" s="16" t="b">
        <v>0</v>
      </c>
      <c r="L179" s="16" t="b">
        <v>0</v>
      </c>
    </row>
    <row r="180">
      <c r="A180" s="36">
        <v>23.0</v>
      </c>
      <c r="B180" s="7" t="s">
        <v>211</v>
      </c>
      <c r="C180" s="7" t="str">
        <f>IFERROR(VLOOKUP(B180,'Master data'!$A$1:$F$1000,2,FALSE),"")</f>
        <v>B001-088</v>
      </c>
      <c r="D180" s="7" t="str">
        <f>IFERROR(VLOOKUP(B180,'Master data'!$A$1:$F$1000,6,FALSE),"")</f>
        <v>bahan baku</v>
      </c>
      <c r="E180" s="7">
        <v>4960.0</v>
      </c>
      <c r="F180" s="7" t="str">
        <f>IFERROR(VLOOKUP(B180,'Master data'!$A$1:$F$1000,3,FALSE),"")</f>
        <v>GR</v>
      </c>
      <c r="G180" s="36" t="s">
        <v>1475</v>
      </c>
      <c r="I180" s="7" t="s">
        <v>1556</v>
      </c>
      <c r="J180" s="7" t="s">
        <v>61</v>
      </c>
      <c r="K180" s="16" t="b">
        <v>0</v>
      </c>
      <c r="L180" s="16" t="b">
        <v>0</v>
      </c>
    </row>
    <row r="181" hidden="1">
      <c r="B181" s="7" t="s">
        <v>657</v>
      </c>
      <c r="C181" s="7" t="str">
        <f>IFERROR(VLOOKUP(B181,'Master data'!$A$1:$F$1000,2,FALSE),"")</f>
        <v>P004-023</v>
      </c>
      <c r="D181" s="7" t="str">
        <f>IFERROR(VLOOKUP(B181,'Master data'!$A$1:$F$1000,6,FALSE),"")</f>
        <v>barang jadi &amp; bahan baku</v>
      </c>
      <c r="E181" s="7">
        <v>1835.0</v>
      </c>
      <c r="F181" s="7" t="str">
        <f>IFERROR(VLOOKUP(B181,'Master data'!$A$1:$F$1000,3,FALSE),"")</f>
        <v>GR</v>
      </c>
      <c r="G181" s="36" t="s">
        <v>1216</v>
      </c>
      <c r="H181" s="36" t="s">
        <v>1886</v>
      </c>
      <c r="I181" s="7" t="s">
        <v>1552</v>
      </c>
      <c r="J181" s="7" t="s">
        <v>1561</v>
      </c>
      <c r="K181" s="7" t="b">
        <v>1</v>
      </c>
      <c r="L181" s="16" t="b">
        <v>0</v>
      </c>
    </row>
    <row r="182" hidden="1">
      <c r="B182" s="7" t="s">
        <v>653</v>
      </c>
      <c r="C182" s="7" t="str">
        <f>IFERROR(VLOOKUP(B182,'Master data'!$A$1:$F$1000,2,FALSE),"")</f>
        <v>P004-022</v>
      </c>
      <c r="D182" s="7" t="str">
        <f>IFERROR(VLOOKUP(B182,'Master data'!$A$1:$F$1000,6,FALSE),"")</f>
        <v>barang jadi &amp; bahan baku</v>
      </c>
      <c r="E182" s="7">
        <v>1308.0</v>
      </c>
      <c r="F182" s="7" t="str">
        <f>IFERROR(VLOOKUP(B182,'Master data'!$A$1:$F$1000,3,FALSE),"")</f>
        <v>GR</v>
      </c>
      <c r="G182" s="36" t="s">
        <v>1216</v>
      </c>
      <c r="I182" s="7" t="s">
        <v>1552</v>
      </c>
      <c r="J182" s="7" t="s">
        <v>1561</v>
      </c>
      <c r="K182" s="7" t="b">
        <v>1</v>
      </c>
      <c r="L182" s="16" t="b">
        <v>0</v>
      </c>
    </row>
    <row r="183">
      <c r="B183" s="7" t="s">
        <v>269</v>
      </c>
      <c r="C183" s="7" t="str">
        <f>IFERROR(VLOOKUP(B183,'Master data'!$A$1:$F$1000,2,FALSE),"")</f>
        <v>B001-119</v>
      </c>
      <c r="D183" s="7" t="str">
        <f>IFERROR(VLOOKUP(B183,'Master data'!$A$1:$F$1000,6,FALSE),"")</f>
        <v>bahan baku</v>
      </c>
      <c r="E183" s="7">
        <v>3.0</v>
      </c>
      <c r="F183" s="7" t="str">
        <f>IFERROR(VLOOKUP(B183,'Master data'!$A$1:$F$1000,3,FALSE),"")</f>
        <v>GR</v>
      </c>
      <c r="G183" s="36" t="s">
        <v>1529</v>
      </c>
      <c r="H183" s="36" t="s">
        <v>1384</v>
      </c>
      <c r="I183" s="7" t="s">
        <v>1542</v>
      </c>
      <c r="J183" s="7" t="s">
        <v>61</v>
      </c>
      <c r="K183" s="16" t="b">
        <v>0</v>
      </c>
      <c r="L183" s="16" t="b">
        <v>0</v>
      </c>
    </row>
    <row r="184">
      <c r="B184" s="7" t="s">
        <v>926</v>
      </c>
      <c r="C184" s="7" t="str">
        <f>IFERROR(VLOOKUP(B184,'Master data'!$A$1:$F$1000,2,FALSE),"")</f>
        <v>B001-165</v>
      </c>
      <c r="D184" s="7" t="str">
        <f>IFERROR(VLOOKUP(B184,'Master data'!$A$1:$F$1000,6,FALSE),"")</f>
        <v>bahan baku</v>
      </c>
      <c r="E184" s="7">
        <v>60.0</v>
      </c>
      <c r="F184" s="7" t="s">
        <v>20</v>
      </c>
      <c r="G184" s="36" t="s">
        <v>1525</v>
      </c>
      <c r="I184" s="7" t="s">
        <v>1542</v>
      </c>
      <c r="J184" s="7" t="s">
        <v>61</v>
      </c>
      <c r="K184" s="16" t="b">
        <v>0</v>
      </c>
      <c r="L184" s="16" t="b">
        <v>0</v>
      </c>
    </row>
    <row r="185">
      <c r="B185" s="7" t="s">
        <v>28</v>
      </c>
      <c r="C185" s="7" t="str">
        <f>IFERROR(VLOOKUP(B185,'Master data'!$A$1:$F$1000,2,FALSE),"")</f>
        <v>B001-006</v>
      </c>
      <c r="D185" s="7" t="str">
        <f>IFERROR(VLOOKUP(B185,'Master data'!$A$1:$F$1000,6,FALSE),"")</f>
        <v>bahan baku</v>
      </c>
      <c r="E185" s="7">
        <v>14.0</v>
      </c>
      <c r="F185" s="7" t="str">
        <f>IFERROR(VLOOKUP(B185,'Master data'!$A$1:$F$1000,3,FALSE),"")</f>
        <v>GR</v>
      </c>
      <c r="G185" s="36" t="s">
        <v>1529</v>
      </c>
      <c r="I185" s="7" t="s">
        <v>1542</v>
      </c>
      <c r="J185" s="7" t="s">
        <v>61</v>
      </c>
      <c r="K185" s="16" t="b">
        <v>0</v>
      </c>
      <c r="L185" s="16" t="b">
        <v>0</v>
      </c>
    </row>
    <row r="186">
      <c r="B186" s="7" t="s">
        <v>52</v>
      </c>
      <c r="C186" s="7" t="str">
        <f>IFERROR(VLOOKUP(B186,'Master data'!$A$1:$F$1000,2,FALSE),"")</f>
        <v>B001-018</v>
      </c>
      <c r="D186" s="7" t="str">
        <f>IFERROR(VLOOKUP(B186,'Master data'!$A$1:$F$1000,6,FALSE),"")</f>
        <v>bahan baku</v>
      </c>
      <c r="E186" s="7">
        <v>113.0</v>
      </c>
      <c r="F186" s="7" t="str">
        <f>IFERROR(VLOOKUP(B186,'Master data'!$A$1:$F$1000,3,FALSE),"")</f>
        <v>GR</v>
      </c>
      <c r="G186" s="36" t="s">
        <v>1527</v>
      </c>
      <c r="I186" s="7" t="s">
        <v>1542</v>
      </c>
      <c r="J186" s="7" t="s">
        <v>61</v>
      </c>
      <c r="K186" s="16" t="b">
        <v>0</v>
      </c>
      <c r="L186" s="16" t="b">
        <v>0</v>
      </c>
    </row>
    <row r="187" hidden="1">
      <c r="B187" s="7" t="s">
        <v>33</v>
      </c>
      <c r="C187" s="7" t="str">
        <f>IFERROR(VLOOKUP(B187,'Master data'!$A$1:$F$1000,2,FALSE),"")</f>
        <v>B001-008</v>
      </c>
      <c r="D187" s="7" t="str">
        <f>IFERROR(VLOOKUP(B187,'Master data'!$A$1:$F$1000,6,FALSE),"")</f>
        <v>bahan baku</v>
      </c>
      <c r="E187" s="7">
        <v>913.0</v>
      </c>
      <c r="F187" s="7" t="str">
        <f>IFERROR(VLOOKUP(B187,'Master data'!$A$1:$F$1000,3,FALSE),"")</f>
        <v>GR</v>
      </c>
      <c r="G187" s="36" t="s">
        <v>1872</v>
      </c>
      <c r="H187" s="36" t="s">
        <v>1417</v>
      </c>
      <c r="I187" s="7" t="s">
        <v>1548</v>
      </c>
      <c r="J187" s="7" t="s">
        <v>1561</v>
      </c>
      <c r="K187" s="7" t="b">
        <v>1</v>
      </c>
      <c r="L187" s="16" t="b">
        <v>0</v>
      </c>
    </row>
    <row r="188" hidden="1">
      <c r="B188" s="7" t="s">
        <v>129</v>
      </c>
      <c r="C188" s="7" t="str">
        <f>IFERROR(VLOOKUP(B188,'Master data'!$A$1:$F$1000,2,FALSE),"")</f>
        <v>B001-056</v>
      </c>
      <c r="D188" s="7" t="str">
        <f>IFERROR(VLOOKUP(B188,'Master data'!$A$1:$F$1000,6,FALSE),"")</f>
        <v>bahan baku</v>
      </c>
      <c r="E188" s="7">
        <v>9.0</v>
      </c>
      <c r="F188" s="7" t="str">
        <f>IFERROR(VLOOKUP(B188,'Master data'!$A$1:$F$1000,3,FALSE),"")</f>
        <v>ML</v>
      </c>
      <c r="G188" s="36" t="s">
        <v>1872</v>
      </c>
      <c r="I188" s="7" t="s">
        <v>1548</v>
      </c>
      <c r="J188" s="7" t="s">
        <v>1561</v>
      </c>
      <c r="K188" s="7" t="b">
        <v>1</v>
      </c>
      <c r="L188" s="16" t="b">
        <v>0</v>
      </c>
    </row>
    <row r="189" hidden="1">
      <c r="A189" s="36">
        <v>24.0</v>
      </c>
      <c r="B189" s="7" t="s">
        <v>76</v>
      </c>
      <c r="C189" s="7" t="str">
        <f>IFERROR(VLOOKUP(B189,'Master data'!$A$1:$F$1000,2,FALSE),"")</f>
        <v>B001-032</v>
      </c>
      <c r="D189" s="7" t="str">
        <f>IFERROR(VLOOKUP(B189,'Master data'!$A$1:$F$1000,6,FALSE),"")</f>
        <v>bahan baku</v>
      </c>
      <c r="E189" s="7">
        <v>268.0</v>
      </c>
      <c r="F189" s="7" t="str">
        <f>IFERROR(VLOOKUP(B189,'Master data'!$A$1:$F$1000,3,FALSE),"")</f>
        <v>ML</v>
      </c>
      <c r="G189" s="36" t="s">
        <v>1216</v>
      </c>
      <c r="H189" s="36" t="s">
        <v>1886</v>
      </c>
      <c r="I189" s="7" t="s">
        <v>1552</v>
      </c>
      <c r="J189" s="7" t="s">
        <v>1561</v>
      </c>
      <c r="K189" s="7" t="b">
        <v>1</v>
      </c>
      <c r="L189" s="16" t="b">
        <v>0</v>
      </c>
    </row>
    <row r="190">
      <c r="B190" s="7" t="s">
        <v>28</v>
      </c>
      <c r="C190" s="7" t="str">
        <f>IFERROR(VLOOKUP(B190,'Master data'!$A$1:$F$1000,2,FALSE),"")</f>
        <v>B001-006</v>
      </c>
      <c r="D190" s="7" t="str">
        <f>IFERROR(VLOOKUP(B190,'Master data'!$A$1:$F$1000,6,FALSE),"")</f>
        <v>bahan baku</v>
      </c>
      <c r="E190" s="7">
        <v>10.0</v>
      </c>
      <c r="F190" s="7" t="str">
        <f>IFERROR(VLOOKUP(B190,'Master data'!$A$1:$F$1000,3,FALSE),"")</f>
        <v>GR</v>
      </c>
      <c r="G190" s="36" t="s">
        <v>1529</v>
      </c>
      <c r="H190" s="36" t="s">
        <v>1441</v>
      </c>
      <c r="I190" s="7" t="s">
        <v>1542</v>
      </c>
      <c r="J190" s="7" t="s">
        <v>61</v>
      </c>
      <c r="K190" s="16" t="b">
        <v>0</v>
      </c>
      <c r="L190" s="16" t="b">
        <v>0</v>
      </c>
    </row>
    <row r="191" hidden="1">
      <c r="B191" s="7" t="s">
        <v>625</v>
      </c>
      <c r="C191" s="7" t="str">
        <f>IFERROR(VLOOKUP(B191,'Master data'!$A$1:$F$1000,2,FALSE),"")</f>
        <v>P004-011</v>
      </c>
      <c r="D191" s="7" t="str">
        <f>IFERROR(VLOOKUP(B191,'Master data'!$A$1:$F$1000,6,FALSE),"")</f>
        <v>barang jadi &amp; bahan baku</v>
      </c>
      <c r="E191" s="7">
        <v>30.0</v>
      </c>
      <c r="F191" s="7" t="str">
        <f>IFERROR(VLOOKUP(B191,'Master data'!$A$1:$F$1000,3,FALSE),"")</f>
        <v>GR</v>
      </c>
      <c r="G191" s="36" t="s">
        <v>1164</v>
      </c>
      <c r="I191" s="7" t="s">
        <v>1542</v>
      </c>
      <c r="J191" s="7" t="s">
        <v>1561</v>
      </c>
      <c r="K191" s="7" t="b">
        <v>1</v>
      </c>
      <c r="L191" s="16" t="b">
        <v>0</v>
      </c>
    </row>
    <row r="192">
      <c r="B192" s="7" t="s">
        <v>211</v>
      </c>
      <c r="C192" s="7" t="str">
        <f>IFERROR(VLOOKUP(B192,'Master data'!$A$1:$F$1000,2,FALSE),"")</f>
        <v>B001-088</v>
      </c>
      <c r="D192" s="7" t="str">
        <f>IFERROR(VLOOKUP(B192,'Master data'!$A$1:$F$1000,6,FALSE),"")</f>
        <v>bahan baku</v>
      </c>
      <c r="E192" s="7">
        <v>1450.0</v>
      </c>
      <c r="F192" s="7" t="str">
        <f>IFERROR(VLOOKUP(B192,'Master data'!$A$1:$F$1000,3,FALSE),"")</f>
        <v>GR</v>
      </c>
      <c r="G192" s="36" t="s">
        <v>1475</v>
      </c>
      <c r="H192" s="36" t="s">
        <v>1567</v>
      </c>
      <c r="I192" s="7" t="s">
        <v>1556</v>
      </c>
      <c r="J192" s="7" t="s">
        <v>61</v>
      </c>
      <c r="K192" s="16" t="b">
        <v>0</v>
      </c>
      <c r="L192" s="16" t="b">
        <v>0</v>
      </c>
    </row>
    <row r="193" hidden="1">
      <c r="B193" s="7" t="s">
        <v>33</v>
      </c>
      <c r="C193" s="7" t="str">
        <f>IFERROR(VLOOKUP(B193,'Master data'!$A$1:$F$1000,2,FALSE),"")</f>
        <v>B001-008</v>
      </c>
      <c r="D193" s="7" t="str">
        <f>IFERROR(VLOOKUP(B193,'Master data'!$A$1:$F$1000,6,FALSE),"")</f>
        <v>bahan baku</v>
      </c>
      <c r="E193" s="7">
        <v>400.0</v>
      </c>
      <c r="F193" s="7" t="str">
        <f>IFERROR(VLOOKUP(B193,'Master data'!$A$1:$F$1000,3,FALSE),"")</f>
        <v>GR</v>
      </c>
      <c r="G193" s="36" t="s">
        <v>1872</v>
      </c>
      <c r="H193" s="36" t="s">
        <v>1417</v>
      </c>
      <c r="I193" s="7" t="s">
        <v>1548</v>
      </c>
      <c r="J193" s="7" t="s">
        <v>1561</v>
      </c>
      <c r="K193" s="7" t="b">
        <v>1</v>
      </c>
      <c r="L193" s="16" t="b">
        <v>0</v>
      </c>
    </row>
    <row r="194" hidden="1">
      <c r="B194" s="7" t="s">
        <v>129</v>
      </c>
      <c r="C194" s="7" t="str">
        <f>IFERROR(VLOOKUP(B194,'Master data'!$A$1:$F$1000,2,FALSE),"")</f>
        <v>B001-056</v>
      </c>
      <c r="D194" s="7" t="str">
        <f>IFERROR(VLOOKUP(B194,'Master data'!$A$1:$F$1000,6,FALSE),"")</f>
        <v>bahan baku</v>
      </c>
      <c r="E194" s="7">
        <v>4.0</v>
      </c>
      <c r="F194" s="7" t="str">
        <f>IFERROR(VLOOKUP(B194,'Master data'!$A$1:$F$1000,3,FALSE),"")</f>
        <v>ML</v>
      </c>
      <c r="G194" s="36" t="s">
        <v>1872</v>
      </c>
      <c r="I194" s="7" t="s">
        <v>1548</v>
      </c>
      <c r="J194" s="7" t="s">
        <v>1561</v>
      </c>
      <c r="K194" s="7" t="b">
        <v>1</v>
      </c>
      <c r="L194" s="16" t="b">
        <v>0</v>
      </c>
    </row>
    <row r="195">
      <c r="A195" s="36">
        <v>25.0</v>
      </c>
      <c r="B195" s="7" t="s">
        <v>28</v>
      </c>
      <c r="C195" s="7" t="str">
        <f>IFERROR(VLOOKUP(B195,'Master data'!$A$1:$F$1000,2,FALSE),"")</f>
        <v>B001-006</v>
      </c>
      <c r="D195" s="7" t="str">
        <f>IFERROR(VLOOKUP(B195,'Master data'!$A$1:$F$1000,6,FALSE),"")</f>
        <v>bahan baku</v>
      </c>
      <c r="E195" s="7">
        <v>67.0</v>
      </c>
      <c r="F195" s="7" t="str">
        <f>IFERROR(VLOOKUP(B195,'Master data'!$A$1:$F$1000,3,FALSE),"")</f>
        <v>GR</v>
      </c>
      <c r="G195" s="36" t="s">
        <v>1529</v>
      </c>
      <c r="H195" s="36" t="s">
        <v>1441</v>
      </c>
      <c r="I195" s="7" t="s">
        <v>1542</v>
      </c>
      <c r="J195" s="7" t="s">
        <v>61</v>
      </c>
      <c r="K195" s="16" t="b">
        <v>0</v>
      </c>
      <c r="L195" s="16" t="b">
        <v>0</v>
      </c>
    </row>
    <row r="196" hidden="1">
      <c r="B196" s="7" t="s">
        <v>33</v>
      </c>
      <c r="C196" s="7" t="str">
        <f>IFERROR(VLOOKUP(B196,'Master data'!$A$1:$F$1000,2,FALSE),"")</f>
        <v>B001-008</v>
      </c>
      <c r="D196" s="7" t="str">
        <f>IFERROR(VLOOKUP(B196,'Master data'!$A$1:$F$1000,6,FALSE),"")</f>
        <v>bahan baku</v>
      </c>
      <c r="E196" s="7">
        <v>737.0</v>
      </c>
      <c r="F196" s="7" t="str">
        <f>IFERROR(VLOOKUP(B196,'Master data'!$A$1:$F$1000,3,FALSE),"")</f>
        <v>GR</v>
      </c>
      <c r="G196" s="36" t="s">
        <v>1872</v>
      </c>
      <c r="H196" s="36" t="s">
        <v>1417</v>
      </c>
      <c r="I196" s="7" t="s">
        <v>1548</v>
      </c>
      <c r="J196" s="7" t="s">
        <v>1561</v>
      </c>
      <c r="K196" s="7" t="b">
        <v>1</v>
      </c>
      <c r="L196" s="16" t="b">
        <v>0</v>
      </c>
    </row>
    <row r="197" hidden="1">
      <c r="B197" s="7" t="s">
        <v>129</v>
      </c>
      <c r="C197" s="7" t="str">
        <f>IFERROR(VLOOKUP(B197,'Master data'!$A$1:$F$1000,2,FALSE),"")</f>
        <v>B001-056</v>
      </c>
      <c r="D197" s="7" t="str">
        <f>IFERROR(VLOOKUP(B197,'Master data'!$A$1:$F$1000,6,FALSE),"")</f>
        <v>bahan baku</v>
      </c>
      <c r="E197" s="7">
        <v>7.0</v>
      </c>
      <c r="F197" s="7" t="str">
        <f>IFERROR(VLOOKUP(B197,'Master data'!$A$1:$F$1000,3,FALSE),"")</f>
        <v>ML</v>
      </c>
      <c r="G197" s="36" t="s">
        <v>1872</v>
      </c>
      <c r="I197" s="7" t="s">
        <v>1548</v>
      </c>
      <c r="J197" s="7" t="s">
        <v>1561</v>
      </c>
      <c r="K197" s="7" t="b">
        <v>1</v>
      </c>
      <c r="L197" s="16" t="b">
        <v>0</v>
      </c>
    </row>
    <row r="198" hidden="1">
      <c r="A198" s="36">
        <v>26.0</v>
      </c>
      <c r="B198" s="7" t="s">
        <v>657</v>
      </c>
      <c r="C198" s="7" t="str">
        <f>IFERROR(VLOOKUP(B198,'Master data'!$A$1:$F$1000,2,FALSE),"")</f>
        <v>P004-023</v>
      </c>
      <c r="D198" s="7" t="str">
        <f>IFERROR(VLOOKUP(B198,'Master data'!$A$1:$F$1000,6,FALSE),"")</f>
        <v>barang jadi &amp; bahan baku</v>
      </c>
      <c r="E198" s="7">
        <v>1690.0</v>
      </c>
      <c r="F198" s="7" t="s">
        <v>78</v>
      </c>
      <c r="G198" s="36" t="s">
        <v>1164</v>
      </c>
      <c r="H198" s="36" t="s">
        <v>1887</v>
      </c>
      <c r="I198" s="7" t="s">
        <v>1552</v>
      </c>
      <c r="J198" s="7" t="s">
        <v>1561</v>
      </c>
      <c r="K198" s="7" t="b">
        <v>1</v>
      </c>
      <c r="L198" s="16" t="b">
        <v>0</v>
      </c>
    </row>
    <row r="199">
      <c r="B199" s="7" t="s">
        <v>211</v>
      </c>
      <c r="C199" s="7" t="str">
        <f>IFERROR(VLOOKUP(B199,'Master data'!$A$1:$F$1000,2,FALSE),"")</f>
        <v>B001-088</v>
      </c>
      <c r="D199" s="7" t="str">
        <f>IFERROR(VLOOKUP(B199,'Master data'!$A$1:$F$1000,6,FALSE),"")</f>
        <v>bahan baku</v>
      </c>
      <c r="E199" s="7">
        <v>1725.0</v>
      </c>
      <c r="F199" s="7" t="str">
        <f>IFERROR(VLOOKUP(B199,'Master data'!$A$1:$F$1000,3,FALSE),"")</f>
        <v>GR</v>
      </c>
      <c r="G199" s="36" t="s">
        <v>1475</v>
      </c>
      <c r="H199" s="36" t="s">
        <v>1417</v>
      </c>
      <c r="I199" s="7" t="s">
        <v>1556</v>
      </c>
      <c r="J199" s="7" t="s">
        <v>61</v>
      </c>
      <c r="K199" s="16" t="b">
        <v>0</v>
      </c>
      <c r="L199" s="16" t="b">
        <v>0</v>
      </c>
    </row>
    <row r="200" hidden="1">
      <c r="B200" s="7" t="s">
        <v>660</v>
      </c>
      <c r="C200" s="7" t="str">
        <f>IFERROR(VLOOKUP(B200,'Master data'!$A$1:$F$1000,2,FALSE),"")</f>
        <v>P004-024</v>
      </c>
      <c r="D200" s="7" t="str">
        <f>IFERROR(VLOOKUP(B200,'Master data'!$A$1:$F$1000,6,FALSE),"")</f>
        <v>barang jadi &amp; bahan baku</v>
      </c>
      <c r="E200" s="7">
        <v>422.0</v>
      </c>
      <c r="F200" s="7" t="str">
        <f>IFERROR(VLOOKUP(B200,'Master data'!$A$1:$F$1000,3,FALSE),"")</f>
        <v>ML</v>
      </c>
      <c r="G200" s="36" t="s">
        <v>1216</v>
      </c>
      <c r="H200" s="36" t="s">
        <v>1835</v>
      </c>
      <c r="I200" s="7" t="s">
        <v>1552</v>
      </c>
      <c r="J200" s="7" t="s">
        <v>1561</v>
      </c>
      <c r="K200" s="7" t="b">
        <v>1</v>
      </c>
      <c r="L200" s="16" t="b">
        <v>0</v>
      </c>
    </row>
    <row r="201" hidden="1">
      <c r="B201" s="7" t="s">
        <v>653</v>
      </c>
      <c r="C201" s="7" t="str">
        <f>IFERROR(VLOOKUP(B201,'Master data'!$A$1:$F$1000,2,FALSE),"")</f>
        <v>P004-022</v>
      </c>
      <c r="D201" s="7" t="str">
        <f>IFERROR(VLOOKUP(B201,'Master data'!$A$1:$F$1000,6,FALSE),"")</f>
        <v>barang jadi &amp; bahan baku</v>
      </c>
      <c r="E201" s="7">
        <v>437.0</v>
      </c>
      <c r="F201" s="7" t="s">
        <v>78</v>
      </c>
      <c r="G201" s="36" t="s">
        <v>1216</v>
      </c>
      <c r="I201" s="7" t="s">
        <v>1552</v>
      </c>
      <c r="J201" s="7" t="s">
        <v>1561</v>
      </c>
      <c r="K201" s="7" t="b">
        <v>1</v>
      </c>
      <c r="L201" s="16" t="b">
        <v>0</v>
      </c>
    </row>
    <row r="202">
      <c r="B202" s="7" t="s">
        <v>28</v>
      </c>
      <c r="C202" s="7" t="str">
        <f>IFERROR(VLOOKUP(B202,'Master data'!$A$1:$F$1000,2,FALSE),"")</f>
        <v>B001-006</v>
      </c>
      <c r="D202" s="7" t="str">
        <f>IFERROR(VLOOKUP(B202,'Master data'!$A$1:$F$1000,6,FALSE),"")</f>
        <v>bahan baku</v>
      </c>
      <c r="E202" s="7">
        <v>8.0</v>
      </c>
      <c r="F202" s="7" t="str">
        <f>IFERROR(VLOOKUP(B202,'Master data'!$A$1:$F$1000,3,FALSE),"")</f>
        <v>GR</v>
      </c>
      <c r="G202" s="36" t="s">
        <v>1529</v>
      </c>
      <c r="H202" s="36" t="s">
        <v>1441</v>
      </c>
      <c r="I202" s="7" t="s">
        <v>1542</v>
      </c>
      <c r="J202" s="7" t="s">
        <v>61</v>
      </c>
      <c r="K202" s="16" t="b">
        <v>0</v>
      </c>
      <c r="L202" s="16" t="b">
        <v>0</v>
      </c>
    </row>
    <row r="203" hidden="1">
      <c r="B203" s="7" t="s">
        <v>132</v>
      </c>
      <c r="C203" s="7" t="str">
        <f>IFERROR(VLOOKUP(B203,'Master data'!$A$1:$F$1000,2,FALSE),"")</f>
        <v>B001-057</v>
      </c>
      <c r="D203" s="7" t="str">
        <f>IFERROR(VLOOKUP(B203,'Master data'!$A$1:$F$1000,6,FALSE),"")</f>
        <v>bahan baku</v>
      </c>
      <c r="E203" s="7">
        <v>21.0</v>
      </c>
      <c r="F203" s="7" t="str">
        <f>IFERROR(VLOOKUP(B203,'Master data'!$A$1:$F$1000,3,FALSE),"")</f>
        <v>GR</v>
      </c>
      <c r="G203" s="36" t="s">
        <v>1164</v>
      </c>
      <c r="I203" s="7" t="s">
        <v>1542</v>
      </c>
      <c r="J203" s="7" t="s">
        <v>1561</v>
      </c>
      <c r="K203" s="7" t="b">
        <v>1</v>
      </c>
      <c r="L203" s="16" t="b">
        <v>0</v>
      </c>
    </row>
    <row r="204" hidden="1">
      <c r="A204" s="36">
        <v>27.0</v>
      </c>
      <c r="B204" s="7" t="s">
        <v>657</v>
      </c>
      <c r="C204" s="7" t="str">
        <f>IFERROR(VLOOKUP(B204,'Master data'!$A$1:$F$1000,2,FALSE),"")</f>
        <v>P004-023</v>
      </c>
      <c r="D204" s="7" t="str">
        <f>IFERROR(VLOOKUP(B204,'Master data'!$A$1:$F$1000,6,FALSE),"")</f>
        <v>barang jadi &amp; bahan baku</v>
      </c>
      <c r="E204" s="7">
        <v>524.0</v>
      </c>
      <c r="F204" s="7" t="s">
        <v>78</v>
      </c>
      <c r="G204" s="36" t="s">
        <v>1164</v>
      </c>
      <c r="H204" s="36" t="s">
        <v>1512</v>
      </c>
      <c r="I204" s="7" t="s">
        <v>1552</v>
      </c>
      <c r="J204" s="7" t="s">
        <v>1561</v>
      </c>
      <c r="K204" s="7" t="b">
        <v>1</v>
      </c>
      <c r="L204" s="16" t="b">
        <v>0</v>
      </c>
    </row>
    <row r="205" hidden="1">
      <c r="B205" s="7" t="s">
        <v>653</v>
      </c>
      <c r="C205" s="7" t="str">
        <f>IFERROR(VLOOKUP(B205,'Master data'!$A$1:$F$1000,2,FALSE),"")</f>
        <v>P004-022</v>
      </c>
      <c r="D205" s="7" t="str">
        <f>IFERROR(VLOOKUP(B205,'Master data'!$A$1:$F$1000,6,FALSE),"")</f>
        <v>barang jadi &amp; bahan baku</v>
      </c>
      <c r="E205" s="7">
        <v>581.0</v>
      </c>
      <c r="F205" s="7" t="s">
        <v>78</v>
      </c>
      <c r="G205" s="36" t="s">
        <v>1164</v>
      </c>
      <c r="I205" s="7" t="s">
        <v>1552</v>
      </c>
      <c r="J205" s="7" t="s">
        <v>1561</v>
      </c>
      <c r="K205" s="7" t="b">
        <v>1</v>
      </c>
      <c r="L205" s="16" t="b">
        <v>0</v>
      </c>
    </row>
    <row r="206" hidden="1">
      <c r="B206" s="7" t="s">
        <v>930</v>
      </c>
      <c r="C206" s="7" t="str">
        <f>IFERROR(VLOOKUP(B206,'Master data'!$A$1:$F$1000,2,FALSE),"")</f>
        <v>B001-166</v>
      </c>
      <c r="D206" s="7" t="str">
        <f>IFERROR(VLOOKUP(B206,'Master data'!$A$1:$F$1000,6,FALSE),"")</f>
        <v>bahan baku</v>
      </c>
      <c r="E206" s="7">
        <v>95.0</v>
      </c>
      <c r="F206" s="7" t="s">
        <v>20</v>
      </c>
      <c r="G206" s="36" t="s">
        <v>1866</v>
      </c>
      <c r="H206" s="36" t="s">
        <v>1225</v>
      </c>
      <c r="I206" s="7" t="s">
        <v>1548</v>
      </c>
      <c r="J206" s="7" t="s">
        <v>61</v>
      </c>
      <c r="K206" s="7" t="b">
        <v>1</v>
      </c>
      <c r="L206" s="16" t="b">
        <v>0</v>
      </c>
    </row>
    <row r="207">
      <c r="B207" s="7" t="s">
        <v>211</v>
      </c>
      <c r="C207" s="7" t="str">
        <f>IFERROR(VLOOKUP(B207,'Master data'!$A$1:$F$1000,2,FALSE),"")</f>
        <v>B001-088</v>
      </c>
      <c r="D207" s="7" t="str">
        <f>IFERROR(VLOOKUP(B207,'Master data'!$A$1:$F$1000,6,FALSE),"")</f>
        <v>bahan baku</v>
      </c>
      <c r="E207" s="7">
        <v>1015.0</v>
      </c>
      <c r="F207" s="7" t="str">
        <f>IFERROR(VLOOKUP(B207,'Master data'!$A$1:$F$1000,3,FALSE),"")</f>
        <v>GR</v>
      </c>
      <c r="G207" s="36" t="s">
        <v>1475</v>
      </c>
      <c r="H207" s="36" t="s">
        <v>1567</v>
      </c>
      <c r="I207" s="7" t="s">
        <v>1556</v>
      </c>
      <c r="J207" s="7" t="s">
        <v>61</v>
      </c>
      <c r="K207" s="16" t="b">
        <v>0</v>
      </c>
      <c r="L207" s="16" t="b">
        <v>0</v>
      </c>
    </row>
    <row r="208" hidden="1">
      <c r="A208" s="36">
        <v>28.0</v>
      </c>
      <c r="B208" s="7" t="s">
        <v>28</v>
      </c>
      <c r="C208" s="7" t="str">
        <f>IFERROR(VLOOKUP(B208,'Master data'!$A$1:$F$1000,2,FALSE),"")</f>
        <v>B001-006</v>
      </c>
      <c r="D208" s="7" t="str">
        <f>IFERROR(VLOOKUP(B208,'Master data'!$A$1:$F$1000,6,FALSE),"")</f>
        <v>bahan baku</v>
      </c>
      <c r="E208" s="7">
        <v>19.0</v>
      </c>
      <c r="F208" s="7" t="str">
        <f>IFERROR(VLOOKUP(B208,'Master data'!$A$1:$F$1000,3,FALSE),"")</f>
        <v>GR</v>
      </c>
      <c r="G208" s="36" t="s">
        <v>1216</v>
      </c>
      <c r="H208" s="36" t="s">
        <v>1384</v>
      </c>
      <c r="I208" s="7" t="s">
        <v>1542</v>
      </c>
      <c r="J208" s="7" t="s">
        <v>61</v>
      </c>
      <c r="K208" s="7" t="b">
        <v>1</v>
      </c>
      <c r="L208" s="16" t="b">
        <v>0</v>
      </c>
    </row>
    <row r="209" hidden="1">
      <c r="B209" s="7" t="s">
        <v>651</v>
      </c>
      <c r="C209" s="7" t="str">
        <f>IFERROR(VLOOKUP(B209,'Master data'!$A$1:$F$1000,2,FALSE),"")</f>
        <v>P004-021</v>
      </c>
      <c r="D209" s="7" t="str">
        <f>IFERROR(VLOOKUP(B209,'Master data'!$A$1:$F$1000,6,FALSE),"")</f>
        <v>barang jadi &amp; bahan baku</v>
      </c>
      <c r="E209" s="7">
        <v>2.0</v>
      </c>
      <c r="F209" s="7" t="str">
        <f>IFERROR(VLOOKUP(B209,'Master data'!$A$1:$F$1000,3,FALSE),"")</f>
        <v>PRS</v>
      </c>
      <c r="G209" s="36" t="s">
        <v>1164</v>
      </c>
      <c r="I209" s="7" t="s">
        <v>1542</v>
      </c>
      <c r="J209" s="7" t="s">
        <v>1561</v>
      </c>
      <c r="K209" s="7" t="b">
        <v>1</v>
      </c>
      <c r="L209" s="16" t="b">
        <v>0</v>
      </c>
    </row>
    <row r="210" hidden="1">
      <c r="B210" s="7" t="s">
        <v>65</v>
      </c>
      <c r="C210" s="7" t="str">
        <f>IFERROR(VLOOKUP(B210,'Master data'!$A$1:$F$1000,2,FALSE),"")</f>
        <v>B001-023</v>
      </c>
      <c r="D210" s="7" t="str">
        <f>IFERROR(VLOOKUP(B210,'Master data'!$A$1:$F$1000,6,FALSE),"")</f>
        <v>bahan baku</v>
      </c>
      <c r="E210" s="7">
        <v>27.0</v>
      </c>
      <c r="F210" s="7" t="str">
        <f>IFERROR(VLOOKUP(B210,'Master data'!$A$1:$F$1000,3,FALSE),"")</f>
        <v>GR</v>
      </c>
      <c r="G210" s="36" t="s">
        <v>1874</v>
      </c>
      <c r="I210" s="7" t="s">
        <v>1542</v>
      </c>
      <c r="J210" s="7" t="s">
        <v>1561</v>
      </c>
      <c r="K210" s="7" t="b">
        <v>1</v>
      </c>
      <c r="L210" s="16" t="b">
        <v>0</v>
      </c>
    </row>
    <row r="211">
      <c r="B211" s="7" t="s">
        <v>54</v>
      </c>
      <c r="C211" s="7" t="str">
        <f>IFERROR(VLOOKUP(B211,'Master data'!$A$1:$F$1000,2,FALSE),"")</f>
        <v>B001-019</v>
      </c>
      <c r="D211" s="7" t="str">
        <f>IFERROR(VLOOKUP(B211,'Master data'!$A$1:$F$1000,6,FALSE),"")</f>
        <v>bahan baku</v>
      </c>
      <c r="E211" s="7">
        <v>53.0</v>
      </c>
      <c r="F211" s="7" t="str">
        <f>IFERROR(VLOOKUP(B211,'Master data'!$A$1:$F$1000,3,FALSE),"")</f>
        <v>GR</v>
      </c>
      <c r="G211" s="36" t="s">
        <v>1527</v>
      </c>
      <c r="I211" s="7" t="s">
        <v>1542</v>
      </c>
      <c r="J211" s="7" t="s">
        <v>61</v>
      </c>
      <c r="K211" s="16" t="b">
        <v>0</v>
      </c>
      <c r="L211" s="16" t="b">
        <v>0</v>
      </c>
    </row>
    <row r="212" hidden="1">
      <c r="B212" s="7" t="s">
        <v>653</v>
      </c>
      <c r="C212" s="7" t="str">
        <f>IFERROR(VLOOKUP(B212,'Master data'!$A$1:$F$1000,2,FALSE),"")</f>
        <v>P004-022</v>
      </c>
      <c r="D212" s="7" t="str">
        <f>IFERROR(VLOOKUP(B212,'Master data'!$A$1:$F$1000,6,FALSE),"")</f>
        <v>barang jadi &amp; bahan baku</v>
      </c>
      <c r="E212" s="7">
        <v>269.0</v>
      </c>
      <c r="F212" s="7" t="str">
        <f>IFERROR(VLOOKUP(B212,'Master data'!$A$1:$F$1000,3,FALSE),"")</f>
        <v>GR</v>
      </c>
      <c r="G212" s="36" t="s">
        <v>1216</v>
      </c>
      <c r="H212" s="36" t="s">
        <v>1888</v>
      </c>
      <c r="I212" s="7" t="s">
        <v>1552</v>
      </c>
      <c r="J212" s="7" t="s">
        <v>1561</v>
      </c>
      <c r="K212" s="7" t="b">
        <v>1</v>
      </c>
      <c r="L212" s="16" t="b">
        <v>0</v>
      </c>
    </row>
    <row r="213">
      <c r="B213" s="7" t="s">
        <v>211</v>
      </c>
      <c r="C213" s="7" t="str">
        <f>IFERROR(VLOOKUP(B213,'Master data'!$A$1:$F$1000,2,FALSE),"")</f>
        <v>B001-088</v>
      </c>
      <c r="D213" s="7" t="str">
        <f>IFERROR(VLOOKUP(B213,'Master data'!$A$1:$F$1000,6,FALSE),"")</f>
        <v>bahan baku</v>
      </c>
      <c r="E213" s="7">
        <v>1685.0</v>
      </c>
      <c r="F213" s="7" t="str">
        <f>IFERROR(VLOOKUP(B213,'Master data'!$A$1:$F$1000,3,FALSE),"")</f>
        <v>GR</v>
      </c>
      <c r="G213" s="36" t="s">
        <v>1475</v>
      </c>
      <c r="H213" s="36" t="s">
        <v>1567</v>
      </c>
      <c r="I213" s="7" t="s">
        <v>1556</v>
      </c>
      <c r="J213" s="7" t="s">
        <v>61</v>
      </c>
      <c r="K213" s="7" t="b">
        <v>0</v>
      </c>
      <c r="L213" s="16" t="b">
        <v>0</v>
      </c>
    </row>
    <row r="214" hidden="1">
      <c r="B214" s="7" t="s">
        <v>502</v>
      </c>
      <c r="C214" s="7" t="str">
        <f>IFERROR(VLOOKUP(B214,'Master data'!$A$1:$F$1000,2,FALSE),"")</f>
        <v>S001-002</v>
      </c>
      <c r="D214" s="7" t="str">
        <f>IFERROR(VLOOKUP(B214,'Master data'!$A$1:$F$1000,6,FALSE),"")</f>
        <v>barang jadi &amp; bahan baku</v>
      </c>
      <c r="E214" s="7">
        <v>3.0</v>
      </c>
      <c r="F214" s="7" t="s">
        <v>863</v>
      </c>
      <c r="G214" s="36" t="s">
        <v>1216</v>
      </c>
      <c r="H214" s="36" t="s">
        <v>1441</v>
      </c>
      <c r="I214" s="7" t="s">
        <v>1548</v>
      </c>
      <c r="J214" s="7" t="s">
        <v>1561</v>
      </c>
      <c r="K214" s="7" t="b">
        <v>1</v>
      </c>
      <c r="L214" s="16" t="b">
        <v>0</v>
      </c>
    </row>
    <row r="215">
      <c r="A215" s="36">
        <v>29.0</v>
      </c>
      <c r="B215" s="7" t="s">
        <v>269</v>
      </c>
      <c r="C215" s="7" t="str">
        <f>IFERROR(VLOOKUP(B215,'Master data'!$A$1:$F$1000,2,FALSE),"")</f>
        <v>B001-119</v>
      </c>
      <c r="D215" s="7" t="str">
        <f>IFERROR(VLOOKUP(B215,'Master data'!$A$1:$F$1000,6,FALSE),"")</f>
        <v>bahan baku</v>
      </c>
      <c r="E215" s="7">
        <v>2.0</v>
      </c>
      <c r="F215" s="7" t="str">
        <f>IFERROR(VLOOKUP(B215,'Master data'!$A$1:$F$1000,3,FALSE),"")</f>
        <v>GR</v>
      </c>
      <c r="G215" s="36" t="s">
        <v>1529</v>
      </c>
      <c r="H215" s="36" t="s">
        <v>1384</v>
      </c>
      <c r="I215" s="7" t="s">
        <v>1542</v>
      </c>
      <c r="J215" s="7" t="s">
        <v>61</v>
      </c>
      <c r="K215" s="7" t="b">
        <v>0</v>
      </c>
      <c r="L215" s="16" t="b">
        <v>0</v>
      </c>
    </row>
    <row r="216">
      <c r="B216" s="7" t="s">
        <v>139</v>
      </c>
      <c r="C216" s="7" t="str">
        <f>IFERROR(VLOOKUP(B216,'Master data'!$A$1:$F$1000,2,FALSE),"")</f>
        <v>B001-061</v>
      </c>
      <c r="D216" s="7" t="str">
        <f>IFERROR(VLOOKUP(B216,'Master data'!$A$1:$F$1000,6,FALSE),"")</f>
        <v>bahan baku</v>
      </c>
      <c r="E216" s="7">
        <v>26.0</v>
      </c>
      <c r="F216" s="7" t="str">
        <f>IFERROR(VLOOKUP(B216,'Master data'!$A$1:$F$1000,3,FALSE),"")</f>
        <v>GR</v>
      </c>
      <c r="G216" s="36" t="s">
        <v>1889</v>
      </c>
      <c r="I216" s="7" t="s">
        <v>1542</v>
      </c>
      <c r="J216" s="7" t="s">
        <v>61</v>
      </c>
      <c r="K216" s="16" t="b">
        <v>0</v>
      </c>
      <c r="L216" s="16" t="b">
        <v>0</v>
      </c>
    </row>
    <row r="217">
      <c r="B217" s="7" t="s">
        <v>148</v>
      </c>
      <c r="C217" s="7" t="str">
        <f>IFERROR(VLOOKUP(B217,'Master data'!$A$1:$F$1000,2,FALSE),"")</f>
        <v>B001-064</v>
      </c>
      <c r="D217" s="7" t="str">
        <f>IFERROR(VLOOKUP(B217,'Master data'!$A$1:$F$1000,6,FALSE),"")</f>
        <v>bahan baku</v>
      </c>
      <c r="E217" s="7">
        <v>26.0</v>
      </c>
      <c r="F217" s="7" t="str">
        <f>IFERROR(VLOOKUP(B217,'Master data'!$A$1:$F$1000,3,FALSE),"")</f>
        <v>GR</v>
      </c>
      <c r="G217" s="36" t="s">
        <v>1890</v>
      </c>
      <c r="I217" s="7" t="s">
        <v>1542</v>
      </c>
      <c r="J217" s="7" t="s">
        <v>61</v>
      </c>
      <c r="K217" s="16" t="b">
        <v>0</v>
      </c>
      <c r="L217" s="16" t="b">
        <v>0</v>
      </c>
    </row>
    <row r="218" hidden="1">
      <c r="B218" s="7" t="s">
        <v>899</v>
      </c>
      <c r="C218" s="7" t="str">
        <f>IFERROR(VLOOKUP(B218,'Master data'!$A$1:$F$1000,2,FALSE),"")</f>
        <v>B001-153</v>
      </c>
      <c r="D218" s="7" t="str">
        <f>IFERROR(VLOOKUP(B218,'Master data'!$A$1:$F$1000,6,FALSE),"")</f>
        <v>bahan baku</v>
      </c>
      <c r="E218" s="7">
        <v>11.0</v>
      </c>
      <c r="F218" s="7" t="str">
        <f>IFERROR(VLOOKUP(B218,'Master data'!$A$1:$F$1000,3,FALSE),"")</f>
        <v>GR</v>
      </c>
      <c r="G218" s="36" t="s">
        <v>1333</v>
      </c>
      <c r="I218" s="7" t="s">
        <v>1542</v>
      </c>
      <c r="J218" s="7" t="s">
        <v>1561</v>
      </c>
      <c r="K218" s="7" t="b">
        <v>1</v>
      </c>
      <c r="L218" s="16" t="b">
        <v>0</v>
      </c>
    </row>
    <row r="219">
      <c r="B219" s="7" t="s">
        <v>28</v>
      </c>
      <c r="C219" s="7" t="str">
        <f>IFERROR(VLOOKUP(B219,'Master data'!$A$1:$F$1000,2,FALSE),"")</f>
        <v>B001-006</v>
      </c>
      <c r="D219" s="7" t="str">
        <f>IFERROR(VLOOKUP(B219,'Master data'!$A$1:$F$1000,6,FALSE),"")</f>
        <v>bahan baku</v>
      </c>
      <c r="E219" s="7">
        <v>6.0</v>
      </c>
      <c r="F219" s="7" t="str">
        <f>IFERROR(VLOOKUP(B219,'Master data'!$A$1:$F$1000,3,FALSE),"")</f>
        <v>GR</v>
      </c>
      <c r="G219" s="36" t="s">
        <v>1529</v>
      </c>
      <c r="I219" s="7" t="s">
        <v>1542</v>
      </c>
      <c r="J219" s="7" t="s">
        <v>61</v>
      </c>
      <c r="K219" s="16" t="b">
        <v>0</v>
      </c>
      <c r="L219" s="16" t="b">
        <v>0</v>
      </c>
    </row>
    <row r="220" hidden="1">
      <c r="B220" s="7" t="s">
        <v>660</v>
      </c>
      <c r="C220" s="7" t="str">
        <f>IFERROR(VLOOKUP(B220,'Master data'!$A$1:$F$1000,2,FALSE),"")</f>
        <v>P004-024</v>
      </c>
      <c r="D220" s="7" t="str">
        <f>IFERROR(VLOOKUP(B220,'Master data'!$A$1:$F$1000,6,FALSE),"")</f>
        <v>barang jadi &amp; bahan baku</v>
      </c>
      <c r="E220" s="7">
        <v>2021.0</v>
      </c>
      <c r="F220" s="7" t="str">
        <f>IFERROR(VLOOKUP(B220,'Master data'!$A$1:$F$1000,3,FALSE),"")</f>
        <v>ML</v>
      </c>
      <c r="G220" s="36" t="s">
        <v>1216</v>
      </c>
      <c r="H220" s="36" t="s">
        <v>1887</v>
      </c>
      <c r="I220" s="7" t="s">
        <v>1552</v>
      </c>
      <c r="J220" s="7" t="s">
        <v>1561</v>
      </c>
      <c r="K220" s="7" t="b">
        <v>1</v>
      </c>
      <c r="L220" s="16" t="b">
        <v>0</v>
      </c>
    </row>
    <row r="221" hidden="1">
      <c r="B221" s="7" t="s">
        <v>653</v>
      </c>
      <c r="C221" s="7" t="str">
        <f>IFERROR(VLOOKUP(B221,'Master data'!$A$1:$F$1000,2,FALSE),"")</f>
        <v>P004-022</v>
      </c>
      <c r="D221" s="7" t="str">
        <f>IFERROR(VLOOKUP(B221,'Master data'!$A$1:$F$1000,6,FALSE),"")</f>
        <v>barang jadi &amp; bahan baku</v>
      </c>
      <c r="E221" s="7">
        <v>392.0</v>
      </c>
      <c r="F221" s="7" t="s">
        <v>78</v>
      </c>
      <c r="G221" s="36" t="s">
        <v>1216</v>
      </c>
      <c r="I221" s="7" t="s">
        <v>1552</v>
      </c>
      <c r="J221" s="7" t="s">
        <v>1561</v>
      </c>
      <c r="K221" s="7" t="b">
        <v>1</v>
      </c>
      <c r="L221" s="16" t="b">
        <v>0</v>
      </c>
    </row>
    <row r="222" hidden="1">
      <c r="B222" s="7" t="s">
        <v>657</v>
      </c>
      <c r="C222" s="7" t="str">
        <f>IFERROR(VLOOKUP(B222,'Master data'!$A$1:$F$1000,2,FALSE),"")</f>
        <v>P004-023</v>
      </c>
      <c r="D222" s="7" t="str">
        <f>IFERROR(VLOOKUP(B222,'Master data'!$A$1:$F$1000,6,FALSE),"")</f>
        <v>barang jadi &amp; bahan baku</v>
      </c>
      <c r="E222" s="7">
        <v>356.0</v>
      </c>
      <c r="F222" s="7" t="s">
        <v>78</v>
      </c>
      <c r="G222" s="36" t="s">
        <v>1216</v>
      </c>
      <c r="I222" s="7" t="s">
        <v>1552</v>
      </c>
      <c r="J222" s="7" t="s">
        <v>1561</v>
      </c>
      <c r="K222" s="7" t="b">
        <v>1</v>
      </c>
      <c r="L222" s="16" t="b">
        <v>0</v>
      </c>
    </row>
    <row r="223" hidden="1">
      <c r="B223" s="7" t="s">
        <v>33</v>
      </c>
      <c r="C223" s="7" t="str">
        <f>IFERROR(VLOOKUP(B223,'Master data'!$A$1:$F$1000,2,FALSE),"")</f>
        <v>B001-008</v>
      </c>
      <c r="D223" s="7" t="str">
        <f>IFERROR(VLOOKUP(B223,'Master data'!$A$1:$F$1000,6,FALSE),"")</f>
        <v>bahan baku</v>
      </c>
      <c r="E223" s="7">
        <v>769.0</v>
      </c>
      <c r="F223" s="7" t="str">
        <f>IFERROR(VLOOKUP(B223,'Master data'!$A$1:$F$1000,3,FALSE),"")</f>
        <v>GR</v>
      </c>
      <c r="G223" s="36" t="s">
        <v>1872</v>
      </c>
      <c r="H223" s="36" t="s">
        <v>1417</v>
      </c>
      <c r="I223" s="7" t="s">
        <v>1548</v>
      </c>
      <c r="J223" s="7" t="s">
        <v>1561</v>
      </c>
      <c r="K223" s="7" t="b">
        <v>1</v>
      </c>
      <c r="L223" s="16" t="b">
        <v>0</v>
      </c>
    </row>
    <row r="224" hidden="1">
      <c r="B224" s="7" t="s">
        <v>129</v>
      </c>
      <c r="C224" s="7" t="str">
        <f>IFERROR(VLOOKUP(B224,'Master data'!$A$1:$F$1000,2,FALSE),"")</f>
        <v>B001-056</v>
      </c>
      <c r="D224" s="7" t="str">
        <f>IFERROR(VLOOKUP(B224,'Master data'!$A$1:$F$1000,6,FALSE),"")</f>
        <v>bahan baku</v>
      </c>
      <c r="E224" s="7">
        <v>7.0</v>
      </c>
      <c r="F224" s="7" t="str">
        <f>IFERROR(VLOOKUP(B224,'Master data'!$A$1:$F$1000,3,FALSE),"")</f>
        <v>ML</v>
      </c>
      <c r="G224" s="36" t="s">
        <v>1872</v>
      </c>
      <c r="I224" s="7" t="s">
        <v>1548</v>
      </c>
      <c r="J224" s="7" t="s">
        <v>1561</v>
      </c>
      <c r="K224" s="7" t="b">
        <v>1</v>
      </c>
      <c r="L224" s="16" t="b">
        <v>0</v>
      </c>
    </row>
    <row r="225">
      <c r="B225" s="7" t="s">
        <v>211</v>
      </c>
      <c r="C225" s="7" t="str">
        <f>IFERROR(VLOOKUP(B225,'Master data'!$A$1:$F$1000,2,FALSE),"")</f>
        <v>B001-088</v>
      </c>
      <c r="D225" s="7" t="str">
        <f>IFERROR(VLOOKUP(B225,'Master data'!$A$1:$F$1000,6,FALSE),"")</f>
        <v>bahan baku</v>
      </c>
      <c r="E225" s="7">
        <v>2840.0</v>
      </c>
      <c r="F225" s="7" t="str">
        <f>IFERROR(VLOOKUP(B225,'Master data'!$A$1:$F$1000,3,FALSE),"")</f>
        <v>GR</v>
      </c>
      <c r="G225" s="36" t="s">
        <v>1475</v>
      </c>
      <c r="H225" s="36" t="s">
        <v>1290</v>
      </c>
      <c r="I225" s="7" t="s">
        <v>1556</v>
      </c>
      <c r="J225" s="7" t="s">
        <v>61</v>
      </c>
      <c r="K225" s="16" t="b">
        <v>0</v>
      </c>
      <c r="L225" s="16" t="b">
        <v>0</v>
      </c>
    </row>
    <row r="226" hidden="1">
      <c r="A226" s="36">
        <v>30.0</v>
      </c>
      <c r="B226" s="7" t="s">
        <v>660</v>
      </c>
      <c r="C226" s="7" t="str">
        <f>IFERROR(VLOOKUP(B226,'Master data'!$A$1:$F$1000,2,FALSE),"")</f>
        <v>P004-024</v>
      </c>
      <c r="D226" s="7" t="str">
        <f>IFERROR(VLOOKUP(B226,'Master data'!$A$1:$F$1000,6,FALSE),"")</f>
        <v>barang jadi &amp; bahan baku</v>
      </c>
      <c r="E226" s="7">
        <v>192.0</v>
      </c>
      <c r="F226" s="7" t="str">
        <f>IFERROR(VLOOKUP(B226,'Master data'!$A$1:$F$1000,3,FALSE),"")</f>
        <v>ML</v>
      </c>
      <c r="G226" s="36" t="s">
        <v>1216</v>
      </c>
      <c r="H226" s="36" t="s">
        <v>1881</v>
      </c>
      <c r="I226" s="7" t="s">
        <v>1552</v>
      </c>
      <c r="J226" s="7" t="s">
        <v>1561</v>
      </c>
      <c r="K226" s="7" t="b">
        <v>1</v>
      </c>
      <c r="L226" s="16" t="b">
        <v>0</v>
      </c>
    </row>
    <row r="227" hidden="1">
      <c r="B227" s="7" t="s">
        <v>664</v>
      </c>
      <c r="C227" s="7" t="str">
        <f>IFERROR(VLOOKUP(B227,'Master data'!$A$1:$F$1000,2,FALSE),"")</f>
        <v>P004-025</v>
      </c>
      <c r="D227" s="7" t="str">
        <f>IFERROR(VLOOKUP(B227,'Master data'!$A$1:$F$1000,6,FALSE),"")</f>
        <v>barang jadi &amp; bahan baku</v>
      </c>
      <c r="E227" s="7">
        <v>1007.0</v>
      </c>
      <c r="F227" s="7" t="s">
        <v>78</v>
      </c>
      <c r="G227" s="36" t="s">
        <v>1216</v>
      </c>
      <c r="I227" s="7" t="s">
        <v>1552</v>
      </c>
      <c r="J227" s="7" t="s">
        <v>1561</v>
      </c>
      <c r="K227" s="7" t="b">
        <v>1</v>
      </c>
      <c r="L227" s="16" t="b">
        <v>0</v>
      </c>
    </row>
    <row r="228" hidden="1">
      <c r="A228" s="36">
        <v>31.0</v>
      </c>
      <c r="B228" s="7" t="s">
        <v>926</v>
      </c>
      <c r="C228" s="7" t="str">
        <f>IFERROR(VLOOKUP(B228,'Master data'!$A$1:$F$1000,2,FALSE),"")</f>
        <v>B001-165</v>
      </c>
      <c r="D228" s="7" t="str">
        <f>IFERROR(VLOOKUP(B228,'Master data'!$A$1:$F$1000,6,FALSE),"")</f>
        <v>bahan baku</v>
      </c>
      <c r="E228" s="7">
        <v>72.0</v>
      </c>
      <c r="F228" s="7" t="s">
        <v>20</v>
      </c>
      <c r="G228" s="36" t="s">
        <v>1455</v>
      </c>
      <c r="H228" s="36" t="s">
        <v>1417</v>
      </c>
      <c r="I228" s="7" t="s">
        <v>1548</v>
      </c>
      <c r="J228" s="7" t="s">
        <v>1561</v>
      </c>
      <c r="K228" s="7" t="b">
        <v>1</v>
      </c>
      <c r="L228" s="16" t="b">
        <v>0</v>
      </c>
    </row>
    <row r="229" hidden="1">
      <c r="B229" s="7" t="s">
        <v>629</v>
      </c>
      <c r="C229" s="7" t="str">
        <f>IFERROR(VLOOKUP(B229,'Master data'!$A$1:$F$1000,2,FALSE),"")</f>
        <v>P004-012</v>
      </c>
      <c r="D229" s="7" t="str">
        <f>IFERROR(VLOOKUP(B229,'Master data'!$A$1:$F$1000,6,FALSE),"")</f>
        <v>barang jadi &amp; bahan baku</v>
      </c>
      <c r="E229" s="7">
        <v>91.0</v>
      </c>
      <c r="F229" s="7" t="str">
        <f>IFERROR(VLOOKUP(B229,'Master data'!$A$1:$F$1000,3,FALSE),"")</f>
        <v>GR</v>
      </c>
      <c r="G229" s="36" t="s">
        <v>1164</v>
      </c>
      <c r="H229" s="36" t="s">
        <v>1441</v>
      </c>
      <c r="I229" s="7" t="s">
        <v>1542</v>
      </c>
      <c r="J229" s="7" t="s">
        <v>1561</v>
      </c>
      <c r="K229" s="7" t="b">
        <v>1</v>
      </c>
      <c r="L229" s="16" t="b">
        <v>0</v>
      </c>
    </row>
    <row r="230">
      <c r="B230" s="7" t="s">
        <v>28</v>
      </c>
      <c r="C230" s="7" t="str">
        <f>IFERROR(VLOOKUP(B230,'Master data'!$A$1:$F$1000,2,FALSE),"")</f>
        <v>B001-006</v>
      </c>
      <c r="D230" s="7" t="str">
        <f>IFERROR(VLOOKUP(B230,'Master data'!$A$1:$F$1000,6,FALSE),"")</f>
        <v>bahan baku</v>
      </c>
      <c r="E230" s="7">
        <v>7.0</v>
      </c>
      <c r="F230" s="7" t="str">
        <f>IFERROR(VLOOKUP(B230,'Master data'!$A$1:$F$1000,3,FALSE),"")</f>
        <v>GR</v>
      </c>
      <c r="G230" s="36" t="s">
        <v>1824</v>
      </c>
      <c r="I230" s="7" t="s">
        <v>1542</v>
      </c>
      <c r="J230" s="7" t="s">
        <v>61</v>
      </c>
      <c r="K230" s="16" t="b">
        <v>0</v>
      </c>
      <c r="L230" s="16" t="b">
        <v>0</v>
      </c>
    </row>
    <row r="231" hidden="1">
      <c r="B231" s="7" t="s">
        <v>657</v>
      </c>
      <c r="C231" s="7" t="str">
        <f>IFERROR(VLOOKUP(B231,'Master data'!$A$1:$F$1000,2,FALSE),"")</f>
        <v>P004-023</v>
      </c>
      <c r="D231" s="7" t="str">
        <f>IFERROR(VLOOKUP(B231,'Master data'!$A$1:$F$1000,6,FALSE),"")</f>
        <v>barang jadi &amp; bahan baku</v>
      </c>
      <c r="E231" s="7">
        <v>654.0</v>
      </c>
      <c r="F231" s="7" t="s">
        <v>78</v>
      </c>
      <c r="G231" s="36" t="s">
        <v>1164</v>
      </c>
      <c r="H231" s="36" t="s">
        <v>1512</v>
      </c>
      <c r="I231" s="7" t="s">
        <v>1552</v>
      </c>
      <c r="J231" s="7" t="s">
        <v>1561</v>
      </c>
      <c r="K231" s="7" t="b">
        <v>1</v>
      </c>
      <c r="L231" s="16" t="b">
        <v>0</v>
      </c>
    </row>
    <row r="232" hidden="1">
      <c r="B232" s="7" t="s">
        <v>653</v>
      </c>
      <c r="C232" s="7" t="str">
        <f>IFERROR(VLOOKUP(B232,'Master data'!$A$1:$F$1000,2,FALSE),"")</f>
        <v>P004-022</v>
      </c>
      <c r="D232" s="7" t="str">
        <f>IFERROR(VLOOKUP(B232,'Master data'!$A$1:$F$1000,6,FALSE),"")</f>
        <v>barang jadi &amp; bahan baku</v>
      </c>
      <c r="E232" s="7">
        <v>324.0</v>
      </c>
      <c r="F232" s="7" t="s">
        <v>78</v>
      </c>
      <c r="G232" s="36" t="s">
        <v>1164</v>
      </c>
      <c r="H232" s="36" t="s">
        <v>1512</v>
      </c>
      <c r="I232" s="7" t="s">
        <v>1552</v>
      </c>
      <c r="J232" s="7" t="s">
        <v>1561</v>
      </c>
      <c r="K232" s="7" t="b">
        <v>1</v>
      </c>
      <c r="L232" s="16" t="b">
        <v>0</v>
      </c>
    </row>
    <row r="233">
      <c r="B233" s="7" t="s">
        <v>211</v>
      </c>
      <c r="C233" s="7" t="str">
        <f>IFERROR(VLOOKUP(B233,'Master data'!$A$1:$F$1000,2,FALSE),"")</f>
        <v>B001-088</v>
      </c>
      <c r="D233" s="7" t="str">
        <f>IFERROR(VLOOKUP(B233,'Master data'!$A$1:$F$1000,6,FALSE),"")</f>
        <v>bahan baku</v>
      </c>
      <c r="E233" s="16">
        <f>2580+3525</f>
        <v>6105</v>
      </c>
      <c r="F233" s="7" t="str">
        <f>IFERROR(VLOOKUP(B233,'Master data'!$A$1:$F$1000,3,FALSE),"")</f>
        <v>GR</v>
      </c>
      <c r="G233" s="36" t="s">
        <v>1475</v>
      </c>
      <c r="H233" s="36" t="s">
        <v>1290</v>
      </c>
      <c r="I233" s="7" t="s">
        <v>1556</v>
      </c>
      <c r="J233" s="7" t="s">
        <v>61</v>
      </c>
      <c r="K233" s="16" t="b">
        <v>0</v>
      </c>
      <c r="L233" s="16" t="b">
        <v>0</v>
      </c>
    </row>
    <row r="234">
      <c r="A234" s="107"/>
      <c r="B234" s="16"/>
      <c r="C234" s="7" t="str">
        <f>IFERROR(VLOOKUP(B234,'Master data'!$A$1:$F$1000,2,FALSE),"")</f>
        <v/>
      </c>
      <c r="D234" s="7" t="str">
        <f>IFERROR(VLOOKUP(B234,'Master data'!$A$1:$F$1000,6,FALSE),"")</f>
        <v/>
      </c>
      <c r="F234" s="7" t="str">
        <f>IFERROR(VLOOKUP(B234,'Master data'!$A$1:$F$1000,3,FALSE),"")</f>
        <v/>
      </c>
      <c r="G234" s="100"/>
      <c r="H234" s="100"/>
      <c r="I234" s="16"/>
      <c r="J234" s="16"/>
      <c r="K234" s="16" t="b">
        <v>0</v>
      </c>
      <c r="L234" s="16" t="b">
        <v>0</v>
      </c>
    </row>
    <row r="235">
      <c r="A235" s="107"/>
      <c r="B235" s="16"/>
      <c r="C235" s="7" t="str">
        <f>IFERROR(VLOOKUP(B235,'Master data'!$A$1:$F$1000,2,FALSE),"")</f>
        <v/>
      </c>
      <c r="D235" s="7" t="str">
        <f>IFERROR(VLOOKUP(B235,'Master data'!$A$1:$F$1000,6,FALSE),"")</f>
        <v/>
      </c>
      <c r="F235" s="7" t="str">
        <f>IFERROR(VLOOKUP(B235,'Master data'!$A$1:$F$1000,3,FALSE),"")</f>
        <v/>
      </c>
      <c r="G235" s="100"/>
      <c r="H235" s="100"/>
      <c r="I235" s="16"/>
      <c r="J235" s="16"/>
      <c r="K235" s="16" t="b">
        <v>0</v>
      </c>
      <c r="L235" s="16" t="b">
        <v>0</v>
      </c>
    </row>
    <row r="236">
      <c r="A236" s="107"/>
      <c r="B236" s="16"/>
      <c r="C236" s="7" t="str">
        <f>IFERROR(VLOOKUP(B236,'Master data'!$A$1:$F$1000,2,FALSE),"")</f>
        <v/>
      </c>
      <c r="D236" s="7" t="str">
        <f>IFERROR(VLOOKUP(B236,'Master data'!$A$1:$F$1000,6,FALSE),"")</f>
        <v/>
      </c>
      <c r="F236" s="7" t="str">
        <f>IFERROR(VLOOKUP(B236,'Master data'!$A$1:$F$1000,3,FALSE),"")</f>
        <v/>
      </c>
      <c r="G236" s="100"/>
      <c r="H236" s="100"/>
      <c r="I236" s="16"/>
      <c r="J236" s="16"/>
      <c r="K236" s="16" t="b">
        <v>0</v>
      </c>
      <c r="L236" s="16" t="b">
        <v>0</v>
      </c>
    </row>
    <row r="237">
      <c r="A237" s="107"/>
      <c r="B237" s="16"/>
      <c r="C237" s="7" t="str">
        <f>IFERROR(VLOOKUP(B237,'Master data'!$A$1:$F$1000,2,FALSE),"")</f>
        <v/>
      </c>
      <c r="D237" s="7" t="str">
        <f>IFERROR(VLOOKUP(B237,'Master data'!$A$1:$F$1000,6,FALSE),"")</f>
        <v/>
      </c>
      <c r="F237" s="7" t="str">
        <f>IFERROR(VLOOKUP(B237,'Master data'!$A$1:$F$1000,3,FALSE),"")</f>
        <v/>
      </c>
      <c r="G237" s="100"/>
      <c r="H237" s="100"/>
      <c r="I237" s="16"/>
      <c r="J237" s="16"/>
      <c r="K237" s="16" t="b">
        <v>0</v>
      </c>
      <c r="L237" s="16" t="b">
        <v>0</v>
      </c>
    </row>
    <row r="238">
      <c r="A238" s="107"/>
      <c r="B238" s="16"/>
      <c r="C238" s="7" t="str">
        <f>IFERROR(VLOOKUP(B238,'Master data'!$A$1:$F$1000,2,FALSE),"")</f>
        <v/>
      </c>
      <c r="D238" s="7" t="str">
        <f>IFERROR(VLOOKUP(B238,'Master data'!$A$1:$F$1000,6,FALSE),"")</f>
        <v/>
      </c>
      <c r="F238" s="7" t="str">
        <f>IFERROR(VLOOKUP(B238,'Master data'!$A$1:$F$1000,3,FALSE),"")</f>
        <v/>
      </c>
      <c r="G238" s="100"/>
      <c r="H238" s="100"/>
      <c r="I238" s="16"/>
      <c r="J238" s="16"/>
      <c r="K238" s="16" t="b">
        <v>0</v>
      </c>
      <c r="L238" s="16" t="b">
        <v>0</v>
      </c>
    </row>
    <row r="239">
      <c r="A239" s="107"/>
      <c r="B239" s="16"/>
      <c r="C239" s="7" t="str">
        <f>IFERROR(VLOOKUP(B239,'Master data'!$A$1:$F$1000,2,FALSE),"")</f>
        <v/>
      </c>
      <c r="D239" s="7" t="str">
        <f>IFERROR(VLOOKUP(B239,'Master data'!$A$1:$F$1000,6,FALSE),"")</f>
        <v/>
      </c>
      <c r="F239" s="7" t="str">
        <f>IFERROR(VLOOKUP(B239,'Master data'!$A$1:$F$1000,3,FALSE),"")</f>
        <v/>
      </c>
      <c r="G239" s="100"/>
      <c r="H239" s="100"/>
      <c r="I239" s="16"/>
      <c r="J239" s="16"/>
      <c r="K239" s="16" t="b">
        <v>0</v>
      </c>
      <c r="L239" s="16" t="b">
        <v>0</v>
      </c>
    </row>
    <row r="240">
      <c r="A240" s="107"/>
      <c r="B240" s="16"/>
      <c r="C240" s="7" t="str">
        <f>IFERROR(VLOOKUP(B240,'Master data'!$A$1:$F$1000,2,FALSE),"")</f>
        <v/>
      </c>
      <c r="D240" s="7" t="str">
        <f>IFERROR(VLOOKUP(B240,'Master data'!$A$1:$F$1000,6,FALSE),"")</f>
        <v/>
      </c>
      <c r="F240" s="7" t="str">
        <f>IFERROR(VLOOKUP(B240,'Master data'!$A$1:$F$1000,3,FALSE),"")</f>
        <v/>
      </c>
      <c r="G240" s="100"/>
      <c r="H240" s="100"/>
      <c r="I240" s="16"/>
      <c r="J240" s="16"/>
      <c r="K240" s="16" t="b">
        <v>0</v>
      </c>
      <c r="L240" s="16" t="b">
        <v>0</v>
      </c>
    </row>
    <row r="241">
      <c r="A241" s="107"/>
      <c r="B241" s="16"/>
      <c r="C241" s="7" t="str">
        <f>IFERROR(VLOOKUP(B241,'Master data'!$A$1:$F$1000,2,FALSE),"")</f>
        <v/>
      </c>
      <c r="D241" s="7" t="str">
        <f>IFERROR(VLOOKUP(B241,'Master data'!$A$1:$F$1000,6,FALSE),"")</f>
        <v/>
      </c>
      <c r="F241" s="7" t="str">
        <f>IFERROR(VLOOKUP(B241,'Master data'!$A$1:$F$1000,3,FALSE),"")</f>
        <v/>
      </c>
      <c r="G241" s="100"/>
      <c r="H241" s="100"/>
      <c r="I241" s="16"/>
      <c r="J241" s="16"/>
      <c r="K241" s="16" t="b">
        <v>0</v>
      </c>
      <c r="L241" s="16" t="b">
        <v>0</v>
      </c>
    </row>
    <row r="242">
      <c r="A242" s="107"/>
      <c r="B242" s="16"/>
      <c r="C242" s="7" t="str">
        <f>IFERROR(VLOOKUP(B242,'Master data'!$A$1:$F$1000,2,FALSE),"")</f>
        <v/>
      </c>
      <c r="D242" s="7" t="str">
        <f>IFERROR(VLOOKUP(B242,'Master data'!$A$1:$F$1000,6,FALSE),"")</f>
        <v/>
      </c>
      <c r="F242" s="7" t="str">
        <f>IFERROR(VLOOKUP(B242,'Master data'!$A$1:$F$1000,3,FALSE),"")</f>
        <v/>
      </c>
      <c r="G242" s="100"/>
      <c r="H242" s="100"/>
      <c r="I242" s="16"/>
      <c r="J242" s="16"/>
      <c r="K242" s="16" t="b">
        <v>0</v>
      </c>
      <c r="L242" s="16" t="b">
        <v>0</v>
      </c>
    </row>
    <row r="243">
      <c r="A243" s="107"/>
      <c r="B243" s="16"/>
      <c r="C243" s="7" t="str">
        <f>IFERROR(VLOOKUP(B243,'Master data'!$A$1:$F$1000,2,FALSE),"")</f>
        <v/>
      </c>
      <c r="D243" s="7" t="str">
        <f>IFERROR(VLOOKUP(B243,'Master data'!$A$1:$F$1000,6,FALSE),"")</f>
        <v/>
      </c>
      <c r="F243" s="7" t="str">
        <f>IFERROR(VLOOKUP(B243,'Master data'!$A$1:$F$1000,3,FALSE),"")</f>
        <v/>
      </c>
      <c r="G243" s="100"/>
      <c r="H243" s="100"/>
      <c r="I243" s="16"/>
      <c r="J243" s="16"/>
      <c r="K243" s="16" t="b">
        <v>0</v>
      </c>
      <c r="L243" s="16" t="b">
        <v>0</v>
      </c>
    </row>
    <row r="244">
      <c r="A244" s="107"/>
      <c r="B244" s="16"/>
      <c r="C244" s="7" t="str">
        <f>IFERROR(VLOOKUP(B244,'Master data'!$A$1:$F$1000,2,FALSE),"")</f>
        <v/>
      </c>
      <c r="D244" s="7" t="str">
        <f>IFERROR(VLOOKUP(B244,'Master data'!$A$1:$F$1000,6,FALSE),"")</f>
        <v/>
      </c>
      <c r="F244" s="7" t="str">
        <f>IFERROR(VLOOKUP(B244,'Master data'!$A$1:$F$1000,3,FALSE),"")</f>
        <v/>
      </c>
      <c r="G244" s="100"/>
      <c r="H244" s="100"/>
      <c r="I244" s="16"/>
      <c r="J244" s="16"/>
      <c r="K244" s="16" t="b">
        <v>0</v>
      </c>
      <c r="L244" s="16" t="b">
        <v>0</v>
      </c>
    </row>
    <row r="245">
      <c r="A245" s="107"/>
      <c r="B245" s="16"/>
      <c r="C245" s="7" t="str">
        <f>IFERROR(VLOOKUP(B245,'Master data'!$A$1:$F$1000,2,FALSE),"")</f>
        <v/>
      </c>
      <c r="D245" s="7" t="str">
        <f>IFERROR(VLOOKUP(B245,'Master data'!$A$1:$F$1000,6,FALSE),"")</f>
        <v/>
      </c>
      <c r="F245" s="7" t="str">
        <f>IFERROR(VLOOKUP(B245,'Master data'!$A$1:$F$1000,3,FALSE),"")</f>
        <v/>
      </c>
      <c r="G245" s="100"/>
      <c r="H245" s="100"/>
      <c r="I245" s="16"/>
      <c r="J245" s="16"/>
      <c r="K245" s="16" t="b">
        <v>0</v>
      </c>
      <c r="L245" s="16" t="b">
        <v>0</v>
      </c>
    </row>
    <row r="246">
      <c r="A246" s="107"/>
      <c r="B246" s="16"/>
      <c r="C246" s="7" t="str">
        <f>IFERROR(VLOOKUP(B246,'Master data'!$A$1:$F$1000,2,FALSE),"")</f>
        <v/>
      </c>
      <c r="D246" s="7" t="str">
        <f>IFERROR(VLOOKUP(B246,'Master data'!$A$1:$F$1000,6,FALSE),"")</f>
        <v/>
      </c>
      <c r="F246" s="7" t="str">
        <f>IFERROR(VLOOKUP(B246,'Master data'!$A$1:$F$1000,3,FALSE),"")</f>
        <v/>
      </c>
      <c r="G246" s="100"/>
      <c r="H246" s="100"/>
      <c r="I246" s="16"/>
      <c r="J246" s="16"/>
      <c r="K246" s="16" t="b">
        <v>0</v>
      </c>
      <c r="L246" s="16" t="b">
        <v>0</v>
      </c>
    </row>
    <row r="247">
      <c r="A247" s="107"/>
      <c r="B247" s="16"/>
      <c r="C247" s="7" t="str">
        <f>IFERROR(VLOOKUP(B247,'Master data'!$A$1:$F$1000,2,FALSE),"")</f>
        <v/>
      </c>
      <c r="D247" s="7" t="str">
        <f>IFERROR(VLOOKUP(B247,'Master data'!$A$1:$F$1000,6,FALSE),"")</f>
        <v/>
      </c>
      <c r="F247" s="7" t="str">
        <f>IFERROR(VLOOKUP(B247,'Master data'!$A$1:$F$1000,3,FALSE),"")</f>
        <v/>
      </c>
      <c r="G247" s="100"/>
      <c r="H247" s="100"/>
      <c r="I247" s="16"/>
      <c r="J247" s="16"/>
      <c r="K247" s="16" t="b">
        <v>0</v>
      </c>
      <c r="L247" s="16" t="b">
        <v>0</v>
      </c>
    </row>
    <row r="248">
      <c r="A248" s="107"/>
      <c r="B248" s="16"/>
      <c r="C248" s="7" t="str">
        <f>IFERROR(VLOOKUP(B248,'Master data'!$A$1:$F$1000,2,FALSE),"")</f>
        <v/>
      </c>
      <c r="D248" s="7" t="str">
        <f>IFERROR(VLOOKUP(B248,'Master data'!$A$1:$F$1000,6,FALSE),"")</f>
        <v/>
      </c>
      <c r="F248" s="7" t="str">
        <f>IFERROR(VLOOKUP(B248,'Master data'!$A$1:$F$1000,3,FALSE),"")</f>
        <v/>
      </c>
      <c r="G248" s="100"/>
      <c r="H248" s="100"/>
      <c r="I248" s="16"/>
      <c r="J248" s="16"/>
      <c r="K248" s="16" t="b">
        <v>0</v>
      </c>
      <c r="L248" s="16" t="b">
        <v>0</v>
      </c>
    </row>
    <row r="249">
      <c r="A249" s="107"/>
      <c r="B249" s="16"/>
      <c r="C249" s="7" t="str">
        <f>IFERROR(VLOOKUP(B249,'Master data'!$A$1:$F$1000,2,FALSE),"")</f>
        <v/>
      </c>
      <c r="D249" s="7" t="str">
        <f>IFERROR(VLOOKUP(B249,'Master data'!$A$1:$F$1000,6,FALSE),"")</f>
        <v/>
      </c>
      <c r="F249" s="7" t="str">
        <f>IFERROR(VLOOKUP(B249,'Master data'!$A$1:$F$1000,3,FALSE),"")</f>
        <v/>
      </c>
      <c r="G249" s="100"/>
      <c r="H249" s="100"/>
      <c r="I249" s="16"/>
      <c r="J249" s="16"/>
      <c r="K249" s="16" t="b">
        <v>0</v>
      </c>
      <c r="L249" s="16" t="b">
        <v>0</v>
      </c>
    </row>
    <row r="250">
      <c r="A250" s="107"/>
      <c r="B250" s="16"/>
      <c r="C250" s="7" t="str">
        <f>IFERROR(VLOOKUP(B250,'Master data'!$A$1:$F$1000,2,FALSE),"")</f>
        <v/>
      </c>
      <c r="D250" s="7" t="str">
        <f>IFERROR(VLOOKUP(B250,'Master data'!$A$1:$F$1000,6,FALSE),"")</f>
        <v/>
      </c>
      <c r="F250" s="7" t="str">
        <f>IFERROR(VLOOKUP(B250,'Master data'!$A$1:$F$1000,3,FALSE),"")</f>
        <v/>
      </c>
      <c r="G250" s="100"/>
      <c r="H250" s="100"/>
      <c r="I250" s="16"/>
      <c r="J250" s="16"/>
      <c r="K250" s="16" t="b">
        <v>0</v>
      </c>
      <c r="L250" s="16" t="b">
        <v>0</v>
      </c>
    </row>
    <row r="251">
      <c r="A251" s="107"/>
      <c r="B251" s="16"/>
      <c r="C251" s="7" t="str">
        <f>IFERROR(VLOOKUP(B251,'Master data'!$A$1:$F$1000,2,FALSE),"")</f>
        <v/>
      </c>
      <c r="D251" s="7" t="str">
        <f>IFERROR(VLOOKUP(B251,'Master data'!$A$1:$F$1000,6,FALSE),"")</f>
        <v/>
      </c>
      <c r="F251" s="7" t="str">
        <f>IFERROR(VLOOKUP(B251,'Master data'!$A$1:$F$1000,3,FALSE),"")</f>
        <v/>
      </c>
      <c r="G251" s="100"/>
      <c r="H251" s="100"/>
      <c r="I251" s="16"/>
      <c r="J251" s="16"/>
      <c r="K251" s="16" t="b">
        <v>0</v>
      </c>
      <c r="L251" s="16" t="b">
        <v>0</v>
      </c>
    </row>
    <row r="252">
      <c r="A252" s="107"/>
      <c r="B252" s="16"/>
      <c r="C252" s="7" t="str">
        <f>IFERROR(VLOOKUP(B252,'Master data'!$A$1:$F$1000,2,FALSE),"")</f>
        <v/>
      </c>
      <c r="D252" s="7" t="str">
        <f>IFERROR(VLOOKUP(B252,'Master data'!$A$1:$F$1000,6,FALSE),"")</f>
        <v/>
      </c>
      <c r="F252" s="7" t="str">
        <f>IFERROR(VLOOKUP(B252,'Master data'!$A$1:$F$1000,3,FALSE),"")</f>
        <v/>
      </c>
      <c r="G252" s="100"/>
      <c r="H252" s="100"/>
      <c r="I252" s="16"/>
      <c r="J252" s="16"/>
      <c r="K252" s="16" t="b">
        <v>0</v>
      </c>
      <c r="L252" s="16" t="b">
        <v>0</v>
      </c>
    </row>
    <row r="253">
      <c r="A253" s="107"/>
      <c r="B253" s="16"/>
      <c r="C253" s="7" t="str">
        <f>IFERROR(VLOOKUP(B253,'Master data'!$A$1:$F$1000,2,FALSE),"")</f>
        <v/>
      </c>
      <c r="D253" s="7" t="str">
        <f>IFERROR(VLOOKUP(B253,'Master data'!$A$1:$F$1000,6,FALSE),"")</f>
        <v/>
      </c>
      <c r="F253" s="7" t="str">
        <f>IFERROR(VLOOKUP(B253,'Master data'!$A$1:$F$1000,3,FALSE),"")</f>
        <v/>
      </c>
      <c r="G253" s="100"/>
      <c r="H253" s="100"/>
      <c r="I253" s="16"/>
      <c r="J253" s="16"/>
      <c r="K253" s="16" t="b">
        <v>0</v>
      </c>
      <c r="L253" s="16" t="b">
        <v>0</v>
      </c>
    </row>
    <row r="254">
      <c r="A254" s="107"/>
      <c r="B254" s="16"/>
      <c r="C254" s="7" t="str">
        <f>IFERROR(VLOOKUP(B254,'Master data'!$A$1:$F$1000,2,FALSE),"")</f>
        <v/>
      </c>
      <c r="D254" s="7" t="str">
        <f>IFERROR(VLOOKUP(B254,'Master data'!$A$1:$F$1000,6,FALSE),"")</f>
        <v/>
      </c>
      <c r="F254" s="7" t="str">
        <f>IFERROR(VLOOKUP(B254,'Master data'!$A$1:$F$1000,3,FALSE),"")</f>
        <v/>
      </c>
      <c r="G254" s="100"/>
      <c r="H254" s="100"/>
      <c r="I254" s="16"/>
      <c r="J254" s="16"/>
      <c r="K254" s="16" t="b">
        <v>0</v>
      </c>
      <c r="L254" s="16" t="b">
        <v>0</v>
      </c>
    </row>
    <row r="255">
      <c r="A255" s="107"/>
      <c r="B255" s="16"/>
      <c r="C255" s="7" t="str">
        <f>IFERROR(VLOOKUP(B255,'Master data'!$A$1:$F$1000,2,FALSE),"")</f>
        <v/>
      </c>
      <c r="D255" s="7" t="str">
        <f>IFERROR(VLOOKUP(B255,'Master data'!$A$1:$F$1000,6,FALSE),"")</f>
        <v/>
      </c>
      <c r="F255" s="7" t="str">
        <f>IFERROR(VLOOKUP(B255,'Master data'!$A$1:$F$1000,3,FALSE),"")</f>
        <v/>
      </c>
      <c r="G255" s="100"/>
      <c r="H255" s="100"/>
      <c r="I255" s="16"/>
      <c r="J255" s="16"/>
      <c r="K255" s="16" t="b">
        <v>0</v>
      </c>
      <c r="L255" s="16" t="b">
        <v>0</v>
      </c>
    </row>
    <row r="256">
      <c r="A256" s="107"/>
      <c r="B256" s="16"/>
      <c r="C256" s="7" t="str">
        <f>IFERROR(VLOOKUP(B256,'Master data'!$A$1:$F$1000,2,FALSE),"")</f>
        <v/>
      </c>
      <c r="D256" s="7" t="str">
        <f>IFERROR(VLOOKUP(B256,'Master data'!$A$1:$F$1000,6,FALSE),"")</f>
        <v/>
      </c>
      <c r="F256" s="7" t="str">
        <f>IFERROR(VLOOKUP(B256,'Master data'!$A$1:$F$1000,3,FALSE),"")</f>
        <v/>
      </c>
      <c r="G256" s="100"/>
      <c r="H256" s="100"/>
      <c r="I256" s="16"/>
      <c r="J256" s="16"/>
      <c r="K256" s="16" t="b">
        <v>0</v>
      </c>
      <c r="L256" s="16" t="b">
        <v>0</v>
      </c>
    </row>
    <row r="257">
      <c r="A257" s="107"/>
      <c r="B257" s="16"/>
      <c r="C257" s="7" t="str">
        <f>IFERROR(VLOOKUP(B257,'Master data'!$A$1:$F$1000,2,FALSE),"")</f>
        <v/>
      </c>
      <c r="D257" s="7" t="str">
        <f>IFERROR(VLOOKUP(B257,'Master data'!$A$1:$F$1000,6,FALSE),"")</f>
        <v/>
      </c>
      <c r="F257" s="7" t="str">
        <f>IFERROR(VLOOKUP(B257,'Master data'!$A$1:$F$1000,3,FALSE),"")</f>
        <v/>
      </c>
      <c r="G257" s="100"/>
      <c r="H257" s="100"/>
      <c r="I257" s="16"/>
      <c r="J257" s="16"/>
      <c r="K257" s="16" t="b">
        <v>0</v>
      </c>
      <c r="L257" s="16" t="b">
        <v>0</v>
      </c>
    </row>
    <row r="258">
      <c r="A258" s="107"/>
      <c r="B258" s="16"/>
      <c r="C258" s="7" t="str">
        <f>IFERROR(VLOOKUP(B258,'Master data'!$A$1:$F$1000,2,FALSE),"")</f>
        <v/>
      </c>
      <c r="D258" s="7" t="str">
        <f>IFERROR(VLOOKUP(B258,'Master data'!$A$1:$F$1000,6,FALSE),"")</f>
        <v/>
      </c>
      <c r="F258" s="7" t="str">
        <f>IFERROR(VLOOKUP(B258,'Master data'!$A$1:$F$1000,3,FALSE),"")</f>
        <v/>
      </c>
      <c r="G258" s="100"/>
      <c r="H258" s="100"/>
      <c r="I258" s="16"/>
      <c r="J258" s="16"/>
      <c r="K258" s="16" t="b">
        <v>0</v>
      </c>
      <c r="L258" s="16" t="b">
        <v>0</v>
      </c>
    </row>
    <row r="259">
      <c r="A259" s="107"/>
      <c r="B259" s="16"/>
      <c r="C259" s="7" t="str">
        <f>IFERROR(VLOOKUP(B259,'Master data'!$A$1:$F$1000,2,FALSE),"")</f>
        <v/>
      </c>
      <c r="D259" s="7" t="str">
        <f>IFERROR(VLOOKUP(B259,'Master data'!$A$1:$F$1000,6,FALSE),"")</f>
        <v/>
      </c>
      <c r="F259" s="7" t="str">
        <f>IFERROR(VLOOKUP(B259,'Master data'!$A$1:$F$1000,3,FALSE),"")</f>
        <v/>
      </c>
      <c r="G259" s="100"/>
      <c r="H259" s="100"/>
      <c r="I259" s="16"/>
      <c r="J259" s="16"/>
      <c r="K259" s="16" t="b">
        <v>0</v>
      </c>
      <c r="L259" s="16" t="b">
        <v>0</v>
      </c>
    </row>
    <row r="260">
      <c r="A260" s="107"/>
      <c r="B260" s="16"/>
      <c r="C260" s="7" t="str">
        <f>IFERROR(VLOOKUP(B260,'Master data'!$A$1:$F$1000,2,FALSE),"")</f>
        <v/>
      </c>
      <c r="D260" s="7" t="str">
        <f>IFERROR(VLOOKUP(B260,'Master data'!$A$1:$F$1000,6,FALSE),"")</f>
        <v/>
      </c>
      <c r="F260" s="7" t="str">
        <f>IFERROR(VLOOKUP(B260,'Master data'!$A$1:$F$1000,3,FALSE),"")</f>
        <v/>
      </c>
      <c r="G260" s="100"/>
      <c r="H260" s="100"/>
      <c r="I260" s="16"/>
      <c r="J260" s="16"/>
      <c r="K260" s="16" t="b">
        <v>0</v>
      </c>
      <c r="L260" s="16" t="b">
        <v>0</v>
      </c>
    </row>
    <row r="261">
      <c r="A261" s="107"/>
      <c r="B261" s="16"/>
      <c r="C261" s="7" t="str">
        <f>IFERROR(VLOOKUP(B261,'Master data'!$A$1:$F$1000,2,FALSE),"")</f>
        <v/>
      </c>
      <c r="D261" s="7" t="str">
        <f>IFERROR(VLOOKUP(B261,'Master data'!$A$1:$F$1000,6,FALSE),"")</f>
        <v/>
      </c>
      <c r="F261" s="7" t="str">
        <f>IFERROR(VLOOKUP(B261,'Master data'!$A$1:$F$1000,3,FALSE),"")</f>
        <v/>
      </c>
      <c r="G261" s="100"/>
      <c r="H261" s="100"/>
      <c r="I261" s="16"/>
      <c r="J261" s="16"/>
      <c r="K261" s="16" t="b">
        <v>0</v>
      </c>
      <c r="L261" s="16" t="b">
        <v>0</v>
      </c>
    </row>
    <row r="262">
      <c r="A262" s="107"/>
      <c r="B262" s="16"/>
      <c r="C262" s="7" t="str">
        <f>IFERROR(VLOOKUP(B262,'Master data'!$A$1:$F$1000,2,FALSE),"")</f>
        <v/>
      </c>
      <c r="D262" s="7" t="str">
        <f>IFERROR(VLOOKUP(B262,'Master data'!$A$1:$F$1000,6,FALSE),"")</f>
        <v/>
      </c>
      <c r="F262" s="7" t="str">
        <f>IFERROR(VLOOKUP(B262,'Master data'!$A$1:$F$1000,3,FALSE),"")</f>
        <v/>
      </c>
      <c r="G262" s="100"/>
      <c r="H262" s="100"/>
      <c r="I262" s="16"/>
      <c r="J262" s="16"/>
      <c r="K262" s="16" t="b">
        <v>0</v>
      </c>
      <c r="L262" s="16" t="b">
        <v>0</v>
      </c>
    </row>
    <row r="263">
      <c r="A263" s="107"/>
      <c r="B263" s="16"/>
      <c r="C263" s="7" t="str">
        <f>IFERROR(VLOOKUP(B263,'Master data'!$A$1:$F$1000,2,FALSE),"")</f>
        <v/>
      </c>
      <c r="D263" s="7" t="str">
        <f>IFERROR(VLOOKUP(B263,'Master data'!$A$1:$F$1000,6,FALSE),"")</f>
        <v/>
      </c>
      <c r="F263" s="7" t="str">
        <f>IFERROR(VLOOKUP(B263,'Master data'!$A$1:$F$1000,3,FALSE),"")</f>
        <v/>
      </c>
      <c r="G263" s="100"/>
      <c r="H263" s="100"/>
      <c r="I263" s="16"/>
      <c r="J263" s="16"/>
      <c r="K263" s="16" t="b">
        <v>0</v>
      </c>
      <c r="L263" s="16" t="b">
        <v>0</v>
      </c>
    </row>
    <row r="264">
      <c r="A264" s="107"/>
      <c r="B264" s="16"/>
      <c r="C264" s="7" t="str">
        <f>IFERROR(VLOOKUP(B264,'Master data'!$A$1:$F$1000,2,FALSE),"")</f>
        <v/>
      </c>
      <c r="D264" s="7" t="str">
        <f>IFERROR(VLOOKUP(B264,'Master data'!$A$1:$F$1000,6,FALSE),"")</f>
        <v/>
      </c>
      <c r="F264" s="7" t="str">
        <f>IFERROR(VLOOKUP(B264,'Master data'!$A$1:$F$1000,3,FALSE),"")</f>
        <v/>
      </c>
      <c r="G264" s="100"/>
      <c r="H264" s="100"/>
      <c r="I264" s="16"/>
      <c r="J264" s="16"/>
      <c r="K264" s="16" t="b">
        <v>0</v>
      </c>
      <c r="L264" s="16" t="b">
        <v>0</v>
      </c>
    </row>
    <row r="265">
      <c r="A265" s="107"/>
      <c r="B265" s="16"/>
      <c r="C265" s="7" t="str">
        <f>IFERROR(VLOOKUP(B265,'Master data'!$A$1:$F$1000,2,FALSE),"")</f>
        <v/>
      </c>
      <c r="D265" s="7" t="str">
        <f>IFERROR(VLOOKUP(B265,'Master data'!$A$1:$F$1000,6,FALSE),"")</f>
        <v/>
      </c>
      <c r="F265" s="7" t="str">
        <f>IFERROR(VLOOKUP(B265,'Master data'!$A$1:$F$1000,3,FALSE),"")</f>
        <v/>
      </c>
      <c r="G265" s="100"/>
      <c r="H265" s="100"/>
      <c r="I265" s="16"/>
      <c r="J265" s="16"/>
      <c r="K265" s="16" t="b">
        <v>0</v>
      </c>
      <c r="L265" s="16" t="b">
        <v>0</v>
      </c>
    </row>
    <row r="266">
      <c r="A266" s="107"/>
      <c r="B266" s="16"/>
      <c r="C266" s="7" t="str">
        <f>IFERROR(VLOOKUP(B266,'Master data'!$A$1:$F$1000,2,FALSE),"")</f>
        <v/>
      </c>
      <c r="D266" s="7" t="str">
        <f>IFERROR(VLOOKUP(B266,'Master data'!$A$1:$F$1000,6,FALSE),"")</f>
        <v/>
      </c>
      <c r="F266" s="7" t="str">
        <f>IFERROR(VLOOKUP(B266,'Master data'!$A$1:$F$1000,3,FALSE),"")</f>
        <v/>
      </c>
      <c r="G266" s="100"/>
      <c r="H266" s="100"/>
      <c r="I266" s="16"/>
      <c r="J266" s="16"/>
      <c r="K266" s="16" t="b">
        <v>0</v>
      </c>
      <c r="L266" s="16" t="b">
        <v>0</v>
      </c>
    </row>
    <row r="267">
      <c r="A267" s="107"/>
      <c r="B267" s="16"/>
      <c r="C267" s="7" t="str">
        <f>IFERROR(VLOOKUP(B267,'Master data'!$A$1:$F$1000,2,FALSE),"")</f>
        <v/>
      </c>
      <c r="D267" s="7" t="str">
        <f>IFERROR(VLOOKUP(B267,'Master data'!$A$1:$F$1000,6,FALSE),"")</f>
        <v/>
      </c>
      <c r="F267" s="7" t="str">
        <f>IFERROR(VLOOKUP(B267,'Master data'!$A$1:$F$1000,3,FALSE),"")</f>
        <v/>
      </c>
      <c r="G267" s="100"/>
      <c r="H267" s="100"/>
      <c r="I267" s="16"/>
      <c r="J267" s="16"/>
      <c r="K267" s="16" t="b">
        <v>0</v>
      </c>
      <c r="L267" s="16" t="b">
        <v>0</v>
      </c>
    </row>
    <row r="268">
      <c r="A268" s="107"/>
      <c r="B268" s="16"/>
      <c r="C268" s="7" t="str">
        <f>IFERROR(VLOOKUP(B268,'Master data'!$A$1:$F$1000,2,FALSE),"")</f>
        <v/>
      </c>
      <c r="D268" s="7" t="str">
        <f>IFERROR(VLOOKUP(B268,'Master data'!$A$1:$F$1000,6,FALSE),"")</f>
        <v/>
      </c>
      <c r="F268" s="7" t="str">
        <f>IFERROR(VLOOKUP(B268,'Master data'!$A$1:$F$1000,3,FALSE),"")</f>
        <v/>
      </c>
      <c r="G268" s="100"/>
      <c r="H268" s="100"/>
      <c r="I268" s="16"/>
      <c r="J268" s="16"/>
      <c r="K268" s="16" t="b">
        <v>0</v>
      </c>
      <c r="L268" s="16" t="b">
        <v>0</v>
      </c>
    </row>
    <row r="269">
      <c r="A269" s="107"/>
      <c r="B269" s="16"/>
      <c r="C269" s="7" t="str">
        <f>IFERROR(VLOOKUP(B269,'Master data'!$A$1:$F$1000,2,FALSE),"")</f>
        <v/>
      </c>
      <c r="D269" s="7" t="str">
        <f>IFERROR(VLOOKUP(B269,'Master data'!$A$1:$F$1000,6,FALSE),"")</f>
        <v/>
      </c>
      <c r="F269" s="7" t="str">
        <f>IFERROR(VLOOKUP(B269,'Master data'!$A$1:$F$1000,3,FALSE),"")</f>
        <v/>
      </c>
      <c r="G269" s="100"/>
      <c r="H269" s="100"/>
      <c r="I269" s="16"/>
      <c r="J269" s="16"/>
      <c r="K269" s="16" t="b">
        <v>0</v>
      </c>
      <c r="L269" s="16" t="b">
        <v>0</v>
      </c>
    </row>
    <row r="270">
      <c r="A270" s="107"/>
      <c r="B270" s="16"/>
      <c r="C270" s="7" t="str">
        <f>IFERROR(VLOOKUP(B270,'Master data'!$A$1:$F$1000,2,FALSE),"")</f>
        <v/>
      </c>
      <c r="D270" s="7" t="str">
        <f>IFERROR(VLOOKUP(B270,'Master data'!$A$1:$F$1000,6,FALSE),"")</f>
        <v/>
      </c>
      <c r="F270" s="7" t="str">
        <f>IFERROR(VLOOKUP(B270,'Master data'!$A$1:$F$1000,3,FALSE),"")</f>
        <v/>
      </c>
      <c r="G270" s="100"/>
      <c r="H270" s="100"/>
      <c r="I270" s="16"/>
      <c r="J270" s="16"/>
      <c r="K270" s="16" t="b">
        <v>0</v>
      </c>
      <c r="L270" s="16" t="b">
        <v>0</v>
      </c>
    </row>
    <row r="271">
      <c r="A271" s="107"/>
      <c r="B271" s="16"/>
      <c r="C271" s="7" t="str">
        <f>IFERROR(VLOOKUP(B271,'Master data'!$A$1:$F$1000,2,FALSE),"")</f>
        <v/>
      </c>
      <c r="D271" s="7" t="str">
        <f>IFERROR(VLOOKUP(B271,'Master data'!$A$1:$F$1000,6,FALSE),"")</f>
        <v/>
      </c>
      <c r="F271" s="7" t="str">
        <f>IFERROR(VLOOKUP(B271,'Master data'!$A$1:$F$1000,3,FALSE),"")</f>
        <v/>
      </c>
      <c r="G271" s="100"/>
      <c r="H271" s="100"/>
      <c r="I271" s="16"/>
      <c r="J271" s="16"/>
      <c r="K271" s="16" t="b">
        <v>0</v>
      </c>
      <c r="L271" s="16" t="b">
        <v>0</v>
      </c>
    </row>
    <row r="272">
      <c r="A272" s="107"/>
      <c r="B272" s="16"/>
      <c r="C272" s="7" t="str">
        <f>IFERROR(VLOOKUP(B272,'Master data'!$A$1:$F$1000,2,FALSE),"")</f>
        <v/>
      </c>
      <c r="D272" s="7" t="str">
        <f>IFERROR(VLOOKUP(B272,'Master data'!$A$1:$F$1000,6,FALSE),"")</f>
        <v/>
      </c>
      <c r="F272" s="7" t="str">
        <f>IFERROR(VLOOKUP(B272,'Master data'!$A$1:$F$1000,3,FALSE),"")</f>
        <v/>
      </c>
      <c r="G272" s="100"/>
      <c r="H272" s="100"/>
      <c r="I272" s="16"/>
      <c r="J272" s="16"/>
      <c r="K272" s="16" t="b">
        <v>0</v>
      </c>
      <c r="L272" s="16" t="b">
        <v>0</v>
      </c>
    </row>
    <row r="273">
      <c r="A273" s="107"/>
      <c r="B273" s="16"/>
      <c r="C273" s="7" t="str">
        <f>IFERROR(VLOOKUP(B273,'Master data'!$A$1:$F$1000,2,FALSE),"")</f>
        <v/>
      </c>
      <c r="D273" s="7" t="str">
        <f>IFERROR(VLOOKUP(B273,'Master data'!$A$1:$F$1000,6,FALSE),"")</f>
        <v/>
      </c>
      <c r="F273" s="7" t="str">
        <f>IFERROR(VLOOKUP(B273,'Master data'!$A$1:$F$1000,3,FALSE),"")</f>
        <v/>
      </c>
      <c r="G273" s="100"/>
      <c r="H273" s="100"/>
      <c r="I273" s="16"/>
      <c r="J273" s="16"/>
      <c r="K273" s="16" t="b">
        <v>0</v>
      </c>
      <c r="L273" s="16" t="b">
        <v>0</v>
      </c>
    </row>
    <row r="274">
      <c r="A274" s="107"/>
      <c r="B274" s="16"/>
      <c r="C274" s="7" t="str">
        <f>IFERROR(VLOOKUP(B274,'Master data'!$A$1:$F$1000,2,FALSE),"")</f>
        <v/>
      </c>
      <c r="D274" s="7" t="str">
        <f>IFERROR(VLOOKUP(B274,'Master data'!$A$1:$F$1000,6,FALSE),"")</f>
        <v/>
      </c>
      <c r="F274" s="7" t="str">
        <f>IFERROR(VLOOKUP(B274,'Master data'!$A$1:$F$1000,3,FALSE),"")</f>
        <v/>
      </c>
      <c r="G274" s="100"/>
      <c r="H274" s="100"/>
      <c r="I274" s="16"/>
      <c r="J274" s="16"/>
      <c r="K274" s="16" t="b">
        <v>0</v>
      </c>
      <c r="L274" s="16" t="b">
        <v>0</v>
      </c>
    </row>
    <row r="275">
      <c r="A275" s="107"/>
      <c r="B275" s="16"/>
      <c r="C275" s="7" t="str">
        <f>IFERROR(VLOOKUP(B275,'Master data'!$A$1:$F$1000,2,FALSE),"")</f>
        <v/>
      </c>
      <c r="D275" s="7" t="str">
        <f>IFERROR(VLOOKUP(B275,'Master data'!$A$1:$F$1000,6,FALSE),"")</f>
        <v/>
      </c>
      <c r="F275" s="7" t="str">
        <f>IFERROR(VLOOKUP(B275,'Master data'!$A$1:$F$1000,3,FALSE),"")</f>
        <v/>
      </c>
      <c r="G275" s="100"/>
      <c r="H275" s="100"/>
      <c r="I275" s="16"/>
      <c r="J275" s="16"/>
      <c r="K275" s="16" t="b">
        <v>0</v>
      </c>
      <c r="L275" s="16" t="b">
        <v>0</v>
      </c>
    </row>
    <row r="276">
      <c r="A276" s="107"/>
      <c r="B276" s="16"/>
      <c r="C276" s="7" t="str">
        <f>IFERROR(VLOOKUP(B276,'Master data'!$A$1:$F$1000,2,FALSE),"")</f>
        <v/>
      </c>
      <c r="D276" s="7" t="str">
        <f>IFERROR(VLOOKUP(B276,'Master data'!$A$1:$F$1000,6,FALSE),"")</f>
        <v/>
      </c>
      <c r="F276" s="7" t="str">
        <f>IFERROR(VLOOKUP(B276,'Master data'!$A$1:$F$1000,3,FALSE),"")</f>
        <v/>
      </c>
      <c r="G276" s="100"/>
      <c r="H276" s="100"/>
      <c r="I276" s="16"/>
      <c r="J276" s="16"/>
      <c r="K276" s="16" t="b">
        <v>0</v>
      </c>
      <c r="L276" s="16" t="b">
        <v>0</v>
      </c>
    </row>
    <row r="277">
      <c r="A277" s="107"/>
      <c r="B277" s="16"/>
      <c r="C277" s="7" t="str">
        <f>IFERROR(VLOOKUP(B277,'Master data'!$A$1:$F$1000,2,FALSE),"")</f>
        <v/>
      </c>
      <c r="D277" s="7" t="str">
        <f>IFERROR(VLOOKUP(B277,'Master data'!$A$1:$F$1000,6,FALSE),"")</f>
        <v/>
      </c>
      <c r="F277" s="7" t="str">
        <f>IFERROR(VLOOKUP(B277,'Master data'!$A$1:$F$1000,3,FALSE),"")</f>
        <v/>
      </c>
      <c r="G277" s="100"/>
      <c r="H277" s="100"/>
      <c r="I277" s="16"/>
      <c r="J277" s="16"/>
      <c r="K277" s="16" t="b">
        <v>0</v>
      </c>
      <c r="L277" s="16" t="b">
        <v>0</v>
      </c>
    </row>
    <row r="278">
      <c r="A278" s="107"/>
      <c r="B278" s="16"/>
      <c r="C278" s="7" t="str">
        <f>IFERROR(VLOOKUP(B278,'Master data'!$A$1:$F$1000,2,FALSE),"")</f>
        <v/>
      </c>
      <c r="D278" s="7" t="str">
        <f>IFERROR(VLOOKUP(B278,'Master data'!$A$1:$F$1000,6,FALSE),"")</f>
        <v/>
      </c>
      <c r="F278" s="7" t="str">
        <f>IFERROR(VLOOKUP(B278,'Master data'!$A$1:$F$1000,3,FALSE),"")</f>
        <v/>
      </c>
      <c r="G278" s="100"/>
      <c r="H278" s="100"/>
      <c r="I278" s="16"/>
      <c r="J278" s="16"/>
      <c r="K278" s="16" t="b">
        <v>0</v>
      </c>
      <c r="L278" s="16" t="b">
        <v>0</v>
      </c>
    </row>
    <row r="279">
      <c r="A279" s="107"/>
      <c r="B279" s="16"/>
      <c r="C279" s="7" t="str">
        <f>IFERROR(VLOOKUP(B279,'Master data'!$A$1:$F$1000,2,FALSE),"")</f>
        <v/>
      </c>
      <c r="D279" s="7" t="str">
        <f>IFERROR(VLOOKUP(B279,'Master data'!$A$1:$F$1000,6,FALSE),"")</f>
        <v/>
      </c>
      <c r="F279" s="7" t="str">
        <f>IFERROR(VLOOKUP(B279,'Master data'!$A$1:$F$1000,3,FALSE),"")</f>
        <v/>
      </c>
      <c r="G279" s="100"/>
      <c r="H279" s="100"/>
      <c r="I279" s="16"/>
      <c r="J279" s="16"/>
      <c r="K279" s="16" t="b">
        <v>0</v>
      </c>
      <c r="L279" s="16" t="b">
        <v>0</v>
      </c>
    </row>
    <row r="280">
      <c r="A280" s="107"/>
      <c r="B280" s="16"/>
      <c r="C280" s="7" t="str">
        <f>IFERROR(VLOOKUP(B280,'Master data'!$A$1:$F$1000,2,FALSE),"")</f>
        <v/>
      </c>
      <c r="D280" s="7" t="str">
        <f>IFERROR(VLOOKUP(B280,'Master data'!$A$1:$F$1000,6,FALSE),"")</f>
        <v/>
      </c>
      <c r="F280" s="7" t="str">
        <f>IFERROR(VLOOKUP(B280,'Master data'!$A$1:$F$1000,3,FALSE),"")</f>
        <v/>
      </c>
      <c r="G280" s="100"/>
      <c r="H280" s="100"/>
      <c r="I280" s="16"/>
      <c r="J280" s="16"/>
      <c r="K280" s="16" t="b">
        <v>0</v>
      </c>
      <c r="L280" s="16" t="b">
        <v>0</v>
      </c>
    </row>
    <row r="281">
      <c r="A281" s="107"/>
      <c r="B281" s="16"/>
      <c r="C281" s="7" t="str">
        <f>IFERROR(VLOOKUP(B281,'Master data'!$A$1:$F$1000,2,FALSE),"")</f>
        <v/>
      </c>
      <c r="D281" s="7" t="str">
        <f>IFERROR(VLOOKUP(B281,'Master data'!$A$1:$F$1000,6,FALSE),"")</f>
        <v/>
      </c>
      <c r="F281" s="7" t="str">
        <f>IFERROR(VLOOKUP(B281,'Master data'!$A$1:$F$1000,3,FALSE),"")</f>
        <v/>
      </c>
      <c r="G281" s="100"/>
      <c r="H281" s="100"/>
      <c r="I281" s="16"/>
      <c r="J281" s="16"/>
      <c r="K281" s="16" t="b">
        <v>0</v>
      </c>
      <c r="L281" s="16" t="b">
        <v>0</v>
      </c>
    </row>
    <row r="282">
      <c r="A282" s="107"/>
      <c r="B282" s="16"/>
      <c r="C282" s="7" t="str">
        <f>IFERROR(VLOOKUP(B282,'Master data'!$A$1:$F$1000,2,FALSE),"")</f>
        <v/>
      </c>
      <c r="D282" s="7" t="str">
        <f>IFERROR(VLOOKUP(B282,'Master data'!$A$1:$F$1000,6,FALSE),"")</f>
        <v/>
      </c>
      <c r="F282" s="7" t="str">
        <f>IFERROR(VLOOKUP(B282,'Master data'!$A$1:$F$1000,3,FALSE),"")</f>
        <v/>
      </c>
      <c r="G282" s="100"/>
      <c r="H282" s="100"/>
      <c r="I282" s="16"/>
      <c r="J282" s="16"/>
      <c r="K282" s="16" t="b">
        <v>0</v>
      </c>
      <c r="L282" s="16" t="b">
        <v>0</v>
      </c>
    </row>
    <row r="283">
      <c r="A283" s="107"/>
      <c r="B283" s="16"/>
      <c r="C283" s="7" t="str">
        <f>IFERROR(VLOOKUP(B283,'Master data'!$A$1:$F$1000,2,FALSE),"")</f>
        <v/>
      </c>
      <c r="D283" s="7" t="str">
        <f>IFERROR(VLOOKUP(B283,'Master data'!$A$1:$F$1000,6,FALSE),"")</f>
        <v/>
      </c>
      <c r="F283" s="7" t="str">
        <f>IFERROR(VLOOKUP(B283,'Master data'!$A$1:$F$1000,3,FALSE),"")</f>
        <v/>
      </c>
      <c r="G283" s="100"/>
      <c r="H283" s="100"/>
      <c r="I283" s="16"/>
      <c r="J283" s="16"/>
      <c r="K283" s="16" t="b">
        <v>0</v>
      </c>
      <c r="L283" s="16" t="b">
        <v>0</v>
      </c>
    </row>
    <row r="284">
      <c r="A284" s="107"/>
      <c r="B284" s="16"/>
      <c r="C284" s="7" t="str">
        <f>IFERROR(VLOOKUP(B284,'Master data'!$A$1:$F$1000,2,FALSE),"")</f>
        <v/>
      </c>
      <c r="D284" s="7" t="str">
        <f>IFERROR(VLOOKUP(B284,'Master data'!$A$1:$F$1000,6,FALSE),"")</f>
        <v/>
      </c>
      <c r="F284" s="7" t="str">
        <f>IFERROR(VLOOKUP(B284,'Master data'!$A$1:$F$1000,3,FALSE),"")</f>
        <v/>
      </c>
      <c r="G284" s="100"/>
      <c r="H284" s="100"/>
      <c r="I284" s="16"/>
      <c r="J284" s="16"/>
      <c r="K284" s="16" t="b">
        <v>0</v>
      </c>
      <c r="L284" s="16" t="b">
        <v>0</v>
      </c>
    </row>
    <row r="285">
      <c r="A285" s="107"/>
      <c r="B285" s="16"/>
      <c r="C285" s="7" t="str">
        <f>IFERROR(VLOOKUP(B285,'Master data'!$A$1:$F$1000,2,FALSE),"")</f>
        <v/>
      </c>
      <c r="D285" s="7" t="str">
        <f>IFERROR(VLOOKUP(B285,'Master data'!$A$1:$F$1000,6,FALSE),"")</f>
        <v/>
      </c>
      <c r="F285" s="7" t="str">
        <f>IFERROR(VLOOKUP(B285,'Master data'!$A$1:$F$1000,3,FALSE),"")</f>
        <v/>
      </c>
      <c r="G285" s="100"/>
      <c r="H285" s="100"/>
      <c r="I285" s="16"/>
      <c r="J285" s="16"/>
      <c r="K285" s="16" t="b">
        <v>0</v>
      </c>
      <c r="L285" s="16" t="b">
        <v>0</v>
      </c>
    </row>
    <row r="286">
      <c r="A286" s="107"/>
      <c r="B286" s="16"/>
      <c r="C286" s="7" t="str">
        <f>IFERROR(VLOOKUP(B286,'Master data'!$A$1:$F$1000,2,FALSE),"")</f>
        <v/>
      </c>
      <c r="D286" s="7" t="str">
        <f>IFERROR(VLOOKUP(B286,'Master data'!$A$1:$F$1000,6,FALSE),"")</f>
        <v/>
      </c>
      <c r="F286" s="7" t="str">
        <f>IFERROR(VLOOKUP(B286,'Master data'!$A$1:$F$1000,3,FALSE),"")</f>
        <v/>
      </c>
      <c r="G286" s="100"/>
      <c r="H286" s="100"/>
      <c r="I286" s="16"/>
      <c r="J286" s="16"/>
      <c r="K286" s="16" t="b">
        <v>0</v>
      </c>
      <c r="L286" s="16" t="b">
        <v>0</v>
      </c>
    </row>
    <row r="287">
      <c r="A287" s="107"/>
      <c r="B287" s="16"/>
      <c r="C287" s="7" t="str">
        <f>IFERROR(VLOOKUP(B287,'Master data'!$A$1:$F$1000,2,FALSE),"")</f>
        <v/>
      </c>
      <c r="D287" s="7" t="str">
        <f>IFERROR(VLOOKUP(B287,'Master data'!$A$1:$F$1000,6,FALSE),"")</f>
        <v/>
      </c>
      <c r="F287" s="7" t="str">
        <f>IFERROR(VLOOKUP(B287,'Master data'!$A$1:$F$1000,3,FALSE),"")</f>
        <v/>
      </c>
      <c r="G287" s="100"/>
      <c r="H287" s="100"/>
      <c r="I287" s="16"/>
      <c r="J287" s="16"/>
      <c r="K287" s="16" t="b">
        <v>0</v>
      </c>
      <c r="L287" s="16" t="b">
        <v>0</v>
      </c>
    </row>
    <row r="288">
      <c r="A288" s="107"/>
      <c r="B288" s="16"/>
      <c r="C288" s="7" t="str">
        <f>IFERROR(VLOOKUP(B288,'Master data'!$A$1:$F$1000,2,FALSE),"")</f>
        <v/>
      </c>
      <c r="D288" s="7" t="str">
        <f>IFERROR(VLOOKUP(B288,'Master data'!$A$1:$F$1000,6,FALSE),"")</f>
        <v/>
      </c>
      <c r="F288" s="7" t="str">
        <f>IFERROR(VLOOKUP(B288,'Master data'!$A$1:$F$1000,3,FALSE),"")</f>
        <v/>
      </c>
      <c r="G288" s="100"/>
      <c r="H288" s="100"/>
      <c r="I288" s="16"/>
      <c r="J288" s="16"/>
      <c r="K288" s="16" t="b">
        <v>0</v>
      </c>
      <c r="L288" s="16" t="b">
        <v>0</v>
      </c>
    </row>
    <row r="289">
      <c r="A289" s="107"/>
      <c r="B289" s="16"/>
      <c r="C289" s="7" t="str">
        <f>IFERROR(VLOOKUP(B289,'Master data'!$A$1:$F$1000,2,FALSE),"")</f>
        <v/>
      </c>
      <c r="D289" s="7" t="str">
        <f>IFERROR(VLOOKUP(B289,'Master data'!$A$1:$F$1000,6,FALSE),"")</f>
        <v/>
      </c>
      <c r="F289" s="7" t="str">
        <f>IFERROR(VLOOKUP(B289,'Master data'!$A$1:$F$1000,3,FALSE),"")</f>
        <v/>
      </c>
      <c r="G289" s="100"/>
      <c r="H289" s="100"/>
      <c r="I289" s="16"/>
      <c r="J289" s="16"/>
      <c r="K289" s="16" t="b">
        <v>0</v>
      </c>
      <c r="L289" s="16" t="b">
        <v>0</v>
      </c>
    </row>
    <row r="290">
      <c r="A290" s="107"/>
      <c r="B290" s="16"/>
      <c r="C290" s="7" t="str">
        <f>IFERROR(VLOOKUP(B290,'Master data'!$A$1:$F$1000,2,FALSE),"")</f>
        <v/>
      </c>
      <c r="D290" s="7" t="str">
        <f>IFERROR(VLOOKUP(B290,'Master data'!$A$1:$F$1000,6,FALSE),"")</f>
        <v/>
      </c>
      <c r="F290" s="7" t="str">
        <f>IFERROR(VLOOKUP(B290,'Master data'!$A$1:$F$1000,3,FALSE),"")</f>
        <v/>
      </c>
      <c r="G290" s="100"/>
      <c r="H290" s="100"/>
      <c r="I290" s="16"/>
      <c r="J290" s="16"/>
      <c r="K290" s="16" t="b">
        <v>0</v>
      </c>
      <c r="L290" s="16" t="b">
        <v>0</v>
      </c>
    </row>
    <row r="291">
      <c r="A291" s="107"/>
      <c r="B291" s="16"/>
      <c r="C291" s="7" t="str">
        <f>IFERROR(VLOOKUP(B291,'Master data'!$A$1:$F$1000,2,FALSE),"")</f>
        <v/>
      </c>
      <c r="D291" s="7" t="str">
        <f>IFERROR(VLOOKUP(B291,'Master data'!$A$1:$F$1000,6,FALSE),"")</f>
        <v/>
      </c>
      <c r="F291" s="7" t="str">
        <f>IFERROR(VLOOKUP(B291,'Master data'!$A$1:$F$1000,3,FALSE),"")</f>
        <v/>
      </c>
      <c r="G291" s="100"/>
      <c r="H291" s="100"/>
      <c r="I291" s="16"/>
      <c r="J291" s="16"/>
      <c r="K291" s="16" t="b">
        <v>0</v>
      </c>
      <c r="L291" s="16" t="b">
        <v>0</v>
      </c>
    </row>
    <row r="292">
      <c r="A292" s="107"/>
      <c r="B292" s="16"/>
      <c r="C292" s="7" t="str">
        <f>IFERROR(VLOOKUP(B292,'Master data'!$A$1:$F$1000,2,FALSE),"")</f>
        <v/>
      </c>
      <c r="D292" s="7" t="str">
        <f>IFERROR(VLOOKUP(B292,'Master data'!$A$1:$F$1000,6,FALSE),"")</f>
        <v/>
      </c>
      <c r="F292" s="7" t="str">
        <f>IFERROR(VLOOKUP(B292,'Master data'!$A$1:$F$1000,3,FALSE),"")</f>
        <v/>
      </c>
      <c r="G292" s="100"/>
      <c r="H292" s="100"/>
      <c r="I292" s="16"/>
      <c r="J292" s="16"/>
      <c r="K292" s="16" t="b">
        <v>0</v>
      </c>
      <c r="L292" s="16" t="b">
        <v>0</v>
      </c>
    </row>
    <row r="293">
      <c r="A293" s="107"/>
      <c r="B293" s="16"/>
      <c r="C293" s="7" t="str">
        <f>IFERROR(VLOOKUP(B293,'Master data'!$A$1:$F$1000,2,FALSE),"")</f>
        <v/>
      </c>
      <c r="D293" s="7" t="str">
        <f>IFERROR(VLOOKUP(B293,'Master data'!$A$1:$F$1000,6,FALSE),"")</f>
        <v/>
      </c>
      <c r="F293" s="7" t="str">
        <f>IFERROR(VLOOKUP(B293,'Master data'!$A$1:$F$1000,3,FALSE),"")</f>
        <v/>
      </c>
      <c r="G293" s="100"/>
      <c r="H293" s="100"/>
      <c r="I293" s="16"/>
      <c r="J293" s="16"/>
      <c r="K293" s="16" t="b">
        <v>0</v>
      </c>
      <c r="L293" s="16" t="b">
        <v>0</v>
      </c>
    </row>
    <row r="294">
      <c r="A294" s="107"/>
      <c r="B294" s="16"/>
      <c r="C294" s="7" t="str">
        <f>IFERROR(VLOOKUP(B294,'Master data'!$A$1:$F$1000,2,FALSE),"")</f>
        <v/>
      </c>
      <c r="D294" s="7" t="str">
        <f>IFERROR(VLOOKUP(B294,'Master data'!$A$1:$F$1000,6,FALSE),"")</f>
        <v/>
      </c>
      <c r="F294" s="7" t="str">
        <f>IFERROR(VLOOKUP(B294,'Master data'!$A$1:$F$1000,3,FALSE),"")</f>
        <v/>
      </c>
      <c r="G294" s="100"/>
      <c r="H294" s="100"/>
      <c r="I294" s="16"/>
      <c r="J294" s="16"/>
      <c r="K294" s="16" t="b">
        <v>0</v>
      </c>
      <c r="L294" s="16" t="b">
        <v>0</v>
      </c>
    </row>
    <row r="295">
      <c r="A295" s="107"/>
      <c r="B295" s="16"/>
      <c r="C295" s="7" t="str">
        <f>IFERROR(VLOOKUP(B295,'Master data'!$A$1:$F$1000,2,FALSE),"")</f>
        <v/>
      </c>
      <c r="D295" s="7" t="str">
        <f>IFERROR(VLOOKUP(B295,'Master data'!$A$1:$F$1000,6,FALSE),"")</f>
        <v/>
      </c>
      <c r="F295" s="7" t="str">
        <f>IFERROR(VLOOKUP(B295,'Master data'!$A$1:$F$1000,3,FALSE),"")</f>
        <v/>
      </c>
      <c r="G295" s="100"/>
      <c r="H295" s="100"/>
      <c r="I295" s="16"/>
      <c r="J295" s="16"/>
      <c r="K295" s="16" t="b">
        <v>0</v>
      </c>
      <c r="L295" s="16" t="b">
        <v>0</v>
      </c>
    </row>
    <row r="296">
      <c r="A296" s="107"/>
      <c r="B296" s="16"/>
      <c r="C296" s="7" t="str">
        <f>IFERROR(VLOOKUP(B296,'Master data'!$A$1:$F$1000,2,FALSE),"")</f>
        <v/>
      </c>
      <c r="D296" s="7" t="str">
        <f>IFERROR(VLOOKUP(B296,'Master data'!$A$1:$F$1000,6,FALSE),"")</f>
        <v/>
      </c>
      <c r="F296" s="7" t="str">
        <f>IFERROR(VLOOKUP(B296,'Master data'!$A$1:$F$1000,3,FALSE),"")</f>
        <v/>
      </c>
      <c r="G296" s="100"/>
      <c r="H296" s="100"/>
      <c r="I296" s="16"/>
      <c r="J296" s="16"/>
      <c r="K296" s="16" t="b">
        <v>0</v>
      </c>
      <c r="L296" s="16" t="b">
        <v>0</v>
      </c>
    </row>
    <row r="297">
      <c r="A297" s="107"/>
      <c r="B297" s="16"/>
      <c r="C297" s="7" t="str">
        <f>IFERROR(VLOOKUP(B297,'Master data'!$A$1:$F$1000,2,FALSE),"")</f>
        <v/>
      </c>
      <c r="D297" s="7" t="str">
        <f>IFERROR(VLOOKUP(B297,'Master data'!$A$1:$F$1000,6,FALSE),"")</f>
        <v/>
      </c>
      <c r="F297" s="7" t="str">
        <f>IFERROR(VLOOKUP(B297,'Master data'!$A$1:$F$1000,3,FALSE),"")</f>
        <v/>
      </c>
      <c r="G297" s="100"/>
      <c r="H297" s="100"/>
      <c r="I297" s="16"/>
      <c r="J297" s="16"/>
      <c r="K297" s="16" t="b">
        <v>0</v>
      </c>
      <c r="L297" s="16" t="b">
        <v>0</v>
      </c>
    </row>
    <row r="298">
      <c r="A298" s="107"/>
      <c r="B298" s="16"/>
      <c r="C298" s="7" t="str">
        <f>IFERROR(VLOOKUP(B298,'Master data'!$A$1:$F$1000,2,FALSE),"")</f>
        <v/>
      </c>
      <c r="D298" s="7" t="str">
        <f>IFERROR(VLOOKUP(B298,'Master data'!$A$1:$F$1000,6,FALSE),"")</f>
        <v/>
      </c>
      <c r="F298" s="7" t="str">
        <f>IFERROR(VLOOKUP(B298,'Master data'!$A$1:$F$1000,3,FALSE),"")</f>
        <v/>
      </c>
      <c r="G298" s="100"/>
      <c r="H298" s="100"/>
      <c r="I298" s="16"/>
      <c r="J298" s="16"/>
      <c r="K298" s="16" t="b">
        <v>0</v>
      </c>
      <c r="L298" s="16" t="b">
        <v>0</v>
      </c>
    </row>
    <row r="299">
      <c r="A299" s="107"/>
      <c r="B299" s="16"/>
      <c r="C299" s="7" t="str">
        <f>IFERROR(VLOOKUP(B299,'Master data'!$A$1:$F$1000,2,FALSE),"")</f>
        <v/>
      </c>
      <c r="D299" s="7" t="str">
        <f>IFERROR(VLOOKUP(B299,'Master data'!$A$1:$F$1000,6,FALSE),"")</f>
        <v/>
      </c>
      <c r="F299" s="7" t="str">
        <f>IFERROR(VLOOKUP(B299,'Master data'!$A$1:$F$1000,3,FALSE),"")</f>
        <v/>
      </c>
      <c r="G299" s="100"/>
      <c r="H299" s="100"/>
      <c r="I299" s="16"/>
      <c r="J299" s="16"/>
      <c r="K299" s="16" t="b">
        <v>0</v>
      </c>
      <c r="L299" s="16" t="b">
        <v>0</v>
      </c>
    </row>
    <row r="300">
      <c r="A300" s="107"/>
      <c r="B300" s="16"/>
      <c r="C300" s="7" t="str">
        <f>IFERROR(VLOOKUP(B300,'Master data'!$A$1:$F$1000,2,FALSE),"")</f>
        <v/>
      </c>
      <c r="D300" s="7" t="str">
        <f>IFERROR(VLOOKUP(B300,'Master data'!$A$1:$F$1000,6,FALSE),"")</f>
        <v/>
      </c>
      <c r="F300" s="7" t="str">
        <f>IFERROR(VLOOKUP(B300,'Master data'!$A$1:$F$1000,3,FALSE),"")</f>
        <v/>
      </c>
      <c r="G300" s="100"/>
      <c r="H300" s="100"/>
      <c r="I300" s="16"/>
      <c r="J300" s="16"/>
      <c r="K300" s="16" t="b">
        <v>0</v>
      </c>
      <c r="L300" s="16" t="b">
        <v>0</v>
      </c>
    </row>
    <row r="301">
      <c r="A301" s="107"/>
      <c r="B301" s="16"/>
      <c r="C301" s="7" t="str">
        <f>IFERROR(VLOOKUP(B301,'Master data'!$A$1:$F$1000,2,FALSE),"")</f>
        <v/>
      </c>
      <c r="D301" s="7" t="str">
        <f>IFERROR(VLOOKUP(B301,'Master data'!$A$1:$F$1000,6,FALSE),"")</f>
        <v/>
      </c>
      <c r="F301" s="7" t="str">
        <f>IFERROR(VLOOKUP(B301,'Master data'!$A$1:$F$1000,3,FALSE),"")</f>
        <v/>
      </c>
      <c r="G301" s="100"/>
      <c r="H301" s="100"/>
      <c r="I301" s="16"/>
      <c r="J301" s="16"/>
      <c r="K301" s="16" t="b">
        <v>0</v>
      </c>
      <c r="L301" s="16" t="b">
        <v>0</v>
      </c>
    </row>
    <row r="302">
      <c r="A302" s="107"/>
      <c r="B302" s="16"/>
      <c r="C302" s="7" t="str">
        <f>IFERROR(VLOOKUP(B302,'Master data'!$A$1:$F$1000,2,FALSE),"")</f>
        <v/>
      </c>
      <c r="D302" s="7" t="str">
        <f>IFERROR(VLOOKUP(B302,'Master data'!$A$1:$F$1000,6,FALSE),"")</f>
        <v/>
      </c>
      <c r="F302" s="7" t="str">
        <f>IFERROR(VLOOKUP(B302,'Master data'!$A$1:$F$1000,3,FALSE),"")</f>
        <v/>
      </c>
      <c r="G302" s="100"/>
      <c r="H302" s="100"/>
      <c r="I302" s="16"/>
      <c r="J302" s="16"/>
      <c r="K302" s="16" t="b">
        <v>0</v>
      </c>
      <c r="L302" s="16" t="b">
        <v>0</v>
      </c>
    </row>
    <row r="303">
      <c r="A303" s="107"/>
      <c r="B303" s="16"/>
      <c r="C303" s="7" t="str">
        <f>IFERROR(VLOOKUP(B303,'Master data'!$A$1:$F$1000,2,FALSE),"")</f>
        <v/>
      </c>
      <c r="D303" s="7" t="str">
        <f>IFERROR(VLOOKUP(B303,'Master data'!$A$1:$F$1000,6,FALSE),"")</f>
        <v/>
      </c>
      <c r="F303" s="7" t="str">
        <f>IFERROR(VLOOKUP(B303,'Master data'!$A$1:$F$1000,3,FALSE),"")</f>
        <v/>
      </c>
      <c r="G303" s="100"/>
      <c r="H303" s="100"/>
      <c r="I303" s="16"/>
      <c r="J303" s="16"/>
      <c r="K303" s="16" t="b">
        <v>0</v>
      </c>
      <c r="L303" s="16" t="b">
        <v>0</v>
      </c>
    </row>
    <row r="304">
      <c r="A304" s="107"/>
      <c r="B304" s="16"/>
      <c r="C304" s="7" t="str">
        <f>IFERROR(VLOOKUP(B304,'Master data'!$A$1:$F$1000,2,FALSE),"")</f>
        <v/>
      </c>
      <c r="D304" s="7" t="str">
        <f>IFERROR(VLOOKUP(B304,'Master data'!$A$1:$F$1000,6,FALSE),"")</f>
        <v/>
      </c>
      <c r="F304" s="7" t="str">
        <f>IFERROR(VLOOKUP(B304,'Master data'!$A$1:$F$1000,3,FALSE),"")</f>
        <v/>
      </c>
      <c r="G304" s="100"/>
      <c r="H304" s="100"/>
      <c r="I304" s="16"/>
      <c r="J304" s="16"/>
      <c r="K304" s="16" t="b">
        <v>0</v>
      </c>
      <c r="L304" s="16" t="b">
        <v>0</v>
      </c>
    </row>
    <row r="305">
      <c r="A305" s="107"/>
      <c r="B305" s="16"/>
      <c r="C305" s="7" t="str">
        <f>IFERROR(VLOOKUP(B305,'Master data'!$A$1:$F$1000,2,FALSE),"")</f>
        <v/>
      </c>
      <c r="D305" s="7" t="str">
        <f>IFERROR(VLOOKUP(B305,'Master data'!$A$1:$F$1000,6,FALSE),"")</f>
        <v/>
      </c>
      <c r="F305" s="7" t="str">
        <f>IFERROR(VLOOKUP(B305,'Master data'!$A$1:$F$1000,3,FALSE),"")</f>
        <v/>
      </c>
      <c r="G305" s="100"/>
      <c r="H305" s="100"/>
      <c r="I305" s="16"/>
      <c r="J305" s="16"/>
      <c r="K305" s="16" t="b">
        <v>0</v>
      </c>
      <c r="L305" s="16" t="b">
        <v>0</v>
      </c>
    </row>
    <row r="306">
      <c r="A306" s="107"/>
      <c r="B306" s="16"/>
      <c r="C306" s="7" t="str">
        <f>IFERROR(VLOOKUP(B306,'Master data'!$A$1:$F$1000,2,FALSE),"")</f>
        <v/>
      </c>
      <c r="D306" s="7" t="str">
        <f>IFERROR(VLOOKUP(B306,'Master data'!$A$1:$F$1000,6,FALSE),"")</f>
        <v/>
      </c>
      <c r="F306" s="7" t="str">
        <f>IFERROR(VLOOKUP(B306,'Master data'!$A$1:$F$1000,3,FALSE),"")</f>
        <v/>
      </c>
      <c r="G306" s="100"/>
      <c r="H306" s="100"/>
      <c r="I306" s="16"/>
      <c r="J306" s="16"/>
      <c r="K306" s="16" t="b">
        <v>0</v>
      </c>
      <c r="L306" s="16" t="b">
        <v>0</v>
      </c>
    </row>
    <row r="307">
      <c r="A307" s="107"/>
      <c r="B307" s="16"/>
      <c r="C307" s="7" t="str">
        <f>IFERROR(VLOOKUP(B307,'Master data'!$A$1:$F$1000,2,FALSE),"")</f>
        <v/>
      </c>
      <c r="D307" s="7" t="str">
        <f>IFERROR(VLOOKUP(B307,'Master data'!$A$1:$F$1000,6,FALSE),"")</f>
        <v/>
      </c>
      <c r="F307" s="7" t="str">
        <f>IFERROR(VLOOKUP(B307,'Master data'!$A$1:$F$1000,3,FALSE),"")</f>
        <v/>
      </c>
      <c r="G307" s="100"/>
      <c r="H307" s="100"/>
      <c r="I307" s="16"/>
      <c r="J307" s="16"/>
      <c r="K307" s="16" t="b">
        <v>0</v>
      </c>
      <c r="L307" s="16" t="b">
        <v>0</v>
      </c>
    </row>
    <row r="308">
      <c r="A308" s="107"/>
      <c r="B308" s="16"/>
      <c r="C308" s="7" t="str">
        <f>IFERROR(VLOOKUP(B308,'Master data'!$A$1:$F$1000,2,FALSE),"")</f>
        <v/>
      </c>
      <c r="D308" s="7" t="str">
        <f>IFERROR(VLOOKUP(B308,'Master data'!$A$1:$F$1000,6,FALSE),"")</f>
        <v/>
      </c>
      <c r="F308" s="7" t="str">
        <f>IFERROR(VLOOKUP(B308,'Master data'!$A$1:$F$1000,3,FALSE),"")</f>
        <v/>
      </c>
      <c r="G308" s="100"/>
      <c r="H308" s="100"/>
      <c r="I308" s="16"/>
      <c r="J308" s="16"/>
      <c r="K308" s="16" t="b">
        <v>0</v>
      </c>
      <c r="L308" s="16" t="b">
        <v>0</v>
      </c>
    </row>
    <row r="309">
      <c r="A309" s="107"/>
      <c r="B309" s="16"/>
      <c r="C309" s="7" t="str">
        <f>IFERROR(VLOOKUP(B309,'Master data'!$A$1:$F$1000,2,FALSE),"")</f>
        <v/>
      </c>
      <c r="D309" s="7" t="str">
        <f>IFERROR(VLOOKUP(B309,'Master data'!$A$1:$F$1000,6,FALSE),"")</f>
        <v/>
      </c>
      <c r="F309" s="7" t="str">
        <f>IFERROR(VLOOKUP(B309,'Master data'!$A$1:$F$1000,3,FALSE),"")</f>
        <v/>
      </c>
      <c r="G309" s="100"/>
      <c r="H309" s="100"/>
      <c r="I309" s="16"/>
      <c r="J309" s="16"/>
      <c r="K309" s="16" t="b">
        <v>0</v>
      </c>
      <c r="L309" s="16" t="b">
        <v>0</v>
      </c>
    </row>
    <row r="310">
      <c r="A310" s="107"/>
      <c r="B310" s="16"/>
      <c r="C310" s="7" t="str">
        <f>IFERROR(VLOOKUP(B310,'Master data'!$A$1:$F$1000,2,FALSE),"")</f>
        <v/>
      </c>
      <c r="D310" s="7" t="str">
        <f>IFERROR(VLOOKUP(B310,'Master data'!$A$1:$F$1000,6,FALSE),"")</f>
        <v/>
      </c>
      <c r="F310" s="7" t="str">
        <f>IFERROR(VLOOKUP(B310,'Master data'!$A$1:$F$1000,3,FALSE),"")</f>
        <v/>
      </c>
      <c r="G310" s="100"/>
      <c r="H310" s="100"/>
      <c r="I310" s="16"/>
      <c r="J310" s="16"/>
      <c r="K310" s="16" t="b">
        <v>0</v>
      </c>
      <c r="L310" s="16" t="b">
        <v>0</v>
      </c>
    </row>
    <row r="311">
      <c r="A311" s="107"/>
      <c r="B311" s="16"/>
      <c r="C311" s="7" t="str">
        <f>IFERROR(VLOOKUP(B311,'Master data'!$A$1:$F$1000,2,FALSE),"")</f>
        <v/>
      </c>
      <c r="D311" s="7" t="str">
        <f>IFERROR(VLOOKUP(B311,'Master data'!$A$1:$F$1000,6,FALSE),"")</f>
        <v/>
      </c>
      <c r="F311" s="7" t="str">
        <f>IFERROR(VLOOKUP(B311,'Master data'!$A$1:$F$1000,3,FALSE),"")</f>
        <v/>
      </c>
      <c r="G311" s="100"/>
      <c r="H311" s="100"/>
      <c r="I311" s="16"/>
      <c r="J311" s="16"/>
      <c r="K311" s="16" t="b">
        <v>0</v>
      </c>
      <c r="L311" s="16" t="b">
        <v>0</v>
      </c>
    </row>
    <row r="312">
      <c r="A312" s="107"/>
      <c r="B312" s="16"/>
      <c r="C312" s="7" t="str">
        <f>IFERROR(VLOOKUP(B312,'Master data'!$A$1:$F$1000,2,FALSE),"")</f>
        <v/>
      </c>
      <c r="D312" s="7" t="str">
        <f>IFERROR(VLOOKUP(B312,'Master data'!$A$1:$F$1000,6,FALSE),"")</f>
        <v/>
      </c>
      <c r="F312" s="7" t="str">
        <f>IFERROR(VLOOKUP(B312,'Master data'!$A$1:$F$1000,3,FALSE),"")</f>
        <v/>
      </c>
      <c r="G312" s="100"/>
      <c r="H312" s="100"/>
      <c r="I312" s="16"/>
      <c r="J312" s="16"/>
      <c r="K312" s="16" t="b">
        <v>0</v>
      </c>
      <c r="L312" s="16" t="b">
        <v>0</v>
      </c>
    </row>
    <row r="313">
      <c r="A313" s="107"/>
      <c r="B313" s="16"/>
      <c r="C313" s="7" t="str">
        <f>IFERROR(VLOOKUP(B313,'Master data'!$A$1:$F$1000,2,FALSE),"")</f>
        <v/>
      </c>
      <c r="D313" s="7" t="str">
        <f>IFERROR(VLOOKUP(B313,'Master data'!$A$1:$F$1000,6,FALSE),"")</f>
        <v/>
      </c>
      <c r="F313" s="7" t="str">
        <f>IFERROR(VLOOKUP(B313,'Master data'!$A$1:$F$1000,3,FALSE),"")</f>
        <v/>
      </c>
      <c r="G313" s="100"/>
      <c r="H313" s="100"/>
      <c r="I313" s="16"/>
      <c r="J313" s="16"/>
      <c r="K313" s="16" t="b">
        <v>0</v>
      </c>
      <c r="L313" s="16" t="b">
        <v>0</v>
      </c>
    </row>
    <row r="314">
      <c r="A314" s="107"/>
      <c r="B314" s="16"/>
      <c r="C314" s="7" t="str">
        <f>IFERROR(VLOOKUP(B314,'Master data'!$A$1:$F$1000,2,FALSE),"")</f>
        <v/>
      </c>
      <c r="D314" s="7" t="str">
        <f>IFERROR(VLOOKUP(B314,'Master data'!$A$1:$F$1000,6,FALSE),"")</f>
        <v/>
      </c>
      <c r="F314" s="7" t="str">
        <f>IFERROR(VLOOKUP(B314,'Master data'!$A$1:$F$1000,3,FALSE),"")</f>
        <v/>
      </c>
      <c r="G314" s="100"/>
      <c r="H314" s="100"/>
      <c r="I314" s="16"/>
      <c r="J314" s="16"/>
      <c r="K314" s="16" t="b">
        <v>0</v>
      </c>
      <c r="L314" s="16" t="b">
        <v>0</v>
      </c>
    </row>
    <row r="315">
      <c r="A315" s="107"/>
      <c r="B315" s="16"/>
      <c r="C315" s="7" t="str">
        <f>IFERROR(VLOOKUP(B315,'Master data'!$A$1:$F$1000,2,FALSE),"")</f>
        <v/>
      </c>
      <c r="D315" s="7" t="str">
        <f>IFERROR(VLOOKUP(B315,'Master data'!$A$1:$F$1000,6,FALSE),"")</f>
        <v/>
      </c>
      <c r="F315" s="7" t="str">
        <f>IFERROR(VLOOKUP(B315,'Master data'!$A$1:$F$1000,3,FALSE),"")</f>
        <v/>
      </c>
      <c r="G315" s="100"/>
      <c r="H315" s="100"/>
      <c r="I315" s="16"/>
      <c r="J315" s="16"/>
      <c r="K315" s="16" t="b">
        <v>0</v>
      </c>
      <c r="L315" s="16" t="b">
        <v>0</v>
      </c>
    </row>
    <row r="316">
      <c r="A316" s="107"/>
      <c r="B316" s="16"/>
      <c r="C316" s="7" t="str">
        <f>IFERROR(VLOOKUP(B316,'Master data'!$A$1:$F$1000,2,FALSE),"")</f>
        <v/>
      </c>
      <c r="D316" s="7" t="str">
        <f>IFERROR(VLOOKUP(B316,'Master data'!$A$1:$F$1000,6,FALSE),"")</f>
        <v/>
      </c>
      <c r="F316" s="7" t="str">
        <f>IFERROR(VLOOKUP(B316,'Master data'!$A$1:$F$1000,3,FALSE),"")</f>
        <v/>
      </c>
      <c r="G316" s="100"/>
      <c r="H316" s="100"/>
      <c r="I316" s="16"/>
      <c r="J316" s="16"/>
      <c r="K316" s="16" t="b">
        <v>0</v>
      </c>
      <c r="L316" s="16" t="b">
        <v>0</v>
      </c>
    </row>
    <row r="317">
      <c r="A317" s="107"/>
      <c r="B317" s="16"/>
      <c r="C317" s="7" t="str">
        <f>IFERROR(VLOOKUP(B317,'Master data'!$A$1:$F$1000,2,FALSE),"")</f>
        <v/>
      </c>
      <c r="D317" s="7" t="str">
        <f>IFERROR(VLOOKUP(B317,'Master data'!$A$1:$F$1000,6,FALSE),"")</f>
        <v/>
      </c>
      <c r="F317" s="7" t="str">
        <f>IFERROR(VLOOKUP(B317,'Master data'!$A$1:$F$1000,3,FALSE),"")</f>
        <v/>
      </c>
      <c r="G317" s="100"/>
      <c r="H317" s="100"/>
      <c r="I317" s="16"/>
      <c r="J317" s="16"/>
      <c r="K317" s="16" t="b">
        <v>0</v>
      </c>
      <c r="L317" s="16" t="b">
        <v>0</v>
      </c>
    </row>
    <row r="318">
      <c r="A318" s="107"/>
      <c r="B318" s="16"/>
      <c r="C318" s="7" t="str">
        <f>IFERROR(VLOOKUP(B318,'Master data'!$A$1:$F$1000,2,FALSE),"")</f>
        <v/>
      </c>
      <c r="D318" s="7" t="str">
        <f>IFERROR(VLOOKUP(B318,'Master data'!$A$1:$F$1000,6,FALSE),"")</f>
        <v/>
      </c>
      <c r="F318" s="7" t="str">
        <f>IFERROR(VLOOKUP(B318,'Master data'!$A$1:$F$1000,3,FALSE),"")</f>
        <v/>
      </c>
      <c r="G318" s="100"/>
      <c r="H318" s="100"/>
      <c r="I318" s="16"/>
      <c r="J318" s="16"/>
      <c r="K318" s="16" t="b">
        <v>0</v>
      </c>
      <c r="L318" s="16" t="b">
        <v>0</v>
      </c>
    </row>
    <row r="319">
      <c r="A319" s="107"/>
      <c r="B319" s="16"/>
      <c r="C319" s="7" t="str">
        <f>IFERROR(VLOOKUP(B319,'Master data'!$A$1:$F$1000,2,FALSE),"")</f>
        <v/>
      </c>
      <c r="D319" s="7" t="str">
        <f>IFERROR(VLOOKUP(B319,'Master data'!$A$1:$F$1000,6,FALSE),"")</f>
        <v/>
      </c>
      <c r="F319" s="7" t="str">
        <f>IFERROR(VLOOKUP(B319,'Master data'!$A$1:$F$1000,3,FALSE),"")</f>
        <v/>
      </c>
      <c r="G319" s="100"/>
      <c r="H319" s="100"/>
      <c r="I319" s="16"/>
      <c r="J319" s="16"/>
      <c r="K319" s="16" t="b">
        <v>0</v>
      </c>
      <c r="L319" s="16" t="b">
        <v>0</v>
      </c>
    </row>
    <row r="320">
      <c r="A320" s="107"/>
      <c r="B320" s="16"/>
      <c r="C320" s="7" t="str">
        <f>IFERROR(VLOOKUP(B320,'Master data'!$A$1:$F$1000,2,FALSE),"")</f>
        <v/>
      </c>
      <c r="D320" s="7" t="str">
        <f>IFERROR(VLOOKUP(B320,'Master data'!$A$1:$F$1000,6,FALSE),"")</f>
        <v/>
      </c>
      <c r="F320" s="7" t="str">
        <f>IFERROR(VLOOKUP(B320,'Master data'!$A$1:$F$1000,3,FALSE),"")</f>
        <v/>
      </c>
      <c r="G320" s="100"/>
      <c r="H320" s="100"/>
      <c r="I320" s="16"/>
      <c r="J320" s="16"/>
      <c r="K320" s="16" t="b">
        <v>0</v>
      </c>
      <c r="L320" s="16" t="b">
        <v>0</v>
      </c>
    </row>
    <row r="321">
      <c r="A321" s="107"/>
      <c r="B321" s="16"/>
      <c r="C321" s="7" t="str">
        <f>IFERROR(VLOOKUP(B321,'Master data'!$A$1:$F$1000,2,FALSE),"")</f>
        <v/>
      </c>
      <c r="D321" s="7" t="str">
        <f>IFERROR(VLOOKUP(B321,'Master data'!$A$1:$F$1000,6,FALSE),"")</f>
        <v/>
      </c>
      <c r="F321" s="7" t="str">
        <f>IFERROR(VLOOKUP(B321,'Master data'!$A$1:$F$1000,3,FALSE),"")</f>
        <v/>
      </c>
      <c r="G321" s="100"/>
      <c r="H321" s="100"/>
      <c r="I321" s="16"/>
      <c r="J321" s="16"/>
      <c r="K321" s="16" t="b">
        <v>0</v>
      </c>
      <c r="L321" s="16" t="b">
        <v>0</v>
      </c>
    </row>
    <row r="322">
      <c r="A322" s="107"/>
      <c r="B322" s="16"/>
      <c r="C322" s="7" t="str">
        <f>IFERROR(VLOOKUP(B322,'Master data'!$A$1:$F$1000,2,FALSE),"")</f>
        <v/>
      </c>
      <c r="D322" s="7" t="str">
        <f>IFERROR(VLOOKUP(B322,'Master data'!$A$1:$F$1000,6,FALSE),"")</f>
        <v/>
      </c>
      <c r="F322" s="7" t="str">
        <f>IFERROR(VLOOKUP(B322,'Master data'!$A$1:$F$1000,3,FALSE),"")</f>
        <v/>
      </c>
      <c r="G322" s="100"/>
      <c r="H322" s="100"/>
      <c r="I322" s="16"/>
      <c r="J322" s="16"/>
      <c r="K322" s="16" t="b">
        <v>0</v>
      </c>
      <c r="L322" s="16" t="b">
        <v>0</v>
      </c>
    </row>
    <row r="323">
      <c r="A323" s="107"/>
      <c r="B323" s="16"/>
      <c r="C323" s="7" t="str">
        <f>IFERROR(VLOOKUP(B323,'Master data'!$A$1:$F$1000,2,FALSE),"")</f>
        <v/>
      </c>
      <c r="D323" s="7" t="str">
        <f>IFERROR(VLOOKUP(B323,'Master data'!$A$1:$F$1000,6,FALSE),"")</f>
        <v/>
      </c>
      <c r="F323" s="7" t="str">
        <f>IFERROR(VLOOKUP(B323,'Master data'!$A$1:$F$1000,3,FALSE),"")</f>
        <v/>
      </c>
      <c r="G323" s="100"/>
      <c r="H323" s="100"/>
      <c r="I323" s="16"/>
      <c r="J323" s="16"/>
      <c r="K323" s="16" t="b">
        <v>0</v>
      </c>
      <c r="L323" s="16" t="b">
        <v>0</v>
      </c>
    </row>
    <row r="324">
      <c r="A324" s="107"/>
      <c r="B324" s="16"/>
      <c r="C324" s="7" t="str">
        <f>IFERROR(VLOOKUP(B324,'Master data'!$A$1:$F$1000,2,FALSE),"")</f>
        <v/>
      </c>
      <c r="D324" s="7" t="str">
        <f>IFERROR(VLOOKUP(B324,'Master data'!$A$1:$F$1000,6,FALSE),"")</f>
        <v/>
      </c>
      <c r="F324" s="7" t="str">
        <f>IFERROR(VLOOKUP(B324,'Master data'!$A$1:$F$1000,3,FALSE),"")</f>
        <v/>
      </c>
      <c r="G324" s="100"/>
      <c r="H324" s="100"/>
      <c r="I324" s="16"/>
      <c r="J324" s="16"/>
      <c r="K324" s="16" t="b">
        <v>0</v>
      </c>
      <c r="L324" s="16" t="b">
        <v>0</v>
      </c>
    </row>
    <row r="325">
      <c r="A325" s="107"/>
      <c r="B325" s="16"/>
      <c r="C325" s="7" t="str">
        <f>IFERROR(VLOOKUP(B325,'Master data'!$A$1:$F$1000,2,FALSE),"")</f>
        <v/>
      </c>
      <c r="D325" s="7" t="str">
        <f>IFERROR(VLOOKUP(B325,'Master data'!$A$1:$F$1000,6,FALSE),"")</f>
        <v/>
      </c>
      <c r="F325" s="7" t="str">
        <f>IFERROR(VLOOKUP(B325,'Master data'!$A$1:$F$1000,3,FALSE),"")</f>
        <v/>
      </c>
      <c r="G325" s="100"/>
      <c r="H325" s="100"/>
      <c r="I325" s="16"/>
      <c r="J325" s="16"/>
      <c r="K325" s="16" t="b">
        <v>0</v>
      </c>
      <c r="L325" s="16" t="b">
        <v>0</v>
      </c>
    </row>
    <row r="326">
      <c r="A326" s="107"/>
      <c r="B326" s="16"/>
      <c r="C326" s="7" t="str">
        <f>IFERROR(VLOOKUP(B326,'Master data'!$A$1:$F$1000,2,FALSE),"")</f>
        <v/>
      </c>
      <c r="D326" s="7" t="str">
        <f>IFERROR(VLOOKUP(B326,'Master data'!$A$1:$F$1000,6,FALSE),"")</f>
        <v/>
      </c>
      <c r="F326" s="7" t="str">
        <f>IFERROR(VLOOKUP(B326,'Master data'!$A$1:$F$1000,3,FALSE),"")</f>
        <v/>
      </c>
      <c r="G326" s="100"/>
      <c r="H326" s="100"/>
      <c r="I326" s="16"/>
      <c r="J326" s="16"/>
      <c r="K326" s="16" t="b">
        <v>0</v>
      </c>
      <c r="L326" s="16" t="b">
        <v>0</v>
      </c>
    </row>
    <row r="327">
      <c r="A327" s="107"/>
      <c r="B327" s="16"/>
      <c r="C327" s="7" t="str">
        <f>IFERROR(VLOOKUP(B327,'Master data'!$A$1:$F$1000,2,FALSE),"")</f>
        <v/>
      </c>
      <c r="D327" s="7" t="str">
        <f>IFERROR(VLOOKUP(B327,'Master data'!$A$1:$F$1000,6,FALSE),"")</f>
        <v/>
      </c>
      <c r="F327" s="7" t="str">
        <f>IFERROR(VLOOKUP(B327,'Master data'!$A$1:$F$1000,3,FALSE),"")</f>
        <v/>
      </c>
      <c r="G327" s="100"/>
      <c r="H327" s="100"/>
      <c r="I327" s="16"/>
      <c r="J327" s="16"/>
      <c r="K327" s="16" t="b">
        <v>0</v>
      </c>
      <c r="L327" s="16" t="b">
        <v>0</v>
      </c>
    </row>
    <row r="328">
      <c r="A328" s="107"/>
      <c r="B328" s="16"/>
      <c r="C328" s="7" t="str">
        <f>IFERROR(VLOOKUP(B328,'Master data'!$A$1:$F$1000,2,FALSE),"")</f>
        <v/>
      </c>
      <c r="D328" s="7" t="str">
        <f>IFERROR(VLOOKUP(B328,'Master data'!$A$1:$F$1000,6,FALSE),"")</f>
        <v/>
      </c>
      <c r="F328" s="7" t="str">
        <f>IFERROR(VLOOKUP(B328,'Master data'!$A$1:$F$1000,3,FALSE),"")</f>
        <v/>
      </c>
      <c r="G328" s="100"/>
      <c r="H328" s="100"/>
      <c r="I328" s="16"/>
      <c r="J328" s="16"/>
      <c r="K328" s="16" t="b">
        <v>0</v>
      </c>
      <c r="L328" s="16" t="b">
        <v>0</v>
      </c>
    </row>
    <row r="329">
      <c r="A329" s="107"/>
      <c r="B329" s="16"/>
      <c r="C329" s="7" t="str">
        <f>IFERROR(VLOOKUP(B329,'Master data'!$A$1:$F$1000,2,FALSE),"")</f>
        <v/>
      </c>
      <c r="D329" s="7" t="str">
        <f>IFERROR(VLOOKUP(B329,'Master data'!$A$1:$F$1000,6,FALSE),"")</f>
        <v/>
      </c>
      <c r="F329" s="7" t="str">
        <f>IFERROR(VLOOKUP(B329,'Master data'!$A$1:$F$1000,3,FALSE),"")</f>
        <v/>
      </c>
      <c r="G329" s="100"/>
      <c r="H329" s="100"/>
      <c r="I329" s="16"/>
      <c r="J329" s="16"/>
      <c r="K329" s="16" t="b">
        <v>0</v>
      </c>
      <c r="L329" s="16" t="b">
        <v>0</v>
      </c>
    </row>
    <row r="330">
      <c r="A330" s="107"/>
      <c r="B330" s="16"/>
      <c r="C330" s="7" t="str">
        <f>IFERROR(VLOOKUP(B330,'Master data'!$A$1:$F$1000,2,FALSE),"")</f>
        <v/>
      </c>
      <c r="D330" s="7" t="str">
        <f>IFERROR(VLOOKUP(B330,'Master data'!$A$1:$F$1000,6,FALSE),"")</f>
        <v/>
      </c>
      <c r="F330" s="7" t="str">
        <f>IFERROR(VLOOKUP(B330,'Master data'!$A$1:$F$1000,3,FALSE),"")</f>
        <v/>
      </c>
      <c r="G330" s="100"/>
      <c r="H330" s="100"/>
      <c r="I330" s="16"/>
      <c r="J330" s="16"/>
      <c r="K330" s="16" t="b">
        <v>0</v>
      </c>
      <c r="L330" s="16" t="b">
        <v>0</v>
      </c>
    </row>
    <row r="331">
      <c r="A331" s="107"/>
      <c r="B331" s="16"/>
      <c r="C331" s="7" t="str">
        <f>IFERROR(VLOOKUP(B331,'Master data'!$A$1:$F$1000,2,FALSE),"")</f>
        <v/>
      </c>
      <c r="D331" s="7" t="str">
        <f>IFERROR(VLOOKUP(B331,'Master data'!$A$1:$F$1000,6,FALSE),"")</f>
        <v/>
      </c>
      <c r="F331" s="7" t="str">
        <f>IFERROR(VLOOKUP(B331,'Master data'!$A$1:$F$1000,3,FALSE),"")</f>
        <v/>
      </c>
      <c r="G331" s="100"/>
      <c r="H331" s="100"/>
      <c r="I331" s="16"/>
      <c r="J331" s="16"/>
      <c r="K331" s="16" t="b">
        <v>0</v>
      </c>
      <c r="L331" s="16" t="b">
        <v>0</v>
      </c>
    </row>
    <row r="332">
      <c r="A332" s="107"/>
      <c r="B332" s="16"/>
      <c r="C332" s="7" t="str">
        <f>IFERROR(VLOOKUP(B332,'Master data'!$A$1:$F$1000,2,FALSE),"")</f>
        <v/>
      </c>
      <c r="D332" s="7" t="str">
        <f>IFERROR(VLOOKUP(B332,'Master data'!$A$1:$F$1000,6,FALSE),"")</f>
        <v/>
      </c>
      <c r="F332" s="7" t="str">
        <f>IFERROR(VLOOKUP(B332,'Master data'!$A$1:$F$1000,3,FALSE),"")</f>
        <v/>
      </c>
      <c r="G332" s="100"/>
      <c r="H332" s="100"/>
      <c r="I332" s="16"/>
      <c r="J332" s="16"/>
      <c r="K332" s="16" t="b">
        <v>0</v>
      </c>
      <c r="L332" s="16" t="b">
        <v>0</v>
      </c>
    </row>
    <row r="333">
      <c r="A333" s="107"/>
      <c r="B333" s="16"/>
      <c r="C333" s="7" t="str">
        <f>IFERROR(VLOOKUP(B333,'Master data'!$A$1:$F$1000,2,FALSE),"")</f>
        <v/>
      </c>
      <c r="D333" s="7" t="str">
        <f>IFERROR(VLOOKUP(B333,'Master data'!$A$1:$F$1000,6,FALSE),"")</f>
        <v/>
      </c>
      <c r="F333" s="7" t="str">
        <f>IFERROR(VLOOKUP(B333,'Master data'!$A$1:$F$1000,3,FALSE),"")</f>
        <v/>
      </c>
      <c r="G333" s="100"/>
      <c r="H333" s="100"/>
      <c r="I333" s="16"/>
      <c r="J333" s="16"/>
      <c r="K333" s="16" t="b">
        <v>0</v>
      </c>
      <c r="L333" s="16" t="b">
        <v>0</v>
      </c>
    </row>
    <row r="334">
      <c r="A334" s="107"/>
      <c r="B334" s="16"/>
      <c r="C334" s="7" t="str">
        <f>IFERROR(VLOOKUP(B334,'Master data'!$A$1:$F$1000,2,FALSE),"")</f>
        <v/>
      </c>
      <c r="D334" s="7" t="str">
        <f>IFERROR(VLOOKUP(B334,'Master data'!$A$1:$F$1000,6,FALSE),"")</f>
        <v/>
      </c>
      <c r="F334" s="7" t="str">
        <f>IFERROR(VLOOKUP(B334,'Master data'!$A$1:$F$1000,3,FALSE),"")</f>
        <v/>
      </c>
      <c r="G334" s="100"/>
      <c r="H334" s="100"/>
      <c r="I334" s="16"/>
      <c r="J334" s="16"/>
      <c r="K334" s="16" t="b">
        <v>0</v>
      </c>
      <c r="L334" s="16" t="b">
        <v>0</v>
      </c>
    </row>
    <row r="335">
      <c r="A335" s="107"/>
      <c r="B335" s="16"/>
      <c r="C335" s="7" t="str">
        <f>IFERROR(VLOOKUP(B335,'Master data'!$A$1:$F$1000,2,FALSE),"")</f>
        <v/>
      </c>
      <c r="D335" s="7" t="str">
        <f>IFERROR(VLOOKUP(B335,'Master data'!$A$1:$F$1000,6,FALSE),"")</f>
        <v/>
      </c>
      <c r="F335" s="7" t="str">
        <f>IFERROR(VLOOKUP(B335,'Master data'!$A$1:$F$1000,3,FALSE),"")</f>
        <v/>
      </c>
      <c r="G335" s="100"/>
      <c r="H335" s="100"/>
      <c r="I335" s="16"/>
      <c r="J335" s="16"/>
      <c r="K335" s="16" t="b">
        <v>0</v>
      </c>
      <c r="L335" s="16" t="b">
        <v>0</v>
      </c>
    </row>
    <row r="336">
      <c r="A336" s="107"/>
      <c r="B336" s="16"/>
      <c r="C336" s="7" t="str">
        <f>IFERROR(VLOOKUP(B336,'Master data'!$A$1:$F$1000,2,FALSE),"")</f>
        <v/>
      </c>
      <c r="D336" s="7" t="str">
        <f>IFERROR(VLOOKUP(B336,'Master data'!$A$1:$F$1000,6,FALSE),"")</f>
        <v/>
      </c>
      <c r="F336" s="7" t="str">
        <f>IFERROR(VLOOKUP(B336,'Master data'!$A$1:$F$1000,3,FALSE),"")</f>
        <v/>
      </c>
      <c r="G336" s="100"/>
      <c r="H336" s="100"/>
      <c r="I336" s="16"/>
      <c r="J336" s="16"/>
      <c r="K336" s="16" t="b">
        <v>0</v>
      </c>
      <c r="L336" s="16" t="b">
        <v>0</v>
      </c>
    </row>
    <row r="337">
      <c r="A337" s="107"/>
      <c r="B337" s="16"/>
      <c r="C337" s="7" t="str">
        <f>IFERROR(VLOOKUP(B337,'Master data'!$A$1:$F$1000,2,FALSE),"")</f>
        <v/>
      </c>
      <c r="D337" s="7" t="str">
        <f>IFERROR(VLOOKUP(B337,'Master data'!$A$1:$F$1000,6,FALSE),"")</f>
        <v/>
      </c>
      <c r="F337" s="7" t="str">
        <f>IFERROR(VLOOKUP(B337,'Master data'!$A$1:$F$1000,3,FALSE),"")</f>
        <v/>
      </c>
      <c r="G337" s="100"/>
      <c r="H337" s="100"/>
      <c r="I337" s="16"/>
      <c r="J337" s="16"/>
      <c r="K337" s="16" t="b">
        <v>0</v>
      </c>
      <c r="L337" s="16" t="b">
        <v>0</v>
      </c>
    </row>
    <row r="338">
      <c r="A338" s="107"/>
      <c r="B338" s="16"/>
      <c r="C338" s="7" t="str">
        <f>IFERROR(VLOOKUP(B338,'Master data'!$A$1:$F$1000,2,FALSE),"")</f>
        <v/>
      </c>
      <c r="D338" s="7" t="str">
        <f>IFERROR(VLOOKUP(B338,'Master data'!$A$1:$F$1000,6,FALSE),"")</f>
        <v/>
      </c>
      <c r="F338" s="7" t="str">
        <f>IFERROR(VLOOKUP(B338,'Master data'!$A$1:$F$1000,3,FALSE),"")</f>
        <v/>
      </c>
      <c r="G338" s="100"/>
      <c r="H338" s="100"/>
      <c r="I338" s="16"/>
      <c r="J338" s="16"/>
      <c r="K338" s="16" t="b">
        <v>0</v>
      </c>
      <c r="L338" s="16" t="b">
        <v>0</v>
      </c>
    </row>
    <row r="339">
      <c r="A339" s="107"/>
      <c r="B339" s="16"/>
      <c r="C339" s="7" t="str">
        <f>IFERROR(VLOOKUP(B339,'Master data'!$A$1:$F$1000,2,FALSE),"")</f>
        <v/>
      </c>
      <c r="D339" s="7" t="str">
        <f>IFERROR(VLOOKUP(B339,'Master data'!$A$1:$F$1000,6,FALSE),"")</f>
        <v/>
      </c>
      <c r="F339" s="7" t="str">
        <f>IFERROR(VLOOKUP(B339,'Master data'!$A$1:$F$1000,3,FALSE),"")</f>
        <v/>
      </c>
      <c r="G339" s="100"/>
      <c r="H339" s="100"/>
      <c r="I339" s="16"/>
      <c r="J339" s="16"/>
      <c r="K339" s="16" t="b">
        <v>0</v>
      </c>
      <c r="L339" s="16" t="b">
        <v>0</v>
      </c>
    </row>
    <row r="340">
      <c r="A340" s="107"/>
      <c r="B340" s="16"/>
      <c r="C340" s="7" t="str">
        <f>IFERROR(VLOOKUP(B340,'Master data'!$A$1:$F$1000,2,FALSE),"")</f>
        <v/>
      </c>
      <c r="D340" s="7" t="str">
        <f>IFERROR(VLOOKUP(B340,'Master data'!$A$1:$F$1000,6,FALSE),"")</f>
        <v/>
      </c>
      <c r="F340" s="7" t="str">
        <f>IFERROR(VLOOKUP(B340,'Master data'!$A$1:$F$1000,3,FALSE),"")</f>
        <v/>
      </c>
      <c r="G340" s="100"/>
      <c r="H340" s="100"/>
      <c r="I340" s="16"/>
      <c r="J340" s="16"/>
      <c r="K340" s="16" t="b">
        <v>0</v>
      </c>
      <c r="L340" s="16" t="b">
        <v>0</v>
      </c>
    </row>
    <row r="341">
      <c r="A341" s="107"/>
      <c r="B341" s="16"/>
      <c r="C341" s="7" t="str">
        <f>IFERROR(VLOOKUP(B341,'Master data'!$A$1:$F$1000,2,FALSE),"")</f>
        <v/>
      </c>
      <c r="D341" s="7" t="str">
        <f>IFERROR(VLOOKUP(B341,'Master data'!$A$1:$F$1000,6,FALSE),"")</f>
        <v/>
      </c>
      <c r="F341" s="7" t="str">
        <f>IFERROR(VLOOKUP(B341,'Master data'!$A$1:$F$1000,3,FALSE),"")</f>
        <v/>
      </c>
      <c r="G341" s="100"/>
      <c r="H341" s="100"/>
      <c r="I341" s="16"/>
      <c r="J341" s="16"/>
      <c r="K341" s="16" t="b">
        <v>0</v>
      </c>
      <c r="L341" s="16" t="b">
        <v>0</v>
      </c>
    </row>
    <row r="342">
      <c r="A342" s="107"/>
      <c r="B342" s="16"/>
      <c r="C342" s="7" t="str">
        <f>IFERROR(VLOOKUP(B342,'Master data'!$A$1:$F$1000,2,FALSE),"")</f>
        <v/>
      </c>
      <c r="D342" s="7" t="str">
        <f>IFERROR(VLOOKUP(B342,'Master data'!$A$1:$F$1000,6,FALSE),"")</f>
        <v/>
      </c>
      <c r="F342" s="7" t="str">
        <f>IFERROR(VLOOKUP(B342,'Master data'!$A$1:$F$1000,3,FALSE),"")</f>
        <v/>
      </c>
      <c r="G342" s="100"/>
      <c r="H342" s="100"/>
      <c r="I342" s="16"/>
      <c r="J342" s="16"/>
      <c r="K342" s="16" t="b">
        <v>0</v>
      </c>
      <c r="L342" s="16" t="b">
        <v>0</v>
      </c>
    </row>
    <row r="343">
      <c r="A343" s="107"/>
      <c r="B343" s="16"/>
      <c r="C343" s="7" t="str">
        <f>IFERROR(VLOOKUP(B343,'Master data'!$A$1:$F$1000,2,FALSE),"")</f>
        <v/>
      </c>
      <c r="D343" s="7" t="str">
        <f>IFERROR(VLOOKUP(B343,'Master data'!$A$1:$F$1000,6,FALSE),"")</f>
        <v/>
      </c>
      <c r="F343" s="7" t="str">
        <f>IFERROR(VLOOKUP(B343,'Master data'!$A$1:$F$1000,3,FALSE),"")</f>
        <v/>
      </c>
      <c r="G343" s="100"/>
      <c r="H343" s="100"/>
      <c r="I343" s="16"/>
      <c r="J343" s="16"/>
      <c r="K343" s="16" t="b">
        <v>0</v>
      </c>
      <c r="L343" s="16" t="b">
        <v>0</v>
      </c>
    </row>
    <row r="344">
      <c r="A344" s="107"/>
      <c r="B344" s="16"/>
      <c r="C344" s="7" t="str">
        <f>IFERROR(VLOOKUP(B344,'Master data'!$A$1:$F$1000,2,FALSE),"")</f>
        <v/>
      </c>
      <c r="D344" s="7" t="str">
        <f>IFERROR(VLOOKUP(B344,'Master data'!$A$1:$F$1000,6,FALSE),"")</f>
        <v/>
      </c>
      <c r="F344" s="7" t="str">
        <f>IFERROR(VLOOKUP(B344,'Master data'!$A$1:$F$1000,3,FALSE),"")</f>
        <v/>
      </c>
      <c r="G344" s="100"/>
      <c r="H344" s="100"/>
      <c r="I344" s="16"/>
      <c r="J344" s="16"/>
      <c r="K344" s="16" t="b">
        <v>0</v>
      </c>
      <c r="L344" s="16" t="b">
        <v>0</v>
      </c>
    </row>
    <row r="345">
      <c r="A345" s="107"/>
      <c r="B345" s="16"/>
      <c r="C345" s="7" t="str">
        <f>IFERROR(VLOOKUP(B345,'Master data'!$A$1:$F$1000,2,FALSE),"")</f>
        <v/>
      </c>
      <c r="D345" s="7" t="str">
        <f>IFERROR(VLOOKUP(B345,'Master data'!$A$1:$F$1000,6,FALSE),"")</f>
        <v/>
      </c>
      <c r="F345" s="7" t="str">
        <f>IFERROR(VLOOKUP(B345,'Master data'!$A$1:$F$1000,3,FALSE),"")</f>
        <v/>
      </c>
      <c r="G345" s="100"/>
      <c r="H345" s="100"/>
      <c r="I345" s="16"/>
      <c r="J345" s="16"/>
      <c r="K345" s="16" t="b">
        <v>0</v>
      </c>
      <c r="L345" s="16" t="b">
        <v>0</v>
      </c>
    </row>
    <row r="346">
      <c r="A346" s="107"/>
      <c r="B346" s="16"/>
      <c r="C346" s="7" t="str">
        <f>IFERROR(VLOOKUP(B346,'Master data'!$A$1:$F$1000,2,FALSE),"")</f>
        <v/>
      </c>
      <c r="D346" s="7" t="str">
        <f>IFERROR(VLOOKUP(B346,'Master data'!$A$1:$F$1000,6,FALSE),"")</f>
        <v/>
      </c>
      <c r="F346" s="7" t="str">
        <f>IFERROR(VLOOKUP(B346,'Master data'!$A$1:$F$1000,3,FALSE),"")</f>
        <v/>
      </c>
      <c r="G346" s="100"/>
      <c r="H346" s="100"/>
      <c r="I346" s="16"/>
      <c r="J346" s="16"/>
      <c r="K346" s="16" t="b">
        <v>0</v>
      </c>
      <c r="L346" s="16" t="b">
        <v>0</v>
      </c>
    </row>
    <row r="347">
      <c r="A347" s="107"/>
      <c r="B347" s="16"/>
      <c r="C347" s="7" t="str">
        <f>IFERROR(VLOOKUP(B347,'Master data'!$A$1:$F$1000,2,FALSE),"")</f>
        <v/>
      </c>
      <c r="D347" s="7" t="str">
        <f>IFERROR(VLOOKUP(B347,'Master data'!$A$1:$F$1000,6,FALSE),"")</f>
        <v/>
      </c>
      <c r="F347" s="7" t="str">
        <f>IFERROR(VLOOKUP(B347,'Master data'!$A$1:$F$1000,3,FALSE),"")</f>
        <v/>
      </c>
      <c r="G347" s="100"/>
      <c r="H347" s="100"/>
      <c r="I347" s="16"/>
      <c r="J347" s="16"/>
      <c r="K347" s="16" t="b">
        <v>0</v>
      </c>
      <c r="L347" s="16" t="b">
        <v>0</v>
      </c>
    </row>
    <row r="348">
      <c r="A348" s="107"/>
      <c r="B348" s="16"/>
      <c r="C348" s="7" t="str">
        <f>IFERROR(VLOOKUP(B348,'Master data'!$A$1:$F$1000,2,FALSE),"")</f>
        <v/>
      </c>
      <c r="D348" s="7" t="str">
        <f>IFERROR(VLOOKUP(B348,'Master data'!$A$1:$F$1000,6,FALSE),"")</f>
        <v/>
      </c>
      <c r="F348" s="7" t="str">
        <f>IFERROR(VLOOKUP(B348,'Master data'!$A$1:$F$1000,3,FALSE),"")</f>
        <v/>
      </c>
      <c r="G348" s="100"/>
      <c r="H348" s="100"/>
      <c r="I348" s="16"/>
      <c r="J348" s="16"/>
      <c r="K348" s="16" t="b">
        <v>0</v>
      </c>
      <c r="L348" s="16" t="b">
        <v>0</v>
      </c>
    </row>
    <row r="349">
      <c r="A349" s="107"/>
      <c r="B349" s="16"/>
      <c r="C349" s="7" t="str">
        <f>IFERROR(VLOOKUP(B349,'Master data'!$A$1:$F$1000,2,FALSE),"")</f>
        <v/>
      </c>
      <c r="D349" s="7" t="str">
        <f>IFERROR(VLOOKUP(B349,'Master data'!$A$1:$F$1000,6,FALSE),"")</f>
        <v/>
      </c>
      <c r="F349" s="7" t="str">
        <f>IFERROR(VLOOKUP(B349,'Master data'!$A$1:$F$1000,3,FALSE),"")</f>
        <v/>
      </c>
      <c r="G349" s="100"/>
      <c r="H349" s="100"/>
      <c r="I349" s="16"/>
      <c r="J349" s="16"/>
      <c r="K349" s="16" t="b">
        <v>0</v>
      </c>
      <c r="L349" s="16" t="b">
        <v>0</v>
      </c>
    </row>
    <row r="350">
      <c r="A350" s="107"/>
      <c r="B350" s="16"/>
      <c r="C350" s="7" t="str">
        <f>IFERROR(VLOOKUP(B350,'Master data'!$A$1:$F$1000,2,FALSE),"")</f>
        <v/>
      </c>
      <c r="D350" s="7" t="str">
        <f>IFERROR(VLOOKUP(B350,'Master data'!$A$1:$F$1000,6,FALSE),"")</f>
        <v/>
      </c>
      <c r="F350" s="7" t="str">
        <f>IFERROR(VLOOKUP(B350,'Master data'!$A$1:$F$1000,3,FALSE),"")</f>
        <v/>
      </c>
      <c r="G350" s="100"/>
      <c r="H350" s="100"/>
      <c r="I350" s="16"/>
      <c r="J350" s="16"/>
      <c r="K350" s="16" t="b">
        <v>0</v>
      </c>
      <c r="L350" s="16" t="b">
        <v>0</v>
      </c>
    </row>
    <row r="351">
      <c r="A351" s="107"/>
      <c r="B351" s="16"/>
      <c r="C351" s="7" t="str">
        <f>IFERROR(VLOOKUP(B351,'Master data'!$A$1:$F$1000,2,FALSE),"")</f>
        <v/>
      </c>
      <c r="D351" s="7" t="str">
        <f>IFERROR(VLOOKUP(B351,'Master data'!$A$1:$F$1000,6,FALSE),"")</f>
        <v/>
      </c>
      <c r="F351" s="7" t="str">
        <f>IFERROR(VLOOKUP(B351,'Master data'!$A$1:$F$1000,3,FALSE),"")</f>
        <v/>
      </c>
      <c r="G351" s="100"/>
      <c r="H351" s="100"/>
      <c r="I351" s="16"/>
      <c r="J351" s="16"/>
      <c r="K351" s="16" t="b">
        <v>0</v>
      </c>
      <c r="L351" s="16" t="b">
        <v>0</v>
      </c>
    </row>
    <row r="352">
      <c r="A352" s="107"/>
      <c r="B352" s="16"/>
      <c r="C352" s="7" t="str">
        <f>IFERROR(VLOOKUP(B352,'Master data'!$A$1:$F$1000,2,FALSE),"")</f>
        <v/>
      </c>
      <c r="D352" s="7" t="str">
        <f>IFERROR(VLOOKUP(B352,'Master data'!$A$1:$F$1000,6,FALSE),"")</f>
        <v/>
      </c>
      <c r="F352" s="7" t="str">
        <f>IFERROR(VLOOKUP(B352,'Master data'!$A$1:$F$1000,3,FALSE),"")</f>
        <v/>
      </c>
      <c r="G352" s="100"/>
      <c r="H352" s="100"/>
      <c r="I352" s="16"/>
      <c r="J352" s="16"/>
      <c r="K352" s="16" t="b">
        <v>0</v>
      </c>
      <c r="L352" s="16" t="b">
        <v>0</v>
      </c>
    </row>
    <row r="353">
      <c r="A353" s="107"/>
      <c r="B353" s="16"/>
      <c r="C353" s="7" t="str">
        <f>IFERROR(VLOOKUP(B353,'Master data'!$A$1:$F$1000,2,FALSE),"")</f>
        <v/>
      </c>
      <c r="D353" s="7" t="str">
        <f>IFERROR(VLOOKUP(B353,'Master data'!$A$1:$F$1000,6,FALSE),"")</f>
        <v/>
      </c>
      <c r="F353" s="7" t="str">
        <f>IFERROR(VLOOKUP(B353,'Master data'!$A$1:$F$1000,3,FALSE),"")</f>
        <v/>
      </c>
      <c r="G353" s="100"/>
      <c r="H353" s="100"/>
      <c r="I353" s="16"/>
      <c r="J353" s="16"/>
      <c r="K353" s="16" t="b">
        <v>0</v>
      </c>
      <c r="L353" s="16" t="b">
        <v>0</v>
      </c>
    </row>
    <row r="354">
      <c r="A354" s="107"/>
      <c r="B354" s="16"/>
      <c r="C354" s="7" t="str">
        <f>IFERROR(VLOOKUP(B354,'Master data'!$A$1:$F$1000,2,FALSE),"")</f>
        <v/>
      </c>
      <c r="D354" s="7" t="str">
        <f>IFERROR(VLOOKUP(B354,'Master data'!$A$1:$F$1000,6,FALSE),"")</f>
        <v/>
      </c>
      <c r="F354" s="7" t="str">
        <f>IFERROR(VLOOKUP(B354,'Master data'!$A$1:$F$1000,3,FALSE),"")</f>
        <v/>
      </c>
      <c r="G354" s="100"/>
      <c r="H354" s="100"/>
      <c r="I354" s="16"/>
      <c r="J354" s="16"/>
      <c r="K354" s="16" t="b">
        <v>0</v>
      </c>
      <c r="L354" s="16" t="b">
        <v>0</v>
      </c>
    </row>
    <row r="355">
      <c r="A355" s="107"/>
      <c r="B355" s="16"/>
      <c r="C355" s="7" t="str">
        <f>IFERROR(VLOOKUP(B355,'Master data'!$A$1:$F$1000,2,FALSE),"")</f>
        <v/>
      </c>
      <c r="D355" s="7" t="str">
        <f>IFERROR(VLOOKUP(B355,'Master data'!$A$1:$F$1000,6,FALSE),"")</f>
        <v/>
      </c>
      <c r="F355" s="7" t="str">
        <f>IFERROR(VLOOKUP(B355,'Master data'!$A$1:$F$1000,3,FALSE),"")</f>
        <v/>
      </c>
      <c r="G355" s="100"/>
      <c r="H355" s="100"/>
      <c r="I355" s="16"/>
      <c r="J355" s="16"/>
      <c r="K355" s="16" t="b">
        <v>0</v>
      </c>
      <c r="L355" s="16" t="b">
        <v>0</v>
      </c>
    </row>
    <row r="356">
      <c r="A356" s="107"/>
      <c r="B356" s="16"/>
      <c r="C356" s="7" t="str">
        <f>IFERROR(VLOOKUP(B356,'Master data'!$A$1:$F$1000,2,FALSE),"")</f>
        <v/>
      </c>
      <c r="D356" s="7" t="str">
        <f>IFERROR(VLOOKUP(B356,'Master data'!$A$1:$F$1000,6,FALSE),"")</f>
        <v/>
      </c>
      <c r="F356" s="7" t="str">
        <f>IFERROR(VLOOKUP(B356,'Master data'!$A$1:$F$1000,3,FALSE),"")</f>
        <v/>
      </c>
      <c r="G356" s="100"/>
      <c r="H356" s="100"/>
      <c r="I356" s="16"/>
      <c r="J356" s="16"/>
      <c r="K356" s="16" t="b">
        <v>0</v>
      </c>
      <c r="L356" s="16" t="b">
        <v>0</v>
      </c>
    </row>
    <row r="357">
      <c r="A357" s="107"/>
      <c r="B357" s="16"/>
      <c r="C357" s="7" t="str">
        <f>IFERROR(VLOOKUP(B357,'Master data'!$A$1:$F$1000,2,FALSE),"")</f>
        <v/>
      </c>
      <c r="D357" s="7" t="str">
        <f>IFERROR(VLOOKUP(B357,'Master data'!$A$1:$F$1000,6,FALSE),"")</f>
        <v/>
      </c>
      <c r="F357" s="7" t="str">
        <f>IFERROR(VLOOKUP(B357,'Master data'!$A$1:$F$1000,3,FALSE),"")</f>
        <v/>
      </c>
      <c r="G357" s="100"/>
      <c r="H357" s="100"/>
      <c r="I357" s="16"/>
      <c r="J357" s="16"/>
      <c r="K357" s="16" t="b">
        <v>0</v>
      </c>
      <c r="L357" s="16" t="b">
        <v>0</v>
      </c>
    </row>
    <row r="358">
      <c r="A358" s="107"/>
      <c r="B358" s="16"/>
      <c r="C358" s="7" t="str">
        <f>IFERROR(VLOOKUP(B358,'Master data'!$A$1:$F$1000,2,FALSE),"")</f>
        <v/>
      </c>
      <c r="D358" s="7" t="str">
        <f>IFERROR(VLOOKUP(B358,'Master data'!$A$1:$F$1000,6,FALSE),"")</f>
        <v/>
      </c>
      <c r="F358" s="7" t="str">
        <f>IFERROR(VLOOKUP(B358,'Master data'!$A$1:$F$1000,3,FALSE),"")</f>
        <v/>
      </c>
      <c r="G358" s="100"/>
      <c r="H358" s="100"/>
      <c r="I358" s="16"/>
      <c r="J358" s="16"/>
      <c r="K358" s="16" t="b">
        <v>0</v>
      </c>
      <c r="L358" s="16" t="b">
        <v>0</v>
      </c>
    </row>
    <row r="359">
      <c r="A359" s="107"/>
      <c r="B359" s="16"/>
      <c r="C359" s="7" t="str">
        <f>IFERROR(VLOOKUP(B359,'Master data'!$A$1:$F$1000,2,FALSE),"")</f>
        <v/>
      </c>
      <c r="D359" s="7" t="str">
        <f>IFERROR(VLOOKUP(B359,'Master data'!$A$1:$F$1000,6,FALSE),"")</f>
        <v/>
      </c>
      <c r="F359" s="7" t="str">
        <f>IFERROR(VLOOKUP(B359,'Master data'!$A$1:$F$1000,3,FALSE),"")</f>
        <v/>
      </c>
      <c r="G359" s="100"/>
      <c r="H359" s="100"/>
      <c r="I359" s="16"/>
      <c r="J359" s="16"/>
      <c r="K359" s="16" t="b">
        <v>0</v>
      </c>
      <c r="L359" s="16" t="b">
        <v>0</v>
      </c>
    </row>
    <row r="360">
      <c r="A360" s="107"/>
      <c r="B360" s="16"/>
      <c r="C360" s="7" t="str">
        <f>IFERROR(VLOOKUP(B360,'Master data'!$A$1:$F$1000,2,FALSE),"")</f>
        <v/>
      </c>
      <c r="D360" s="7" t="str">
        <f>IFERROR(VLOOKUP(B360,'Master data'!$A$1:$F$1000,6,FALSE),"")</f>
        <v/>
      </c>
      <c r="F360" s="7" t="str">
        <f>IFERROR(VLOOKUP(B360,'Master data'!$A$1:$F$1000,3,FALSE),"")</f>
        <v/>
      </c>
      <c r="G360" s="100"/>
      <c r="H360" s="100"/>
      <c r="I360" s="16"/>
      <c r="J360" s="16"/>
      <c r="K360" s="16" t="b">
        <v>0</v>
      </c>
      <c r="L360" s="16" t="b">
        <v>0</v>
      </c>
    </row>
    <row r="361">
      <c r="A361" s="107"/>
      <c r="B361" s="16"/>
      <c r="C361" s="7" t="str">
        <f>IFERROR(VLOOKUP(B361,'Master data'!$A$1:$F$1000,2,FALSE),"")</f>
        <v/>
      </c>
      <c r="D361" s="7" t="str">
        <f>IFERROR(VLOOKUP(B361,'Master data'!$A$1:$F$1000,6,FALSE),"")</f>
        <v/>
      </c>
      <c r="F361" s="7" t="str">
        <f>IFERROR(VLOOKUP(B361,'Master data'!$A$1:$F$1000,3,FALSE),"")</f>
        <v/>
      </c>
      <c r="G361" s="100"/>
      <c r="H361" s="100"/>
      <c r="I361" s="16"/>
      <c r="J361" s="16"/>
      <c r="K361" s="16" t="b">
        <v>0</v>
      </c>
      <c r="L361" s="16" t="b">
        <v>0</v>
      </c>
    </row>
    <row r="362">
      <c r="A362" s="107"/>
      <c r="B362" s="16"/>
      <c r="C362" s="7" t="str">
        <f>IFERROR(VLOOKUP(B362,'Master data'!$A$1:$F$1000,2,FALSE),"")</f>
        <v/>
      </c>
      <c r="D362" s="7" t="str">
        <f>IFERROR(VLOOKUP(B362,'Master data'!$A$1:$F$1000,6,FALSE),"")</f>
        <v/>
      </c>
      <c r="F362" s="7" t="str">
        <f>IFERROR(VLOOKUP(B362,'Master data'!$A$1:$F$1000,3,FALSE),"")</f>
        <v/>
      </c>
      <c r="G362" s="100"/>
      <c r="H362" s="100"/>
      <c r="I362" s="16"/>
      <c r="J362" s="16"/>
      <c r="K362" s="16" t="b">
        <v>0</v>
      </c>
      <c r="L362" s="16" t="b">
        <v>0</v>
      </c>
    </row>
    <row r="363">
      <c r="A363" s="107"/>
      <c r="B363" s="16"/>
      <c r="C363" s="7" t="str">
        <f>IFERROR(VLOOKUP(B363,'Master data'!$A$1:$F$1000,2,FALSE),"")</f>
        <v/>
      </c>
      <c r="D363" s="7" t="str">
        <f>IFERROR(VLOOKUP(B363,'Master data'!$A$1:$F$1000,6,FALSE),"")</f>
        <v/>
      </c>
      <c r="F363" s="7" t="str">
        <f>IFERROR(VLOOKUP(B363,'Master data'!$A$1:$F$1000,3,FALSE),"")</f>
        <v/>
      </c>
      <c r="G363" s="100"/>
      <c r="H363" s="100"/>
      <c r="I363" s="16"/>
      <c r="J363" s="16"/>
      <c r="K363" s="16" t="b">
        <v>0</v>
      </c>
      <c r="L363" s="16" t="b">
        <v>0</v>
      </c>
    </row>
    <row r="364">
      <c r="A364" s="107"/>
      <c r="B364" s="16"/>
      <c r="C364" s="7" t="str">
        <f>IFERROR(VLOOKUP(B364,'Master data'!$A$1:$F$1000,2,FALSE),"")</f>
        <v/>
      </c>
      <c r="D364" s="7" t="str">
        <f>IFERROR(VLOOKUP(B364,'Master data'!$A$1:$F$1000,6,FALSE),"")</f>
        <v/>
      </c>
      <c r="F364" s="7" t="str">
        <f>IFERROR(VLOOKUP(B364,'Master data'!$A$1:$F$1000,3,FALSE),"")</f>
        <v/>
      </c>
      <c r="G364" s="100"/>
      <c r="H364" s="100"/>
      <c r="I364" s="16"/>
      <c r="J364" s="16"/>
      <c r="K364" s="16" t="b">
        <v>0</v>
      </c>
      <c r="L364" s="16" t="b">
        <v>0</v>
      </c>
    </row>
    <row r="365">
      <c r="A365" s="107"/>
      <c r="B365" s="16"/>
      <c r="C365" s="7" t="str">
        <f>IFERROR(VLOOKUP(B365,'Master data'!$A$1:$F$1000,2,FALSE),"")</f>
        <v/>
      </c>
      <c r="D365" s="7" t="str">
        <f>IFERROR(VLOOKUP(B365,'Master data'!$A$1:$F$1000,6,FALSE),"")</f>
        <v/>
      </c>
      <c r="F365" s="7" t="str">
        <f>IFERROR(VLOOKUP(B365,'Master data'!$A$1:$F$1000,3,FALSE),"")</f>
        <v/>
      </c>
      <c r="G365" s="100"/>
      <c r="H365" s="100"/>
      <c r="I365" s="16"/>
      <c r="J365" s="16"/>
      <c r="K365" s="16" t="b">
        <v>0</v>
      </c>
      <c r="L365" s="16" t="b">
        <v>0</v>
      </c>
    </row>
    <row r="366">
      <c r="A366" s="107"/>
      <c r="B366" s="16"/>
      <c r="C366" s="7" t="str">
        <f>IFERROR(VLOOKUP(B366,'Master data'!$A$1:$F$1000,2,FALSE),"")</f>
        <v/>
      </c>
      <c r="D366" s="7" t="str">
        <f>IFERROR(VLOOKUP(B366,'Master data'!$A$1:$F$1000,6,FALSE),"")</f>
        <v/>
      </c>
      <c r="F366" s="7" t="str">
        <f>IFERROR(VLOOKUP(B366,'Master data'!$A$1:$F$1000,3,FALSE),"")</f>
        <v/>
      </c>
      <c r="G366" s="100"/>
      <c r="H366" s="100"/>
      <c r="I366" s="16"/>
      <c r="J366" s="16"/>
      <c r="K366" s="16" t="b">
        <v>0</v>
      </c>
      <c r="L366" s="16" t="b">
        <v>0</v>
      </c>
    </row>
    <row r="367">
      <c r="A367" s="107"/>
      <c r="B367" s="16"/>
      <c r="C367" s="7" t="str">
        <f>IFERROR(VLOOKUP(B367,'Master data'!$A$1:$F$1000,2,FALSE),"")</f>
        <v/>
      </c>
      <c r="D367" s="7" t="str">
        <f>IFERROR(VLOOKUP(B367,'Master data'!$A$1:$F$1000,6,FALSE),"")</f>
        <v/>
      </c>
      <c r="F367" s="7" t="str">
        <f>IFERROR(VLOOKUP(B367,'Master data'!$A$1:$F$1000,3,FALSE),"")</f>
        <v/>
      </c>
      <c r="G367" s="100"/>
      <c r="H367" s="100"/>
      <c r="I367" s="16"/>
      <c r="J367" s="16"/>
      <c r="K367" s="16" t="b">
        <v>0</v>
      </c>
      <c r="L367" s="16" t="b">
        <v>0</v>
      </c>
    </row>
    <row r="368">
      <c r="A368" s="107"/>
      <c r="B368" s="16"/>
      <c r="C368" s="7" t="str">
        <f>IFERROR(VLOOKUP(B368,'Master data'!$A$1:$F$1000,2,FALSE),"")</f>
        <v/>
      </c>
      <c r="D368" s="7" t="str">
        <f>IFERROR(VLOOKUP(B368,'Master data'!$A$1:$F$1000,6,FALSE),"")</f>
        <v/>
      </c>
      <c r="F368" s="7" t="str">
        <f>IFERROR(VLOOKUP(B368,'Master data'!$A$1:$F$1000,3,FALSE),"")</f>
        <v/>
      </c>
      <c r="G368" s="100"/>
      <c r="H368" s="100"/>
      <c r="I368" s="16"/>
      <c r="J368" s="16"/>
      <c r="K368" s="16" t="b">
        <v>0</v>
      </c>
      <c r="L368" s="16" t="b">
        <v>0</v>
      </c>
    </row>
    <row r="369">
      <c r="A369" s="107"/>
      <c r="B369" s="16"/>
      <c r="C369" s="7" t="str">
        <f>IFERROR(VLOOKUP(B369,'Master data'!$A$1:$F$1000,2,FALSE),"")</f>
        <v/>
      </c>
      <c r="D369" s="7" t="str">
        <f>IFERROR(VLOOKUP(B369,'Master data'!$A$1:$F$1000,6,FALSE),"")</f>
        <v/>
      </c>
      <c r="F369" s="7" t="str">
        <f>IFERROR(VLOOKUP(B369,'Master data'!$A$1:$F$1000,3,FALSE),"")</f>
        <v/>
      </c>
      <c r="G369" s="100"/>
      <c r="H369" s="100"/>
      <c r="I369" s="16"/>
      <c r="J369" s="16"/>
      <c r="K369" s="16" t="b">
        <v>0</v>
      </c>
      <c r="L369" s="16" t="b">
        <v>0</v>
      </c>
    </row>
    <row r="370">
      <c r="A370" s="107"/>
      <c r="B370" s="16"/>
      <c r="C370" s="7" t="str">
        <f>IFERROR(VLOOKUP(B370,'Master data'!$A$1:$F$1000,2,FALSE),"")</f>
        <v/>
      </c>
      <c r="D370" s="7" t="str">
        <f>IFERROR(VLOOKUP(B370,'Master data'!$A$1:$F$1000,6,FALSE),"")</f>
        <v/>
      </c>
      <c r="F370" s="7" t="str">
        <f>IFERROR(VLOOKUP(B370,'Master data'!$A$1:$F$1000,3,FALSE),"")</f>
        <v/>
      </c>
      <c r="G370" s="100"/>
      <c r="H370" s="100"/>
      <c r="I370" s="16"/>
      <c r="J370" s="16"/>
      <c r="K370" s="16" t="b">
        <v>0</v>
      </c>
      <c r="L370" s="16" t="b">
        <v>0</v>
      </c>
    </row>
    <row r="371">
      <c r="A371" s="107"/>
      <c r="B371" s="16"/>
      <c r="C371" s="7" t="str">
        <f>IFERROR(VLOOKUP(B371,'Master data'!$A$1:$F$1000,2,FALSE),"")</f>
        <v/>
      </c>
      <c r="D371" s="7" t="str">
        <f>IFERROR(VLOOKUP(B371,'Master data'!$A$1:$F$1000,6,FALSE),"")</f>
        <v/>
      </c>
      <c r="F371" s="7" t="str">
        <f>IFERROR(VLOOKUP(B371,'Master data'!$A$1:$F$1000,3,FALSE),"")</f>
        <v/>
      </c>
      <c r="G371" s="100"/>
      <c r="H371" s="100"/>
      <c r="I371" s="16"/>
      <c r="J371" s="16"/>
      <c r="K371" s="16" t="b">
        <v>0</v>
      </c>
      <c r="L371" s="16" t="b">
        <v>0</v>
      </c>
    </row>
    <row r="372">
      <c r="A372" s="107"/>
      <c r="B372" s="16"/>
      <c r="C372" s="7" t="str">
        <f>IFERROR(VLOOKUP(B372,'Master data'!$A$1:$F$1000,2,FALSE),"")</f>
        <v/>
      </c>
      <c r="D372" s="7" t="str">
        <f>IFERROR(VLOOKUP(B372,'Master data'!$A$1:$F$1000,6,FALSE),"")</f>
        <v/>
      </c>
      <c r="F372" s="7" t="str">
        <f>IFERROR(VLOOKUP(B372,'Master data'!$A$1:$F$1000,3,FALSE),"")</f>
        <v/>
      </c>
      <c r="G372" s="100"/>
      <c r="H372" s="100"/>
      <c r="I372" s="16"/>
      <c r="J372" s="16"/>
      <c r="K372" s="16" t="b">
        <v>0</v>
      </c>
      <c r="L372" s="16" t="b">
        <v>0</v>
      </c>
    </row>
    <row r="373">
      <c r="A373" s="107"/>
      <c r="B373" s="16"/>
      <c r="C373" s="7" t="str">
        <f>IFERROR(VLOOKUP(B373,'Master data'!$A$1:$F$1000,2,FALSE),"")</f>
        <v/>
      </c>
      <c r="D373" s="7" t="str">
        <f>IFERROR(VLOOKUP(B373,'Master data'!$A$1:$F$1000,6,FALSE),"")</f>
        <v/>
      </c>
      <c r="F373" s="7" t="str">
        <f>IFERROR(VLOOKUP(B373,'Master data'!$A$1:$F$1000,3,FALSE),"")</f>
        <v/>
      </c>
      <c r="G373" s="100"/>
      <c r="H373" s="100"/>
      <c r="I373" s="16"/>
      <c r="J373" s="16"/>
      <c r="K373" s="16" t="b">
        <v>0</v>
      </c>
      <c r="L373" s="16" t="b">
        <v>0</v>
      </c>
    </row>
    <row r="374">
      <c r="A374" s="107"/>
      <c r="B374" s="16"/>
      <c r="C374" s="7" t="str">
        <f>IFERROR(VLOOKUP(B374,'Master data'!$A$1:$F$1000,2,FALSE),"")</f>
        <v/>
      </c>
      <c r="D374" s="7" t="str">
        <f>IFERROR(VLOOKUP(B374,'Master data'!$A$1:$F$1000,6,FALSE),"")</f>
        <v/>
      </c>
      <c r="F374" s="7" t="str">
        <f>IFERROR(VLOOKUP(B374,'Master data'!$A$1:$F$1000,3,FALSE),"")</f>
        <v/>
      </c>
      <c r="G374" s="100"/>
      <c r="H374" s="100"/>
      <c r="I374" s="16"/>
      <c r="J374" s="16"/>
      <c r="K374" s="16" t="b">
        <v>0</v>
      </c>
      <c r="L374" s="16" t="b">
        <v>0</v>
      </c>
    </row>
    <row r="375">
      <c r="A375" s="107"/>
      <c r="B375" s="16"/>
      <c r="C375" s="7" t="str">
        <f>IFERROR(VLOOKUP(B375,'Master data'!$A$1:$F$1000,2,FALSE),"")</f>
        <v/>
      </c>
      <c r="D375" s="7" t="str">
        <f>IFERROR(VLOOKUP(B375,'Master data'!$A$1:$F$1000,6,FALSE),"")</f>
        <v/>
      </c>
      <c r="F375" s="7" t="str">
        <f>IFERROR(VLOOKUP(B375,'Master data'!$A$1:$F$1000,3,FALSE),"")</f>
        <v/>
      </c>
      <c r="G375" s="100"/>
      <c r="H375" s="100"/>
      <c r="I375" s="16"/>
      <c r="J375" s="16"/>
      <c r="K375" s="16" t="b">
        <v>0</v>
      </c>
      <c r="L375" s="16" t="b">
        <v>0</v>
      </c>
    </row>
    <row r="376">
      <c r="A376" s="107"/>
      <c r="B376" s="16"/>
      <c r="C376" s="7" t="str">
        <f>IFERROR(VLOOKUP(B376,'Master data'!$A$1:$F$1000,2,FALSE),"")</f>
        <v/>
      </c>
      <c r="D376" s="7" t="str">
        <f>IFERROR(VLOOKUP(B376,'Master data'!$A$1:$F$1000,6,FALSE),"")</f>
        <v/>
      </c>
      <c r="F376" s="7" t="str">
        <f>IFERROR(VLOOKUP(B376,'Master data'!$A$1:$F$1000,3,FALSE),"")</f>
        <v/>
      </c>
      <c r="G376" s="100"/>
      <c r="H376" s="100"/>
      <c r="I376" s="16"/>
      <c r="J376" s="16"/>
      <c r="K376" s="16" t="b">
        <v>0</v>
      </c>
      <c r="L376" s="16" t="b">
        <v>0</v>
      </c>
    </row>
    <row r="377">
      <c r="A377" s="107"/>
      <c r="B377" s="16"/>
      <c r="C377" s="7" t="str">
        <f>IFERROR(VLOOKUP(B377,'Master data'!$A$1:$F$1000,2,FALSE),"")</f>
        <v/>
      </c>
      <c r="D377" s="7" t="str">
        <f>IFERROR(VLOOKUP(B377,'Master data'!$A$1:$F$1000,6,FALSE),"")</f>
        <v/>
      </c>
      <c r="F377" s="7" t="str">
        <f>IFERROR(VLOOKUP(B377,'Master data'!$A$1:$F$1000,3,FALSE),"")</f>
        <v/>
      </c>
      <c r="G377" s="100"/>
      <c r="H377" s="100"/>
      <c r="I377" s="16"/>
      <c r="J377" s="16"/>
      <c r="K377" s="16" t="b">
        <v>0</v>
      </c>
      <c r="L377" s="16" t="b">
        <v>0</v>
      </c>
    </row>
    <row r="378">
      <c r="A378" s="107"/>
      <c r="B378" s="16"/>
      <c r="C378" s="7" t="str">
        <f>IFERROR(VLOOKUP(B378,'Master data'!$A$1:$F$1000,2,FALSE),"")</f>
        <v/>
      </c>
      <c r="D378" s="7" t="str">
        <f>IFERROR(VLOOKUP(B378,'Master data'!$A$1:$F$1000,6,FALSE),"")</f>
        <v/>
      </c>
      <c r="F378" s="7" t="str">
        <f>IFERROR(VLOOKUP(B378,'Master data'!$A$1:$F$1000,3,FALSE),"")</f>
        <v/>
      </c>
      <c r="G378" s="100"/>
      <c r="H378" s="100"/>
      <c r="I378" s="16"/>
      <c r="J378" s="16"/>
      <c r="K378" s="16" t="b">
        <v>0</v>
      </c>
      <c r="L378" s="16" t="b">
        <v>0</v>
      </c>
    </row>
    <row r="379">
      <c r="A379" s="107"/>
      <c r="B379" s="16"/>
      <c r="C379" s="7" t="str">
        <f>IFERROR(VLOOKUP(B379,'Master data'!$A$1:$F$1000,2,FALSE),"")</f>
        <v/>
      </c>
      <c r="D379" s="7" t="str">
        <f>IFERROR(VLOOKUP(B379,'Master data'!$A$1:$F$1000,6,FALSE),"")</f>
        <v/>
      </c>
      <c r="F379" s="7" t="str">
        <f>IFERROR(VLOOKUP(B379,'Master data'!$A$1:$F$1000,3,FALSE),"")</f>
        <v/>
      </c>
      <c r="G379" s="100"/>
      <c r="H379" s="100"/>
      <c r="I379" s="16"/>
      <c r="J379" s="16"/>
      <c r="K379" s="16" t="b">
        <v>0</v>
      </c>
      <c r="L379" s="16" t="b">
        <v>0</v>
      </c>
    </row>
    <row r="380">
      <c r="A380" s="107"/>
      <c r="B380" s="16"/>
      <c r="C380" s="7" t="str">
        <f>IFERROR(VLOOKUP(B380,'Master data'!$A$1:$F$1000,2,FALSE),"")</f>
        <v/>
      </c>
      <c r="D380" s="7" t="str">
        <f>IFERROR(VLOOKUP(B380,'Master data'!$A$1:$F$1000,6,FALSE),"")</f>
        <v/>
      </c>
      <c r="F380" s="7" t="str">
        <f>IFERROR(VLOOKUP(B380,'Master data'!$A$1:$F$1000,3,FALSE),"")</f>
        <v/>
      </c>
      <c r="G380" s="100"/>
      <c r="H380" s="100"/>
      <c r="I380" s="16"/>
      <c r="J380" s="16"/>
      <c r="K380" s="16" t="b">
        <v>0</v>
      </c>
      <c r="L380" s="16" t="b">
        <v>0</v>
      </c>
    </row>
    <row r="381">
      <c r="A381" s="107"/>
      <c r="B381" s="16"/>
      <c r="C381" s="7" t="str">
        <f>IFERROR(VLOOKUP(B381,'Master data'!$A$1:$F$1000,2,FALSE),"")</f>
        <v/>
      </c>
      <c r="D381" s="7" t="str">
        <f>IFERROR(VLOOKUP(B381,'Master data'!$A$1:$F$1000,6,FALSE),"")</f>
        <v/>
      </c>
      <c r="F381" s="7" t="str">
        <f>IFERROR(VLOOKUP(B381,'Master data'!$A$1:$F$1000,3,FALSE),"")</f>
        <v/>
      </c>
      <c r="G381" s="100"/>
      <c r="H381" s="100"/>
      <c r="I381" s="16"/>
      <c r="J381" s="16"/>
      <c r="K381" s="16" t="b">
        <v>0</v>
      </c>
      <c r="L381" s="16" t="b">
        <v>0</v>
      </c>
    </row>
    <row r="382">
      <c r="A382" s="107"/>
      <c r="B382" s="16"/>
      <c r="C382" s="7" t="str">
        <f>IFERROR(VLOOKUP(B382,'Master data'!$A$1:$F$1000,2,FALSE),"")</f>
        <v/>
      </c>
      <c r="D382" s="7" t="str">
        <f>IFERROR(VLOOKUP(B382,'Master data'!$A$1:$F$1000,6,FALSE),"")</f>
        <v/>
      </c>
      <c r="F382" s="7" t="str">
        <f>IFERROR(VLOOKUP(B382,'Master data'!$A$1:$F$1000,3,FALSE),"")</f>
        <v/>
      </c>
      <c r="G382" s="100"/>
      <c r="H382" s="100"/>
      <c r="I382" s="16"/>
      <c r="J382" s="16"/>
      <c r="K382" s="16" t="b">
        <v>0</v>
      </c>
      <c r="L382" s="16" t="b">
        <v>0</v>
      </c>
    </row>
    <row r="383">
      <c r="A383" s="107"/>
      <c r="B383" s="16"/>
      <c r="C383" s="7" t="str">
        <f>IFERROR(VLOOKUP(B383,'Master data'!$A$1:$F$1000,2,FALSE),"")</f>
        <v/>
      </c>
      <c r="D383" s="7" t="str">
        <f>IFERROR(VLOOKUP(B383,'Master data'!$A$1:$F$1000,6,FALSE),"")</f>
        <v/>
      </c>
      <c r="F383" s="7" t="str">
        <f>IFERROR(VLOOKUP(B383,'Master data'!$A$1:$F$1000,3,FALSE),"")</f>
        <v/>
      </c>
      <c r="G383" s="100"/>
      <c r="H383" s="100"/>
      <c r="I383" s="16"/>
      <c r="J383" s="16"/>
      <c r="K383" s="16" t="b">
        <v>0</v>
      </c>
      <c r="L383" s="16" t="b">
        <v>0</v>
      </c>
    </row>
    <row r="384">
      <c r="A384" s="107"/>
      <c r="B384" s="16"/>
      <c r="C384" s="7" t="str">
        <f>IFERROR(VLOOKUP(B384,'Master data'!$A$1:$F$1000,2,FALSE),"")</f>
        <v/>
      </c>
      <c r="D384" s="7" t="str">
        <f>IFERROR(VLOOKUP(B384,'Master data'!$A$1:$F$1000,6,FALSE),"")</f>
        <v/>
      </c>
      <c r="F384" s="7" t="str">
        <f>IFERROR(VLOOKUP(B384,'Master data'!$A$1:$F$1000,3,FALSE),"")</f>
        <v/>
      </c>
      <c r="G384" s="100"/>
      <c r="H384" s="100"/>
      <c r="I384" s="16"/>
      <c r="J384" s="16"/>
      <c r="K384" s="16" t="b">
        <v>0</v>
      </c>
      <c r="L384" s="16" t="b">
        <v>0</v>
      </c>
    </row>
    <row r="385">
      <c r="A385" s="107"/>
      <c r="B385" s="16"/>
      <c r="C385" s="7" t="str">
        <f>IFERROR(VLOOKUP(B385,'Master data'!$A$1:$F$1000,2,FALSE),"")</f>
        <v/>
      </c>
      <c r="D385" s="7" t="str">
        <f>IFERROR(VLOOKUP(B385,'Master data'!$A$1:$F$1000,6,FALSE),"")</f>
        <v/>
      </c>
      <c r="F385" s="7" t="str">
        <f>IFERROR(VLOOKUP(B385,'Master data'!$A$1:$F$1000,3,FALSE),"")</f>
        <v/>
      </c>
      <c r="G385" s="100"/>
      <c r="H385" s="100"/>
      <c r="I385" s="16"/>
      <c r="J385" s="16"/>
      <c r="K385" s="16" t="b">
        <v>0</v>
      </c>
      <c r="L385" s="16" t="b">
        <v>0</v>
      </c>
    </row>
    <row r="386">
      <c r="A386" s="107"/>
      <c r="B386" s="16"/>
      <c r="C386" s="7" t="str">
        <f>IFERROR(VLOOKUP(B386,'Master data'!$A$1:$F$1000,2,FALSE),"")</f>
        <v/>
      </c>
      <c r="D386" s="7" t="str">
        <f>IFERROR(VLOOKUP(B386,'Master data'!$A$1:$F$1000,6,FALSE),"")</f>
        <v/>
      </c>
      <c r="F386" s="7" t="str">
        <f>IFERROR(VLOOKUP(B386,'Master data'!$A$1:$F$1000,3,FALSE),"")</f>
        <v/>
      </c>
      <c r="G386" s="100"/>
      <c r="H386" s="100"/>
      <c r="I386" s="16"/>
      <c r="J386" s="16"/>
      <c r="K386" s="16" t="b">
        <v>0</v>
      </c>
      <c r="L386" s="16" t="b">
        <v>0</v>
      </c>
    </row>
    <row r="387">
      <c r="A387" s="107"/>
      <c r="B387" s="16"/>
      <c r="C387" s="7" t="str">
        <f>IFERROR(VLOOKUP(B387,'Master data'!$A$1:$F$1000,2,FALSE),"")</f>
        <v/>
      </c>
      <c r="D387" s="7" t="str">
        <f>IFERROR(VLOOKUP(B387,'Master data'!$A$1:$F$1000,6,FALSE),"")</f>
        <v/>
      </c>
      <c r="F387" s="7" t="str">
        <f>IFERROR(VLOOKUP(B387,'Master data'!$A$1:$F$1000,3,FALSE),"")</f>
        <v/>
      </c>
      <c r="G387" s="100"/>
      <c r="H387" s="100"/>
      <c r="I387" s="16"/>
      <c r="J387" s="16"/>
      <c r="K387" s="16" t="b">
        <v>0</v>
      </c>
      <c r="L387" s="16" t="b">
        <v>0</v>
      </c>
    </row>
    <row r="388">
      <c r="A388" s="107"/>
      <c r="B388" s="16"/>
      <c r="C388" s="7" t="str">
        <f>IFERROR(VLOOKUP(B388,'Master data'!$A$1:$F$1000,2,FALSE),"")</f>
        <v/>
      </c>
      <c r="D388" s="7" t="str">
        <f>IFERROR(VLOOKUP(B388,'Master data'!$A$1:$F$1000,6,FALSE),"")</f>
        <v/>
      </c>
      <c r="F388" s="7" t="str">
        <f>IFERROR(VLOOKUP(B388,'Master data'!$A$1:$F$1000,3,FALSE),"")</f>
        <v/>
      </c>
      <c r="G388" s="100"/>
      <c r="H388" s="100"/>
      <c r="I388" s="16"/>
      <c r="J388" s="16"/>
      <c r="K388" s="16" t="b">
        <v>0</v>
      </c>
      <c r="L388" s="16" t="b">
        <v>0</v>
      </c>
    </row>
    <row r="389">
      <c r="A389" s="107"/>
      <c r="B389" s="16"/>
      <c r="C389" s="7" t="str">
        <f>IFERROR(VLOOKUP(B389,'Master data'!$A$1:$F$1000,2,FALSE),"")</f>
        <v/>
      </c>
      <c r="D389" s="7" t="str">
        <f>IFERROR(VLOOKUP(B389,'Master data'!$A$1:$F$1000,6,FALSE),"")</f>
        <v/>
      </c>
      <c r="F389" s="7" t="str">
        <f>IFERROR(VLOOKUP(B389,'Master data'!$A$1:$F$1000,3,FALSE),"")</f>
        <v/>
      </c>
      <c r="G389" s="100"/>
      <c r="H389" s="100"/>
      <c r="I389" s="16"/>
      <c r="J389" s="16"/>
      <c r="K389" s="16" t="b">
        <v>0</v>
      </c>
      <c r="L389" s="16" t="b">
        <v>0</v>
      </c>
    </row>
    <row r="390">
      <c r="A390" s="107"/>
      <c r="B390" s="16"/>
      <c r="C390" s="7" t="str">
        <f>IFERROR(VLOOKUP(B390,'Master data'!$A$1:$F$1000,2,FALSE),"")</f>
        <v/>
      </c>
      <c r="D390" s="7" t="str">
        <f>IFERROR(VLOOKUP(B390,'Master data'!$A$1:$F$1000,6,FALSE),"")</f>
        <v/>
      </c>
      <c r="F390" s="7" t="str">
        <f>IFERROR(VLOOKUP(B390,'Master data'!$A$1:$F$1000,3,FALSE),"")</f>
        <v/>
      </c>
      <c r="G390" s="100"/>
      <c r="H390" s="100"/>
      <c r="I390" s="16"/>
      <c r="J390" s="16"/>
      <c r="K390" s="16" t="b">
        <v>0</v>
      </c>
      <c r="L390" s="16" t="b">
        <v>0</v>
      </c>
    </row>
    <row r="391">
      <c r="A391" s="107"/>
      <c r="B391" s="16"/>
      <c r="C391" s="7" t="str">
        <f>IFERROR(VLOOKUP(B391,'Master data'!$A$1:$F$1000,2,FALSE),"")</f>
        <v/>
      </c>
      <c r="D391" s="7" t="str">
        <f>IFERROR(VLOOKUP(B391,'Master data'!$A$1:$F$1000,6,FALSE),"")</f>
        <v/>
      </c>
      <c r="F391" s="7" t="str">
        <f>IFERROR(VLOOKUP(B391,'Master data'!$A$1:$F$1000,3,FALSE),"")</f>
        <v/>
      </c>
      <c r="G391" s="100"/>
      <c r="H391" s="100"/>
      <c r="I391" s="16"/>
      <c r="J391" s="16"/>
      <c r="K391" s="16" t="b">
        <v>0</v>
      </c>
      <c r="L391" s="16" t="b">
        <v>0</v>
      </c>
    </row>
    <row r="392">
      <c r="A392" s="107"/>
      <c r="B392" s="16"/>
      <c r="C392" s="7" t="str">
        <f>IFERROR(VLOOKUP(B392,'Master data'!$A$1:$F$1000,2,FALSE),"")</f>
        <v/>
      </c>
      <c r="D392" s="7" t="str">
        <f>IFERROR(VLOOKUP(B392,'Master data'!$A$1:$F$1000,6,FALSE),"")</f>
        <v/>
      </c>
      <c r="F392" s="7" t="str">
        <f>IFERROR(VLOOKUP(B392,'Master data'!$A$1:$F$1000,3,FALSE),"")</f>
        <v/>
      </c>
      <c r="G392" s="100"/>
      <c r="H392" s="100"/>
      <c r="I392" s="16"/>
      <c r="J392" s="16"/>
      <c r="K392" s="16" t="b">
        <v>0</v>
      </c>
      <c r="L392" s="16" t="b">
        <v>0</v>
      </c>
    </row>
    <row r="393">
      <c r="A393" s="107"/>
      <c r="B393" s="16"/>
      <c r="C393" s="7" t="str">
        <f>IFERROR(VLOOKUP(B393,'Master data'!$A$1:$F$1000,2,FALSE),"")</f>
        <v/>
      </c>
      <c r="D393" s="7" t="str">
        <f>IFERROR(VLOOKUP(B393,'Master data'!$A$1:$F$1000,6,FALSE),"")</f>
        <v/>
      </c>
      <c r="F393" s="7" t="str">
        <f>IFERROR(VLOOKUP(B393,'Master data'!$A$1:$F$1000,3,FALSE),"")</f>
        <v/>
      </c>
      <c r="G393" s="100"/>
      <c r="H393" s="100"/>
      <c r="I393" s="16"/>
      <c r="J393" s="16"/>
      <c r="K393" s="16" t="b">
        <v>0</v>
      </c>
      <c r="L393" s="16" t="b">
        <v>0</v>
      </c>
    </row>
    <row r="394">
      <c r="A394" s="107"/>
      <c r="B394" s="16"/>
      <c r="C394" s="7" t="str">
        <f>IFERROR(VLOOKUP(B394,'Master data'!$A$1:$F$1000,2,FALSE),"")</f>
        <v/>
      </c>
      <c r="D394" s="7" t="str">
        <f>IFERROR(VLOOKUP(B394,'Master data'!$A$1:$F$1000,6,FALSE),"")</f>
        <v/>
      </c>
      <c r="F394" s="7" t="str">
        <f>IFERROR(VLOOKUP(B394,'Master data'!$A$1:$F$1000,3,FALSE),"")</f>
        <v/>
      </c>
      <c r="G394" s="100"/>
      <c r="H394" s="100"/>
      <c r="I394" s="16"/>
      <c r="J394" s="16"/>
      <c r="K394" s="16" t="b">
        <v>0</v>
      </c>
      <c r="L394" s="16" t="b">
        <v>0</v>
      </c>
    </row>
    <row r="395">
      <c r="A395" s="107"/>
      <c r="B395" s="16"/>
      <c r="C395" s="7" t="str">
        <f>IFERROR(VLOOKUP(B395,'Master data'!$A$1:$F$1000,2,FALSE),"")</f>
        <v/>
      </c>
      <c r="D395" s="7" t="str">
        <f>IFERROR(VLOOKUP(B395,'Master data'!$A$1:$F$1000,6,FALSE),"")</f>
        <v/>
      </c>
      <c r="F395" s="7" t="str">
        <f>IFERROR(VLOOKUP(B395,'Master data'!$A$1:$F$1000,3,FALSE),"")</f>
        <v/>
      </c>
      <c r="G395" s="100"/>
      <c r="H395" s="100"/>
      <c r="I395" s="16"/>
      <c r="J395" s="16"/>
      <c r="K395" s="16" t="b">
        <v>0</v>
      </c>
      <c r="L395" s="16" t="b">
        <v>0</v>
      </c>
    </row>
    <row r="396">
      <c r="A396" s="107"/>
      <c r="B396" s="16"/>
      <c r="C396" s="7" t="str">
        <f>IFERROR(VLOOKUP(B396,'Master data'!$A$1:$F$1000,2,FALSE),"")</f>
        <v/>
      </c>
      <c r="D396" s="7" t="str">
        <f>IFERROR(VLOOKUP(B396,'Master data'!$A$1:$F$1000,6,FALSE),"")</f>
        <v/>
      </c>
      <c r="F396" s="7" t="str">
        <f>IFERROR(VLOOKUP(B396,'Master data'!$A$1:$F$1000,3,FALSE),"")</f>
        <v/>
      </c>
      <c r="G396" s="100"/>
      <c r="H396" s="100"/>
      <c r="I396" s="16"/>
      <c r="J396" s="16"/>
      <c r="K396" s="16" t="b">
        <v>0</v>
      </c>
      <c r="L396" s="16" t="b">
        <v>0</v>
      </c>
    </row>
    <row r="397">
      <c r="A397" s="107"/>
      <c r="B397" s="16"/>
      <c r="C397" s="7" t="str">
        <f>IFERROR(VLOOKUP(B397,'Master data'!$A$1:$F$1000,2,FALSE),"")</f>
        <v/>
      </c>
      <c r="D397" s="7" t="str">
        <f>IFERROR(VLOOKUP(B397,'Master data'!$A$1:$F$1000,6,FALSE),"")</f>
        <v/>
      </c>
      <c r="F397" s="7" t="str">
        <f>IFERROR(VLOOKUP(B397,'Master data'!$A$1:$F$1000,3,FALSE),"")</f>
        <v/>
      </c>
      <c r="G397" s="100"/>
      <c r="H397" s="100"/>
      <c r="I397" s="16"/>
      <c r="J397" s="16"/>
      <c r="K397" s="16" t="b">
        <v>0</v>
      </c>
      <c r="L397" s="16" t="b">
        <v>0</v>
      </c>
    </row>
    <row r="398">
      <c r="A398" s="107"/>
      <c r="B398" s="16"/>
      <c r="C398" s="7" t="str">
        <f>IFERROR(VLOOKUP(B398,'Master data'!$A$1:$F$1000,2,FALSE),"")</f>
        <v/>
      </c>
      <c r="D398" s="7" t="str">
        <f>IFERROR(VLOOKUP(B398,'Master data'!$A$1:$F$1000,6,FALSE),"")</f>
        <v/>
      </c>
      <c r="F398" s="7" t="str">
        <f>IFERROR(VLOOKUP(B398,'Master data'!$A$1:$F$1000,3,FALSE),"")</f>
        <v/>
      </c>
      <c r="G398" s="100"/>
      <c r="H398" s="100"/>
      <c r="I398" s="16"/>
      <c r="J398" s="16"/>
      <c r="K398" s="16" t="b">
        <v>0</v>
      </c>
      <c r="L398" s="16" t="b">
        <v>0</v>
      </c>
    </row>
    <row r="399">
      <c r="A399" s="107"/>
      <c r="B399" s="16"/>
      <c r="C399" s="7" t="str">
        <f>IFERROR(VLOOKUP(B399,'Master data'!$A$1:$F$1000,2,FALSE),"")</f>
        <v/>
      </c>
      <c r="D399" s="7" t="str">
        <f>IFERROR(VLOOKUP(B399,'Master data'!$A$1:$F$1000,6,FALSE),"")</f>
        <v/>
      </c>
      <c r="F399" s="7" t="str">
        <f>IFERROR(VLOOKUP(B399,'Master data'!$A$1:$F$1000,3,FALSE),"")</f>
        <v/>
      </c>
      <c r="G399" s="100"/>
      <c r="H399" s="100"/>
      <c r="I399" s="16"/>
      <c r="J399" s="16"/>
      <c r="K399" s="16" t="b">
        <v>0</v>
      </c>
      <c r="L399" s="16" t="b">
        <v>0</v>
      </c>
    </row>
    <row r="400">
      <c r="A400" s="107"/>
      <c r="B400" s="16"/>
      <c r="C400" s="7" t="str">
        <f>IFERROR(VLOOKUP(B400,'Master data'!$A$1:$F$1000,2,FALSE),"")</f>
        <v/>
      </c>
      <c r="D400" s="7" t="str">
        <f>IFERROR(VLOOKUP(B400,'Master data'!$A$1:$F$1000,6,FALSE),"")</f>
        <v/>
      </c>
      <c r="F400" s="7" t="str">
        <f>IFERROR(VLOOKUP(B400,'Master data'!$A$1:$F$1000,3,FALSE),"")</f>
        <v/>
      </c>
      <c r="G400" s="100"/>
      <c r="H400" s="100"/>
      <c r="I400" s="16"/>
      <c r="J400" s="16"/>
      <c r="K400" s="16" t="b">
        <v>0</v>
      </c>
      <c r="L400" s="16" t="b">
        <v>0</v>
      </c>
    </row>
    <row r="401">
      <c r="A401" s="107"/>
      <c r="B401" s="16"/>
      <c r="C401" s="7" t="str">
        <f>IFERROR(VLOOKUP(B401,'Master data'!$A$1:$F$1000,2,FALSE),"")</f>
        <v/>
      </c>
      <c r="D401" s="7" t="str">
        <f>IFERROR(VLOOKUP(B401,'Master data'!$A$1:$F$1000,6,FALSE),"")</f>
        <v/>
      </c>
      <c r="F401" s="7" t="str">
        <f>IFERROR(VLOOKUP(B401,'Master data'!$A$1:$F$1000,3,FALSE),"")</f>
        <v/>
      </c>
      <c r="G401" s="100"/>
      <c r="H401" s="100"/>
      <c r="I401" s="16"/>
      <c r="J401" s="16"/>
      <c r="K401" s="16" t="b">
        <v>0</v>
      </c>
      <c r="L401" s="16" t="b">
        <v>0</v>
      </c>
    </row>
    <row r="402">
      <c r="A402" s="107"/>
      <c r="B402" s="16"/>
      <c r="C402" s="7" t="str">
        <f>IFERROR(VLOOKUP(B402,'Master data'!$A$1:$F$1000,2,FALSE),"")</f>
        <v/>
      </c>
      <c r="D402" s="7" t="str">
        <f>IFERROR(VLOOKUP(B402,'Master data'!$A$1:$F$1000,6,FALSE),"")</f>
        <v/>
      </c>
      <c r="F402" s="7" t="str">
        <f>IFERROR(VLOOKUP(B402,'Master data'!$A$1:$F$1000,3,FALSE),"")</f>
        <v/>
      </c>
      <c r="G402" s="100"/>
      <c r="H402" s="100"/>
      <c r="I402" s="16"/>
      <c r="J402" s="16"/>
      <c r="K402" s="16" t="b">
        <v>0</v>
      </c>
      <c r="L402" s="16" t="b">
        <v>0</v>
      </c>
    </row>
    <row r="403">
      <c r="A403" s="107"/>
      <c r="B403" s="16"/>
      <c r="C403" s="7" t="str">
        <f>IFERROR(VLOOKUP(B403,'Master data'!$A$1:$F$1000,2,FALSE),"")</f>
        <v/>
      </c>
      <c r="D403" s="7" t="str">
        <f>IFERROR(VLOOKUP(B403,'Master data'!$A$1:$F$1000,6,FALSE),"")</f>
        <v/>
      </c>
      <c r="F403" s="7" t="str">
        <f>IFERROR(VLOOKUP(B403,'Master data'!$A$1:$F$1000,3,FALSE),"")</f>
        <v/>
      </c>
      <c r="G403" s="100"/>
      <c r="H403" s="100"/>
      <c r="I403" s="16"/>
      <c r="J403" s="16"/>
      <c r="K403" s="16" t="b">
        <v>0</v>
      </c>
      <c r="L403" s="16" t="b">
        <v>0</v>
      </c>
    </row>
    <row r="404">
      <c r="A404" s="107"/>
      <c r="B404" s="16"/>
      <c r="C404" s="7" t="str">
        <f>IFERROR(VLOOKUP(B404,'Master data'!$A$1:$F$1000,2,FALSE),"")</f>
        <v/>
      </c>
      <c r="D404" s="7" t="str">
        <f>IFERROR(VLOOKUP(B404,'Master data'!$A$1:$F$1000,6,FALSE),"")</f>
        <v/>
      </c>
      <c r="F404" s="7" t="str">
        <f>IFERROR(VLOOKUP(B404,'Master data'!$A$1:$F$1000,3,FALSE),"")</f>
        <v/>
      </c>
      <c r="G404" s="100"/>
      <c r="H404" s="100"/>
      <c r="I404" s="16"/>
      <c r="J404" s="16"/>
      <c r="K404" s="16" t="b">
        <v>0</v>
      </c>
      <c r="L404" s="16" t="b">
        <v>0</v>
      </c>
    </row>
    <row r="405">
      <c r="A405" s="107"/>
      <c r="B405" s="16"/>
      <c r="C405" s="7" t="str">
        <f>IFERROR(VLOOKUP(B405,'Master data'!$A$1:$F$1000,2,FALSE),"")</f>
        <v/>
      </c>
      <c r="D405" s="7" t="str">
        <f>IFERROR(VLOOKUP(B405,'Master data'!$A$1:$F$1000,6,FALSE),"")</f>
        <v/>
      </c>
      <c r="F405" s="7" t="str">
        <f>IFERROR(VLOOKUP(B405,'Master data'!$A$1:$F$1000,3,FALSE),"")</f>
        <v/>
      </c>
      <c r="G405" s="100"/>
      <c r="H405" s="100"/>
      <c r="I405" s="16"/>
      <c r="J405" s="16"/>
      <c r="K405" s="16" t="b">
        <v>0</v>
      </c>
      <c r="L405" s="16" t="b">
        <v>0</v>
      </c>
    </row>
    <row r="406">
      <c r="A406" s="107"/>
      <c r="B406" s="16"/>
      <c r="C406" s="7" t="str">
        <f>IFERROR(VLOOKUP(B406,'Master data'!$A$1:$F$1000,2,FALSE),"")</f>
        <v/>
      </c>
      <c r="D406" s="7" t="str">
        <f>IFERROR(VLOOKUP(B406,'Master data'!$A$1:$F$1000,6,FALSE),"")</f>
        <v/>
      </c>
      <c r="F406" s="7" t="str">
        <f>IFERROR(VLOOKUP(B406,'Master data'!$A$1:$F$1000,3,FALSE),"")</f>
        <v/>
      </c>
      <c r="G406" s="100"/>
      <c r="H406" s="100"/>
      <c r="I406" s="16"/>
      <c r="J406" s="16"/>
      <c r="K406" s="16" t="b">
        <v>0</v>
      </c>
      <c r="L406" s="16" t="b">
        <v>0</v>
      </c>
    </row>
    <row r="407">
      <c r="A407" s="107"/>
      <c r="B407" s="16"/>
      <c r="C407" s="7" t="str">
        <f>IFERROR(VLOOKUP(B407,'Master data'!$A$1:$F$1000,2,FALSE),"")</f>
        <v/>
      </c>
      <c r="D407" s="7" t="str">
        <f>IFERROR(VLOOKUP(B407,'Master data'!$A$1:$F$1000,6,FALSE),"")</f>
        <v/>
      </c>
      <c r="F407" s="7" t="str">
        <f>IFERROR(VLOOKUP(B407,'Master data'!$A$1:$F$1000,3,FALSE),"")</f>
        <v/>
      </c>
      <c r="G407" s="100"/>
      <c r="H407" s="100"/>
      <c r="I407" s="16"/>
      <c r="J407" s="16"/>
      <c r="K407" s="16" t="b">
        <v>0</v>
      </c>
      <c r="L407" s="16" t="b">
        <v>0</v>
      </c>
    </row>
    <row r="408">
      <c r="A408" s="107"/>
      <c r="B408" s="16"/>
      <c r="C408" s="7" t="str">
        <f>IFERROR(VLOOKUP(B408,'Master data'!$A$1:$F$1000,2,FALSE),"")</f>
        <v/>
      </c>
      <c r="D408" s="7" t="str">
        <f>IFERROR(VLOOKUP(B408,'Master data'!$A$1:$F$1000,6,FALSE),"")</f>
        <v/>
      </c>
      <c r="F408" s="7" t="str">
        <f>IFERROR(VLOOKUP(B408,'Master data'!$A$1:$F$1000,3,FALSE),"")</f>
        <v/>
      </c>
      <c r="G408" s="100"/>
      <c r="H408" s="100"/>
      <c r="I408" s="16"/>
      <c r="J408" s="16"/>
      <c r="K408" s="16" t="b">
        <v>0</v>
      </c>
      <c r="L408" s="16" t="b">
        <v>0</v>
      </c>
    </row>
    <row r="409">
      <c r="A409" s="107"/>
      <c r="B409" s="16"/>
      <c r="C409" s="7" t="str">
        <f>IFERROR(VLOOKUP(B409,'Master data'!$A$1:$F$1000,2,FALSE),"")</f>
        <v/>
      </c>
      <c r="D409" s="7" t="str">
        <f>IFERROR(VLOOKUP(B409,'Master data'!$A$1:$F$1000,6,FALSE),"")</f>
        <v/>
      </c>
      <c r="F409" s="7" t="str">
        <f>IFERROR(VLOOKUP(B409,'Master data'!$A$1:$F$1000,3,FALSE),"")</f>
        <v/>
      </c>
      <c r="G409" s="100"/>
      <c r="H409" s="100"/>
      <c r="I409" s="16"/>
      <c r="J409" s="16"/>
      <c r="K409" s="16" t="b">
        <v>0</v>
      </c>
      <c r="L409" s="16" t="b">
        <v>0</v>
      </c>
    </row>
    <row r="410">
      <c r="A410" s="107"/>
      <c r="B410" s="16"/>
      <c r="C410" s="7" t="str">
        <f>IFERROR(VLOOKUP(B410,'Master data'!$A$1:$F$1000,2,FALSE),"")</f>
        <v/>
      </c>
      <c r="D410" s="7" t="str">
        <f>IFERROR(VLOOKUP(B410,'Master data'!$A$1:$F$1000,6,FALSE),"")</f>
        <v/>
      </c>
      <c r="F410" s="7" t="str">
        <f>IFERROR(VLOOKUP(B410,'Master data'!$A$1:$F$1000,3,FALSE),"")</f>
        <v/>
      </c>
      <c r="G410" s="100"/>
      <c r="H410" s="100"/>
      <c r="I410" s="16"/>
      <c r="J410" s="16"/>
      <c r="K410" s="16" t="b">
        <v>0</v>
      </c>
      <c r="L410" s="16" t="b">
        <v>0</v>
      </c>
    </row>
    <row r="411">
      <c r="A411" s="107"/>
      <c r="B411" s="16"/>
      <c r="C411" s="7" t="str">
        <f>IFERROR(VLOOKUP(B411,'Master data'!$A$1:$F$1000,2,FALSE),"")</f>
        <v/>
      </c>
      <c r="D411" s="7" t="str">
        <f>IFERROR(VLOOKUP(B411,'Master data'!$A$1:$F$1000,6,FALSE),"")</f>
        <v/>
      </c>
      <c r="F411" s="7" t="str">
        <f>IFERROR(VLOOKUP(B411,'Master data'!$A$1:$F$1000,3,FALSE),"")</f>
        <v/>
      </c>
      <c r="G411" s="100"/>
      <c r="H411" s="100"/>
      <c r="I411" s="16"/>
      <c r="J411" s="16"/>
      <c r="K411" s="16" t="b">
        <v>0</v>
      </c>
      <c r="L411" s="16" t="b">
        <v>0</v>
      </c>
    </row>
    <row r="412">
      <c r="A412" s="107"/>
      <c r="B412" s="16"/>
      <c r="C412" s="7" t="str">
        <f>IFERROR(VLOOKUP(B412,'Master data'!$A$1:$F$1000,2,FALSE),"")</f>
        <v/>
      </c>
      <c r="D412" s="7" t="str">
        <f>IFERROR(VLOOKUP(B412,'Master data'!$A$1:$F$1000,6,FALSE),"")</f>
        <v/>
      </c>
      <c r="F412" s="7" t="str">
        <f>IFERROR(VLOOKUP(B412,'Master data'!$A$1:$F$1000,3,FALSE),"")</f>
        <v/>
      </c>
      <c r="G412" s="100"/>
      <c r="H412" s="100"/>
      <c r="I412" s="16"/>
      <c r="J412" s="16"/>
      <c r="K412" s="16" t="b">
        <v>0</v>
      </c>
      <c r="L412" s="16" t="b">
        <v>0</v>
      </c>
    </row>
    <row r="413">
      <c r="A413" s="107"/>
      <c r="B413" s="16"/>
      <c r="C413" s="7" t="str">
        <f>IFERROR(VLOOKUP(B413,'Master data'!$A$1:$F$1000,2,FALSE),"")</f>
        <v/>
      </c>
      <c r="D413" s="7" t="str">
        <f>IFERROR(VLOOKUP(B413,'Master data'!$A$1:$F$1000,6,FALSE),"")</f>
        <v/>
      </c>
      <c r="F413" s="7" t="str">
        <f>IFERROR(VLOOKUP(B413,'Master data'!$A$1:$F$1000,3,FALSE),"")</f>
        <v/>
      </c>
      <c r="G413" s="100"/>
      <c r="H413" s="100"/>
      <c r="I413" s="16"/>
      <c r="J413" s="16"/>
      <c r="K413" s="16" t="b">
        <v>0</v>
      </c>
      <c r="L413" s="16" t="b">
        <v>0</v>
      </c>
    </row>
    <row r="414">
      <c r="A414" s="107"/>
      <c r="B414" s="16"/>
      <c r="C414" s="7" t="str">
        <f>IFERROR(VLOOKUP(B414,'Master data'!$A$1:$F$1000,2,FALSE),"")</f>
        <v/>
      </c>
      <c r="D414" s="7" t="str">
        <f>IFERROR(VLOOKUP(B414,'Master data'!$A$1:$F$1000,6,FALSE),"")</f>
        <v/>
      </c>
      <c r="F414" s="7" t="str">
        <f>IFERROR(VLOOKUP(B414,'Master data'!$A$1:$F$1000,3,FALSE),"")</f>
        <v/>
      </c>
      <c r="G414" s="100"/>
      <c r="H414" s="100"/>
      <c r="I414" s="16"/>
      <c r="J414" s="16"/>
      <c r="K414" s="16" t="b">
        <v>0</v>
      </c>
      <c r="L414" s="16" t="b">
        <v>0</v>
      </c>
    </row>
    <row r="415">
      <c r="A415" s="107"/>
      <c r="B415" s="16"/>
      <c r="C415" s="7" t="str">
        <f>IFERROR(VLOOKUP(B415,'Master data'!$A$1:$F$1000,2,FALSE),"")</f>
        <v/>
      </c>
      <c r="D415" s="7" t="str">
        <f>IFERROR(VLOOKUP(B415,'Master data'!$A$1:$F$1000,6,FALSE),"")</f>
        <v/>
      </c>
      <c r="F415" s="7" t="str">
        <f>IFERROR(VLOOKUP(B415,'Master data'!$A$1:$F$1000,3,FALSE),"")</f>
        <v/>
      </c>
      <c r="G415" s="100"/>
      <c r="H415" s="100"/>
      <c r="I415" s="16"/>
      <c r="J415" s="16"/>
      <c r="K415" s="16" t="b">
        <v>0</v>
      </c>
      <c r="L415" s="16" t="b">
        <v>0</v>
      </c>
    </row>
    <row r="416">
      <c r="A416" s="107"/>
      <c r="B416" s="16"/>
      <c r="C416" s="7" t="str">
        <f>IFERROR(VLOOKUP(B416,'Master data'!$A$1:$F$1000,2,FALSE),"")</f>
        <v/>
      </c>
      <c r="D416" s="7" t="str">
        <f>IFERROR(VLOOKUP(B416,'Master data'!$A$1:$F$1000,6,FALSE),"")</f>
        <v/>
      </c>
      <c r="F416" s="7" t="str">
        <f>IFERROR(VLOOKUP(B416,'Master data'!$A$1:$F$1000,3,FALSE),"")</f>
        <v/>
      </c>
      <c r="G416" s="100"/>
      <c r="H416" s="100"/>
      <c r="I416" s="16"/>
      <c r="J416" s="16"/>
      <c r="K416" s="16" t="b">
        <v>0</v>
      </c>
      <c r="L416" s="16" t="b">
        <v>0</v>
      </c>
    </row>
    <row r="417">
      <c r="A417" s="107"/>
      <c r="B417" s="16"/>
      <c r="C417" s="7" t="str">
        <f>IFERROR(VLOOKUP(B417,'Master data'!$A$1:$F$1000,2,FALSE),"")</f>
        <v/>
      </c>
      <c r="D417" s="7" t="str">
        <f>IFERROR(VLOOKUP(B417,'Master data'!$A$1:$F$1000,6,FALSE),"")</f>
        <v/>
      </c>
      <c r="F417" s="7" t="str">
        <f>IFERROR(VLOOKUP(B417,'Master data'!$A$1:$F$1000,3,FALSE),"")</f>
        <v/>
      </c>
      <c r="G417" s="100"/>
      <c r="H417" s="100"/>
      <c r="I417" s="16"/>
      <c r="J417" s="16"/>
      <c r="K417" s="16" t="b">
        <v>0</v>
      </c>
      <c r="L417" s="16" t="b">
        <v>0</v>
      </c>
    </row>
    <row r="418">
      <c r="A418" s="107"/>
      <c r="B418" s="16"/>
      <c r="C418" s="7" t="str">
        <f>IFERROR(VLOOKUP(B418,'Master data'!$A$1:$F$1000,2,FALSE),"")</f>
        <v/>
      </c>
      <c r="D418" s="7" t="str">
        <f>IFERROR(VLOOKUP(B418,'Master data'!$A$1:$F$1000,6,FALSE),"")</f>
        <v/>
      </c>
      <c r="F418" s="7" t="str">
        <f>IFERROR(VLOOKUP(B418,'Master data'!$A$1:$F$1000,3,FALSE),"")</f>
        <v/>
      </c>
      <c r="G418" s="100"/>
      <c r="H418" s="100"/>
      <c r="I418" s="16"/>
      <c r="J418" s="16"/>
      <c r="K418" s="16" t="b">
        <v>0</v>
      </c>
      <c r="L418" s="16" t="b">
        <v>0</v>
      </c>
    </row>
    <row r="419">
      <c r="A419" s="107"/>
      <c r="B419" s="16"/>
      <c r="C419" s="7" t="str">
        <f>IFERROR(VLOOKUP(B419,'Master data'!$A$1:$F$1000,2,FALSE),"")</f>
        <v/>
      </c>
      <c r="D419" s="7" t="str">
        <f>IFERROR(VLOOKUP(B419,'Master data'!$A$1:$F$1000,6,FALSE),"")</f>
        <v/>
      </c>
      <c r="F419" s="7" t="str">
        <f>IFERROR(VLOOKUP(B419,'Master data'!$A$1:$F$1000,3,FALSE),"")</f>
        <v/>
      </c>
      <c r="G419" s="100"/>
      <c r="H419" s="100"/>
      <c r="I419" s="16"/>
      <c r="J419" s="16"/>
      <c r="K419" s="16" t="b">
        <v>0</v>
      </c>
      <c r="L419" s="16" t="b">
        <v>0</v>
      </c>
    </row>
    <row r="420">
      <c r="A420" s="107"/>
      <c r="B420" s="16"/>
      <c r="C420" s="7" t="str">
        <f>IFERROR(VLOOKUP(B420,'Master data'!$A$1:$F$1000,2,FALSE),"")</f>
        <v/>
      </c>
      <c r="D420" s="7" t="str">
        <f>IFERROR(VLOOKUP(B420,'Master data'!$A$1:$F$1000,6,FALSE),"")</f>
        <v/>
      </c>
      <c r="F420" s="7" t="str">
        <f>IFERROR(VLOOKUP(B420,'Master data'!$A$1:$F$1000,3,FALSE),"")</f>
        <v/>
      </c>
      <c r="G420" s="100"/>
      <c r="H420" s="100"/>
      <c r="I420" s="16"/>
      <c r="J420" s="16"/>
      <c r="K420" s="16" t="b">
        <v>0</v>
      </c>
      <c r="L420" s="16" t="b">
        <v>0</v>
      </c>
    </row>
    <row r="421">
      <c r="A421" s="107"/>
      <c r="B421" s="16"/>
      <c r="C421" s="7" t="str">
        <f>IFERROR(VLOOKUP(B421,'Master data'!$A$1:$F$1000,2,FALSE),"")</f>
        <v/>
      </c>
      <c r="D421" s="7" t="str">
        <f>IFERROR(VLOOKUP(B421,'Master data'!$A$1:$F$1000,6,FALSE),"")</f>
        <v/>
      </c>
      <c r="F421" s="7" t="str">
        <f>IFERROR(VLOOKUP(B421,'Master data'!$A$1:$F$1000,3,FALSE),"")</f>
        <v/>
      </c>
      <c r="G421" s="100"/>
      <c r="H421" s="100"/>
      <c r="I421" s="16"/>
      <c r="J421" s="16"/>
      <c r="K421" s="16" t="b">
        <v>0</v>
      </c>
      <c r="L421" s="16" t="b">
        <v>0</v>
      </c>
    </row>
    <row r="422">
      <c r="A422" s="107"/>
      <c r="B422" s="16"/>
      <c r="C422" s="7" t="str">
        <f>IFERROR(VLOOKUP(B422,'Master data'!$A$1:$F$1000,2,FALSE),"")</f>
        <v/>
      </c>
      <c r="D422" s="7" t="str">
        <f>IFERROR(VLOOKUP(B422,'Master data'!$A$1:$F$1000,6,FALSE),"")</f>
        <v/>
      </c>
      <c r="F422" s="7" t="str">
        <f>IFERROR(VLOOKUP(B422,'Master data'!$A$1:$F$1000,3,FALSE),"")</f>
        <v/>
      </c>
      <c r="G422" s="100"/>
      <c r="H422" s="100"/>
      <c r="I422" s="16"/>
      <c r="J422" s="16"/>
      <c r="K422" s="16" t="b">
        <v>0</v>
      </c>
      <c r="L422" s="16" t="b">
        <v>0</v>
      </c>
    </row>
    <row r="423">
      <c r="A423" s="107"/>
      <c r="B423" s="16"/>
      <c r="C423" s="7" t="str">
        <f>IFERROR(VLOOKUP(B423,'Master data'!$A$1:$F$1000,2,FALSE),"")</f>
        <v/>
      </c>
      <c r="D423" s="7" t="str">
        <f>IFERROR(VLOOKUP(B423,'Master data'!$A$1:$F$1000,6,FALSE),"")</f>
        <v/>
      </c>
      <c r="F423" s="7" t="str">
        <f>IFERROR(VLOOKUP(B423,'Master data'!$A$1:$F$1000,3,FALSE),"")</f>
        <v/>
      </c>
      <c r="G423" s="100"/>
      <c r="H423" s="100"/>
      <c r="I423" s="16"/>
      <c r="J423" s="16"/>
      <c r="K423" s="16" t="b">
        <v>0</v>
      </c>
      <c r="L423" s="16" t="b">
        <v>0</v>
      </c>
    </row>
    <row r="424">
      <c r="A424" s="107"/>
      <c r="B424" s="16"/>
      <c r="C424" s="7" t="str">
        <f>IFERROR(VLOOKUP(B424,'Master data'!$A$1:$F$1000,2,FALSE),"")</f>
        <v/>
      </c>
      <c r="D424" s="7" t="str">
        <f>IFERROR(VLOOKUP(B424,'Master data'!$A$1:$F$1000,6,FALSE),"")</f>
        <v/>
      </c>
      <c r="F424" s="7" t="str">
        <f>IFERROR(VLOOKUP(B424,'Master data'!$A$1:$F$1000,3,FALSE),"")</f>
        <v/>
      </c>
      <c r="G424" s="100"/>
      <c r="H424" s="100"/>
      <c r="I424" s="16"/>
      <c r="J424" s="16"/>
      <c r="K424" s="16" t="b">
        <v>0</v>
      </c>
      <c r="L424" s="16" t="b">
        <v>0</v>
      </c>
    </row>
    <row r="425">
      <c r="A425" s="107"/>
      <c r="B425" s="16"/>
      <c r="C425" s="7" t="str">
        <f>IFERROR(VLOOKUP(B425,'Master data'!$A$1:$F$1000,2,FALSE),"")</f>
        <v/>
      </c>
      <c r="D425" s="7" t="str">
        <f>IFERROR(VLOOKUP(B425,'Master data'!$A$1:$F$1000,6,FALSE),"")</f>
        <v/>
      </c>
      <c r="F425" s="7" t="str">
        <f>IFERROR(VLOOKUP(B425,'Master data'!$A$1:$F$1000,3,FALSE),"")</f>
        <v/>
      </c>
      <c r="G425" s="100"/>
      <c r="H425" s="100"/>
      <c r="I425" s="16"/>
      <c r="J425" s="16"/>
      <c r="K425" s="16" t="b">
        <v>0</v>
      </c>
      <c r="L425" s="16" t="b">
        <v>0</v>
      </c>
    </row>
    <row r="426">
      <c r="A426" s="107"/>
      <c r="B426" s="16"/>
      <c r="C426" s="7" t="str">
        <f>IFERROR(VLOOKUP(B426,'Master data'!$A$1:$F$1000,2,FALSE),"")</f>
        <v/>
      </c>
      <c r="D426" s="7" t="str">
        <f>IFERROR(VLOOKUP(B426,'Master data'!$A$1:$F$1000,6,FALSE),"")</f>
        <v/>
      </c>
      <c r="F426" s="7" t="str">
        <f>IFERROR(VLOOKUP(B426,'Master data'!$A$1:$F$1000,3,FALSE),"")</f>
        <v/>
      </c>
      <c r="G426" s="100"/>
      <c r="H426" s="100"/>
      <c r="I426" s="16"/>
      <c r="J426" s="16"/>
      <c r="K426" s="16" t="b">
        <v>0</v>
      </c>
      <c r="L426" s="16" t="b">
        <v>0</v>
      </c>
    </row>
    <row r="427">
      <c r="A427" s="107"/>
      <c r="B427" s="16"/>
      <c r="C427" s="7" t="str">
        <f>IFERROR(VLOOKUP(B427,'Master data'!$A$1:$F$1000,2,FALSE),"")</f>
        <v/>
      </c>
      <c r="D427" s="7" t="str">
        <f>IFERROR(VLOOKUP(B427,'Master data'!$A$1:$F$1000,6,FALSE),"")</f>
        <v/>
      </c>
      <c r="F427" s="7" t="str">
        <f>IFERROR(VLOOKUP(B427,'Master data'!$A$1:$F$1000,3,FALSE),"")</f>
        <v/>
      </c>
      <c r="G427" s="100"/>
      <c r="H427" s="100"/>
      <c r="I427" s="16"/>
      <c r="J427" s="16"/>
      <c r="K427" s="16" t="b">
        <v>0</v>
      </c>
      <c r="L427" s="16" t="b">
        <v>0</v>
      </c>
    </row>
    <row r="428">
      <c r="A428" s="107"/>
      <c r="B428" s="16"/>
      <c r="C428" s="7" t="str">
        <f>IFERROR(VLOOKUP(B428,'Master data'!$A$1:$F$1000,2,FALSE),"")</f>
        <v/>
      </c>
      <c r="D428" s="7" t="str">
        <f>IFERROR(VLOOKUP(B428,'Master data'!$A$1:$F$1000,6,FALSE),"")</f>
        <v/>
      </c>
      <c r="F428" s="7" t="str">
        <f>IFERROR(VLOOKUP(B428,'Master data'!$A$1:$F$1000,3,FALSE),"")</f>
        <v/>
      </c>
      <c r="G428" s="100"/>
      <c r="H428" s="100"/>
      <c r="I428" s="16"/>
      <c r="J428" s="16"/>
      <c r="K428" s="16" t="b">
        <v>0</v>
      </c>
      <c r="L428" s="16" t="b">
        <v>0</v>
      </c>
    </row>
    <row r="429">
      <c r="A429" s="107"/>
      <c r="B429" s="16"/>
      <c r="C429" s="7" t="str">
        <f>IFERROR(VLOOKUP(B429,'Master data'!$A$1:$F$1000,2,FALSE),"")</f>
        <v/>
      </c>
      <c r="D429" s="7" t="str">
        <f>IFERROR(VLOOKUP(B429,'Master data'!$A$1:$F$1000,6,FALSE),"")</f>
        <v/>
      </c>
      <c r="F429" s="7" t="str">
        <f>IFERROR(VLOOKUP(B429,'Master data'!$A$1:$F$1000,3,FALSE),"")</f>
        <v/>
      </c>
      <c r="G429" s="100"/>
      <c r="H429" s="100"/>
      <c r="I429" s="16"/>
      <c r="J429" s="16"/>
      <c r="K429" s="16" t="b">
        <v>0</v>
      </c>
      <c r="L429" s="16" t="b">
        <v>0</v>
      </c>
    </row>
    <row r="430">
      <c r="A430" s="107"/>
      <c r="B430" s="16"/>
      <c r="C430" s="7" t="str">
        <f>IFERROR(VLOOKUP(B430,'Master data'!$A$1:$F$1000,2,FALSE),"")</f>
        <v/>
      </c>
      <c r="D430" s="7" t="str">
        <f>IFERROR(VLOOKUP(B430,'Master data'!$A$1:$F$1000,6,FALSE),"")</f>
        <v/>
      </c>
      <c r="F430" s="7" t="str">
        <f>IFERROR(VLOOKUP(B430,'Master data'!$A$1:$F$1000,3,FALSE),"")</f>
        <v/>
      </c>
      <c r="G430" s="100"/>
      <c r="H430" s="100"/>
      <c r="I430" s="16"/>
      <c r="J430" s="16"/>
      <c r="K430" s="16" t="b">
        <v>0</v>
      </c>
      <c r="L430" s="16" t="b">
        <v>0</v>
      </c>
    </row>
    <row r="431">
      <c r="A431" s="107"/>
      <c r="B431" s="16"/>
      <c r="C431" s="7" t="str">
        <f>IFERROR(VLOOKUP(B431,'Master data'!$A$1:$F$1000,2,FALSE),"")</f>
        <v/>
      </c>
      <c r="D431" s="7" t="str">
        <f>IFERROR(VLOOKUP(B431,'Master data'!$A$1:$F$1000,6,FALSE),"")</f>
        <v/>
      </c>
      <c r="F431" s="7" t="str">
        <f>IFERROR(VLOOKUP(B431,'Master data'!$A$1:$F$1000,3,FALSE),"")</f>
        <v/>
      </c>
      <c r="G431" s="100"/>
      <c r="H431" s="100"/>
      <c r="I431" s="16"/>
      <c r="J431" s="16"/>
      <c r="K431" s="16" t="b">
        <v>0</v>
      </c>
      <c r="L431" s="16" t="b">
        <v>0</v>
      </c>
    </row>
    <row r="432">
      <c r="A432" s="107"/>
      <c r="B432" s="16"/>
      <c r="C432" s="7" t="str">
        <f>IFERROR(VLOOKUP(B432,'Master data'!$A$1:$F$1000,2,FALSE),"")</f>
        <v/>
      </c>
      <c r="D432" s="7" t="str">
        <f>IFERROR(VLOOKUP(B432,'Master data'!$A$1:$F$1000,6,FALSE),"")</f>
        <v/>
      </c>
      <c r="F432" s="7" t="str">
        <f>IFERROR(VLOOKUP(B432,'Master data'!$A$1:$F$1000,3,FALSE),"")</f>
        <v/>
      </c>
      <c r="G432" s="100"/>
      <c r="H432" s="100"/>
      <c r="I432" s="16"/>
      <c r="J432" s="16"/>
      <c r="K432" s="16" t="b">
        <v>0</v>
      </c>
      <c r="L432" s="16" t="b">
        <v>0</v>
      </c>
    </row>
    <row r="433">
      <c r="A433" s="107"/>
      <c r="B433" s="16"/>
      <c r="C433" s="7" t="str">
        <f>IFERROR(VLOOKUP(B433,'Master data'!$A$1:$F$1000,2,FALSE),"")</f>
        <v/>
      </c>
      <c r="D433" s="7" t="str">
        <f>IFERROR(VLOOKUP(B433,'Master data'!$A$1:$F$1000,6,FALSE),"")</f>
        <v/>
      </c>
      <c r="F433" s="7" t="str">
        <f>IFERROR(VLOOKUP(B433,'Master data'!$A$1:$F$1000,3,FALSE),"")</f>
        <v/>
      </c>
      <c r="G433" s="100"/>
      <c r="H433" s="100"/>
      <c r="I433" s="16"/>
      <c r="J433" s="16"/>
      <c r="K433" s="16" t="b">
        <v>0</v>
      </c>
      <c r="L433" s="16" t="b">
        <v>0</v>
      </c>
    </row>
    <row r="434">
      <c r="A434" s="107"/>
      <c r="B434" s="16"/>
      <c r="C434" s="7" t="str">
        <f>IFERROR(VLOOKUP(B434,'Master data'!$A$1:$F$1000,2,FALSE),"")</f>
        <v/>
      </c>
      <c r="D434" s="7" t="str">
        <f>IFERROR(VLOOKUP(B434,'Master data'!$A$1:$F$1000,6,FALSE),"")</f>
        <v/>
      </c>
      <c r="F434" s="7" t="str">
        <f>IFERROR(VLOOKUP(B434,'Master data'!$A$1:$F$1000,3,FALSE),"")</f>
        <v/>
      </c>
      <c r="G434" s="100"/>
      <c r="H434" s="100"/>
      <c r="I434" s="16"/>
      <c r="J434" s="16"/>
      <c r="K434" s="16" t="b">
        <v>0</v>
      </c>
      <c r="L434" s="16" t="b">
        <v>0</v>
      </c>
    </row>
    <row r="435">
      <c r="A435" s="107"/>
      <c r="B435" s="16"/>
      <c r="C435" s="7" t="str">
        <f>IFERROR(VLOOKUP(B435,'Master data'!$A$1:$F$1000,2,FALSE),"")</f>
        <v/>
      </c>
      <c r="D435" s="7" t="str">
        <f>IFERROR(VLOOKUP(B435,'Master data'!$A$1:$F$1000,6,FALSE),"")</f>
        <v/>
      </c>
      <c r="F435" s="7" t="str">
        <f>IFERROR(VLOOKUP(B435,'Master data'!$A$1:$F$1000,3,FALSE),"")</f>
        <v/>
      </c>
      <c r="G435" s="100"/>
      <c r="H435" s="100"/>
      <c r="I435" s="16"/>
      <c r="J435" s="16"/>
      <c r="K435" s="16" t="b">
        <v>0</v>
      </c>
      <c r="L435" s="16" t="b">
        <v>0</v>
      </c>
    </row>
    <row r="436">
      <c r="A436" s="107"/>
      <c r="B436" s="16"/>
      <c r="C436" s="7" t="str">
        <f>IFERROR(VLOOKUP(B436,'Master data'!$A$1:$F$1000,2,FALSE),"")</f>
        <v/>
      </c>
      <c r="D436" s="7" t="str">
        <f>IFERROR(VLOOKUP(B436,'Master data'!$A$1:$F$1000,6,FALSE),"")</f>
        <v/>
      </c>
      <c r="F436" s="7" t="str">
        <f>IFERROR(VLOOKUP(B436,'Master data'!$A$1:$F$1000,3,FALSE),"")</f>
        <v/>
      </c>
      <c r="G436" s="100"/>
      <c r="H436" s="100"/>
      <c r="I436" s="16"/>
      <c r="J436" s="16"/>
      <c r="K436" s="16" t="b">
        <v>0</v>
      </c>
      <c r="L436" s="16" t="b">
        <v>0</v>
      </c>
    </row>
    <row r="437">
      <c r="A437" s="107"/>
      <c r="B437" s="16"/>
      <c r="C437" s="7" t="str">
        <f>IFERROR(VLOOKUP(B437,'Master data'!$A$1:$F$1000,2,FALSE),"")</f>
        <v/>
      </c>
      <c r="D437" s="7" t="str">
        <f>IFERROR(VLOOKUP(B437,'Master data'!$A$1:$F$1000,6,FALSE),"")</f>
        <v/>
      </c>
      <c r="F437" s="7" t="str">
        <f>IFERROR(VLOOKUP(B437,'Master data'!$A$1:$F$1000,3,FALSE),"")</f>
        <v/>
      </c>
      <c r="G437" s="100"/>
      <c r="H437" s="100"/>
      <c r="I437" s="16"/>
      <c r="J437" s="16"/>
      <c r="K437" s="16" t="b">
        <v>0</v>
      </c>
      <c r="L437" s="16" t="b">
        <v>0</v>
      </c>
    </row>
    <row r="438">
      <c r="A438" s="107"/>
      <c r="B438" s="16"/>
      <c r="C438" s="7" t="str">
        <f>IFERROR(VLOOKUP(B438,'Master data'!$A$1:$F$1000,2,FALSE),"")</f>
        <v/>
      </c>
      <c r="D438" s="7" t="str">
        <f>IFERROR(VLOOKUP(B438,'Master data'!$A$1:$F$1000,6,FALSE),"")</f>
        <v/>
      </c>
      <c r="F438" s="7" t="str">
        <f>IFERROR(VLOOKUP(B438,'Master data'!$A$1:$F$1000,3,FALSE),"")</f>
        <v/>
      </c>
      <c r="G438" s="100"/>
      <c r="H438" s="100"/>
      <c r="I438" s="16"/>
      <c r="J438" s="16"/>
      <c r="K438" s="16" t="b">
        <v>0</v>
      </c>
      <c r="L438" s="16" t="b">
        <v>0</v>
      </c>
    </row>
    <row r="439">
      <c r="A439" s="107"/>
      <c r="B439" s="16"/>
      <c r="C439" s="7" t="str">
        <f>IFERROR(VLOOKUP(B439,'Master data'!$A$1:$F$1000,2,FALSE),"")</f>
        <v/>
      </c>
      <c r="D439" s="7" t="str">
        <f>IFERROR(VLOOKUP(B439,'Master data'!$A$1:$F$1000,6,FALSE),"")</f>
        <v/>
      </c>
      <c r="F439" s="7" t="str">
        <f>IFERROR(VLOOKUP(B439,'Master data'!$A$1:$F$1000,3,FALSE),"")</f>
        <v/>
      </c>
      <c r="G439" s="100"/>
      <c r="H439" s="100"/>
      <c r="I439" s="16"/>
      <c r="J439" s="16"/>
      <c r="K439" s="16" t="b">
        <v>0</v>
      </c>
      <c r="L439" s="16" t="b">
        <v>0</v>
      </c>
    </row>
    <row r="440">
      <c r="A440" s="107"/>
      <c r="B440" s="16"/>
      <c r="C440" s="7" t="str">
        <f>IFERROR(VLOOKUP(B440,'Master data'!$A$1:$F$1000,2,FALSE),"")</f>
        <v/>
      </c>
      <c r="D440" s="7" t="str">
        <f>IFERROR(VLOOKUP(B440,'Master data'!$A$1:$F$1000,6,FALSE),"")</f>
        <v/>
      </c>
      <c r="F440" s="7" t="str">
        <f>IFERROR(VLOOKUP(B440,'Master data'!$A$1:$F$1000,3,FALSE),"")</f>
        <v/>
      </c>
      <c r="G440" s="100"/>
      <c r="H440" s="100"/>
      <c r="I440" s="16"/>
      <c r="J440" s="16"/>
      <c r="K440" s="16" t="b">
        <v>0</v>
      </c>
      <c r="L440" s="16" t="b">
        <v>0</v>
      </c>
    </row>
    <row r="441">
      <c r="A441" s="107"/>
      <c r="B441" s="16"/>
      <c r="C441" s="7" t="str">
        <f>IFERROR(VLOOKUP(B441,'Master data'!$A$1:$F$1000,2,FALSE),"")</f>
        <v/>
      </c>
      <c r="D441" s="7" t="str">
        <f>IFERROR(VLOOKUP(B441,'Master data'!$A$1:$F$1000,6,FALSE),"")</f>
        <v/>
      </c>
      <c r="F441" s="7" t="str">
        <f>IFERROR(VLOOKUP(B441,'Master data'!$A$1:$F$1000,3,FALSE),"")</f>
        <v/>
      </c>
      <c r="G441" s="100"/>
      <c r="H441" s="100"/>
      <c r="I441" s="16"/>
      <c r="J441" s="16"/>
      <c r="K441" s="16" t="b">
        <v>0</v>
      </c>
      <c r="L441" s="16" t="b">
        <v>0</v>
      </c>
    </row>
    <row r="442">
      <c r="A442" s="107"/>
      <c r="B442" s="16"/>
      <c r="C442" s="7" t="str">
        <f>IFERROR(VLOOKUP(B442,'Master data'!$A$1:$F$1000,2,FALSE),"")</f>
        <v/>
      </c>
      <c r="D442" s="7" t="str">
        <f>IFERROR(VLOOKUP(B442,'Master data'!$A$1:$F$1000,6,FALSE),"")</f>
        <v/>
      </c>
      <c r="F442" s="7" t="str">
        <f>IFERROR(VLOOKUP(B442,'Master data'!$A$1:$F$1000,3,FALSE),"")</f>
        <v/>
      </c>
      <c r="G442" s="100"/>
      <c r="H442" s="100"/>
      <c r="I442" s="16"/>
      <c r="J442" s="16"/>
      <c r="K442" s="16" t="b">
        <v>0</v>
      </c>
      <c r="L442" s="16" t="b">
        <v>0</v>
      </c>
    </row>
    <row r="443">
      <c r="A443" s="107"/>
      <c r="B443" s="16"/>
      <c r="C443" s="7" t="str">
        <f>IFERROR(VLOOKUP(B443,'Master data'!$A$1:$F$1000,2,FALSE),"")</f>
        <v/>
      </c>
      <c r="D443" s="7" t="str">
        <f>IFERROR(VLOOKUP(B443,'Master data'!$A$1:$F$1000,6,FALSE),"")</f>
        <v/>
      </c>
      <c r="F443" s="7" t="str">
        <f>IFERROR(VLOOKUP(B443,'Master data'!$A$1:$F$1000,3,FALSE),"")</f>
        <v/>
      </c>
      <c r="G443" s="100"/>
      <c r="H443" s="100"/>
      <c r="I443" s="16"/>
      <c r="J443" s="16"/>
      <c r="K443" s="16" t="b">
        <v>0</v>
      </c>
      <c r="L443" s="16" t="b">
        <v>0</v>
      </c>
    </row>
    <row r="444">
      <c r="A444" s="107"/>
      <c r="B444" s="16"/>
      <c r="C444" s="7" t="str">
        <f>IFERROR(VLOOKUP(B444,'Master data'!$A$1:$F$1000,2,FALSE),"")</f>
        <v/>
      </c>
      <c r="D444" s="7" t="str">
        <f>IFERROR(VLOOKUP(B444,'Master data'!$A$1:$F$1000,6,FALSE),"")</f>
        <v/>
      </c>
      <c r="F444" s="7" t="str">
        <f>IFERROR(VLOOKUP(B444,'Master data'!$A$1:$F$1000,3,FALSE),"")</f>
        <v/>
      </c>
      <c r="G444" s="100"/>
      <c r="H444" s="100"/>
      <c r="I444" s="16"/>
      <c r="J444" s="16"/>
      <c r="K444" s="16" t="b">
        <v>0</v>
      </c>
      <c r="L444" s="16" t="b">
        <v>0</v>
      </c>
    </row>
    <row r="445">
      <c r="A445" s="107"/>
      <c r="B445" s="16"/>
      <c r="C445" s="7" t="str">
        <f>IFERROR(VLOOKUP(B445,'Master data'!$A$1:$F$1000,2,FALSE),"")</f>
        <v/>
      </c>
      <c r="D445" s="7" t="str">
        <f>IFERROR(VLOOKUP(B445,'Master data'!$A$1:$F$1000,6,FALSE),"")</f>
        <v/>
      </c>
      <c r="F445" s="7" t="str">
        <f>IFERROR(VLOOKUP(B445,'Master data'!$A$1:$F$1000,3,FALSE),"")</f>
        <v/>
      </c>
      <c r="G445" s="100"/>
      <c r="H445" s="100"/>
      <c r="I445" s="16"/>
      <c r="J445" s="16"/>
      <c r="K445" s="16" t="b">
        <v>0</v>
      </c>
      <c r="L445" s="16" t="b">
        <v>0</v>
      </c>
    </row>
    <row r="446">
      <c r="A446" s="107"/>
      <c r="B446" s="16"/>
      <c r="C446" s="7" t="str">
        <f>IFERROR(VLOOKUP(B446,'Master data'!$A$1:$F$1000,2,FALSE),"")</f>
        <v/>
      </c>
      <c r="D446" s="7" t="str">
        <f>IFERROR(VLOOKUP(B446,'Master data'!$A$1:$F$1000,6,FALSE),"")</f>
        <v/>
      </c>
      <c r="F446" s="7" t="str">
        <f>IFERROR(VLOOKUP(B446,'Master data'!$A$1:$F$1000,3,FALSE),"")</f>
        <v/>
      </c>
      <c r="G446" s="100"/>
      <c r="H446" s="100"/>
      <c r="I446" s="16"/>
      <c r="J446" s="16"/>
      <c r="K446" s="16" t="b">
        <v>0</v>
      </c>
      <c r="L446" s="16" t="b">
        <v>0</v>
      </c>
    </row>
    <row r="447">
      <c r="A447" s="107"/>
      <c r="B447" s="16"/>
      <c r="C447" s="7" t="str">
        <f>IFERROR(VLOOKUP(B447,'Master data'!$A$1:$F$1000,2,FALSE),"")</f>
        <v/>
      </c>
      <c r="D447" s="7" t="str">
        <f>IFERROR(VLOOKUP(B447,'Master data'!$A$1:$F$1000,6,FALSE),"")</f>
        <v/>
      </c>
      <c r="F447" s="7" t="str">
        <f>IFERROR(VLOOKUP(B447,'Master data'!$A$1:$F$1000,3,FALSE),"")</f>
        <v/>
      </c>
      <c r="G447" s="100"/>
      <c r="H447" s="100"/>
      <c r="I447" s="16"/>
      <c r="J447" s="16"/>
      <c r="K447" s="16" t="b">
        <v>0</v>
      </c>
      <c r="L447" s="16" t="b">
        <v>0</v>
      </c>
    </row>
    <row r="448">
      <c r="A448" s="107"/>
      <c r="B448" s="16"/>
      <c r="C448" s="7" t="str">
        <f>IFERROR(VLOOKUP(B448,'Master data'!$A$1:$F$1000,2,FALSE),"")</f>
        <v/>
      </c>
      <c r="D448" s="7" t="str">
        <f>IFERROR(VLOOKUP(B448,'Master data'!$A$1:$F$1000,6,FALSE),"")</f>
        <v/>
      </c>
      <c r="F448" s="7" t="str">
        <f>IFERROR(VLOOKUP(B448,'Master data'!$A$1:$F$1000,3,FALSE),"")</f>
        <v/>
      </c>
      <c r="G448" s="100"/>
      <c r="H448" s="100"/>
      <c r="I448" s="16"/>
      <c r="J448" s="16"/>
      <c r="K448" s="16" t="b">
        <v>0</v>
      </c>
      <c r="L448" s="16" t="b">
        <v>0</v>
      </c>
    </row>
    <row r="449">
      <c r="A449" s="107"/>
      <c r="B449" s="16"/>
      <c r="C449" s="7" t="str">
        <f>IFERROR(VLOOKUP(B449,'Master data'!$A$1:$F$1000,2,FALSE),"")</f>
        <v/>
      </c>
      <c r="D449" s="7" t="str">
        <f>IFERROR(VLOOKUP(B449,'Master data'!$A$1:$F$1000,6,FALSE),"")</f>
        <v/>
      </c>
      <c r="F449" s="7" t="str">
        <f>IFERROR(VLOOKUP(B449,'Master data'!$A$1:$F$1000,3,FALSE),"")</f>
        <v/>
      </c>
      <c r="G449" s="100"/>
      <c r="H449" s="100"/>
      <c r="I449" s="16"/>
      <c r="J449" s="16"/>
      <c r="K449" s="16" t="b">
        <v>0</v>
      </c>
      <c r="L449" s="16" t="b">
        <v>0</v>
      </c>
    </row>
    <row r="450">
      <c r="A450" s="107"/>
      <c r="B450" s="16"/>
      <c r="C450" s="7" t="str">
        <f>IFERROR(VLOOKUP(B450,'Master data'!$A$1:$F$1000,2,FALSE),"")</f>
        <v/>
      </c>
      <c r="D450" s="7" t="str">
        <f>IFERROR(VLOOKUP(B450,'Master data'!$A$1:$F$1000,6,FALSE),"")</f>
        <v/>
      </c>
      <c r="F450" s="7" t="str">
        <f>IFERROR(VLOOKUP(B450,'Master data'!$A$1:$F$1000,3,FALSE),"")</f>
        <v/>
      </c>
      <c r="G450" s="100"/>
      <c r="H450" s="100"/>
      <c r="I450" s="16"/>
      <c r="J450" s="16"/>
      <c r="K450" s="16" t="b">
        <v>0</v>
      </c>
      <c r="L450" s="16" t="b">
        <v>0</v>
      </c>
    </row>
    <row r="451">
      <c r="A451" s="107"/>
      <c r="B451" s="16"/>
      <c r="C451" s="7" t="str">
        <f>IFERROR(VLOOKUP(B451,'Master data'!$A$1:$F$1000,2,FALSE),"")</f>
        <v/>
      </c>
      <c r="D451" s="7" t="str">
        <f>IFERROR(VLOOKUP(B451,'Master data'!$A$1:$F$1000,6,FALSE),"")</f>
        <v/>
      </c>
      <c r="F451" s="7" t="str">
        <f>IFERROR(VLOOKUP(B451,'Master data'!$A$1:$F$1000,3,FALSE),"")</f>
        <v/>
      </c>
      <c r="G451" s="100"/>
      <c r="H451" s="100"/>
      <c r="I451" s="16"/>
      <c r="J451" s="16"/>
      <c r="K451" s="16" t="b">
        <v>0</v>
      </c>
      <c r="L451" s="16" t="b">
        <v>0</v>
      </c>
    </row>
    <row r="452">
      <c r="A452" s="107"/>
      <c r="B452" s="16"/>
      <c r="C452" s="7" t="str">
        <f>IFERROR(VLOOKUP(B452,'Master data'!$A$1:$F$1000,2,FALSE),"")</f>
        <v/>
      </c>
      <c r="D452" s="7" t="str">
        <f>IFERROR(VLOOKUP(B452,'Master data'!$A$1:$F$1000,6,FALSE),"")</f>
        <v/>
      </c>
      <c r="F452" s="7" t="str">
        <f>IFERROR(VLOOKUP(B452,'Master data'!$A$1:$F$1000,3,FALSE),"")</f>
        <v/>
      </c>
      <c r="G452" s="100"/>
      <c r="H452" s="100"/>
      <c r="I452" s="16"/>
      <c r="J452" s="16"/>
      <c r="K452" s="16" t="b">
        <v>0</v>
      </c>
      <c r="L452" s="16" t="b">
        <v>0</v>
      </c>
    </row>
    <row r="453">
      <c r="A453" s="107"/>
      <c r="B453" s="16"/>
      <c r="C453" s="7" t="str">
        <f>IFERROR(VLOOKUP(B453,'Master data'!$A$1:$F$1000,2,FALSE),"")</f>
        <v/>
      </c>
      <c r="D453" s="7" t="str">
        <f>IFERROR(VLOOKUP(B453,'Master data'!$A$1:$F$1000,6,FALSE),"")</f>
        <v/>
      </c>
      <c r="F453" s="7" t="str">
        <f>IFERROR(VLOOKUP(B453,'Master data'!$A$1:$F$1000,3,FALSE),"")</f>
        <v/>
      </c>
      <c r="G453" s="100"/>
      <c r="H453" s="100"/>
      <c r="I453" s="16"/>
      <c r="J453" s="16"/>
      <c r="K453" s="16" t="b">
        <v>0</v>
      </c>
      <c r="L453" s="16" t="b">
        <v>0</v>
      </c>
    </row>
    <row r="454">
      <c r="A454" s="107"/>
      <c r="B454" s="16"/>
      <c r="C454" s="7" t="str">
        <f>IFERROR(VLOOKUP(B454,'Master data'!$A$1:$F$1000,2,FALSE),"")</f>
        <v/>
      </c>
      <c r="D454" s="7" t="str">
        <f>IFERROR(VLOOKUP(B454,'Master data'!$A$1:$F$1000,6,FALSE),"")</f>
        <v/>
      </c>
      <c r="F454" s="7" t="str">
        <f>IFERROR(VLOOKUP(B454,'Master data'!$A$1:$F$1000,3,FALSE),"")</f>
        <v/>
      </c>
      <c r="G454" s="100"/>
      <c r="H454" s="100"/>
      <c r="I454" s="16"/>
      <c r="J454" s="16"/>
      <c r="K454" s="16" t="b">
        <v>0</v>
      </c>
      <c r="L454" s="16" t="b">
        <v>0</v>
      </c>
    </row>
    <row r="455">
      <c r="A455" s="107"/>
      <c r="B455" s="16"/>
      <c r="C455" s="7" t="str">
        <f>IFERROR(VLOOKUP(B455,'Master data'!$A$1:$F$1000,2,FALSE),"")</f>
        <v/>
      </c>
      <c r="D455" s="7" t="str">
        <f>IFERROR(VLOOKUP(B455,'Master data'!$A$1:$F$1000,6,FALSE),"")</f>
        <v/>
      </c>
      <c r="F455" s="7" t="str">
        <f>IFERROR(VLOOKUP(B455,'Master data'!$A$1:$F$1000,3,FALSE),"")</f>
        <v/>
      </c>
      <c r="G455" s="100"/>
      <c r="H455" s="100"/>
      <c r="I455" s="16"/>
      <c r="J455" s="16"/>
      <c r="K455" s="16" t="b">
        <v>0</v>
      </c>
      <c r="L455" s="16" t="b">
        <v>0</v>
      </c>
    </row>
    <row r="456">
      <c r="A456" s="107"/>
      <c r="B456" s="16"/>
      <c r="C456" s="7" t="str">
        <f>IFERROR(VLOOKUP(B456,'Master data'!$A$1:$F$1000,2,FALSE),"")</f>
        <v/>
      </c>
      <c r="D456" s="7" t="str">
        <f>IFERROR(VLOOKUP(B456,'Master data'!$A$1:$F$1000,6,FALSE),"")</f>
        <v/>
      </c>
      <c r="F456" s="7" t="str">
        <f>IFERROR(VLOOKUP(B456,'Master data'!$A$1:$F$1000,3,FALSE),"")</f>
        <v/>
      </c>
      <c r="G456" s="100"/>
      <c r="H456" s="100"/>
      <c r="I456" s="16"/>
      <c r="J456" s="16"/>
      <c r="K456" s="16" t="b">
        <v>0</v>
      </c>
      <c r="L456" s="16" t="b">
        <v>0</v>
      </c>
    </row>
    <row r="457">
      <c r="A457" s="107"/>
      <c r="B457" s="16"/>
      <c r="C457" s="7" t="str">
        <f>IFERROR(VLOOKUP(B457,'Master data'!$A$1:$F$1000,2,FALSE),"")</f>
        <v/>
      </c>
      <c r="D457" s="7" t="str">
        <f>IFERROR(VLOOKUP(B457,'Master data'!$A$1:$F$1000,6,FALSE),"")</f>
        <v/>
      </c>
      <c r="F457" s="7" t="str">
        <f>IFERROR(VLOOKUP(B457,'Master data'!$A$1:$F$1000,3,FALSE),"")</f>
        <v/>
      </c>
      <c r="G457" s="100"/>
      <c r="H457" s="100"/>
      <c r="I457" s="16"/>
      <c r="J457" s="16"/>
      <c r="K457" s="16" t="b">
        <v>0</v>
      </c>
      <c r="L457" s="16" t="b">
        <v>0</v>
      </c>
    </row>
    <row r="458">
      <c r="A458" s="107"/>
      <c r="B458" s="16"/>
      <c r="C458" s="7" t="str">
        <f>IFERROR(VLOOKUP(B458,'Master data'!$A$1:$F$1000,2,FALSE),"")</f>
        <v/>
      </c>
      <c r="D458" s="7" t="str">
        <f>IFERROR(VLOOKUP(B458,'Master data'!$A$1:$F$1000,6,FALSE),"")</f>
        <v/>
      </c>
      <c r="F458" s="7" t="str">
        <f>IFERROR(VLOOKUP(B458,'Master data'!$A$1:$F$1000,3,FALSE),"")</f>
        <v/>
      </c>
      <c r="G458" s="100"/>
      <c r="H458" s="100"/>
      <c r="I458" s="16"/>
      <c r="J458" s="16"/>
      <c r="K458" s="16" t="b">
        <v>0</v>
      </c>
      <c r="L458" s="16" t="b">
        <v>0</v>
      </c>
    </row>
    <row r="459">
      <c r="A459" s="107"/>
      <c r="B459" s="16"/>
      <c r="C459" s="7" t="str">
        <f>IFERROR(VLOOKUP(B459,'Master data'!$A$1:$F$1000,2,FALSE),"")</f>
        <v/>
      </c>
      <c r="D459" s="7" t="str">
        <f>IFERROR(VLOOKUP(B459,'Master data'!$A$1:$F$1000,6,FALSE),"")</f>
        <v/>
      </c>
      <c r="F459" s="7" t="str">
        <f>IFERROR(VLOOKUP(B459,'Master data'!$A$1:$F$1000,3,FALSE),"")</f>
        <v/>
      </c>
      <c r="G459" s="100"/>
      <c r="H459" s="100"/>
      <c r="I459" s="16"/>
      <c r="J459" s="16"/>
      <c r="K459" s="16" t="b">
        <v>0</v>
      </c>
      <c r="L459" s="16" t="b">
        <v>0</v>
      </c>
    </row>
    <row r="460">
      <c r="A460" s="107"/>
      <c r="B460" s="16"/>
      <c r="C460" s="7" t="str">
        <f>IFERROR(VLOOKUP(B460,'Master data'!$A$1:$F$1000,2,FALSE),"")</f>
        <v/>
      </c>
      <c r="D460" s="7" t="str">
        <f>IFERROR(VLOOKUP(B460,'Master data'!$A$1:$F$1000,6,FALSE),"")</f>
        <v/>
      </c>
      <c r="F460" s="7" t="str">
        <f>IFERROR(VLOOKUP(B460,'Master data'!$A$1:$F$1000,3,FALSE),"")</f>
        <v/>
      </c>
      <c r="G460" s="100"/>
      <c r="H460" s="100"/>
      <c r="I460" s="16"/>
      <c r="J460" s="16"/>
      <c r="K460" s="16" t="b">
        <v>0</v>
      </c>
      <c r="L460" s="16" t="b">
        <v>0</v>
      </c>
    </row>
    <row r="461">
      <c r="A461" s="107"/>
      <c r="B461" s="16"/>
      <c r="C461" s="7" t="str">
        <f>IFERROR(VLOOKUP(B461,'Master data'!$A$1:$F$1000,2,FALSE),"")</f>
        <v/>
      </c>
      <c r="D461" s="7" t="str">
        <f>IFERROR(VLOOKUP(B461,'Master data'!$A$1:$F$1000,6,FALSE),"")</f>
        <v/>
      </c>
      <c r="F461" s="7" t="str">
        <f>IFERROR(VLOOKUP(B461,'Master data'!$A$1:$F$1000,3,FALSE),"")</f>
        <v/>
      </c>
      <c r="G461" s="100"/>
      <c r="H461" s="100"/>
      <c r="I461" s="16"/>
      <c r="J461" s="16"/>
      <c r="K461" s="16" t="b">
        <v>0</v>
      </c>
      <c r="L461" s="16" t="b">
        <v>0</v>
      </c>
    </row>
    <row r="462">
      <c r="A462" s="107"/>
      <c r="B462" s="16"/>
      <c r="C462" s="7" t="str">
        <f>IFERROR(VLOOKUP(B462,'Master data'!$A$1:$F$1000,2,FALSE),"")</f>
        <v/>
      </c>
      <c r="D462" s="7" t="str">
        <f>IFERROR(VLOOKUP(B462,'Master data'!$A$1:$F$1000,6,FALSE),"")</f>
        <v/>
      </c>
      <c r="F462" s="7" t="str">
        <f>IFERROR(VLOOKUP(B462,'Master data'!$A$1:$F$1000,3,FALSE),"")</f>
        <v/>
      </c>
      <c r="G462" s="100"/>
      <c r="H462" s="100"/>
      <c r="I462" s="16"/>
      <c r="J462" s="16"/>
      <c r="K462" s="16" t="b">
        <v>0</v>
      </c>
      <c r="L462" s="16" t="b">
        <v>0</v>
      </c>
    </row>
    <row r="463">
      <c r="A463" s="107"/>
      <c r="B463" s="16"/>
      <c r="C463" s="7" t="str">
        <f>IFERROR(VLOOKUP(B463,'Master data'!$A$1:$F$1000,2,FALSE),"")</f>
        <v/>
      </c>
      <c r="D463" s="7" t="str">
        <f>IFERROR(VLOOKUP(B463,'Master data'!$A$1:$F$1000,6,FALSE),"")</f>
        <v/>
      </c>
      <c r="F463" s="7" t="str">
        <f>IFERROR(VLOOKUP(B463,'Master data'!$A$1:$F$1000,3,FALSE),"")</f>
        <v/>
      </c>
      <c r="G463" s="100"/>
      <c r="H463" s="100"/>
      <c r="I463" s="16"/>
      <c r="J463" s="16"/>
      <c r="K463" s="16" t="b">
        <v>0</v>
      </c>
      <c r="L463" s="16" t="b">
        <v>0</v>
      </c>
    </row>
    <row r="464">
      <c r="A464" s="107"/>
      <c r="B464" s="16"/>
      <c r="C464" s="7" t="str">
        <f>IFERROR(VLOOKUP(B464,'Master data'!$A$1:$F$1000,2,FALSE),"")</f>
        <v/>
      </c>
      <c r="D464" s="7" t="str">
        <f>IFERROR(VLOOKUP(B464,'Master data'!$A$1:$F$1000,6,FALSE),"")</f>
        <v/>
      </c>
      <c r="F464" s="7" t="str">
        <f>IFERROR(VLOOKUP(B464,'Master data'!$A$1:$F$1000,3,FALSE),"")</f>
        <v/>
      </c>
      <c r="G464" s="100"/>
      <c r="H464" s="100"/>
      <c r="I464" s="16"/>
      <c r="J464" s="16"/>
      <c r="K464" s="16" t="b">
        <v>0</v>
      </c>
      <c r="L464" s="16" t="b">
        <v>0</v>
      </c>
    </row>
    <row r="465">
      <c r="A465" s="107"/>
      <c r="B465" s="16"/>
      <c r="C465" s="7" t="str">
        <f>IFERROR(VLOOKUP(B465,'Master data'!$A$1:$F$1000,2,FALSE),"")</f>
        <v/>
      </c>
      <c r="D465" s="7" t="str">
        <f>IFERROR(VLOOKUP(B465,'Master data'!$A$1:$F$1000,6,FALSE),"")</f>
        <v/>
      </c>
      <c r="F465" s="7" t="str">
        <f>IFERROR(VLOOKUP(B465,'Master data'!$A$1:$F$1000,3,FALSE),"")</f>
        <v/>
      </c>
      <c r="G465" s="100"/>
      <c r="H465" s="100"/>
      <c r="I465" s="16"/>
      <c r="J465" s="16"/>
      <c r="K465" s="16" t="b">
        <v>0</v>
      </c>
      <c r="L465" s="16" t="b">
        <v>0</v>
      </c>
    </row>
    <row r="466">
      <c r="A466" s="107"/>
      <c r="B466" s="16"/>
      <c r="C466" s="7" t="str">
        <f>IFERROR(VLOOKUP(B466,'Master data'!$A$1:$F$1000,2,FALSE),"")</f>
        <v/>
      </c>
      <c r="D466" s="7" t="str">
        <f>IFERROR(VLOOKUP(B466,'Master data'!$A$1:$F$1000,6,FALSE),"")</f>
        <v/>
      </c>
      <c r="F466" s="7" t="str">
        <f>IFERROR(VLOOKUP(B466,'Master data'!$A$1:$F$1000,3,FALSE),"")</f>
        <v/>
      </c>
      <c r="G466" s="100"/>
      <c r="H466" s="100"/>
      <c r="I466" s="16"/>
      <c r="J466" s="16"/>
      <c r="K466" s="16" t="b">
        <v>0</v>
      </c>
      <c r="L466" s="16" t="b">
        <v>0</v>
      </c>
    </row>
    <row r="467">
      <c r="A467" s="107"/>
      <c r="B467" s="16"/>
      <c r="C467" s="7" t="str">
        <f>IFERROR(VLOOKUP(B467,'Master data'!$A$1:$F$1000,2,FALSE),"")</f>
        <v/>
      </c>
      <c r="D467" s="7" t="str">
        <f>IFERROR(VLOOKUP(B467,'Master data'!$A$1:$F$1000,6,FALSE),"")</f>
        <v/>
      </c>
      <c r="F467" s="7" t="str">
        <f>IFERROR(VLOOKUP(B467,'Master data'!$A$1:$F$1000,3,FALSE),"")</f>
        <v/>
      </c>
      <c r="G467" s="100"/>
      <c r="H467" s="100"/>
      <c r="I467" s="16"/>
      <c r="J467" s="16"/>
      <c r="K467" s="16" t="b">
        <v>0</v>
      </c>
      <c r="L467" s="16" t="b">
        <v>0</v>
      </c>
    </row>
    <row r="468">
      <c r="A468" s="107"/>
      <c r="B468" s="16"/>
      <c r="C468" s="7" t="str">
        <f>IFERROR(VLOOKUP(B468,'Master data'!$A$1:$F$1000,2,FALSE),"")</f>
        <v/>
      </c>
      <c r="D468" s="7" t="str">
        <f>IFERROR(VLOOKUP(B468,'Master data'!$A$1:$F$1000,6,FALSE),"")</f>
        <v/>
      </c>
      <c r="F468" s="7" t="str">
        <f>IFERROR(VLOOKUP(B468,'Master data'!$A$1:$F$1000,3,FALSE),"")</f>
        <v/>
      </c>
      <c r="G468" s="100"/>
      <c r="H468" s="100"/>
      <c r="I468" s="16"/>
      <c r="J468" s="16"/>
      <c r="K468" s="16" t="b">
        <v>0</v>
      </c>
      <c r="L468" s="16" t="b">
        <v>0</v>
      </c>
    </row>
    <row r="469">
      <c r="A469" s="107"/>
      <c r="B469" s="16"/>
      <c r="C469" s="7" t="str">
        <f>IFERROR(VLOOKUP(B469,'Master data'!$A$1:$F$1000,2,FALSE),"")</f>
        <v/>
      </c>
      <c r="D469" s="7" t="str">
        <f>IFERROR(VLOOKUP(B469,'Master data'!$A$1:$F$1000,6,FALSE),"")</f>
        <v/>
      </c>
      <c r="F469" s="7" t="str">
        <f>IFERROR(VLOOKUP(B469,'Master data'!$A$1:$F$1000,3,FALSE),"")</f>
        <v/>
      </c>
      <c r="G469" s="100"/>
      <c r="H469" s="100"/>
      <c r="I469" s="16"/>
      <c r="J469" s="16"/>
      <c r="K469" s="16" t="b">
        <v>0</v>
      </c>
      <c r="L469" s="16" t="b">
        <v>0</v>
      </c>
    </row>
    <row r="470">
      <c r="A470" s="107"/>
      <c r="B470" s="16"/>
      <c r="C470" s="7" t="str">
        <f>IFERROR(VLOOKUP(B470,'Master data'!$A$1:$F$1000,2,FALSE),"")</f>
        <v/>
      </c>
      <c r="D470" s="7" t="str">
        <f>IFERROR(VLOOKUP(B470,'Master data'!$A$1:$F$1000,6,FALSE),"")</f>
        <v/>
      </c>
      <c r="F470" s="7" t="str">
        <f>IFERROR(VLOOKUP(B470,'Master data'!$A$1:$F$1000,3,FALSE),"")</f>
        <v/>
      </c>
      <c r="G470" s="100"/>
      <c r="H470" s="100"/>
      <c r="I470" s="16"/>
      <c r="J470" s="16"/>
      <c r="K470" s="16" t="b">
        <v>0</v>
      </c>
      <c r="L470" s="16" t="b">
        <v>0</v>
      </c>
    </row>
    <row r="471">
      <c r="A471" s="107"/>
      <c r="B471" s="16"/>
      <c r="C471" s="7" t="str">
        <f>IFERROR(VLOOKUP(B471,'Master data'!$A$1:$F$1000,2,FALSE),"")</f>
        <v/>
      </c>
      <c r="D471" s="7" t="str">
        <f>IFERROR(VLOOKUP(B471,'Master data'!$A$1:$F$1000,6,FALSE),"")</f>
        <v/>
      </c>
      <c r="F471" s="7" t="str">
        <f>IFERROR(VLOOKUP(B471,'Master data'!$A$1:$F$1000,3,FALSE),"")</f>
        <v/>
      </c>
      <c r="G471" s="100"/>
      <c r="H471" s="100"/>
      <c r="I471" s="16"/>
      <c r="J471" s="16"/>
      <c r="K471" s="16" t="b">
        <v>0</v>
      </c>
      <c r="L471" s="16" t="b">
        <v>0</v>
      </c>
    </row>
    <row r="472">
      <c r="A472" s="107"/>
      <c r="B472" s="16"/>
      <c r="C472" s="7" t="str">
        <f>IFERROR(VLOOKUP(B472,'Master data'!$A$1:$F$1000,2,FALSE),"")</f>
        <v/>
      </c>
      <c r="D472" s="7" t="str">
        <f>IFERROR(VLOOKUP(B472,'Master data'!$A$1:$F$1000,6,FALSE),"")</f>
        <v/>
      </c>
      <c r="F472" s="7" t="str">
        <f>IFERROR(VLOOKUP(B472,'Master data'!$A$1:$F$1000,3,FALSE),"")</f>
        <v/>
      </c>
      <c r="G472" s="100"/>
      <c r="H472" s="100"/>
      <c r="I472" s="16"/>
      <c r="J472" s="16"/>
      <c r="K472" s="16" t="b">
        <v>0</v>
      </c>
      <c r="L472" s="16" t="b">
        <v>0</v>
      </c>
    </row>
    <row r="473">
      <c r="A473" s="107"/>
      <c r="B473" s="16"/>
      <c r="C473" s="7" t="str">
        <f>IFERROR(VLOOKUP(B473,'Master data'!$A$1:$F$1000,2,FALSE),"")</f>
        <v/>
      </c>
      <c r="D473" s="7" t="str">
        <f>IFERROR(VLOOKUP(B473,'Master data'!$A$1:$F$1000,6,FALSE),"")</f>
        <v/>
      </c>
      <c r="F473" s="7" t="str">
        <f>IFERROR(VLOOKUP(B473,'Master data'!$A$1:$F$1000,3,FALSE),"")</f>
        <v/>
      </c>
      <c r="G473" s="100"/>
      <c r="H473" s="100"/>
      <c r="I473" s="16"/>
      <c r="J473" s="16"/>
      <c r="K473" s="16" t="b">
        <v>0</v>
      </c>
      <c r="L473" s="16" t="b">
        <v>0</v>
      </c>
    </row>
    <row r="474">
      <c r="A474" s="107"/>
      <c r="B474" s="16"/>
      <c r="C474" s="7" t="str">
        <f>IFERROR(VLOOKUP(B474,'Master data'!$A$1:$F$1000,2,FALSE),"")</f>
        <v/>
      </c>
      <c r="D474" s="7" t="str">
        <f>IFERROR(VLOOKUP(B474,'Master data'!$A$1:$F$1000,6,FALSE),"")</f>
        <v/>
      </c>
      <c r="F474" s="7" t="str">
        <f>IFERROR(VLOOKUP(B474,'Master data'!$A$1:$F$1000,3,FALSE),"")</f>
        <v/>
      </c>
      <c r="G474" s="100"/>
      <c r="H474" s="100"/>
      <c r="I474" s="16"/>
      <c r="J474" s="16"/>
      <c r="K474" s="16" t="b">
        <v>0</v>
      </c>
      <c r="L474" s="16" t="b">
        <v>0</v>
      </c>
    </row>
    <row r="475">
      <c r="A475" s="107"/>
      <c r="B475" s="16"/>
      <c r="C475" s="7" t="str">
        <f>IFERROR(VLOOKUP(B475,'Master data'!$A$1:$F$1000,2,FALSE),"")</f>
        <v/>
      </c>
      <c r="D475" s="7" t="str">
        <f>IFERROR(VLOOKUP(B475,'Master data'!$A$1:$F$1000,6,FALSE),"")</f>
        <v/>
      </c>
      <c r="F475" s="7" t="str">
        <f>IFERROR(VLOOKUP(B475,'Master data'!$A$1:$F$1000,3,FALSE),"")</f>
        <v/>
      </c>
      <c r="G475" s="100"/>
      <c r="H475" s="100"/>
      <c r="I475" s="16"/>
      <c r="J475" s="16"/>
      <c r="K475" s="16" t="b">
        <v>0</v>
      </c>
      <c r="L475" s="16" t="b">
        <v>0</v>
      </c>
    </row>
    <row r="476">
      <c r="A476" s="107"/>
      <c r="B476" s="16"/>
      <c r="C476" s="7" t="str">
        <f>IFERROR(VLOOKUP(B476,'Master data'!$A$1:$F$1000,2,FALSE),"")</f>
        <v/>
      </c>
      <c r="D476" s="7" t="str">
        <f>IFERROR(VLOOKUP(B476,'Master data'!$A$1:$F$1000,6,FALSE),"")</f>
        <v/>
      </c>
      <c r="F476" s="7" t="str">
        <f>IFERROR(VLOOKUP(B476,'Master data'!$A$1:$F$1000,3,FALSE),"")</f>
        <v/>
      </c>
      <c r="G476" s="100"/>
      <c r="H476" s="100"/>
      <c r="I476" s="16"/>
      <c r="J476" s="16"/>
      <c r="K476" s="16" t="b">
        <v>0</v>
      </c>
      <c r="L476" s="16" t="b">
        <v>0</v>
      </c>
    </row>
    <row r="477">
      <c r="A477" s="107"/>
      <c r="B477" s="16"/>
      <c r="C477" s="7" t="str">
        <f>IFERROR(VLOOKUP(B477,'Master data'!$A$1:$F$1000,2,FALSE),"")</f>
        <v/>
      </c>
      <c r="D477" s="7" t="str">
        <f>IFERROR(VLOOKUP(B477,'Master data'!$A$1:$F$1000,6,FALSE),"")</f>
        <v/>
      </c>
      <c r="F477" s="7" t="str">
        <f>IFERROR(VLOOKUP(B477,'Master data'!$A$1:$F$1000,3,FALSE),"")</f>
        <v/>
      </c>
      <c r="G477" s="100"/>
      <c r="H477" s="100"/>
      <c r="I477" s="16"/>
      <c r="J477" s="16"/>
      <c r="K477" s="16" t="b">
        <v>0</v>
      </c>
      <c r="L477" s="16" t="b">
        <v>0</v>
      </c>
    </row>
    <row r="478">
      <c r="A478" s="107"/>
      <c r="B478" s="16"/>
      <c r="C478" s="7" t="str">
        <f>IFERROR(VLOOKUP(B478,'Master data'!$A$1:$F$1000,2,FALSE),"")</f>
        <v/>
      </c>
      <c r="D478" s="7" t="str">
        <f>IFERROR(VLOOKUP(B478,'Master data'!$A$1:$F$1000,6,FALSE),"")</f>
        <v/>
      </c>
      <c r="F478" s="7" t="str">
        <f>IFERROR(VLOOKUP(B478,'Master data'!$A$1:$F$1000,3,FALSE),"")</f>
        <v/>
      </c>
      <c r="G478" s="100"/>
      <c r="H478" s="100"/>
      <c r="I478" s="16"/>
      <c r="J478" s="16"/>
      <c r="K478" s="16" t="b">
        <v>0</v>
      </c>
      <c r="L478" s="16" t="b">
        <v>0</v>
      </c>
    </row>
    <row r="479">
      <c r="A479" s="107"/>
      <c r="B479" s="16"/>
      <c r="C479" s="7" t="str">
        <f>IFERROR(VLOOKUP(B479,'Master data'!$A$1:$F$1000,2,FALSE),"")</f>
        <v/>
      </c>
      <c r="D479" s="7" t="str">
        <f>IFERROR(VLOOKUP(B479,'Master data'!$A$1:$F$1000,6,FALSE),"")</f>
        <v/>
      </c>
      <c r="F479" s="7" t="str">
        <f>IFERROR(VLOOKUP(B479,'Master data'!$A$1:$F$1000,3,FALSE),"")</f>
        <v/>
      </c>
      <c r="G479" s="100"/>
      <c r="H479" s="100"/>
      <c r="I479" s="16"/>
      <c r="J479" s="16"/>
      <c r="K479" s="16" t="b">
        <v>0</v>
      </c>
      <c r="L479" s="16" t="b">
        <v>0</v>
      </c>
    </row>
    <row r="480">
      <c r="A480" s="107"/>
      <c r="B480" s="16"/>
      <c r="C480" s="7" t="str">
        <f>IFERROR(VLOOKUP(B480,'Master data'!$A$1:$F$1000,2,FALSE),"")</f>
        <v/>
      </c>
      <c r="D480" s="7" t="str">
        <f>IFERROR(VLOOKUP(B480,'Master data'!$A$1:$F$1000,6,FALSE),"")</f>
        <v/>
      </c>
      <c r="F480" s="7" t="str">
        <f>IFERROR(VLOOKUP(B480,'Master data'!$A$1:$F$1000,3,FALSE),"")</f>
        <v/>
      </c>
      <c r="G480" s="100"/>
      <c r="H480" s="100"/>
      <c r="I480" s="16"/>
      <c r="J480" s="16"/>
      <c r="K480" s="16" t="b">
        <v>0</v>
      </c>
      <c r="L480" s="16" t="b">
        <v>0</v>
      </c>
    </row>
    <row r="481">
      <c r="A481" s="107"/>
      <c r="B481" s="16"/>
      <c r="C481" s="7" t="str">
        <f>IFERROR(VLOOKUP(B481,'Master data'!$A$1:$F$1000,2,FALSE),"")</f>
        <v/>
      </c>
      <c r="D481" s="7" t="str">
        <f>IFERROR(VLOOKUP(B481,'Master data'!$A$1:$F$1000,6,FALSE),"")</f>
        <v/>
      </c>
      <c r="F481" s="7" t="str">
        <f>IFERROR(VLOOKUP(B481,'Master data'!$A$1:$F$1000,3,FALSE),"")</f>
        <v/>
      </c>
      <c r="G481" s="100"/>
      <c r="H481" s="100"/>
      <c r="I481" s="16"/>
      <c r="J481" s="16"/>
      <c r="K481" s="16" t="b">
        <v>0</v>
      </c>
      <c r="L481" s="16" t="b">
        <v>0</v>
      </c>
    </row>
    <row r="482">
      <c r="A482" s="107"/>
      <c r="B482" s="16"/>
      <c r="C482" s="7" t="str">
        <f>IFERROR(VLOOKUP(B482,'Master data'!$A$1:$F$1000,2,FALSE),"")</f>
        <v/>
      </c>
      <c r="D482" s="7" t="str">
        <f>IFERROR(VLOOKUP(B482,'Master data'!$A$1:$F$1000,6,FALSE),"")</f>
        <v/>
      </c>
      <c r="F482" s="7" t="str">
        <f>IFERROR(VLOOKUP(B482,'Master data'!$A$1:$F$1000,3,FALSE),"")</f>
        <v/>
      </c>
      <c r="G482" s="100"/>
      <c r="H482" s="100"/>
      <c r="I482" s="16"/>
      <c r="J482" s="16"/>
      <c r="K482" s="16" t="b">
        <v>0</v>
      </c>
      <c r="L482" s="16" t="b">
        <v>0</v>
      </c>
    </row>
    <row r="483">
      <c r="A483" s="107"/>
      <c r="B483" s="16"/>
      <c r="C483" s="7" t="str">
        <f>IFERROR(VLOOKUP(B483,'Master data'!$A$1:$F$1000,2,FALSE),"")</f>
        <v/>
      </c>
      <c r="D483" s="7" t="str">
        <f>IFERROR(VLOOKUP(B483,'Master data'!$A$1:$F$1000,6,FALSE),"")</f>
        <v/>
      </c>
      <c r="F483" s="7" t="str">
        <f>IFERROR(VLOOKUP(B483,'Master data'!$A$1:$F$1000,3,FALSE),"")</f>
        <v/>
      </c>
      <c r="G483" s="100"/>
      <c r="H483" s="100"/>
      <c r="I483" s="16"/>
      <c r="J483" s="16"/>
      <c r="K483" s="16" t="b">
        <v>0</v>
      </c>
      <c r="L483" s="16" t="b">
        <v>0</v>
      </c>
    </row>
    <row r="484">
      <c r="A484" s="107"/>
      <c r="B484" s="16"/>
      <c r="C484" s="7" t="str">
        <f>IFERROR(VLOOKUP(B484,'Master data'!$A$1:$F$1000,2,FALSE),"")</f>
        <v/>
      </c>
      <c r="D484" s="7" t="str">
        <f>IFERROR(VLOOKUP(B484,'Master data'!$A$1:$F$1000,6,FALSE),"")</f>
        <v/>
      </c>
      <c r="F484" s="7" t="str">
        <f>IFERROR(VLOOKUP(B484,'Master data'!$A$1:$F$1000,3,FALSE),"")</f>
        <v/>
      </c>
      <c r="G484" s="100"/>
      <c r="H484" s="100"/>
      <c r="I484" s="16"/>
      <c r="J484" s="16"/>
      <c r="K484" s="16" t="b">
        <v>0</v>
      </c>
      <c r="L484" s="16" t="b">
        <v>0</v>
      </c>
    </row>
    <row r="485">
      <c r="A485" s="107"/>
      <c r="B485" s="16"/>
      <c r="C485" s="7" t="str">
        <f>IFERROR(VLOOKUP(B485,'Master data'!$A$1:$F$1000,2,FALSE),"")</f>
        <v/>
      </c>
      <c r="D485" s="7" t="str">
        <f>IFERROR(VLOOKUP(B485,'Master data'!$A$1:$F$1000,6,FALSE),"")</f>
        <v/>
      </c>
      <c r="F485" s="7" t="str">
        <f>IFERROR(VLOOKUP(B485,'Master data'!$A$1:$F$1000,3,FALSE),"")</f>
        <v/>
      </c>
      <c r="G485" s="100"/>
      <c r="H485" s="100"/>
      <c r="I485" s="16"/>
      <c r="J485" s="16"/>
      <c r="K485" s="16" t="b">
        <v>0</v>
      </c>
      <c r="L485" s="16" t="b">
        <v>0</v>
      </c>
    </row>
    <row r="486">
      <c r="A486" s="107"/>
      <c r="B486" s="16"/>
      <c r="C486" s="7" t="str">
        <f>IFERROR(VLOOKUP(B486,'Master data'!$A$1:$F$1000,2,FALSE),"")</f>
        <v/>
      </c>
      <c r="D486" s="7" t="str">
        <f>IFERROR(VLOOKUP(B486,'Master data'!$A$1:$F$1000,6,FALSE),"")</f>
        <v/>
      </c>
      <c r="F486" s="7" t="str">
        <f>IFERROR(VLOOKUP(B486,'Master data'!$A$1:$F$1000,3,FALSE),"")</f>
        <v/>
      </c>
      <c r="G486" s="100"/>
      <c r="H486" s="100"/>
      <c r="I486" s="16"/>
      <c r="J486" s="16"/>
      <c r="K486" s="16" t="b">
        <v>0</v>
      </c>
      <c r="L486" s="16" t="b">
        <v>0</v>
      </c>
    </row>
    <row r="487">
      <c r="A487" s="107"/>
      <c r="B487" s="16"/>
      <c r="C487" s="7" t="str">
        <f>IFERROR(VLOOKUP(B487,'Master data'!$A$1:$F$1000,2,FALSE),"")</f>
        <v/>
      </c>
      <c r="D487" s="7" t="str">
        <f>IFERROR(VLOOKUP(B487,'Master data'!$A$1:$F$1000,6,FALSE),"")</f>
        <v/>
      </c>
      <c r="F487" s="7" t="str">
        <f>IFERROR(VLOOKUP(B487,'Master data'!$A$1:$F$1000,3,FALSE),"")</f>
        <v/>
      </c>
      <c r="G487" s="100"/>
      <c r="H487" s="100"/>
      <c r="I487" s="16"/>
      <c r="J487" s="16"/>
      <c r="K487" s="16" t="b">
        <v>0</v>
      </c>
      <c r="L487" s="16" t="b">
        <v>0</v>
      </c>
    </row>
    <row r="488">
      <c r="A488" s="107"/>
      <c r="B488" s="16"/>
      <c r="C488" s="7" t="str">
        <f>IFERROR(VLOOKUP(B488,'Master data'!$A$1:$F$1000,2,FALSE),"")</f>
        <v/>
      </c>
      <c r="D488" s="7" t="str">
        <f>IFERROR(VLOOKUP(B488,'Master data'!$A$1:$F$1000,6,FALSE),"")</f>
        <v/>
      </c>
      <c r="F488" s="7" t="str">
        <f>IFERROR(VLOOKUP(B488,'Master data'!$A$1:$F$1000,3,FALSE),"")</f>
        <v/>
      </c>
      <c r="G488" s="100"/>
      <c r="H488" s="100"/>
      <c r="I488" s="16"/>
      <c r="J488" s="16"/>
      <c r="K488" s="16" t="b">
        <v>0</v>
      </c>
      <c r="L488" s="16" t="b">
        <v>0</v>
      </c>
    </row>
    <row r="489">
      <c r="A489" s="107"/>
      <c r="B489" s="16"/>
      <c r="C489" s="7" t="str">
        <f>IFERROR(VLOOKUP(B489,'Master data'!$A$1:$F$1000,2,FALSE),"")</f>
        <v/>
      </c>
      <c r="D489" s="7" t="str">
        <f>IFERROR(VLOOKUP(B489,'Master data'!$A$1:$F$1000,6,FALSE),"")</f>
        <v/>
      </c>
      <c r="F489" s="7" t="str">
        <f>IFERROR(VLOOKUP(B489,'Master data'!$A$1:$F$1000,3,FALSE),"")</f>
        <v/>
      </c>
      <c r="G489" s="100"/>
      <c r="H489" s="100"/>
      <c r="I489" s="16"/>
      <c r="J489" s="16"/>
      <c r="K489" s="16" t="b">
        <v>0</v>
      </c>
      <c r="L489" s="16" t="b">
        <v>0</v>
      </c>
    </row>
    <row r="490">
      <c r="A490" s="107"/>
      <c r="B490" s="16"/>
      <c r="C490" s="7" t="str">
        <f>IFERROR(VLOOKUP(B490,'Master data'!$A$1:$F$1000,2,FALSE),"")</f>
        <v/>
      </c>
      <c r="D490" s="7" t="str">
        <f>IFERROR(VLOOKUP(B490,'Master data'!$A$1:$F$1000,6,FALSE),"")</f>
        <v/>
      </c>
      <c r="F490" s="7" t="str">
        <f>IFERROR(VLOOKUP(B490,'Master data'!$A$1:$F$1000,3,FALSE),"")</f>
        <v/>
      </c>
      <c r="G490" s="100"/>
      <c r="H490" s="100"/>
      <c r="I490" s="16"/>
      <c r="J490" s="16"/>
      <c r="K490" s="16" t="b">
        <v>0</v>
      </c>
      <c r="L490" s="16" t="b">
        <v>0</v>
      </c>
    </row>
    <row r="491">
      <c r="A491" s="107"/>
      <c r="B491" s="16"/>
      <c r="C491" s="7" t="str">
        <f>IFERROR(VLOOKUP(B491,'Master data'!$A$1:$F$1000,2,FALSE),"")</f>
        <v/>
      </c>
      <c r="D491" s="7" t="str">
        <f>IFERROR(VLOOKUP(B491,'Master data'!$A$1:$F$1000,6,FALSE),"")</f>
        <v/>
      </c>
      <c r="F491" s="7" t="str">
        <f>IFERROR(VLOOKUP(B491,'Master data'!$A$1:$F$1000,3,FALSE),"")</f>
        <v/>
      </c>
      <c r="G491" s="100"/>
      <c r="H491" s="100"/>
      <c r="I491" s="16"/>
      <c r="J491" s="16"/>
      <c r="K491" s="16" t="b">
        <v>0</v>
      </c>
      <c r="L491" s="16" t="b">
        <v>0</v>
      </c>
    </row>
    <row r="492">
      <c r="A492" s="107"/>
      <c r="B492" s="16"/>
      <c r="C492" s="7" t="str">
        <f>IFERROR(VLOOKUP(B492,'Master data'!$A$1:$F$1000,2,FALSE),"")</f>
        <v/>
      </c>
      <c r="D492" s="7" t="str">
        <f>IFERROR(VLOOKUP(B492,'Master data'!$A$1:$F$1000,6,FALSE),"")</f>
        <v/>
      </c>
      <c r="F492" s="7" t="str">
        <f>IFERROR(VLOOKUP(B492,'Master data'!$A$1:$F$1000,3,FALSE),"")</f>
        <v/>
      </c>
      <c r="G492" s="100"/>
      <c r="H492" s="100"/>
      <c r="I492" s="16"/>
      <c r="J492" s="16"/>
      <c r="K492" s="16" t="b">
        <v>0</v>
      </c>
      <c r="L492" s="16" t="b">
        <v>0</v>
      </c>
    </row>
    <row r="493">
      <c r="A493" s="107"/>
      <c r="B493" s="16"/>
      <c r="C493" s="7" t="str">
        <f>IFERROR(VLOOKUP(B493,'Master data'!$A$1:$F$1000,2,FALSE),"")</f>
        <v/>
      </c>
      <c r="D493" s="7" t="str">
        <f>IFERROR(VLOOKUP(B493,'Master data'!$A$1:$F$1000,6,FALSE),"")</f>
        <v/>
      </c>
      <c r="F493" s="7" t="str">
        <f>IFERROR(VLOOKUP(B493,'Master data'!$A$1:$F$1000,3,FALSE),"")</f>
        <v/>
      </c>
      <c r="G493" s="100"/>
      <c r="H493" s="100"/>
      <c r="I493" s="16"/>
      <c r="J493" s="16"/>
      <c r="K493" s="16" t="b">
        <v>0</v>
      </c>
      <c r="L493" s="16" t="b">
        <v>0</v>
      </c>
    </row>
    <row r="494">
      <c r="A494" s="107"/>
      <c r="B494" s="16"/>
      <c r="C494" s="7" t="str">
        <f>IFERROR(VLOOKUP(B494,'Master data'!$A$1:$F$1000,2,FALSE),"")</f>
        <v/>
      </c>
      <c r="D494" s="7" t="str">
        <f>IFERROR(VLOOKUP(B494,'Master data'!$A$1:$F$1000,6,FALSE),"")</f>
        <v/>
      </c>
      <c r="F494" s="7" t="str">
        <f>IFERROR(VLOOKUP(B494,'Master data'!$A$1:$F$1000,3,FALSE),"")</f>
        <v/>
      </c>
      <c r="G494" s="100"/>
      <c r="H494" s="100"/>
      <c r="I494" s="16"/>
      <c r="J494" s="16"/>
      <c r="K494" s="16" t="b">
        <v>0</v>
      </c>
      <c r="L494" s="16" t="b">
        <v>0</v>
      </c>
    </row>
    <row r="495">
      <c r="A495" s="107"/>
      <c r="B495" s="16"/>
      <c r="C495" s="7" t="str">
        <f>IFERROR(VLOOKUP(B495,'Master data'!$A$1:$F$1000,2,FALSE),"")</f>
        <v/>
      </c>
      <c r="D495" s="7" t="str">
        <f>IFERROR(VLOOKUP(B495,'Master data'!$A$1:$F$1000,6,FALSE),"")</f>
        <v/>
      </c>
      <c r="F495" s="7" t="str">
        <f>IFERROR(VLOOKUP(B495,'Master data'!$A$1:$F$1000,3,FALSE),"")</f>
        <v/>
      </c>
      <c r="G495" s="100"/>
      <c r="H495" s="100"/>
      <c r="I495" s="16"/>
      <c r="J495" s="16"/>
      <c r="K495" s="16" t="b">
        <v>0</v>
      </c>
      <c r="L495" s="16" t="b">
        <v>0</v>
      </c>
    </row>
    <row r="496">
      <c r="A496" s="107"/>
      <c r="B496" s="16"/>
      <c r="C496" s="7" t="str">
        <f>IFERROR(VLOOKUP(B496,'Master data'!$A$1:$F$1000,2,FALSE),"")</f>
        <v/>
      </c>
      <c r="D496" s="7" t="str">
        <f>IFERROR(VLOOKUP(B496,'Master data'!$A$1:$F$1000,6,FALSE),"")</f>
        <v/>
      </c>
      <c r="F496" s="7" t="str">
        <f>IFERROR(VLOOKUP(B496,'Master data'!$A$1:$F$1000,3,FALSE),"")</f>
        <v/>
      </c>
      <c r="G496" s="100"/>
      <c r="H496" s="100"/>
      <c r="I496" s="16"/>
      <c r="J496" s="16"/>
      <c r="K496" s="16" t="b">
        <v>0</v>
      </c>
      <c r="L496" s="16" t="b">
        <v>0</v>
      </c>
    </row>
    <row r="497">
      <c r="A497" s="107"/>
      <c r="B497" s="16"/>
      <c r="C497" s="7" t="str">
        <f>IFERROR(VLOOKUP(B497,'Master data'!$A$1:$F$1000,2,FALSE),"")</f>
        <v/>
      </c>
      <c r="D497" s="7" t="str">
        <f>IFERROR(VLOOKUP(B497,'Master data'!$A$1:$F$1000,6,FALSE),"")</f>
        <v/>
      </c>
      <c r="F497" s="7" t="str">
        <f>IFERROR(VLOOKUP(B497,'Master data'!$A$1:$F$1000,3,FALSE),"")</f>
        <v/>
      </c>
      <c r="G497" s="100"/>
      <c r="H497" s="100"/>
      <c r="I497" s="16"/>
      <c r="J497" s="16"/>
      <c r="K497" s="16" t="b">
        <v>0</v>
      </c>
      <c r="L497" s="16" t="b">
        <v>0</v>
      </c>
    </row>
    <row r="498">
      <c r="A498" s="107"/>
      <c r="B498" s="16"/>
      <c r="C498" s="7" t="str">
        <f>IFERROR(VLOOKUP(B498,'Master data'!$A$1:$F$1000,2,FALSE),"")</f>
        <v/>
      </c>
      <c r="D498" s="7" t="str">
        <f>IFERROR(VLOOKUP(B498,'Master data'!$A$1:$F$1000,6,FALSE),"")</f>
        <v/>
      </c>
      <c r="F498" s="7" t="str">
        <f>IFERROR(VLOOKUP(B498,'Master data'!$A$1:$F$1000,3,FALSE),"")</f>
        <v/>
      </c>
      <c r="G498" s="100"/>
      <c r="H498" s="100"/>
      <c r="I498" s="16"/>
      <c r="J498" s="16"/>
      <c r="K498" s="16" t="b">
        <v>0</v>
      </c>
      <c r="L498" s="16" t="b">
        <v>0</v>
      </c>
    </row>
    <row r="499">
      <c r="A499" s="107"/>
      <c r="B499" s="16"/>
      <c r="C499" s="7" t="str">
        <f>IFERROR(VLOOKUP(B499,'Master data'!$A$1:$F$1000,2,FALSE),"")</f>
        <v/>
      </c>
      <c r="D499" s="7" t="str">
        <f>IFERROR(VLOOKUP(B499,'Master data'!$A$1:$F$1000,6,FALSE),"")</f>
        <v/>
      </c>
      <c r="F499" s="7" t="str">
        <f>IFERROR(VLOOKUP(B499,'Master data'!$A$1:$F$1000,3,FALSE),"")</f>
        <v/>
      </c>
      <c r="G499" s="100"/>
      <c r="H499" s="100"/>
      <c r="I499" s="16"/>
      <c r="J499" s="16"/>
      <c r="K499" s="16" t="b">
        <v>0</v>
      </c>
      <c r="L499" s="16" t="b">
        <v>0</v>
      </c>
    </row>
    <row r="500">
      <c r="A500" s="107"/>
      <c r="B500" s="16"/>
      <c r="C500" s="7" t="str">
        <f>IFERROR(VLOOKUP(B500,'Master data'!$A$1:$F$1000,2,FALSE),"")</f>
        <v/>
      </c>
      <c r="D500" s="7" t="str">
        <f>IFERROR(VLOOKUP(B500,'Master data'!$A$1:$F$1000,6,FALSE),"")</f>
        <v/>
      </c>
      <c r="F500" s="7" t="str">
        <f>IFERROR(VLOOKUP(B500,'Master data'!$A$1:$F$1000,3,FALSE),"")</f>
        <v/>
      </c>
      <c r="G500" s="100"/>
      <c r="H500" s="100"/>
      <c r="I500" s="16"/>
      <c r="J500" s="16"/>
      <c r="K500" s="16" t="b">
        <v>0</v>
      </c>
      <c r="L500" s="16" t="b">
        <v>0</v>
      </c>
    </row>
    <row r="501">
      <c r="A501" s="107"/>
      <c r="B501" s="16"/>
      <c r="C501" s="7" t="str">
        <f>IFERROR(VLOOKUP(B501,'Master data'!$A$1:$F$1000,2,FALSE),"")</f>
        <v/>
      </c>
      <c r="D501" s="7" t="str">
        <f>IFERROR(VLOOKUP(B501,'Master data'!$A$1:$F$1000,6,FALSE),"")</f>
        <v/>
      </c>
      <c r="F501" s="7" t="str">
        <f>IFERROR(VLOOKUP(B501,'Master data'!$A$1:$F$1000,3,FALSE),"")</f>
        <v/>
      </c>
      <c r="G501" s="100"/>
      <c r="H501" s="100"/>
      <c r="I501" s="16"/>
      <c r="J501" s="16"/>
      <c r="K501" s="16" t="b">
        <v>0</v>
      </c>
      <c r="L501" s="16" t="b">
        <v>0</v>
      </c>
    </row>
    <row r="502">
      <c r="A502" s="107"/>
      <c r="B502" s="16"/>
      <c r="C502" s="7" t="str">
        <f>IFERROR(VLOOKUP(B502,'Master data'!$A$1:$F$1000,2,FALSE),"")</f>
        <v/>
      </c>
      <c r="D502" s="7" t="str">
        <f>IFERROR(VLOOKUP(B502,'Master data'!$A$1:$F$1000,6,FALSE),"")</f>
        <v/>
      </c>
      <c r="F502" s="7" t="str">
        <f>IFERROR(VLOOKUP(B502,'Master data'!$A$1:$F$1000,3,FALSE),"")</f>
        <v/>
      </c>
      <c r="G502" s="100"/>
      <c r="H502" s="100"/>
      <c r="I502" s="16"/>
      <c r="J502" s="16"/>
      <c r="K502" s="16" t="b">
        <v>0</v>
      </c>
      <c r="L502" s="16" t="b">
        <v>0</v>
      </c>
    </row>
    <row r="503">
      <c r="A503" s="107"/>
      <c r="B503" s="16"/>
      <c r="C503" s="7" t="str">
        <f>IFERROR(VLOOKUP(B503,'Master data'!$A$1:$F$1000,2,FALSE),"")</f>
        <v/>
      </c>
      <c r="D503" s="7" t="str">
        <f>IFERROR(VLOOKUP(B503,'Master data'!$A$1:$F$1000,6,FALSE),"")</f>
        <v/>
      </c>
      <c r="F503" s="7" t="str">
        <f>IFERROR(VLOOKUP(B503,'Master data'!$A$1:$F$1000,3,FALSE),"")</f>
        <v/>
      </c>
      <c r="G503" s="100"/>
      <c r="H503" s="100"/>
      <c r="I503" s="16"/>
      <c r="J503" s="16"/>
      <c r="K503" s="16" t="b">
        <v>0</v>
      </c>
      <c r="L503" s="16" t="b">
        <v>0</v>
      </c>
    </row>
    <row r="504">
      <c r="A504" s="107"/>
      <c r="B504" s="16"/>
      <c r="C504" s="7" t="str">
        <f>IFERROR(VLOOKUP(B504,'Master data'!$A$1:$F$1000,2,FALSE),"")</f>
        <v/>
      </c>
      <c r="D504" s="7" t="str">
        <f>IFERROR(VLOOKUP(B504,'Master data'!$A$1:$F$1000,6,FALSE),"")</f>
        <v/>
      </c>
      <c r="F504" s="7" t="str">
        <f>IFERROR(VLOOKUP(B504,'Master data'!$A$1:$F$1000,3,FALSE),"")</f>
        <v/>
      </c>
      <c r="G504" s="100"/>
      <c r="H504" s="100"/>
      <c r="I504" s="16"/>
      <c r="J504" s="16"/>
      <c r="K504" s="16" t="b">
        <v>0</v>
      </c>
      <c r="L504" s="16" t="b">
        <v>0</v>
      </c>
    </row>
    <row r="505">
      <c r="A505" s="107"/>
      <c r="B505" s="16"/>
      <c r="C505" s="7" t="str">
        <f>IFERROR(VLOOKUP(B505,'Master data'!$A$1:$F$1000,2,FALSE),"")</f>
        <v/>
      </c>
      <c r="D505" s="7" t="str">
        <f>IFERROR(VLOOKUP(B505,'Master data'!$A$1:$F$1000,6,FALSE),"")</f>
        <v/>
      </c>
      <c r="F505" s="7" t="str">
        <f>IFERROR(VLOOKUP(B505,'Master data'!$A$1:$F$1000,3,FALSE),"")</f>
        <v/>
      </c>
      <c r="G505" s="100"/>
      <c r="H505" s="100"/>
      <c r="I505" s="16"/>
      <c r="J505" s="16"/>
      <c r="K505" s="16" t="b">
        <v>0</v>
      </c>
      <c r="L505" s="16" t="b">
        <v>0</v>
      </c>
    </row>
    <row r="506">
      <c r="A506" s="107"/>
      <c r="B506" s="16"/>
      <c r="C506" s="7" t="str">
        <f>IFERROR(VLOOKUP(B506,'Master data'!$A$1:$F$1000,2,FALSE),"")</f>
        <v/>
      </c>
      <c r="D506" s="7" t="str">
        <f>IFERROR(VLOOKUP(B506,'Master data'!$A$1:$F$1000,6,FALSE),"")</f>
        <v/>
      </c>
      <c r="F506" s="7" t="str">
        <f>IFERROR(VLOOKUP(B506,'Master data'!$A$1:$F$1000,3,FALSE),"")</f>
        <v/>
      </c>
      <c r="G506" s="100"/>
      <c r="H506" s="100"/>
      <c r="I506" s="16"/>
      <c r="J506" s="16"/>
      <c r="K506" s="16" t="b">
        <v>0</v>
      </c>
      <c r="L506" s="16" t="b">
        <v>0</v>
      </c>
    </row>
    <row r="507">
      <c r="A507" s="107"/>
      <c r="B507" s="16"/>
      <c r="C507" s="7" t="str">
        <f>IFERROR(VLOOKUP(B507,'Master data'!$A$1:$F$1000,2,FALSE),"")</f>
        <v/>
      </c>
      <c r="D507" s="7" t="str">
        <f>IFERROR(VLOOKUP(B507,'Master data'!$A$1:$F$1000,6,FALSE),"")</f>
        <v/>
      </c>
      <c r="F507" s="7" t="str">
        <f>IFERROR(VLOOKUP(B507,'Master data'!$A$1:$F$1000,3,FALSE),"")</f>
        <v/>
      </c>
      <c r="G507" s="100"/>
      <c r="H507" s="100"/>
      <c r="I507" s="16"/>
      <c r="J507" s="16"/>
      <c r="K507" s="16" t="b">
        <v>0</v>
      </c>
      <c r="L507" s="16" t="b">
        <v>0</v>
      </c>
    </row>
    <row r="508">
      <c r="A508" s="107"/>
      <c r="B508" s="16"/>
      <c r="C508" s="7" t="str">
        <f>IFERROR(VLOOKUP(B508,'Master data'!$A$1:$F$1000,2,FALSE),"")</f>
        <v/>
      </c>
      <c r="D508" s="7" t="str">
        <f>IFERROR(VLOOKUP(B508,'Master data'!$A$1:$F$1000,6,FALSE),"")</f>
        <v/>
      </c>
      <c r="F508" s="7" t="str">
        <f>IFERROR(VLOOKUP(B508,'Master data'!$A$1:$F$1000,3,FALSE),"")</f>
        <v/>
      </c>
      <c r="G508" s="100"/>
      <c r="H508" s="100"/>
      <c r="I508" s="16"/>
      <c r="J508" s="16"/>
      <c r="K508" s="16" t="b">
        <v>0</v>
      </c>
      <c r="L508" s="16" t="b">
        <v>0</v>
      </c>
    </row>
    <row r="509">
      <c r="A509" s="107"/>
      <c r="B509" s="16"/>
      <c r="C509" s="7" t="str">
        <f>IFERROR(VLOOKUP(B509,'Master data'!$A$1:$F$1000,2,FALSE),"")</f>
        <v/>
      </c>
      <c r="D509" s="7" t="str">
        <f>IFERROR(VLOOKUP(B509,'Master data'!$A$1:$F$1000,6,FALSE),"")</f>
        <v/>
      </c>
      <c r="F509" s="7" t="str">
        <f>IFERROR(VLOOKUP(B509,'Master data'!$A$1:$F$1000,3,FALSE),"")</f>
        <v/>
      </c>
      <c r="G509" s="100"/>
      <c r="H509" s="100"/>
      <c r="I509" s="16"/>
      <c r="J509" s="16"/>
      <c r="K509" s="16" t="b">
        <v>0</v>
      </c>
      <c r="L509" s="16" t="b">
        <v>0</v>
      </c>
    </row>
    <row r="510">
      <c r="A510" s="107"/>
      <c r="B510" s="16"/>
      <c r="C510" s="7" t="str">
        <f>IFERROR(VLOOKUP(B510,'Master data'!$A$1:$F$1000,2,FALSE),"")</f>
        <v/>
      </c>
      <c r="D510" s="7" t="str">
        <f>IFERROR(VLOOKUP(B510,'Master data'!$A$1:$F$1000,6,FALSE),"")</f>
        <v/>
      </c>
      <c r="F510" s="7" t="str">
        <f>IFERROR(VLOOKUP(B510,'Master data'!$A$1:$F$1000,3,FALSE),"")</f>
        <v/>
      </c>
      <c r="G510" s="100"/>
      <c r="H510" s="100"/>
      <c r="I510" s="16"/>
      <c r="J510" s="16"/>
      <c r="K510" s="16" t="b">
        <v>0</v>
      </c>
      <c r="L510" s="16" t="b">
        <v>0</v>
      </c>
    </row>
    <row r="511">
      <c r="A511" s="107"/>
      <c r="B511" s="16"/>
      <c r="C511" s="7" t="str">
        <f>IFERROR(VLOOKUP(B511,'Master data'!$A$1:$F$1000,2,FALSE),"")</f>
        <v/>
      </c>
      <c r="D511" s="7" t="str">
        <f>IFERROR(VLOOKUP(B511,'Master data'!$A$1:$F$1000,6,FALSE),"")</f>
        <v/>
      </c>
      <c r="F511" s="7" t="str">
        <f>IFERROR(VLOOKUP(B511,'Master data'!$A$1:$F$1000,3,FALSE),"")</f>
        <v/>
      </c>
      <c r="G511" s="100"/>
      <c r="H511" s="100"/>
      <c r="I511" s="16"/>
      <c r="J511" s="16"/>
      <c r="K511" s="16" t="b">
        <v>0</v>
      </c>
      <c r="L511" s="16" t="b">
        <v>0</v>
      </c>
    </row>
    <row r="512">
      <c r="A512" s="107"/>
      <c r="B512" s="16"/>
      <c r="C512" s="7" t="str">
        <f>IFERROR(VLOOKUP(B512,'Master data'!$A$1:$F$1000,2,FALSE),"")</f>
        <v/>
      </c>
      <c r="D512" s="7" t="str">
        <f>IFERROR(VLOOKUP(B512,'Master data'!$A$1:$F$1000,6,FALSE),"")</f>
        <v/>
      </c>
      <c r="F512" s="7" t="str">
        <f>IFERROR(VLOOKUP(B512,'Master data'!$A$1:$F$1000,3,FALSE),"")</f>
        <v/>
      </c>
      <c r="G512" s="100"/>
      <c r="H512" s="100"/>
      <c r="I512" s="16"/>
      <c r="J512" s="16"/>
      <c r="K512" s="16" t="b">
        <v>0</v>
      </c>
      <c r="L512" s="16" t="b">
        <v>0</v>
      </c>
    </row>
    <row r="513">
      <c r="A513" s="107"/>
      <c r="B513" s="16"/>
      <c r="C513" s="7" t="str">
        <f>IFERROR(VLOOKUP(B513,'Master data'!$A$1:$F$1000,2,FALSE),"")</f>
        <v/>
      </c>
      <c r="D513" s="7" t="str">
        <f>IFERROR(VLOOKUP(B513,'Master data'!$A$1:$F$1000,6,FALSE),"")</f>
        <v/>
      </c>
      <c r="F513" s="7" t="str">
        <f>IFERROR(VLOOKUP(B513,'Master data'!$A$1:$F$1000,3,FALSE),"")</f>
        <v/>
      </c>
      <c r="G513" s="100"/>
      <c r="H513" s="100"/>
      <c r="I513" s="16"/>
      <c r="J513" s="16"/>
      <c r="K513" s="16" t="b">
        <v>0</v>
      </c>
      <c r="L513" s="16" t="b">
        <v>0</v>
      </c>
    </row>
    <row r="514">
      <c r="A514" s="107"/>
      <c r="B514" s="16"/>
      <c r="C514" s="7" t="str">
        <f>IFERROR(VLOOKUP(B514,'Master data'!$A$1:$F$1000,2,FALSE),"")</f>
        <v/>
      </c>
      <c r="D514" s="7" t="str">
        <f>IFERROR(VLOOKUP(B514,'Master data'!$A$1:$F$1000,6,FALSE),"")</f>
        <v/>
      </c>
      <c r="F514" s="7" t="str">
        <f>IFERROR(VLOOKUP(B514,'Master data'!$A$1:$F$1000,3,FALSE),"")</f>
        <v/>
      </c>
      <c r="G514" s="100"/>
      <c r="H514" s="100"/>
      <c r="I514" s="16"/>
      <c r="J514" s="16"/>
      <c r="K514" s="16" t="b">
        <v>0</v>
      </c>
      <c r="L514" s="16" t="b">
        <v>0</v>
      </c>
    </row>
    <row r="515">
      <c r="A515" s="107"/>
      <c r="B515" s="16"/>
      <c r="C515" s="7" t="str">
        <f>IFERROR(VLOOKUP(B515,'Master data'!$A$1:$F$1000,2,FALSE),"")</f>
        <v/>
      </c>
      <c r="D515" s="7" t="str">
        <f>IFERROR(VLOOKUP(B515,'Master data'!$A$1:$F$1000,6,FALSE),"")</f>
        <v/>
      </c>
      <c r="F515" s="7" t="str">
        <f>IFERROR(VLOOKUP(B515,'Master data'!$A$1:$F$1000,3,FALSE),"")</f>
        <v/>
      </c>
      <c r="G515" s="100"/>
      <c r="H515" s="100"/>
      <c r="I515" s="16"/>
      <c r="J515" s="16"/>
      <c r="K515" s="16" t="b">
        <v>0</v>
      </c>
      <c r="L515" s="16" t="b">
        <v>0</v>
      </c>
    </row>
    <row r="516">
      <c r="A516" s="107"/>
      <c r="B516" s="16"/>
      <c r="C516" s="7" t="str">
        <f>IFERROR(VLOOKUP(B516,'Master data'!$A$1:$F$1000,2,FALSE),"")</f>
        <v/>
      </c>
      <c r="D516" s="7" t="str">
        <f>IFERROR(VLOOKUP(B516,'Master data'!$A$1:$F$1000,6,FALSE),"")</f>
        <v/>
      </c>
      <c r="F516" s="7" t="str">
        <f>IFERROR(VLOOKUP(B516,'Master data'!$A$1:$F$1000,3,FALSE),"")</f>
        <v/>
      </c>
      <c r="G516" s="100"/>
      <c r="H516" s="100"/>
      <c r="I516" s="16"/>
      <c r="J516" s="16"/>
      <c r="K516" s="16" t="b">
        <v>0</v>
      </c>
      <c r="L516" s="16" t="b">
        <v>0</v>
      </c>
    </row>
    <row r="517">
      <c r="A517" s="107"/>
      <c r="B517" s="16"/>
      <c r="C517" s="7" t="str">
        <f>IFERROR(VLOOKUP(B517,'Master data'!$A$1:$F$1000,2,FALSE),"")</f>
        <v/>
      </c>
      <c r="D517" s="7" t="str">
        <f>IFERROR(VLOOKUP(B517,'Master data'!$A$1:$F$1000,6,FALSE),"")</f>
        <v/>
      </c>
      <c r="F517" s="7" t="str">
        <f>IFERROR(VLOOKUP(B517,'Master data'!$A$1:$F$1000,3,FALSE),"")</f>
        <v/>
      </c>
      <c r="G517" s="100"/>
      <c r="H517" s="100"/>
      <c r="I517" s="16"/>
      <c r="J517" s="16"/>
      <c r="K517" s="16" t="b">
        <v>0</v>
      </c>
      <c r="L517" s="16" t="b">
        <v>0</v>
      </c>
    </row>
    <row r="518">
      <c r="A518" s="107"/>
      <c r="B518" s="16"/>
      <c r="C518" s="7" t="str">
        <f>IFERROR(VLOOKUP(B518,'Master data'!$A$1:$F$1000,2,FALSE),"")</f>
        <v/>
      </c>
      <c r="D518" s="7" t="str">
        <f>IFERROR(VLOOKUP(B518,'Master data'!$A$1:$F$1000,6,FALSE),"")</f>
        <v/>
      </c>
      <c r="F518" s="7" t="str">
        <f>IFERROR(VLOOKUP(B518,'Master data'!$A$1:$F$1000,3,FALSE),"")</f>
        <v/>
      </c>
      <c r="G518" s="100"/>
      <c r="H518" s="100"/>
      <c r="I518" s="16"/>
      <c r="J518" s="16"/>
      <c r="K518" s="16" t="b">
        <v>0</v>
      </c>
      <c r="L518" s="16" t="b">
        <v>0</v>
      </c>
    </row>
    <row r="519">
      <c r="A519" s="107"/>
      <c r="B519" s="16"/>
      <c r="C519" s="7" t="str">
        <f>IFERROR(VLOOKUP(B519,'Master data'!$A$1:$F$1000,2,FALSE),"")</f>
        <v/>
      </c>
      <c r="D519" s="7" t="str">
        <f>IFERROR(VLOOKUP(B519,'Master data'!$A$1:$F$1000,6,FALSE),"")</f>
        <v/>
      </c>
      <c r="F519" s="7" t="str">
        <f>IFERROR(VLOOKUP(B519,'Master data'!$A$1:$F$1000,3,FALSE),"")</f>
        <v/>
      </c>
      <c r="G519" s="100"/>
      <c r="H519" s="100"/>
      <c r="I519" s="16"/>
      <c r="J519" s="16"/>
      <c r="K519" s="16" t="b">
        <v>0</v>
      </c>
      <c r="L519" s="16" t="b">
        <v>0</v>
      </c>
    </row>
    <row r="520">
      <c r="A520" s="107"/>
      <c r="B520" s="16"/>
      <c r="C520" s="7" t="str">
        <f>IFERROR(VLOOKUP(B520,'Master data'!$A$1:$F$1000,2,FALSE),"")</f>
        <v/>
      </c>
      <c r="D520" s="7" t="str">
        <f>IFERROR(VLOOKUP(B520,'Master data'!$A$1:$F$1000,6,FALSE),"")</f>
        <v/>
      </c>
      <c r="F520" s="7" t="str">
        <f>IFERROR(VLOOKUP(B520,'Master data'!$A$1:$F$1000,3,FALSE),"")</f>
        <v/>
      </c>
      <c r="G520" s="100"/>
      <c r="H520" s="100"/>
      <c r="I520" s="16"/>
      <c r="J520" s="16"/>
      <c r="K520" s="16" t="b">
        <v>0</v>
      </c>
      <c r="L520" s="16" t="b">
        <v>0</v>
      </c>
    </row>
    <row r="521">
      <c r="A521" s="107"/>
      <c r="B521" s="16"/>
      <c r="C521" s="7" t="str">
        <f>IFERROR(VLOOKUP(B521,'Master data'!$A$1:$F$1000,2,FALSE),"")</f>
        <v/>
      </c>
      <c r="D521" s="7" t="str">
        <f>IFERROR(VLOOKUP(B521,'Master data'!$A$1:$F$1000,6,FALSE),"")</f>
        <v/>
      </c>
      <c r="F521" s="7" t="str">
        <f>IFERROR(VLOOKUP(B521,'Master data'!$A$1:$F$1000,3,FALSE),"")</f>
        <v/>
      </c>
      <c r="G521" s="100"/>
      <c r="H521" s="100"/>
      <c r="I521" s="16"/>
      <c r="J521" s="16"/>
      <c r="K521" s="16" t="b">
        <v>0</v>
      </c>
      <c r="L521" s="16" t="b">
        <v>0</v>
      </c>
    </row>
    <row r="522">
      <c r="A522" s="107"/>
      <c r="B522" s="16"/>
      <c r="C522" s="7" t="str">
        <f>IFERROR(VLOOKUP(B522,'Master data'!$A$1:$F$1000,2,FALSE),"")</f>
        <v/>
      </c>
      <c r="D522" s="7" t="str">
        <f>IFERROR(VLOOKUP(B522,'Master data'!$A$1:$F$1000,6,FALSE),"")</f>
        <v/>
      </c>
      <c r="F522" s="7" t="str">
        <f>IFERROR(VLOOKUP(B522,'Master data'!$A$1:$F$1000,3,FALSE),"")</f>
        <v/>
      </c>
      <c r="G522" s="100"/>
      <c r="H522" s="100"/>
      <c r="I522" s="16"/>
      <c r="J522" s="16"/>
      <c r="K522" s="16" t="b">
        <v>0</v>
      </c>
      <c r="L522" s="16" t="b">
        <v>0</v>
      </c>
    </row>
    <row r="523">
      <c r="A523" s="107"/>
      <c r="B523" s="16"/>
      <c r="C523" s="7" t="str">
        <f>IFERROR(VLOOKUP(B523,'Master data'!$A$1:$F$1000,2,FALSE),"")</f>
        <v/>
      </c>
      <c r="D523" s="7" t="str">
        <f>IFERROR(VLOOKUP(B523,'Master data'!$A$1:$F$1000,6,FALSE),"")</f>
        <v/>
      </c>
      <c r="F523" s="7" t="str">
        <f>IFERROR(VLOOKUP(B523,'Master data'!$A$1:$F$1000,3,FALSE),"")</f>
        <v/>
      </c>
      <c r="G523" s="100"/>
      <c r="H523" s="100"/>
      <c r="I523" s="16"/>
      <c r="J523" s="16"/>
      <c r="K523" s="16" t="b">
        <v>0</v>
      </c>
      <c r="L523" s="16" t="b">
        <v>0</v>
      </c>
    </row>
    <row r="524">
      <c r="A524" s="107"/>
      <c r="B524" s="16"/>
      <c r="C524" s="7" t="str">
        <f>IFERROR(VLOOKUP(B524,'Master data'!$A$1:$F$1000,2,FALSE),"")</f>
        <v/>
      </c>
      <c r="D524" s="7" t="str">
        <f>IFERROR(VLOOKUP(B524,'Master data'!$A$1:$F$1000,6,FALSE),"")</f>
        <v/>
      </c>
      <c r="F524" s="7" t="str">
        <f>IFERROR(VLOOKUP(B524,'Master data'!$A$1:$F$1000,3,FALSE),"")</f>
        <v/>
      </c>
      <c r="G524" s="100"/>
      <c r="H524" s="100"/>
      <c r="I524" s="16"/>
      <c r="J524" s="16"/>
      <c r="K524" s="16" t="b">
        <v>0</v>
      </c>
      <c r="L524" s="16" t="b">
        <v>0</v>
      </c>
    </row>
    <row r="525">
      <c r="A525" s="107"/>
      <c r="B525" s="16"/>
      <c r="C525" s="7" t="str">
        <f>IFERROR(VLOOKUP(B525,'Master data'!$A$1:$F$1000,2,FALSE),"")</f>
        <v/>
      </c>
      <c r="D525" s="7" t="str">
        <f>IFERROR(VLOOKUP(B525,'Master data'!$A$1:$F$1000,6,FALSE),"")</f>
        <v/>
      </c>
      <c r="F525" s="7" t="str">
        <f>IFERROR(VLOOKUP(B525,'Master data'!$A$1:$F$1000,3,FALSE),"")</f>
        <v/>
      </c>
      <c r="G525" s="100"/>
      <c r="H525" s="100"/>
      <c r="I525" s="16"/>
      <c r="J525" s="16"/>
      <c r="K525" s="16" t="b">
        <v>0</v>
      </c>
      <c r="L525" s="16" t="b">
        <v>0</v>
      </c>
    </row>
    <row r="526">
      <c r="A526" s="107"/>
      <c r="B526" s="16"/>
      <c r="C526" s="7" t="str">
        <f>IFERROR(VLOOKUP(B526,'Master data'!$A$1:$F$1000,2,FALSE),"")</f>
        <v/>
      </c>
      <c r="D526" s="7" t="str">
        <f>IFERROR(VLOOKUP(B526,'Master data'!$A$1:$F$1000,6,FALSE),"")</f>
        <v/>
      </c>
      <c r="F526" s="7" t="str">
        <f>IFERROR(VLOOKUP(B526,'Master data'!$A$1:$F$1000,3,FALSE),"")</f>
        <v/>
      </c>
      <c r="G526" s="100"/>
      <c r="H526" s="100"/>
      <c r="I526" s="16"/>
      <c r="J526" s="16"/>
      <c r="K526" s="16" t="b">
        <v>0</v>
      </c>
      <c r="L526" s="16" t="b">
        <v>0</v>
      </c>
    </row>
    <row r="527">
      <c r="A527" s="107"/>
      <c r="B527" s="16"/>
      <c r="C527" s="7" t="str">
        <f>IFERROR(VLOOKUP(B527,'Master data'!$A$1:$F$1000,2,FALSE),"")</f>
        <v/>
      </c>
      <c r="D527" s="7" t="str">
        <f>IFERROR(VLOOKUP(B527,'Master data'!$A$1:$F$1000,6,FALSE),"")</f>
        <v/>
      </c>
      <c r="F527" s="7" t="str">
        <f>IFERROR(VLOOKUP(B527,'Master data'!$A$1:$F$1000,3,FALSE),"")</f>
        <v/>
      </c>
      <c r="G527" s="100"/>
      <c r="H527" s="100"/>
      <c r="I527" s="16"/>
      <c r="J527" s="16"/>
      <c r="K527" s="16" t="b">
        <v>0</v>
      </c>
      <c r="L527" s="16" t="b">
        <v>0</v>
      </c>
    </row>
    <row r="528">
      <c r="A528" s="107"/>
      <c r="B528" s="16"/>
      <c r="C528" s="7" t="str">
        <f>IFERROR(VLOOKUP(B528,'Master data'!$A$1:$F$1000,2,FALSE),"")</f>
        <v/>
      </c>
      <c r="D528" s="7" t="str">
        <f>IFERROR(VLOOKUP(B528,'Master data'!$A$1:$F$1000,6,FALSE),"")</f>
        <v/>
      </c>
      <c r="F528" s="7" t="str">
        <f>IFERROR(VLOOKUP(B528,'Master data'!$A$1:$F$1000,3,FALSE),"")</f>
        <v/>
      </c>
      <c r="G528" s="100"/>
      <c r="H528" s="100"/>
      <c r="I528" s="16"/>
      <c r="J528" s="16"/>
      <c r="K528" s="16" t="b">
        <v>0</v>
      </c>
      <c r="L528" s="16" t="b">
        <v>0</v>
      </c>
    </row>
    <row r="529">
      <c r="A529" s="107"/>
      <c r="B529" s="16"/>
      <c r="C529" s="7" t="str">
        <f>IFERROR(VLOOKUP(B529,'Master data'!$A$1:$F$1000,2,FALSE),"")</f>
        <v/>
      </c>
      <c r="D529" s="7" t="str">
        <f>IFERROR(VLOOKUP(B529,'Master data'!$A$1:$F$1000,6,FALSE),"")</f>
        <v/>
      </c>
      <c r="F529" s="7" t="str">
        <f>IFERROR(VLOOKUP(B529,'Master data'!$A$1:$F$1000,3,FALSE),"")</f>
        <v/>
      </c>
      <c r="G529" s="100"/>
      <c r="H529" s="100"/>
      <c r="I529" s="16"/>
      <c r="J529" s="16"/>
      <c r="K529" s="16" t="b">
        <v>0</v>
      </c>
      <c r="L529" s="16" t="b">
        <v>0</v>
      </c>
    </row>
    <row r="530">
      <c r="A530" s="107"/>
      <c r="B530" s="16"/>
      <c r="C530" s="7" t="str">
        <f>IFERROR(VLOOKUP(B530,'Master data'!$A$1:$F$1000,2,FALSE),"")</f>
        <v/>
      </c>
      <c r="D530" s="7" t="str">
        <f>IFERROR(VLOOKUP(B530,'Master data'!$A$1:$F$1000,6,FALSE),"")</f>
        <v/>
      </c>
      <c r="F530" s="7" t="str">
        <f>IFERROR(VLOOKUP(B530,'Master data'!$A$1:$F$1000,3,FALSE),"")</f>
        <v/>
      </c>
      <c r="G530" s="100"/>
      <c r="H530" s="100"/>
      <c r="I530" s="16"/>
      <c r="J530" s="16"/>
      <c r="K530" s="16" t="b">
        <v>0</v>
      </c>
      <c r="L530" s="16" t="b">
        <v>0</v>
      </c>
    </row>
    <row r="531">
      <c r="A531" s="107"/>
      <c r="B531" s="16"/>
      <c r="C531" s="7" t="str">
        <f>IFERROR(VLOOKUP(B531,'Master data'!$A$1:$F$1000,2,FALSE),"")</f>
        <v/>
      </c>
      <c r="D531" s="7" t="str">
        <f>IFERROR(VLOOKUP(B531,'Master data'!$A$1:$F$1000,6,FALSE),"")</f>
        <v/>
      </c>
      <c r="F531" s="7" t="str">
        <f>IFERROR(VLOOKUP(B531,'Master data'!$A$1:$F$1000,3,FALSE),"")</f>
        <v/>
      </c>
      <c r="G531" s="100"/>
      <c r="H531" s="100"/>
      <c r="I531" s="16"/>
      <c r="J531" s="16"/>
      <c r="K531" s="16" t="b">
        <v>0</v>
      </c>
      <c r="L531" s="16" t="b">
        <v>0</v>
      </c>
    </row>
    <row r="532">
      <c r="A532" s="107"/>
      <c r="B532" s="16"/>
      <c r="C532" s="7" t="str">
        <f>IFERROR(VLOOKUP(B532,'Master data'!$A$1:$F$1000,2,FALSE),"")</f>
        <v/>
      </c>
      <c r="D532" s="7" t="str">
        <f>IFERROR(VLOOKUP(B532,'Master data'!$A$1:$F$1000,6,FALSE),"")</f>
        <v/>
      </c>
      <c r="F532" s="7" t="str">
        <f>IFERROR(VLOOKUP(B532,'Master data'!$A$1:$F$1000,3,FALSE),"")</f>
        <v/>
      </c>
      <c r="G532" s="100"/>
      <c r="H532" s="100"/>
      <c r="I532" s="16"/>
      <c r="J532" s="16"/>
      <c r="K532" s="16" t="b">
        <v>0</v>
      </c>
      <c r="L532" s="16" t="b">
        <v>0</v>
      </c>
    </row>
    <row r="533">
      <c r="A533" s="107"/>
      <c r="B533" s="16"/>
      <c r="C533" s="7" t="str">
        <f>IFERROR(VLOOKUP(B533,'Master data'!$A$1:$F$1000,2,FALSE),"")</f>
        <v/>
      </c>
      <c r="D533" s="7" t="str">
        <f>IFERROR(VLOOKUP(B533,'Master data'!$A$1:$F$1000,6,FALSE),"")</f>
        <v/>
      </c>
      <c r="F533" s="7" t="str">
        <f>IFERROR(VLOOKUP(B533,'Master data'!$A$1:$F$1000,3,FALSE),"")</f>
        <v/>
      </c>
      <c r="G533" s="100"/>
      <c r="H533" s="100"/>
      <c r="I533" s="16"/>
      <c r="J533" s="16"/>
      <c r="K533" s="16" t="b">
        <v>0</v>
      </c>
      <c r="L533" s="16" t="b">
        <v>0</v>
      </c>
    </row>
    <row r="534">
      <c r="A534" s="107"/>
      <c r="B534" s="16"/>
      <c r="C534" s="7" t="str">
        <f>IFERROR(VLOOKUP(B534,'Master data'!$A$1:$F$1000,2,FALSE),"")</f>
        <v/>
      </c>
      <c r="D534" s="7" t="str">
        <f>IFERROR(VLOOKUP(B534,'Master data'!$A$1:$F$1000,6,FALSE),"")</f>
        <v/>
      </c>
      <c r="F534" s="7" t="str">
        <f>IFERROR(VLOOKUP(B534,'Master data'!$A$1:$F$1000,3,FALSE),"")</f>
        <v/>
      </c>
      <c r="G534" s="100"/>
      <c r="H534" s="100"/>
      <c r="I534" s="16"/>
      <c r="J534" s="16"/>
      <c r="K534" s="16" t="b">
        <v>0</v>
      </c>
      <c r="L534" s="16" t="b">
        <v>0</v>
      </c>
    </row>
    <row r="535">
      <c r="A535" s="107"/>
      <c r="B535" s="16"/>
      <c r="C535" s="7" t="str">
        <f>IFERROR(VLOOKUP(B535,'Master data'!$A$1:$F$1000,2,FALSE),"")</f>
        <v/>
      </c>
      <c r="D535" s="7" t="str">
        <f>IFERROR(VLOOKUP(B535,'Master data'!$A$1:$F$1000,6,FALSE),"")</f>
        <v/>
      </c>
      <c r="F535" s="7" t="str">
        <f>IFERROR(VLOOKUP(B535,'Master data'!$A$1:$F$1000,3,FALSE),"")</f>
        <v/>
      </c>
      <c r="G535" s="100"/>
      <c r="H535" s="100"/>
      <c r="I535" s="16"/>
      <c r="J535" s="16"/>
      <c r="K535" s="16" t="b">
        <v>0</v>
      </c>
      <c r="L535" s="16" t="b">
        <v>0</v>
      </c>
    </row>
    <row r="536">
      <c r="A536" s="107"/>
      <c r="B536" s="16"/>
      <c r="C536" s="7" t="str">
        <f>IFERROR(VLOOKUP(B536,'Master data'!$A$1:$F$1000,2,FALSE),"")</f>
        <v/>
      </c>
      <c r="D536" s="7" t="str">
        <f>IFERROR(VLOOKUP(B536,'Master data'!$A$1:$F$1000,6,FALSE),"")</f>
        <v/>
      </c>
      <c r="F536" s="7" t="str">
        <f>IFERROR(VLOOKUP(B536,'Master data'!$A$1:$F$1000,3,FALSE),"")</f>
        <v/>
      </c>
      <c r="G536" s="100"/>
      <c r="H536" s="100"/>
      <c r="I536" s="16"/>
      <c r="J536" s="16"/>
      <c r="K536" s="16" t="b">
        <v>0</v>
      </c>
      <c r="L536" s="16" t="b">
        <v>0</v>
      </c>
    </row>
    <row r="537">
      <c r="A537" s="107"/>
      <c r="B537" s="16"/>
      <c r="C537" s="7" t="str">
        <f>IFERROR(VLOOKUP(B537,'Master data'!$A$1:$F$1000,2,FALSE),"")</f>
        <v/>
      </c>
      <c r="D537" s="7" t="str">
        <f>IFERROR(VLOOKUP(B537,'Master data'!$A$1:$F$1000,6,FALSE),"")</f>
        <v/>
      </c>
      <c r="F537" s="7" t="str">
        <f>IFERROR(VLOOKUP(B537,'Master data'!$A$1:$F$1000,3,FALSE),"")</f>
        <v/>
      </c>
      <c r="G537" s="100"/>
      <c r="H537" s="100"/>
      <c r="I537" s="16"/>
      <c r="J537" s="16"/>
      <c r="K537" s="16" t="b">
        <v>0</v>
      </c>
      <c r="L537" s="16" t="b">
        <v>0</v>
      </c>
    </row>
    <row r="538">
      <c r="A538" s="107"/>
      <c r="B538" s="16"/>
      <c r="C538" s="7" t="str">
        <f>IFERROR(VLOOKUP(B538,'Master data'!$A$1:$F$1000,2,FALSE),"")</f>
        <v/>
      </c>
      <c r="D538" s="7" t="str">
        <f>IFERROR(VLOOKUP(B538,'Master data'!$A$1:$F$1000,6,FALSE),"")</f>
        <v/>
      </c>
      <c r="F538" s="7" t="str">
        <f>IFERROR(VLOOKUP(B538,'Master data'!$A$1:$F$1000,3,FALSE),"")</f>
        <v/>
      </c>
      <c r="G538" s="100"/>
      <c r="H538" s="100"/>
      <c r="I538" s="16"/>
      <c r="J538" s="16"/>
      <c r="K538" s="16" t="b">
        <v>0</v>
      </c>
      <c r="L538" s="16" t="b">
        <v>0</v>
      </c>
    </row>
    <row r="539">
      <c r="A539" s="107"/>
      <c r="B539" s="16"/>
      <c r="C539" s="7" t="str">
        <f>IFERROR(VLOOKUP(B539,'Master data'!$A$1:$F$1000,2,FALSE),"")</f>
        <v/>
      </c>
      <c r="D539" s="7" t="str">
        <f>IFERROR(VLOOKUP(B539,'Master data'!$A$1:$F$1000,6,FALSE),"")</f>
        <v/>
      </c>
      <c r="F539" s="7" t="str">
        <f>IFERROR(VLOOKUP(B539,'Master data'!$A$1:$F$1000,3,FALSE),"")</f>
        <v/>
      </c>
      <c r="G539" s="100"/>
      <c r="H539" s="100"/>
      <c r="I539" s="16"/>
      <c r="J539" s="16"/>
      <c r="K539" s="16" t="b">
        <v>0</v>
      </c>
      <c r="L539" s="16" t="b">
        <v>0</v>
      </c>
    </row>
    <row r="540">
      <c r="A540" s="107"/>
      <c r="B540" s="16"/>
      <c r="C540" s="7" t="str">
        <f>IFERROR(VLOOKUP(B540,'Master data'!$A$1:$F$1000,2,FALSE),"")</f>
        <v/>
      </c>
      <c r="D540" s="7" t="str">
        <f>IFERROR(VLOOKUP(B540,'Master data'!$A$1:$F$1000,6,FALSE),"")</f>
        <v/>
      </c>
      <c r="F540" s="7" t="str">
        <f>IFERROR(VLOOKUP(B540,'Master data'!$A$1:$F$1000,3,FALSE),"")</f>
        <v/>
      </c>
      <c r="G540" s="100"/>
      <c r="H540" s="100"/>
      <c r="I540" s="16"/>
      <c r="J540" s="16"/>
      <c r="K540" s="16" t="b">
        <v>0</v>
      </c>
      <c r="L540" s="16" t="b">
        <v>0</v>
      </c>
    </row>
    <row r="541">
      <c r="A541" s="107"/>
      <c r="B541" s="16"/>
      <c r="C541" s="7" t="str">
        <f>IFERROR(VLOOKUP(B541,'Master data'!$A$1:$F$1000,2,FALSE),"")</f>
        <v/>
      </c>
      <c r="D541" s="7" t="str">
        <f>IFERROR(VLOOKUP(B541,'Master data'!$A$1:$F$1000,6,FALSE),"")</f>
        <v/>
      </c>
      <c r="F541" s="7" t="str">
        <f>IFERROR(VLOOKUP(B541,'Master data'!$A$1:$F$1000,3,FALSE),"")</f>
        <v/>
      </c>
      <c r="G541" s="100"/>
      <c r="H541" s="100"/>
      <c r="I541" s="16"/>
      <c r="J541" s="16"/>
      <c r="K541" s="16" t="b">
        <v>0</v>
      </c>
      <c r="L541" s="16" t="b">
        <v>0</v>
      </c>
    </row>
    <row r="542">
      <c r="A542" s="107"/>
      <c r="B542" s="16"/>
      <c r="C542" s="7" t="str">
        <f>IFERROR(VLOOKUP(B542,'Master data'!$A$1:$F$1000,2,FALSE),"")</f>
        <v/>
      </c>
      <c r="D542" s="7" t="str">
        <f>IFERROR(VLOOKUP(B542,'Master data'!$A$1:$F$1000,6,FALSE),"")</f>
        <v/>
      </c>
      <c r="F542" s="7" t="str">
        <f>IFERROR(VLOOKUP(B542,'Master data'!$A$1:$F$1000,3,FALSE),"")</f>
        <v/>
      </c>
      <c r="G542" s="100"/>
      <c r="H542" s="100"/>
      <c r="I542" s="16"/>
      <c r="J542" s="16"/>
      <c r="K542" s="16" t="b">
        <v>0</v>
      </c>
      <c r="L542" s="16" t="b">
        <v>0</v>
      </c>
    </row>
    <row r="543">
      <c r="A543" s="107"/>
      <c r="B543" s="16"/>
      <c r="C543" s="7" t="str">
        <f>IFERROR(VLOOKUP(B543,'Master data'!$A$1:$F$1000,2,FALSE),"")</f>
        <v/>
      </c>
      <c r="D543" s="7" t="str">
        <f>IFERROR(VLOOKUP(B543,'Master data'!$A$1:$F$1000,6,FALSE),"")</f>
        <v/>
      </c>
      <c r="F543" s="7" t="str">
        <f>IFERROR(VLOOKUP(B543,'Master data'!$A$1:$F$1000,3,FALSE),"")</f>
        <v/>
      </c>
      <c r="G543" s="100"/>
      <c r="H543" s="100"/>
      <c r="I543" s="16"/>
      <c r="J543" s="16"/>
      <c r="K543" s="16" t="b">
        <v>0</v>
      </c>
      <c r="L543" s="16" t="b">
        <v>0</v>
      </c>
    </row>
    <row r="544">
      <c r="A544" s="107"/>
      <c r="B544" s="16"/>
      <c r="C544" s="7" t="str">
        <f>IFERROR(VLOOKUP(B544,'Master data'!$A$1:$F$1000,2,FALSE),"")</f>
        <v/>
      </c>
      <c r="D544" s="7" t="str">
        <f>IFERROR(VLOOKUP(B544,'Master data'!$A$1:$F$1000,6,FALSE),"")</f>
        <v/>
      </c>
      <c r="F544" s="7" t="str">
        <f>IFERROR(VLOOKUP(B544,'Master data'!$A$1:$F$1000,3,FALSE),"")</f>
        <v/>
      </c>
      <c r="G544" s="100"/>
      <c r="H544" s="100"/>
      <c r="I544" s="16"/>
      <c r="J544" s="16"/>
      <c r="K544" s="16" t="b">
        <v>0</v>
      </c>
      <c r="L544" s="16" t="b">
        <v>0</v>
      </c>
    </row>
    <row r="545">
      <c r="A545" s="107"/>
      <c r="B545" s="16"/>
      <c r="C545" s="7" t="str">
        <f>IFERROR(VLOOKUP(B545,'Master data'!$A$1:$F$1000,2,FALSE),"")</f>
        <v/>
      </c>
      <c r="D545" s="7" t="str">
        <f>IFERROR(VLOOKUP(B545,'Master data'!$A$1:$F$1000,6,FALSE),"")</f>
        <v/>
      </c>
      <c r="F545" s="7" t="str">
        <f>IFERROR(VLOOKUP(B545,'Master data'!$A$1:$F$1000,3,FALSE),"")</f>
        <v/>
      </c>
      <c r="G545" s="100"/>
      <c r="H545" s="100"/>
      <c r="I545" s="16"/>
      <c r="J545" s="16"/>
      <c r="K545" s="16" t="b">
        <v>0</v>
      </c>
      <c r="L545" s="16" t="b">
        <v>0</v>
      </c>
    </row>
    <row r="546">
      <c r="A546" s="107"/>
      <c r="B546" s="16"/>
      <c r="C546" s="7" t="str">
        <f>IFERROR(VLOOKUP(B546,'Master data'!$A$1:$F$1000,2,FALSE),"")</f>
        <v/>
      </c>
      <c r="D546" s="7" t="str">
        <f>IFERROR(VLOOKUP(B546,'Master data'!$A$1:$F$1000,6,FALSE),"")</f>
        <v/>
      </c>
      <c r="F546" s="7" t="str">
        <f>IFERROR(VLOOKUP(B546,'Master data'!$A$1:$F$1000,3,FALSE),"")</f>
        <v/>
      </c>
      <c r="G546" s="100"/>
      <c r="H546" s="100"/>
      <c r="I546" s="16"/>
      <c r="J546" s="16"/>
      <c r="K546" s="16" t="b">
        <v>0</v>
      </c>
      <c r="L546" s="16" t="b">
        <v>0</v>
      </c>
    </row>
    <row r="547">
      <c r="A547" s="107"/>
      <c r="B547" s="16"/>
      <c r="C547" s="7" t="str">
        <f>IFERROR(VLOOKUP(B547,'Master data'!$A$1:$F$1000,2,FALSE),"")</f>
        <v/>
      </c>
      <c r="D547" s="7" t="str">
        <f>IFERROR(VLOOKUP(B547,'Master data'!$A$1:$F$1000,6,FALSE),"")</f>
        <v/>
      </c>
      <c r="F547" s="7" t="str">
        <f>IFERROR(VLOOKUP(B547,'Master data'!$A$1:$F$1000,3,FALSE),"")</f>
        <v/>
      </c>
      <c r="G547" s="100"/>
      <c r="H547" s="100"/>
      <c r="I547" s="16"/>
      <c r="J547" s="16"/>
      <c r="K547" s="16" t="b">
        <v>0</v>
      </c>
      <c r="L547" s="16" t="b">
        <v>0</v>
      </c>
    </row>
    <row r="548">
      <c r="A548" s="107"/>
      <c r="B548" s="16"/>
      <c r="C548" s="7" t="str">
        <f>IFERROR(VLOOKUP(B548,'Master data'!$A$1:$F$1000,2,FALSE),"")</f>
        <v/>
      </c>
      <c r="D548" s="7" t="str">
        <f>IFERROR(VLOOKUP(B548,'Master data'!$A$1:$F$1000,6,FALSE),"")</f>
        <v/>
      </c>
      <c r="F548" s="7" t="str">
        <f>IFERROR(VLOOKUP(B548,'Master data'!$A$1:$F$1000,3,FALSE),"")</f>
        <v/>
      </c>
      <c r="G548" s="100"/>
      <c r="H548" s="100"/>
      <c r="I548" s="16"/>
      <c r="J548" s="16"/>
      <c r="K548" s="16" t="b">
        <v>0</v>
      </c>
      <c r="L548" s="16" t="b">
        <v>0</v>
      </c>
    </row>
    <row r="549">
      <c r="A549" s="107"/>
      <c r="B549" s="16"/>
      <c r="C549" s="7" t="str">
        <f>IFERROR(VLOOKUP(B549,'Master data'!$A$1:$F$1000,2,FALSE),"")</f>
        <v/>
      </c>
      <c r="D549" s="7" t="str">
        <f>IFERROR(VLOOKUP(B549,'Master data'!$A$1:$F$1000,6,FALSE),"")</f>
        <v/>
      </c>
      <c r="F549" s="7" t="str">
        <f>IFERROR(VLOOKUP(B549,'Master data'!$A$1:$F$1000,3,FALSE),"")</f>
        <v/>
      </c>
      <c r="G549" s="100"/>
      <c r="H549" s="100"/>
      <c r="I549" s="16"/>
      <c r="J549" s="16"/>
      <c r="K549" s="16" t="b">
        <v>0</v>
      </c>
      <c r="L549" s="16" t="b">
        <v>0</v>
      </c>
    </row>
    <row r="550">
      <c r="A550" s="107"/>
      <c r="B550" s="16"/>
      <c r="C550" s="7" t="str">
        <f>IFERROR(VLOOKUP(B550,'Master data'!$A$1:$F$1000,2,FALSE),"")</f>
        <v/>
      </c>
      <c r="D550" s="7" t="str">
        <f>IFERROR(VLOOKUP(B550,'Master data'!$A$1:$F$1000,6,FALSE),"")</f>
        <v/>
      </c>
      <c r="F550" s="7" t="str">
        <f>IFERROR(VLOOKUP(B550,'Master data'!$A$1:$F$1000,3,FALSE),"")</f>
        <v/>
      </c>
      <c r="G550" s="100"/>
      <c r="H550" s="100"/>
      <c r="I550" s="16"/>
      <c r="J550" s="16"/>
      <c r="K550" s="16" t="b">
        <v>0</v>
      </c>
      <c r="L550" s="16" t="b">
        <v>0</v>
      </c>
    </row>
    <row r="551">
      <c r="A551" s="107"/>
      <c r="B551" s="16"/>
      <c r="C551" s="7" t="str">
        <f>IFERROR(VLOOKUP(B551,'Master data'!$A$1:$F$1000,2,FALSE),"")</f>
        <v/>
      </c>
      <c r="D551" s="7" t="str">
        <f>IFERROR(VLOOKUP(B551,'Master data'!$A$1:$F$1000,6,FALSE),"")</f>
        <v/>
      </c>
      <c r="F551" s="7" t="str">
        <f>IFERROR(VLOOKUP(B551,'Master data'!$A$1:$F$1000,3,FALSE),"")</f>
        <v/>
      </c>
      <c r="G551" s="100"/>
      <c r="H551" s="100"/>
      <c r="I551" s="16"/>
      <c r="J551" s="16"/>
      <c r="K551" s="16" t="b">
        <v>0</v>
      </c>
      <c r="L551" s="16" t="b">
        <v>0</v>
      </c>
    </row>
    <row r="552">
      <c r="A552" s="107"/>
      <c r="B552" s="16"/>
      <c r="C552" s="7" t="str">
        <f>IFERROR(VLOOKUP(B552,'Master data'!$A$1:$F$1000,2,FALSE),"")</f>
        <v/>
      </c>
      <c r="D552" s="7" t="str">
        <f>IFERROR(VLOOKUP(B552,'Master data'!$A$1:$F$1000,6,FALSE),"")</f>
        <v/>
      </c>
      <c r="F552" s="7" t="str">
        <f>IFERROR(VLOOKUP(B552,'Master data'!$A$1:$F$1000,3,FALSE),"")</f>
        <v/>
      </c>
      <c r="G552" s="100"/>
      <c r="H552" s="100"/>
      <c r="I552" s="16"/>
      <c r="J552" s="16"/>
      <c r="K552" s="16" t="b">
        <v>0</v>
      </c>
      <c r="L552" s="16" t="b">
        <v>0</v>
      </c>
    </row>
    <row r="553">
      <c r="A553" s="107"/>
      <c r="B553" s="16"/>
      <c r="C553" s="7" t="str">
        <f>IFERROR(VLOOKUP(B553,'Master data'!$A$1:$F$1000,2,FALSE),"")</f>
        <v/>
      </c>
      <c r="D553" s="7" t="str">
        <f>IFERROR(VLOOKUP(B553,'Master data'!$A$1:$F$1000,6,FALSE),"")</f>
        <v/>
      </c>
      <c r="F553" s="7" t="str">
        <f>IFERROR(VLOOKUP(B553,'Master data'!$A$1:$F$1000,3,FALSE),"")</f>
        <v/>
      </c>
      <c r="G553" s="100"/>
      <c r="H553" s="100"/>
      <c r="I553" s="16"/>
      <c r="J553" s="16"/>
      <c r="K553" s="16" t="b">
        <v>0</v>
      </c>
      <c r="L553" s="16" t="b">
        <v>0</v>
      </c>
    </row>
    <row r="554">
      <c r="A554" s="107"/>
      <c r="B554" s="16"/>
      <c r="C554" s="7" t="str">
        <f>IFERROR(VLOOKUP(B554,'Master data'!$A$1:$F$1000,2,FALSE),"")</f>
        <v/>
      </c>
      <c r="D554" s="7" t="str">
        <f>IFERROR(VLOOKUP(B554,'Master data'!$A$1:$F$1000,6,FALSE),"")</f>
        <v/>
      </c>
      <c r="F554" s="7" t="str">
        <f>IFERROR(VLOOKUP(B554,'Master data'!$A$1:$F$1000,3,FALSE),"")</f>
        <v/>
      </c>
      <c r="G554" s="100"/>
      <c r="H554" s="100"/>
      <c r="I554" s="16"/>
      <c r="J554" s="16"/>
      <c r="K554" s="16" t="b">
        <v>0</v>
      </c>
      <c r="L554" s="16" t="b">
        <v>0</v>
      </c>
    </row>
    <row r="555">
      <c r="A555" s="107"/>
      <c r="B555" s="16"/>
      <c r="C555" s="7" t="str">
        <f>IFERROR(VLOOKUP(B555,'Master data'!$A$1:$F$1000,2,FALSE),"")</f>
        <v/>
      </c>
      <c r="D555" s="7" t="str">
        <f>IFERROR(VLOOKUP(B555,'Master data'!$A$1:$F$1000,6,FALSE),"")</f>
        <v/>
      </c>
      <c r="F555" s="7" t="str">
        <f>IFERROR(VLOOKUP(B555,'Master data'!$A$1:$F$1000,3,FALSE),"")</f>
        <v/>
      </c>
      <c r="G555" s="100"/>
      <c r="H555" s="100"/>
      <c r="I555" s="16"/>
      <c r="J555" s="16"/>
      <c r="K555" s="16" t="b">
        <v>0</v>
      </c>
      <c r="L555" s="16" t="b">
        <v>0</v>
      </c>
    </row>
    <row r="556">
      <c r="A556" s="107"/>
      <c r="B556" s="16"/>
      <c r="C556" s="7" t="str">
        <f>IFERROR(VLOOKUP(B556,'Master data'!$A$1:$F$1000,2,FALSE),"")</f>
        <v/>
      </c>
      <c r="D556" s="7" t="str">
        <f>IFERROR(VLOOKUP(B556,'Master data'!$A$1:$F$1000,6,FALSE),"")</f>
        <v/>
      </c>
      <c r="F556" s="7" t="str">
        <f>IFERROR(VLOOKUP(B556,'Master data'!$A$1:$F$1000,3,FALSE),"")</f>
        <v/>
      </c>
      <c r="G556" s="100"/>
      <c r="H556" s="100"/>
      <c r="I556" s="16"/>
      <c r="J556" s="16"/>
      <c r="K556" s="16" t="b">
        <v>0</v>
      </c>
      <c r="L556" s="16" t="b">
        <v>0</v>
      </c>
    </row>
    <row r="557">
      <c r="A557" s="107"/>
      <c r="B557" s="16"/>
      <c r="C557" s="7" t="str">
        <f>IFERROR(VLOOKUP(B557,'Master data'!$A$1:$F$1000,2,FALSE),"")</f>
        <v/>
      </c>
      <c r="D557" s="7" t="str">
        <f>IFERROR(VLOOKUP(B557,'Master data'!$A$1:$F$1000,6,FALSE),"")</f>
        <v/>
      </c>
      <c r="F557" s="7" t="str">
        <f>IFERROR(VLOOKUP(B557,'Master data'!$A$1:$F$1000,3,FALSE),"")</f>
        <v/>
      </c>
      <c r="G557" s="100"/>
      <c r="H557" s="100"/>
      <c r="I557" s="16"/>
      <c r="J557" s="16"/>
      <c r="K557" s="16" t="b">
        <v>0</v>
      </c>
      <c r="L557" s="16" t="b">
        <v>0</v>
      </c>
    </row>
    <row r="558">
      <c r="A558" s="107"/>
      <c r="B558" s="16"/>
      <c r="C558" s="7" t="str">
        <f>IFERROR(VLOOKUP(B558,'Master data'!$A$1:$F$1000,2,FALSE),"")</f>
        <v/>
      </c>
      <c r="D558" s="7" t="str">
        <f>IFERROR(VLOOKUP(B558,'Master data'!$A$1:$F$1000,6,FALSE),"")</f>
        <v/>
      </c>
      <c r="F558" s="7" t="str">
        <f>IFERROR(VLOOKUP(B558,'Master data'!$A$1:$F$1000,3,FALSE),"")</f>
        <v/>
      </c>
      <c r="G558" s="100"/>
      <c r="H558" s="100"/>
      <c r="I558" s="16"/>
      <c r="J558" s="16"/>
      <c r="K558" s="16" t="b">
        <v>0</v>
      </c>
      <c r="L558" s="16" t="b">
        <v>0</v>
      </c>
    </row>
    <row r="559">
      <c r="A559" s="107"/>
      <c r="B559" s="16"/>
      <c r="C559" s="7" t="str">
        <f>IFERROR(VLOOKUP(B559,'Master data'!$A$1:$F$1000,2,FALSE),"")</f>
        <v/>
      </c>
      <c r="D559" s="7" t="str">
        <f>IFERROR(VLOOKUP(B559,'Master data'!$A$1:$F$1000,6,FALSE),"")</f>
        <v/>
      </c>
      <c r="F559" s="7" t="str">
        <f>IFERROR(VLOOKUP(B559,'Master data'!$A$1:$F$1000,3,FALSE),"")</f>
        <v/>
      </c>
      <c r="G559" s="100"/>
      <c r="H559" s="100"/>
      <c r="I559" s="16"/>
      <c r="J559" s="16"/>
      <c r="K559" s="16" t="b">
        <v>0</v>
      </c>
      <c r="L559" s="16" t="b">
        <v>0</v>
      </c>
    </row>
    <row r="560">
      <c r="A560" s="107"/>
      <c r="B560" s="16"/>
      <c r="C560" s="7" t="str">
        <f>IFERROR(VLOOKUP(B560,'Master data'!$A$1:$F$1000,2,FALSE),"")</f>
        <v/>
      </c>
      <c r="D560" s="7" t="str">
        <f>IFERROR(VLOOKUP(B560,'Master data'!$A$1:$F$1000,6,FALSE),"")</f>
        <v/>
      </c>
      <c r="F560" s="7" t="str">
        <f>IFERROR(VLOOKUP(B560,'Master data'!$A$1:$F$1000,3,FALSE),"")</f>
        <v/>
      </c>
      <c r="G560" s="100"/>
      <c r="H560" s="100"/>
      <c r="I560" s="16"/>
      <c r="J560" s="16"/>
      <c r="K560" s="16" t="b">
        <v>0</v>
      </c>
      <c r="L560" s="16" t="b">
        <v>0</v>
      </c>
    </row>
    <row r="561">
      <c r="A561" s="107"/>
      <c r="B561" s="16"/>
      <c r="C561" s="7" t="str">
        <f>IFERROR(VLOOKUP(B561,'Master data'!$A$1:$F$1000,2,FALSE),"")</f>
        <v/>
      </c>
      <c r="D561" s="7" t="str">
        <f>IFERROR(VLOOKUP(B561,'Master data'!$A$1:$F$1000,6,FALSE),"")</f>
        <v/>
      </c>
      <c r="F561" s="7" t="str">
        <f>IFERROR(VLOOKUP(B561,'Master data'!$A$1:$F$1000,3,FALSE),"")</f>
        <v/>
      </c>
      <c r="G561" s="100"/>
      <c r="H561" s="100"/>
      <c r="I561" s="16"/>
      <c r="J561" s="16"/>
      <c r="K561" s="16" t="b">
        <v>0</v>
      </c>
      <c r="L561" s="16" t="b">
        <v>0</v>
      </c>
    </row>
    <row r="562">
      <c r="A562" s="107"/>
      <c r="B562" s="16"/>
      <c r="C562" s="7" t="str">
        <f>IFERROR(VLOOKUP(B562,'Master data'!$A$1:$F$1000,2,FALSE),"")</f>
        <v/>
      </c>
      <c r="D562" s="7" t="str">
        <f>IFERROR(VLOOKUP(B562,'Master data'!$A$1:$F$1000,6,FALSE),"")</f>
        <v/>
      </c>
      <c r="F562" s="7" t="str">
        <f>IFERROR(VLOOKUP(B562,'Master data'!$A$1:$F$1000,3,FALSE),"")</f>
        <v/>
      </c>
      <c r="G562" s="100"/>
      <c r="H562" s="100"/>
      <c r="I562" s="16"/>
      <c r="J562" s="16"/>
      <c r="K562" s="16" t="b">
        <v>0</v>
      </c>
      <c r="L562" s="16" t="b">
        <v>0</v>
      </c>
    </row>
    <row r="563">
      <c r="A563" s="107"/>
      <c r="B563" s="16"/>
      <c r="C563" s="7" t="str">
        <f>IFERROR(VLOOKUP(B563,'Master data'!$A$1:$F$1000,2,FALSE),"")</f>
        <v/>
      </c>
      <c r="D563" s="7" t="str">
        <f>IFERROR(VLOOKUP(B563,'Master data'!$A$1:$F$1000,6,FALSE),"")</f>
        <v/>
      </c>
      <c r="F563" s="7" t="str">
        <f>IFERROR(VLOOKUP(B563,'Master data'!$A$1:$F$1000,3,FALSE),"")</f>
        <v/>
      </c>
      <c r="G563" s="100"/>
      <c r="H563" s="100"/>
      <c r="I563" s="16"/>
      <c r="J563" s="16"/>
      <c r="K563" s="16" t="b">
        <v>0</v>
      </c>
      <c r="L563" s="16" t="b">
        <v>0</v>
      </c>
    </row>
    <row r="564">
      <c r="A564" s="107"/>
      <c r="B564" s="16"/>
      <c r="C564" s="7" t="str">
        <f>IFERROR(VLOOKUP(B564,'Master data'!$A$1:$F$1000,2,FALSE),"")</f>
        <v/>
      </c>
      <c r="D564" s="7" t="str">
        <f>IFERROR(VLOOKUP(B564,'Master data'!$A$1:$F$1000,6,FALSE),"")</f>
        <v/>
      </c>
      <c r="F564" s="7" t="str">
        <f>IFERROR(VLOOKUP(B564,'Master data'!$A$1:$F$1000,3,FALSE),"")</f>
        <v/>
      </c>
      <c r="G564" s="100"/>
      <c r="H564" s="100"/>
      <c r="I564" s="16"/>
      <c r="J564" s="16"/>
      <c r="K564" s="16" t="b">
        <v>0</v>
      </c>
      <c r="L564" s="16" t="b">
        <v>0</v>
      </c>
    </row>
    <row r="565">
      <c r="A565" s="107"/>
      <c r="B565" s="16"/>
      <c r="C565" s="7" t="str">
        <f>IFERROR(VLOOKUP(B565,'Master data'!$A$1:$F$1000,2,FALSE),"")</f>
        <v/>
      </c>
      <c r="D565" s="7" t="str">
        <f>IFERROR(VLOOKUP(B565,'Master data'!$A$1:$F$1000,6,FALSE),"")</f>
        <v/>
      </c>
      <c r="F565" s="7" t="str">
        <f>IFERROR(VLOOKUP(B565,'Master data'!$A$1:$F$1000,3,FALSE),"")</f>
        <v/>
      </c>
      <c r="G565" s="100"/>
      <c r="H565" s="100"/>
      <c r="I565" s="16"/>
      <c r="J565" s="16"/>
      <c r="K565" s="16" t="b">
        <v>0</v>
      </c>
      <c r="L565" s="16" t="b">
        <v>0</v>
      </c>
    </row>
    <row r="566">
      <c r="A566" s="107"/>
      <c r="B566" s="16"/>
      <c r="C566" s="7" t="str">
        <f>IFERROR(VLOOKUP(B566,'Master data'!$A$1:$F$1000,2,FALSE),"")</f>
        <v/>
      </c>
      <c r="D566" s="7" t="str">
        <f>IFERROR(VLOOKUP(B566,'Master data'!$A$1:$F$1000,6,FALSE),"")</f>
        <v/>
      </c>
      <c r="F566" s="7" t="str">
        <f>IFERROR(VLOOKUP(B566,'Master data'!$A$1:$F$1000,3,FALSE),"")</f>
        <v/>
      </c>
      <c r="G566" s="100"/>
      <c r="H566" s="100"/>
      <c r="I566" s="16"/>
      <c r="J566" s="16"/>
      <c r="K566" s="16" t="b">
        <v>0</v>
      </c>
      <c r="L566" s="16" t="b">
        <v>0</v>
      </c>
    </row>
    <row r="567">
      <c r="A567" s="107"/>
      <c r="B567" s="16"/>
      <c r="C567" s="7" t="str">
        <f>IFERROR(VLOOKUP(B567,'Master data'!$A$1:$F$1000,2,FALSE),"")</f>
        <v/>
      </c>
      <c r="D567" s="7" t="str">
        <f>IFERROR(VLOOKUP(B567,'Master data'!$A$1:$F$1000,6,FALSE),"")</f>
        <v/>
      </c>
      <c r="F567" s="7" t="str">
        <f>IFERROR(VLOOKUP(B567,'Master data'!$A$1:$F$1000,3,FALSE),"")</f>
        <v/>
      </c>
      <c r="G567" s="100"/>
      <c r="H567" s="100"/>
      <c r="I567" s="16"/>
      <c r="J567" s="16"/>
      <c r="K567" s="16" t="b">
        <v>0</v>
      </c>
      <c r="L567" s="16" t="b">
        <v>0</v>
      </c>
    </row>
    <row r="568">
      <c r="A568" s="107"/>
      <c r="B568" s="16"/>
      <c r="C568" s="7" t="str">
        <f>IFERROR(VLOOKUP(B568,'Master data'!$A$1:$F$1000,2,FALSE),"")</f>
        <v/>
      </c>
      <c r="D568" s="7" t="str">
        <f>IFERROR(VLOOKUP(B568,'Master data'!$A$1:$F$1000,6,FALSE),"")</f>
        <v/>
      </c>
      <c r="F568" s="7" t="str">
        <f>IFERROR(VLOOKUP(B568,'Master data'!$A$1:$F$1000,3,FALSE),"")</f>
        <v/>
      </c>
      <c r="G568" s="100"/>
      <c r="H568" s="100"/>
      <c r="I568" s="16"/>
      <c r="J568" s="16"/>
      <c r="K568" s="16" t="b">
        <v>0</v>
      </c>
      <c r="L568" s="16" t="b">
        <v>0</v>
      </c>
    </row>
    <row r="569">
      <c r="A569" s="107"/>
      <c r="B569" s="16"/>
      <c r="C569" s="7" t="str">
        <f>IFERROR(VLOOKUP(B569,'Master data'!$A$1:$F$1000,2,FALSE),"")</f>
        <v/>
      </c>
      <c r="D569" s="7" t="str">
        <f>IFERROR(VLOOKUP(B569,'Master data'!$A$1:$F$1000,6,FALSE),"")</f>
        <v/>
      </c>
      <c r="F569" s="7" t="str">
        <f>IFERROR(VLOOKUP(B569,'Master data'!$A$1:$F$1000,3,FALSE),"")</f>
        <v/>
      </c>
      <c r="G569" s="100"/>
      <c r="H569" s="100"/>
      <c r="I569" s="16"/>
      <c r="J569" s="16"/>
      <c r="K569" s="16" t="b">
        <v>0</v>
      </c>
      <c r="L569" s="16" t="b">
        <v>0</v>
      </c>
    </row>
    <row r="570">
      <c r="A570" s="107"/>
      <c r="B570" s="16"/>
      <c r="C570" s="7" t="str">
        <f>IFERROR(VLOOKUP(B570,'Master data'!$A$1:$F$1000,2,FALSE),"")</f>
        <v/>
      </c>
      <c r="D570" s="7" t="str">
        <f>IFERROR(VLOOKUP(B570,'Master data'!$A$1:$F$1000,6,FALSE),"")</f>
        <v/>
      </c>
      <c r="F570" s="7" t="str">
        <f>IFERROR(VLOOKUP(B570,'Master data'!$A$1:$F$1000,3,FALSE),"")</f>
        <v/>
      </c>
      <c r="G570" s="100"/>
      <c r="H570" s="100"/>
      <c r="I570" s="16"/>
      <c r="J570" s="16"/>
      <c r="K570" s="16" t="b">
        <v>0</v>
      </c>
      <c r="L570" s="16" t="b">
        <v>0</v>
      </c>
    </row>
    <row r="571">
      <c r="A571" s="107"/>
      <c r="B571" s="16"/>
      <c r="C571" s="7" t="str">
        <f>IFERROR(VLOOKUP(B571,'Master data'!$A$1:$F$1000,2,FALSE),"")</f>
        <v/>
      </c>
      <c r="D571" s="7" t="str">
        <f>IFERROR(VLOOKUP(B571,'Master data'!$A$1:$F$1000,6,FALSE),"")</f>
        <v/>
      </c>
      <c r="F571" s="7" t="str">
        <f>IFERROR(VLOOKUP(B571,'Master data'!$A$1:$F$1000,3,FALSE),"")</f>
        <v/>
      </c>
      <c r="G571" s="100"/>
      <c r="H571" s="100"/>
      <c r="I571" s="16"/>
      <c r="J571" s="16"/>
      <c r="K571" s="16" t="b">
        <v>0</v>
      </c>
      <c r="L571" s="16" t="b">
        <v>0</v>
      </c>
    </row>
    <row r="572">
      <c r="A572" s="107"/>
      <c r="B572" s="16"/>
      <c r="C572" s="7" t="str">
        <f>IFERROR(VLOOKUP(B572,'Master data'!$A$1:$F$1000,2,FALSE),"")</f>
        <v/>
      </c>
      <c r="D572" s="7" t="str">
        <f>IFERROR(VLOOKUP(B572,'Master data'!$A$1:$F$1000,6,FALSE),"")</f>
        <v/>
      </c>
      <c r="F572" s="7" t="str">
        <f>IFERROR(VLOOKUP(B572,'Master data'!$A$1:$F$1000,3,FALSE),"")</f>
        <v/>
      </c>
      <c r="G572" s="100"/>
      <c r="H572" s="100"/>
      <c r="I572" s="16"/>
      <c r="J572" s="16"/>
      <c r="K572" s="16" t="b">
        <v>0</v>
      </c>
      <c r="L572" s="16" t="b">
        <v>0</v>
      </c>
    </row>
    <row r="573">
      <c r="A573" s="107"/>
      <c r="B573" s="16"/>
      <c r="C573" s="7" t="str">
        <f>IFERROR(VLOOKUP(B573,'Master data'!$A$1:$F$1000,2,FALSE),"")</f>
        <v/>
      </c>
      <c r="D573" s="7" t="str">
        <f>IFERROR(VLOOKUP(B573,'Master data'!$A$1:$F$1000,6,FALSE),"")</f>
        <v/>
      </c>
      <c r="F573" s="7" t="str">
        <f>IFERROR(VLOOKUP(B573,'Master data'!$A$1:$F$1000,3,FALSE),"")</f>
        <v/>
      </c>
      <c r="G573" s="100"/>
      <c r="H573" s="100"/>
      <c r="I573" s="16"/>
      <c r="J573" s="16"/>
      <c r="K573" s="16" t="b">
        <v>0</v>
      </c>
      <c r="L573" s="16" t="b">
        <v>0</v>
      </c>
    </row>
    <row r="574">
      <c r="A574" s="107"/>
      <c r="B574" s="16"/>
      <c r="C574" s="7" t="str">
        <f>IFERROR(VLOOKUP(B574,'Master data'!$A$1:$F$1000,2,FALSE),"")</f>
        <v/>
      </c>
      <c r="D574" s="7" t="str">
        <f>IFERROR(VLOOKUP(B574,'Master data'!$A$1:$F$1000,6,FALSE),"")</f>
        <v/>
      </c>
      <c r="F574" s="7" t="str">
        <f>IFERROR(VLOOKUP(B574,'Master data'!$A$1:$F$1000,3,FALSE),"")</f>
        <v/>
      </c>
      <c r="G574" s="100"/>
      <c r="H574" s="100"/>
      <c r="I574" s="16"/>
      <c r="J574" s="16"/>
      <c r="K574" s="16" t="b">
        <v>0</v>
      </c>
      <c r="L574" s="16" t="b">
        <v>0</v>
      </c>
    </row>
    <row r="575">
      <c r="A575" s="107"/>
      <c r="B575" s="16"/>
      <c r="C575" s="7" t="str">
        <f>IFERROR(VLOOKUP(B575,'Master data'!$A$1:$F$1000,2,FALSE),"")</f>
        <v/>
      </c>
      <c r="D575" s="7" t="str">
        <f>IFERROR(VLOOKUP(B575,'Master data'!$A$1:$F$1000,6,FALSE),"")</f>
        <v/>
      </c>
      <c r="F575" s="7" t="str">
        <f>IFERROR(VLOOKUP(B575,'Master data'!$A$1:$F$1000,3,FALSE),"")</f>
        <v/>
      </c>
      <c r="G575" s="100"/>
      <c r="H575" s="100"/>
      <c r="I575" s="16"/>
      <c r="J575" s="16"/>
      <c r="K575" s="16" t="b">
        <v>0</v>
      </c>
      <c r="L575" s="16" t="b">
        <v>0</v>
      </c>
    </row>
    <row r="576">
      <c r="A576" s="107"/>
      <c r="B576" s="16"/>
      <c r="C576" s="7" t="str">
        <f>IFERROR(VLOOKUP(B576,'Master data'!$A$1:$F$1000,2,FALSE),"")</f>
        <v/>
      </c>
      <c r="D576" s="7" t="str">
        <f>IFERROR(VLOOKUP(B576,'Master data'!$A$1:$F$1000,6,FALSE),"")</f>
        <v/>
      </c>
      <c r="F576" s="7" t="str">
        <f>IFERROR(VLOOKUP(B576,'Master data'!$A$1:$F$1000,3,FALSE),"")</f>
        <v/>
      </c>
      <c r="G576" s="100"/>
      <c r="H576" s="100"/>
      <c r="I576" s="16"/>
      <c r="J576" s="16"/>
      <c r="K576" s="16" t="b">
        <v>0</v>
      </c>
      <c r="L576" s="16" t="b">
        <v>0</v>
      </c>
    </row>
    <row r="577">
      <c r="A577" s="107"/>
      <c r="B577" s="16"/>
      <c r="C577" s="7" t="str">
        <f>IFERROR(VLOOKUP(B577,'Master data'!$A$1:$F$1000,2,FALSE),"")</f>
        <v/>
      </c>
      <c r="D577" s="7" t="str">
        <f>IFERROR(VLOOKUP(B577,'Master data'!$A$1:$F$1000,6,FALSE),"")</f>
        <v/>
      </c>
      <c r="F577" s="7" t="str">
        <f>IFERROR(VLOOKUP(B577,'Master data'!$A$1:$F$1000,3,FALSE),"")</f>
        <v/>
      </c>
      <c r="G577" s="100"/>
      <c r="H577" s="100"/>
      <c r="I577" s="16"/>
      <c r="J577" s="16"/>
      <c r="K577" s="16" t="b">
        <v>0</v>
      </c>
      <c r="L577" s="16" t="b">
        <v>0</v>
      </c>
    </row>
    <row r="578">
      <c r="A578" s="107"/>
      <c r="B578" s="16"/>
      <c r="C578" s="7" t="str">
        <f>IFERROR(VLOOKUP(B578,'Master data'!$A$1:$F$1000,2,FALSE),"")</f>
        <v/>
      </c>
      <c r="D578" s="7" t="str">
        <f>IFERROR(VLOOKUP(B578,'Master data'!$A$1:$F$1000,6,FALSE),"")</f>
        <v/>
      </c>
      <c r="F578" s="7" t="str">
        <f>IFERROR(VLOOKUP(B578,'Master data'!$A$1:$F$1000,3,FALSE),"")</f>
        <v/>
      </c>
      <c r="G578" s="100"/>
      <c r="H578" s="100"/>
      <c r="I578" s="16"/>
      <c r="J578" s="16"/>
      <c r="K578" s="16" t="b">
        <v>0</v>
      </c>
      <c r="L578" s="16" t="b">
        <v>0</v>
      </c>
    </row>
    <row r="579">
      <c r="A579" s="107"/>
      <c r="B579" s="16"/>
      <c r="C579" s="7" t="str">
        <f>IFERROR(VLOOKUP(B579,'Master data'!$A$1:$F$1000,2,FALSE),"")</f>
        <v/>
      </c>
      <c r="D579" s="7" t="str">
        <f>IFERROR(VLOOKUP(B579,'Master data'!$A$1:$F$1000,6,FALSE),"")</f>
        <v/>
      </c>
      <c r="F579" s="7" t="str">
        <f>IFERROR(VLOOKUP(B579,'Master data'!$A$1:$F$1000,3,FALSE),"")</f>
        <v/>
      </c>
      <c r="G579" s="100"/>
      <c r="H579" s="100"/>
      <c r="I579" s="16"/>
      <c r="J579" s="16"/>
      <c r="K579" s="16" t="b">
        <v>0</v>
      </c>
      <c r="L579" s="16" t="b">
        <v>0</v>
      </c>
    </row>
    <row r="580">
      <c r="A580" s="107"/>
      <c r="B580" s="16"/>
      <c r="C580" s="7" t="str">
        <f>IFERROR(VLOOKUP(B580,'Master data'!$A$1:$F$1000,2,FALSE),"")</f>
        <v/>
      </c>
      <c r="D580" s="7" t="str">
        <f>IFERROR(VLOOKUP(B580,'Master data'!$A$1:$F$1000,6,FALSE),"")</f>
        <v/>
      </c>
      <c r="F580" s="7" t="str">
        <f>IFERROR(VLOOKUP(B580,'Master data'!$A$1:$F$1000,3,FALSE),"")</f>
        <v/>
      </c>
      <c r="G580" s="100"/>
      <c r="H580" s="100"/>
      <c r="I580" s="16"/>
      <c r="J580" s="16"/>
      <c r="K580" s="16" t="b">
        <v>0</v>
      </c>
      <c r="L580" s="16" t="b">
        <v>0</v>
      </c>
    </row>
    <row r="581">
      <c r="A581" s="107"/>
      <c r="B581" s="16"/>
      <c r="C581" s="7" t="str">
        <f>IFERROR(VLOOKUP(B581,'Master data'!$A$1:$F$1000,2,FALSE),"")</f>
        <v/>
      </c>
      <c r="D581" s="7" t="str">
        <f>IFERROR(VLOOKUP(B581,'Master data'!$A$1:$F$1000,6,FALSE),"")</f>
        <v/>
      </c>
      <c r="F581" s="7" t="str">
        <f>IFERROR(VLOOKUP(B581,'Master data'!$A$1:$F$1000,3,FALSE),"")</f>
        <v/>
      </c>
      <c r="G581" s="100"/>
      <c r="H581" s="100"/>
      <c r="I581" s="16"/>
      <c r="J581" s="16"/>
      <c r="K581" s="16" t="b">
        <v>0</v>
      </c>
      <c r="L581" s="16" t="b">
        <v>0</v>
      </c>
    </row>
    <row r="582">
      <c r="A582" s="107"/>
      <c r="B582" s="16"/>
      <c r="C582" s="7" t="str">
        <f>IFERROR(VLOOKUP(B582,'Master data'!$A$1:$F$1000,2,FALSE),"")</f>
        <v/>
      </c>
      <c r="D582" s="7" t="str">
        <f>IFERROR(VLOOKUP(B582,'Master data'!$A$1:$F$1000,6,FALSE),"")</f>
        <v/>
      </c>
      <c r="F582" s="7" t="str">
        <f>IFERROR(VLOOKUP(B582,'Master data'!$A$1:$F$1000,3,FALSE),"")</f>
        <v/>
      </c>
      <c r="G582" s="100"/>
      <c r="H582" s="100"/>
      <c r="I582" s="16"/>
      <c r="J582" s="16"/>
      <c r="K582" s="16" t="b">
        <v>0</v>
      </c>
      <c r="L582" s="16" t="b">
        <v>0</v>
      </c>
    </row>
    <row r="583">
      <c r="A583" s="107"/>
      <c r="B583" s="16"/>
      <c r="C583" s="7" t="str">
        <f>IFERROR(VLOOKUP(B583,'Master data'!$A$1:$F$1000,2,FALSE),"")</f>
        <v/>
      </c>
      <c r="D583" s="7" t="str">
        <f>IFERROR(VLOOKUP(B583,'Master data'!$A$1:$F$1000,6,FALSE),"")</f>
        <v/>
      </c>
      <c r="F583" s="7" t="str">
        <f>IFERROR(VLOOKUP(B583,'Master data'!$A$1:$F$1000,3,FALSE),"")</f>
        <v/>
      </c>
      <c r="G583" s="100"/>
      <c r="H583" s="100"/>
      <c r="I583" s="16"/>
      <c r="J583" s="16"/>
      <c r="K583" s="16" t="b">
        <v>0</v>
      </c>
      <c r="L583" s="16" t="b">
        <v>0</v>
      </c>
    </row>
    <row r="584">
      <c r="A584" s="107"/>
      <c r="B584" s="16"/>
      <c r="C584" s="7" t="str">
        <f>IFERROR(VLOOKUP(B584,'Master data'!$A$1:$F$1000,2,FALSE),"")</f>
        <v/>
      </c>
      <c r="D584" s="7" t="str">
        <f>IFERROR(VLOOKUP(B584,'Master data'!$A$1:$F$1000,6,FALSE),"")</f>
        <v/>
      </c>
      <c r="F584" s="7" t="str">
        <f>IFERROR(VLOOKUP(B584,'Master data'!$A$1:$F$1000,3,FALSE),"")</f>
        <v/>
      </c>
      <c r="G584" s="100"/>
      <c r="H584" s="100"/>
      <c r="I584" s="16"/>
      <c r="J584" s="16"/>
      <c r="K584" s="16" t="b">
        <v>0</v>
      </c>
      <c r="L584" s="16" t="b">
        <v>0</v>
      </c>
    </row>
    <row r="585">
      <c r="A585" s="107"/>
      <c r="B585" s="16"/>
      <c r="C585" s="7" t="str">
        <f>IFERROR(VLOOKUP(B585,'Master data'!$A$1:$F$1000,2,FALSE),"")</f>
        <v/>
      </c>
      <c r="D585" s="7" t="str">
        <f>IFERROR(VLOOKUP(B585,'Master data'!$A$1:$F$1000,6,FALSE),"")</f>
        <v/>
      </c>
      <c r="F585" s="7" t="str">
        <f>IFERROR(VLOOKUP(B585,'Master data'!$A$1:$F$1000,3,FALSE),"")</f>
        <v/>
      </c>
      <c r="G585" s="100"/>
      <c r="H585" s="100"/>
      <c r="I585" s="16"/>
      <c r="J585" s="16"/>
      <c r="K585" s="16" t="b">
        <v>0</v>
      </c>
      <c r="L585" s="16" t="b">
        <v>0</v>
      </c>
    </row>
    <row r="586">
      <c r="A586" s="107"/>
      <c r="B586" s="16"/>
      <c r="C586" s="7" t="str">
        <f>IFERROR(VLOOKUP(B586,'Master data'!$A$1:$F$1000,2,FALSE),"")</f>
        <v/>
      </c>
      <c r="D586" s="7" t="str">
        <f>IFERROR(VLOOKUP(B586,'Master data'!$A$1:$F$1000,6,FALSE),"")</f>
        <v/>
      </c>
      <c r="F586" s="7" t="str">
        <f>IFERROR(VLOOKUP(B586,'Master data'!$A$1:$F$1000,3,FALSE),"")</f>
        <v/>
      </c>
      <c r="G586" s="100"/>
      <c r="H586" s="100"/>
      <c r="I586" s="16"/>
      <c r="J586" s="16"/>
      <c r="K586" s="16" t="b">
        <v>0</v>
      </c>
      <c r="L586" s="16" t="b">
        <v>0</v>
      </c>
    </row>
    <row r="587">
      <c r="A587" s="107"/>
      <c r="B587" s="16"/>
      <c r="C587" s="7" t="str">
        <f>IFERROR(VLOOKUP(B587,'Master data'!$A$1:$F$1000,2,FALSE),"")</f>
        <v/>
      </c>
      <c r="D587" s="7" t="str">
        <f>IFERROR(VLOOKUP(B587,'Master data'!$A$1:$F$1000,6,FALSE),"")</f>
        <v/>
      </c>
      <c r="F587" s="7" t="str">
        <f>IFERROR(VLOOKUP(B587,'Master data'!$A$1:$F$1000,3,FALSE),"")</f>
        <v/>
      </c>
      <c r="G587" s="100"/>
      <c r="H587" s="100"/>
      <c r="I587" s="16"/>
      <c r="J587" s="16"/>
      <c r="K587" s="16" t="b">
        <v>0</v>
      </c>
      <c r="L587" s="16" t="b">
        <v>0</v>
      </c>
    </row>
    <row r="588">
      <c r="A588" s="107"/>
      <c r="B588" s="16"/>
      <c r="C588" s="7" t="str">
        <f>IFERROR(VLOOKUP(B588,'Master data'!$A$1:$F$1000,2,FALSE),"")</f>
        <v/>
      </c>
      <c r="D588" s="7" t="str">
        <f>IFERROR(VLOOKUP(B588,'Master data'!$A$1:$F$1000,6,FALSE),"")</f>
        <v/>
      </c>
      <c r="F588" s="7" t="str">
        <f>IFERROR(VLOOKUP(B588,'Master data'!$A$1:$F$1000,3,FALSE),"")</f>
        <v/>
      </c>
      <c r="G588" s="100"/>
      <c r="H588" s="100"/>
      <c r="I588" s="16"/>
      <c r="J588" s="16"/>
      <c r="K588" s="16" t="b">
        <v>0</v>
      </c>
      <c r="L588" s="16" t="b">
        <v>0</v>
      </c>
    </row>
    <row r="589">
      <c r="A589" s="107"/>
      <c r="B589" s="16"/>
      <c r="C589" s="7" t="str">
        <f>IFERROR(VLOOKUP(B589,'Master data'!$A$1:$F$1000,2,FALSE),"")</f>
        <v/>
      </c>
      <c r="D589" s="7" t="str">
        <f>IFERROR(VLOOKUP(B589,'Master data'!$A$1:$F$1000,6,FALSE),"")</f>
        <v/>
      </c>
      <c r="F589" s="7" t="str">
        <f>IFERROR(VLOOKUP(B589,'Master data'!$A$1:$F$1000,3,FALSE),"")</f>
        <v/>
      </c>
      <c r="G589" s="100"/>
      <c r="H589" s="100"/>
      <c r="I589" s="16"/>
      <c r="J589" s="16"/>
      <c r="K589" s="16" t="b">
        <v>0</v>
      </c>
      <c r="L589" s="16" t="b">
        <v>0</v>
      </c>
    </row>
    <row r="590">
      <c r="A590" s="107"/>
      <c r="B590" s="16"/>
      <c r="C590" s="7" t="str">
        <f>IFERROR(VLOOKUP(B590,'Master data'!$A$1:$F$1000,2,FALSE),"")</f>
        <v/>
      </c>
      <c r="D590" s="7" t="str">
        <f>IFERROR(VLOOKUP(B590,'Master data'!$A$1:$F$1000,6,FALSE),"")</f>
        <v/>
      </c>
      <c r="F590" s="7" t="str">
        <f>IFERROR(VLOOKUP(B590,'Master data'!$A$1:$F$1000,3,FALSE),"")</f>
        <v/>
      </c>
      <c r="G590" s="100"/>
      <c r="H590" s="100"/>
      <c r="I590" s="16"/>
      <c r="J590" s="16"/>
      <c r="K590" s="16" t="b">
        <v>0</v>
      </c>
      <c r="L590" s="16" t="b">
        <v>0</v>
      </c>
    </row>
    <row r="591">
      <c r="A591" s="107"/>
      <c r="B591" s="16"/>
      <c r="C591" s="7" t="str">
        <f>IFERROR(VLOOKUP(B591,'Master data'!$A$1:$F$1000,2,FALSE),"")</f>
        <v/>
      </c>
      <c r="D591" s="7" t="str">
        <f>IFERROR(VLOOKUP(B591,'Master data'!$A$1:$F$1000,6,FALSE),"")</f>
        <v/>
      </c>
      <c r="F591" s="7" t="str">
        <f>IFERROR(VLOOKUP(B591,'Master data'!$A$1:$F$1000,3,FALSE),"")</f>
        <v/>
      </c>
      <c r="G591" s="100"/>
      <c r="H591" s="100"/>
      <c r="I591" s="16"/>
      <c r="J591" s="16"/>
      <c r="K591" s="16" t="b">
        <v>0</v>
      </c>
      <c r="L591" s="16" t="b">
        <v>0</v>
      </c>
    </row>
    <row r="592">
      <c r="A592" s="107"/>
      <c r="B592" s="16"/>
      <c r="C592" s="7" t="str">
        <f>IFERROR(VLOOKUP(B592,'Master data'!$A$1:$F$1000,2,FALSE),"")</f>
        <v/>
      </c>
      <c r="D592" s="7" t="str">
        <f>IFERROR(VLOOKUP(B592,'Master data'!$A$1:$F$1000,6,FALSE),"")</f>
        <v/>
      </c>
      <c r="F592" s="7" t="str">
        <f>IFERROR(VLOOKUP(B592,'Master data'!$A$1:$F$1000,3,FALSE),"")</f>
        <v/>
      </c>
      <c r="G592" s="100"/>
      <c r="H592" s="100"/>
      <c r="I592" s="16"/>
      <c r="J592" s="16"/>
      <c r="K592" s="16" t="b">
        <v>0</v>
      </c>
      <c r="L592" s="16" t="b">
        <v>0</v>
      </c>
    </row>
    <row r="593">
      <c r="A593" s="107"/>
      <c r="B593" s="16"/>
      <c r="C593" s="7" t="str">
        <f>IFERROR(VLOOKUP(B593,'Master data'!$A$1:$F$1000,2,FALSE),"")</f>
        <v/>
      </c>
      <c r="D593" s="7" t="str">
        <f>IFERROR(VLOOKUP(B593,'Master data'!$A$1:$F$1000,6,FALSE),"")</f>
        <v/>
      </c>
      <c r="F593" s="7" t="str">
        <f>IFERROR(VLOOKUP(B593,'Master data'!$A$1:$F$1000,3,FALSE),"")</f>
        <v/>
      </c>
      <c r="G593" s="100"/>
      <c r="H593" s="100"/>
      <c r="I593" s="16"/>
      <c r="J593" s="16"/>
      <c r="K593" s="16" t="b">
        <v>0</v>
      </c>
      <c r="L593" s="16" t="b">
        <v>0</v>
      </c>
    </row>
    <row r="594">
      <c r="A594" s="107"/>
      <c r="B594" s="16"/>
      <c r="C594" s="7" t="str">
        <f>IFERROR(VLOOKUP(B594,'Master data'!$A$1:$F$1000,2,FALSE),"")</f>
        <v/>
      </c>
      <c r="D594" s="7" t="str">
        <f>IFERROR(VLOOKUP(B594,'Master data'!$A$1:$F$1000,6,FALSE),"")</f>
        <v/>
      </c>
      <c r="F594" s="7" t="str">
        <f>IFERROR(VLOOKUP(B594,'Master data'!$A$1:$F$1000,3,FALSE),"")</f>
        <v/>
      </c>
      <c r="G594" s="100"/>
      <c r="H594" s="100"/>
      <c r="I594" s="16"/>
      <c r="J594" s="16"/>
      <c r="K594" s="16" t="b">
        <v>0</v>
      </c>
      <c r="L594" s="16" t="b">
        <v>0</v>
      </c>
    </row>
    <row r="595">
      <c r="A595" s="107"/>
      <c r="B595" s="16"/>
      <c r="C595" s="7" t="str">
        <f>IFERROR(VLOOKUP(B595,'Master data'!$A$1:$F$1000,2,FALSE),"")</f>
        <v/>
      </c>
      <c r="D595" s="7" t="str">
        <f>IFERROR(VLOOKUP(B595,'Master data'!$A$1:$F$1000,6,FALSE),"")</f>
        <v/>
      </c>
      <c r="F595" s="7" t="str">
        <f>IFERROR(VLOOKUP(B595,'Master data'!$A$1:$F$1000,3,FALSE),"")</f>
        <v/>
      </c>
      <c r="G595" s="100"/>
      <c r="H595" s="100"/>
      <c r="I595" s="16"/>
      <c r="J595" s="16"/>
      <c r="K595" s="16" t="b">
        <v>0</v>
      </c>
      <c r="L595" s="16" t="b">
        <v>0</v>
      </c>
    </row>
    <row r="596">
      <c r="A596" s="107"/>
      <c r="B596" s="16"/>
      <c r="C596" s="7" t="str">
        <f>IFERROR(VLOOKUP(B596,'Master data'!$A$1:$F$1000,2,FALSE),"")</f>
        <v/>
      </c>
      <c r="D596" s="7" t="str">
        <f>IFERROR(VLOOKUP(B596,'Master data'!$A$1:$F$1000,6,FALSE),"")</f>
        <v/>
      </c>
      <c r="F596" s="7" t="str">
        <f>IFERROR(VLOOKUP(B596,'Master data'!$A$1:$F$1000,3,FALSE),"")</f>
        <v/>
      </c>
      <c r="G596" s="100"/>
      <c r="H596" s="100"/>
      <c r="I596" s="16"/>
      <c r="J596" s="16"/>
      <c r="K596" s="16" t="b">
        <v>0</v>
      </c>
      <c r="L596" s="16" t="b">
        <v>0</v>
      </c>
    </row>
    <row r="597">
      <c r="A597" s="107"/>
      <c r="B597" s="16"/>
      <c r="C597" s="7" t="str">
        <f>IFERROR(VLOOKUP(B597,'Master data'!$A$1:$F$1000,2,FALSE),"")</f>
        <v/>
      </c>
      <c r="D597" s="7" t="str">
        <f>IFERROR(VLOOKUP(B597,'Master data'!$A$1:$F$1000,6,FALSE),"")</f>
        <v/>
      </c>
      <c r="F597" s="7" t="str">
        <f>IFERROR(VLOOKUP(B597,'Master data'!$A$1:$F$1000,3,FALSE),"")</f>
        <v/>
      </c>
      <c r="G597" s="100"/>
      <c r="H597" s="100"/>
      <c r="I597" s="16"/>
      <c r="J597" s="16"/>
      <c r="K597" s="16" t="b">
        <v>0</v>
      </c>
      <c r="L597" s="16" t="b">
        <v>0</v>
      </c>
    </row>
    <row r="598">
      <c r="A598" s="107"/>
      <c r="B598" s="16"/>
      <c r="C598" s="7" t="str">
        <f>IFERROR(VLOOKUP(B598,'Master data'!$A$1:$F$1000,2,FALSE),"")</f>
        <v/>
      </c>
      <c r="D598" s="7" t="str">
        <f>IFERROR(VLOOKUP(B598,'Master data'!$A$1:$F$1000,6,FALSE),"")</f>
        <v/>
      </c>
      <c r="F598" s="7" t="str">
        <f>IFERROR(VLOOKUP(B598,'Master data'!$A$1:$F$1000,3,FALSE),"")</f>
        <v/>
      </c>
      <c r="G598" s="100"/>
      <c r="H598" s="100"/>
      <c r="I598" s="16"/>
      <c r="J598" s="16"/>
      <c r="K598" s="16" t="b">
        <v>0</v>
      </c>
      <c r="L598" s="16" t="b">
        <v>0</v>
      </c>
    </row>
    <row r="599">
      <c r="A599" s="107"/>
      <c r="B599" s="16"/>
      <c r="C599" s="7" t="str">
        <f>IFERROR(VLOOKUP(B599,'Master data'!$A$1:$F$1000,2,FALSE),"")</f>
        <v/>
      </c>
      <c r="D599" s="7" t="str">
        <f>IFERROR(VLOOKUP(B599,'Master data'!$A$1:$F$1000,6,FALSE),"")</f>
        <v/>
      </c>
      <c r="F599" s="7" t="str">
        <f>IFERROR(VLOOKUP(B599,'Master data'!$A$1:$F$1000,3,FALSE),"")</f>
        <v/>
      </c>
      <c r="G599" s="100"/>
      <c r="H599" s="100"/>
      <c r="I599" s="16"/>
      <c r="J599" s="16"/>
      <c r="K599" s="16" t="b">
        <v>0</v>
      </c>
      <c r="L599" s="16" t="b">
        <v>0</v>
      </c>
    </row>
    <row r="600">
      <c r="A600" s="107"/>
      <c r="B600" s="16"/>
      <c r="C600" s="7" t="str">
        <f>IFERROR(VLOOKUP(B600,'Master data'!$A$1:$F$1000,2,FALSE),"")</f>
        <v/>
      </c>
      <c r="D600" s="7" t="str">
        <f>IFERROR(VLOOKUP(B600,'Master data'!$A$1:$F$1000,6,FALSE),"")</f>
        <v/>
      </c>
      <c r="F600" s="7" t="str">
        <f>IFERROR(VLOOKUP(B600,'Master data'!$A$1:$F$1000,3,FALSE),"")</f>
        <v/>
      </c>
      <c r="G600" s="100"/>
      <c r="H600" s="100"/>
      <c r="I600" s="16"/>
      <c r="J600" s="16"/>
      <c r="K600" s="16" t="b">
        <v>0</v>
      </c>
      <c r="L600" s="16" t="b">
        <v>0</v>
      </c>
    </row>
    <row r="601">
      <c r="A601" s="107"/>
      <c r="B601" s="16"/>
      <c r="C601" s="7" t="str">
        <f>IFERROR(VLOOKUP(B601,'Master data'!$A$1:$F$1000,2,FALSE),"")</f>
        <v/>
      </c>
      <c r="D601" s="7" t="str">
        <f>IFERROR(VLOOKUP(B601,'Master data'!$A$1:$F$1000,6,FALSE),"")</f>
        <v/>
      </c>
      <c r="F601" s="7" t="str">
        <f>IFERROR(VLOOKUP(B601,'Master data'!$A$1:$F$1000,3,FALSE),"")</f>
        <v/>
      </c>
      <c r="G601" s="100"/>
      <c r="H601" s="100"/>
      <c r="I601" s="16"/>
      <c r="J601" s="16"/>
      <c r="K601" s="16" t="b">
        <v>0</v>
      </c>
      <c r="L601" s="16" t="b">
        <v>0</v>
      </c>
    </row>
    <row r="602">
      <c r="A602" s="107"/>
      <c r="B602" s="16"/>
      <c r="C602" s="7" t="str">
        <f>IFERROR(VLOOKUP(B602,'Master data'!$A$1:$F$1000,2,FALSE),"")</f>
        <v/>
      </c>
      <c r="D602" s="7" t="str">
        <f>IFERROR(VLOOKUP(B602,'Master data'!$A$1:$F$1000,6,FALSE),"")</f>
        <v/>
      </c>
      <c r="F602" s="7" t="str">
        <f>IFERROR(VLOOKUP(B602,'Master data'!$A$1:$F$1000,3,FALSE),"")</f>
        <v/>
      </c>
      <c r="G602" s="100"/>
      <c r="H602" s="100"/>
      <c r="I602" s="16"/>
      <c r="J602" s="16"/>
      <c r="K602" s="16" t="b">
        <v>0</v>
      </c>
      <c r="L602" s="16" t="b">
        <v>0</v>
      </c>
    </row>
    <row r="603">
      <c r="A603" s="107"/>
      <c r="B603" s="16"/>
      <c r="C603" s="7" t="str">
        <f>IFERROR(VLOOKUP(B603,'Master data'!$A$1:$F$1000,2,FALSE),"")</f>
        <v/>
      </c>
      <c r="D603" s="7" t="str">
        <f>IFERROR(VLOOKUP(B603,'Master data'!$A$1:$F$1000,6,FALSE),"")</f>
        <v/>
      </c>
      <c r="F603" s="7" t="str">
        <f>IFERROR(VLOOKUP(B603,'Master data'!$A$1:$F$1000,3,FALSE),"")</f>
        <v/>
      </c>
      <c r="G603" s="100"/>
      <c r="H603" s="100"/>
      <c r="I603" s="16"/>
      <c r="J603" s="16"/>
      <c r="K603" s="16" t="b">
        <v>0</v>
      </c>
      <c r="L603" s="16" t="b">
        <v>0</v>
      </c>
    </row>
    <row r="604">
      <c r="A604" s="107"/>
      <c r="B604" s="16"/>
      <c r="C604" s="7" t="str">
        <f>IFERROR(VLOOKUP(B604,'Master data'!$A$1:$F$1000,2,FALSE),"")</f>
        <v/>
      </c>
      <c r="D604" s="7" t="str">
        <f>IFERROR(VLOOKUP(B604,'Master data'!$A$1:$F$1000,6,FALSE),"")</f>
        <v/>
      </c>
      <c r="F604" s="7" t="str">
        <f>IFERROR(VLOOKUP(B604,'Master data'!$A$1:$F$1000,3,FALSE),"")</f>
        <v/>
      </c>
      <c r="G604" s="100"/>
      <c r="H604" s="100"/>
      <c r="I604" s="16"/>
      <c r="J604" s="16"/>
      <c r="K604" s="16" t="b">
        <v>0</v>
      </c>
      <c r="L604" s="16" t="b">
        <v>0</v>
      </c>
    </row>
    <row r="605">
      <c r="A605" s="107"/>
      <c r="B605" s="16"/>
      <c r="C605" s="7" t="str">
        <f>IFERROR(VLOOKUP(B605,'Master data'!$A$1:$F$1000,2,FALSE),"")</f>
        <v/>
      </c>
      <c r="D605" s="7" t="str">
        <f>IFERROR(VLOOKUP(B605,'Master data'!$A$1:$F$1000,6,FALSE),"")</f>
        <v/>
      </c>
      <c r="F605" s="7" t="str">
        <f>IFERROR(VLOOKUP(B605,'Master data'!$A$1:$F$1000,3,FALSE),"")</f>
        <v/>
      </c>
      <c r="G605" s="100"/>
      <c r="H605" s="100"/>
      <c r="I605" s="16"/>
      <c r="J605" s="16"/>
      <c r="K605" s="16" t="b">
        <v>0</v>
      </c>
      <c r="L605" s="16" t="b">
        <v>0</v>
      </c>
    </row>
    <row r="606">
      <c r="A606" s="107"/>
      <c r="B606" s="16"/>
      <c r="C606" s="7" t="str">
        <f>IFERROR(VLOOKUP(B606,'Master data'!$A$1:$F$1000,2,FALSE),"")</f>
        <v/>
      </c>
      <c r="D606" s="7" t="str">
        <f>IFERROR(VLOOKUP(B606,'Master data'!$A$1:$F$1000,6,FALSE),"")</f>
        <v/>
      </c>
      <c r="F606" s="7" t="str">
        <f>IFERROR(VLOOKUP(B606,'Master data'!$A$1:$F$1000,3,FALSE),"")</f>
        <v/>
      </c>
      <c r="G606" s="100"/>
      <c r="H606" s="100"/>
      <c r="I606" s="16"/>
      <c r="J606" s="16"/>
      <c r="K606" s="16" t="b">
        <v>0</v>
      </c>
      <c r="L606" s="16" t="b">
        <v>0</v>
      </c>
    </row>
    <row r="607">
      <c r="A607" s="107"/>
      <c r="B607" s="16"/>
      <c r="C607" s="7" t="str">
        <f>IFERROR(VLOOKUP(B607,'Master data'!$A$1:$F$1000,2,FALSE),"")</f>
        <v/>
      </c>
      <c r="D607" s="7" t="str">
        <f>IFERROR(VLOOKUP(B607,'Master data'!$A$1:$F$1000,6,FALSE),"")</f>
        <v/>
      </c>
      <c r="F607" s="7" t="str">
        <f>IFERROR(VLOOKUP(B607,'Master data'!$A$1:$F$1000,3,FALSE),"")</f>
        <v/>
      </c>
      <c r="G607" s="100"/>
      <c r="H607" s="100"/>
      <c r="I607" s="16"/>
      <c r="J607" s="16"/>
      <c r="K607" s="16" t="b">
        <v>0</v>
      </c>
      <c r="L607" s="16" t="b">
        <v>0</v>
      </c>
    </row>
    <row r="608">
      <c r="A608" s="107"/>
      <c r="B608" s="16"/>
      <c r="C608" s="7" t="str">
        <f>IFERROR(VLOOKUP(B608,'Master data'!$A$1:$F$1000,2,FALSE),"")</f>
        <v/>
      </c>
      <c r="D608" s="7" t="str">
        <f>IFERROR(VLOOKUP(B608,'Master data'!$A$1:$F$1000,6,FALSE),"")</f>
        <v/>
      </c>
      <c r="F608" s="7" t="str">
        <f>IFERROR(VLOOKUP(B608,'Master data'!$A$1:$F$1000,3,FALSE),"")</f>
        <v/>
      </c>
      <c r="G608" s="100"/>
      <c r="H608" s="100"/>
      <c r="I608" s="16"/>
      <c r="J608" s="16"/>
      <c r="K608" s="16" t="b">
        <v>0</v>
      </c>
      <c r="L608" s="16" t="b">
        <v>0</v>
      </c>
    </row>
    <row r="609">
      <c r="A609" s="107"/>
      <c r="B609" s="16"/>
      <c r="C609" s="7" t="str">
        <f>IFERROR(VLOOKUP(B609,'Master data'!$A$1:$F$1000,2,FALSE),"")</f>
        <v/>
      </c>
      <c r="D609" s="7" t="str">
        <f>IFERROR(VLOOKUP(B609,'Master data'!$A$1:$F$1000,6,FALSE),"")</f>
        <v/>
      </c>
      <c r="F609" s="7" t="str">
        <f>IFERROR(VLOOKUP(B609,'Master data'!$A$1:$F$1000,3,FALSE),"")</f>
        <v/>
      </c>
      <c r="G609" s="100"/>
      <c r="H609" s="100"/>
      <c r="I609" s="16"/>
      <c r="J609" s="16"/>
      <c r="K609" s="16" t="b">
        <v>0</v>
      </c>
      <c r="L609" s="16" t="b">
        <v>0</v>
      </c>
    </row>
    <row r="610">
      <c r="A610" s="107"/>
      <c r="B610" s="16"/>
      <c r="C610" s="7" t="str">
        <f>IFERROR(VLOOKUP(B610,'Master data'!$A$1:$F$1000,2,FALSE),"")</f>
        <v/>
      </c>
      <c r="D610" s="7" t="str">
        <f>IFERROR(VLOOKUP(B610,'Master data'!$A$1:$F$1000,6,FALSE),"")</f>
        <v/>
      </c>
      <c r="F610" s="7" t="str">
        <f>IFERROR(VLOOKUP(B610,'Master data'!$A$1:$F$1000,3,FALSE),"")</f>
        <v/>
      </c>
      <c r="G610" s="100"/>
      <c r="H610" s="100"/>
      <c r="I610" s="16"/>
      <c r="J610" s="16"/>
      <c r="K610" s="16" t="b">
        <v>0</v>
      </c>
      <c r="L610" s="16" t="b">
        <v>0</v>
      </c>
    </row>
    <row r="611">
      <c r="A611" s="107"/>
      <c r="B611" s="16"/>
      <c r="C611" s="7" t="str">
        <f>IFERROR(VLOOKUP(B611,'Master data'!$A$1:$F$1000,2,FALSE),"")</f>
        <v/>
      </c>
      <c r="D611" s="7" t="str">
        <f>IFERROR(VLOOKUP(B611,'Master data'!$A$1:$F$1000,6,FALSE),"")</f>
        <v/>
      </c>
      <c r="F611" s="7" t="str">
        <f>IFERROR(VLOOKUP(B611,'Master data'!$A$1:$F$1000,3,FALSE),"")</f>
        <v/>
      </c>
      <c r="G611" s="100"/>
      <c r="H611" s="100"/>
      <c r="I611" s="16"/>
      <c r="J611" s="16"/>
      <c r="K611" s="16" t="b">
        <v>0</v>
      </c>
      <c r="L611" s="16" t="b">
        <v>0</v>
      </c>
    </row>
    <row r="612">
      <c r="A612" s="107"/>
      <c r="B612" s="16"/>
      <c r="C612" s="7" t="str">
        <f>IFERROR(VLOOKUP(B612,'Master data'!$A$1:$F$1000,2,FALSE),"")</f>
        <v/>
      </c>
      <c r="D612" s="7" t="str">
        <f>IFERROR(VLOOKUP(B612,'Master data'!$A$1:$F$1000,6,FALSE),"")</f>
        <v/>
      </c>
      <c r="F612" s="7" t="str">
        <f>IFERROR(VLOOKUP(B612,'Master data'!$A$1:$F$1000,3,FALSE),"")</f>
        <v/>
      </c>
      <c r="G612" s="100"/>
      <c r="H612" s="100"/>
      <c r="I612" s="16"/>
      <c r="J612" s="16"/>
      <c r="K612" s="16" t="b">
        <v>0</v>
      </c>
      <c r="L612" s="16" t="b">
        <v>0</v>
      </c>
    </row>
    <row r="613">
      <c r="A613" s="107"/>
      <c r="B613" s="16"/>
      <c r="C613" s="7" t="str">
        <f>IFERROR(VLOOKUP(B613,'Master data'!$A$1:$F$1000,2,FALSE),"")</f>
        <v/>
      </c>
      <c r="D613" s="7" t="str">
        <f>IFERROR(VLOOKUP(B613,'Master data'!$A$1:$F$1000,6,FALSE),"")</f>
        <v/>
      </c>
      <c r="F613" s="7" t="str">
        <f>IFERROR(VLOOKUP(B613,'Master data'!$A$1:$F$1000,3,FALSE),"")</f>
        <v/>
      </c>
      <c r="G613" s="100"/>
      <c r="H613" s="100"/>
      <c r="I613" s="16"/>
      <c r="J613" s="16"/>
      <c r="K613" s="16" t="b">
        <v>0</v>
      </c>
      <c r="L613" s="16" t="b">
        <v>0</v>
      </c>
    </row>
    <row r="614">
      <c r="A614" s="107"/>
      <c r="B614" s="16"/>
      <c r="C614" s="7" t="str">
        <f>IFERROR(VLOOKUP(B614,'Master data'!$A$1:$F$1000,2,FALSE),"")</f>
        <v/>
      </c>
      <c r="D614" s="7" t="str">
        <f>IFERROR(VLOOKUP(B614,'Master data'!$A$1:$F$1000,6,FALSE),"")</f>
        <v/>
      </c>
      <c r="F614" s="7" t="str">
        <f>IFERROR(VLOOKUP(B614,'Master data'!$A$1:$F$1000,3,FALSE),"")</f>
        <v/>
      </c>
      <c r="G614" s="100"/>
      <c r="H614" s="100"/>
      <c r="I614" s="16"/>
      <c r="J614" s="16"/>
      <c r="K614" s="16" t="b">
        <v>0</v>
      </c>
      <c r="L614" s="16" t="b">
        <v>0</v>
      </c>
    </row>
    <row r="615">
      <c r="A615" s="107"/>
      <c r="B615" s="16"/>
      <c r="C615" s="7" t="str">
        <f>IFERROR(VLOOKUP(B615,'Master data'!$A$1:$F$1000,2,FALSE),"")</f>
        <v/>
      </c>
      <c r="D615" s="7" t="str">
        <f>IFERROR(VLOOKUP(B615,'Master data'!$A$1:$F$1000,6,FALSE),"")</f>
        <v/>
      </c>
      <c r="F615" s="7" t="str">
        <f>IFERROR(VLOOKUP(B615,'Master data'!$A$1:$F$1000,3,FALSE),"")</f>
        <v/>
      </c>
      <c r="G615" s="100"/>
      <c r="H615" s="100"/>
      <c r="I615" s="16"/>
      <c r="J615" s="16"/>
      <c r="K615" s="16" t="b">
        <v>0</v>
      </c>
      <c r="L615" s="16" t="b">
        <v>0</v>
      </c>
    </row>
    <row r="616">
      <c r="A616" s="107"/>
      <c r="B616" s="16"/>
      <c r="C616" s="7" t="str">
        <f>IFERROR(VLOOKUP(B616,'Master data'!$A$1:$F$1000,2,FALSE),"")</f>
        <v/>
      </c>
      <c r="D616" s="7" t="str">
        <f>IFERROR(VLOOKUP(B616,'Master data'!$A$1:$F$1000,6,FALSE),"")</f>
        <v/>
      </c>
      <c r="F616" s="7" t="str">
        <f>IFERROR(VLOOKUP(B616,'Master data'!$A$1:$F$1000,3,FALSE),"")</f>
        <v/>
      </c>
      <c r="G616" s="100"/>
      <c r="H616" s="100"/>
      <c r="I616" s="16"/>
      <c r="J616" s="16"/>
      <c r="K616" s="16" t="b">
        <v>0</v>
      </c>
      <c r="L616" s="16" t="b">
        <v>0</v>
      </c>
    </row>
    <row r="617">
      <c r="A617" s="107"/>
      <c r="B617" s="16"/>
      <c r="C617" s="7" t="str">
        <f>IFERROR(VLOOKUP(B617,'Master data'!$A$1:$F$1000,2,FALSE),"")</f>
        <v/>
      </c>
      <c r="D617" s="7" t="str">
        <f>IFERROR(VLOOKUP(B617,'Master data'!$A$1:$F$1000,6,FALSE),"")</f>
        <v/>
      </c>
      <c r="F617" s="7" t="str">
        <f>IFERROR(VLOOKUP(B617,'Master data'!$A$1:$F$1000,3,FALSE),"")</f>
        <v/>
      </c>
      <c r="G617" s="100"/>
      <c r="H617" s="100"/>
      <c r="I617" s="16"/>
      <c r="J617" s="16"/>
      <c r="K617" s="16" t="b">
        <v>0</v>
      </c>
      <c r="L617" s="16" t="b">
        <v>0</v>
      </c>
    </row>
    <row r="618">
      <c r="A618" s="107"/>
      <c r="B618" s="16"/>
      <c r="C618" s="7" t="str">
        <f>IFERROR(VLOOKUP(B618,'Master data'!$A$1:$F$1000,2,FALSE),"")</f>
        <v/>
      </c>
      <c r="D618" s="7" t="str">
        <f>IFERROR(VLOOKUP(B618,'Master data'!$A$1:$F$1000,6,FALSE),"")</f>
        <v/>
      </c>
      <c r="F618" s="7" t="str">
        <f>IFERROR(VLOOKUP(B618,'Master data'!$A$1:$F$1000,3,FALSE),"")</f>
        <v/>
      </c>
      <c r="G618" s="100"/>
      <c r="H618" s="100"/>
      <c r="I618" s="16"/>
      <c r="J618" s="16"/>
      <c r="K618" s="16" t="b">
        <v>0</v>
      </c>
      <c r="L618" s="16" t="b">
        <v>0</v>
      </c>
    </row>
    <row r="619">
      <c r="A619" s="107"/>
      <c r="B619" s="16"/>
      <c r="C619" s="7" t="str">
        <f>IFERROR(VLOOKUP(B619,'Master data'!$A$1:$F$1000,2,FALSE),"")</f>
        <v/>
      </c>
      <c r="D619" s="7" t="str">
        <f>IFERROR(VLOOKUP(B619,'Master data'!$A$1:$F$1000,6,FALSE),"")</f>
        <v/>
      </c>
      <c r="F619" s="7" t="str">
        <f>IFERROR(VLOOKUP(B619,'Master data'!$A$1:$F$1000,3,FALSE),"")</f>
        <v/>
      </c>
      <c r="G619" s="100"/>
      <c r="H619" s="100"/>
      <c r="I619" s="16"/>
      <c r="J619" s="16"/>
      <c r="K619" s="16" t="b">
        <v>0</v>
      </c>
      <c r="L619" s="16" t="b">
        <v>0</v>
      </c>
    </row>
    <row r="620">
      <c r="A620" s="107"/>
      <c r="B620" s="16"/>
      <c r="C620" s="7" t="str">
        <f>IFERROR(VLOOKUP(B620,'Master data'!$A$1:$F$1000,2,FALSE),"")</f>
        <v/>
      </c>
      <c r="D620" s="7" t="str">
        <f>IFERROR(VLOOKUP(B620,'Master data'!$A$1:$F$1000,6,FALSE),"")</f>
        <v/>
      </c>
      <c r="F620" s="7" t="str">
        <f>IFERROR(VLOOKUP(B620,'Master data'!$A$1:$F$1000,3,FALSE),"")</f>
        <v/>
      </c>
      <c r="G620" s="100"/>
      <c r="H620" s="100"/>
      <c r="I620" s="16"/>
      <c r="J620" s="16"/>
      <c r="K620" s="16" t="b">
        <v>0</v>
      </c>
      <c r="L620" s="16" t="b">
        <v>0</v>
      </c>
    </row>
    <row r="621">
      <c r="A621" s="107"/>
      <c r="B621" s="16"/>
      <c r="C621" s="7" t="str">
        <f>IFERROR(VLOOKUP(B621,'Master data'!$A$1:$F$1000,2,FALSE),"")</f>
        <v/>
      </c>
      <c r="D621" s="7" t="str">
        <f>IFERROR(VLOOKUP(B621,'Master data'!$A$1:$F$1000,6,FALSE),"")</f>
        <v/>
      </c>
      <c r="F621" s="7" t="str">
        <f>IFERROR(VLOOKUP(B621,'Master data'!$A$1:$F$1000,3,FALSE),"")</f>
        <v/>
      </c>
      <c r="G621" s="100"/>
      <c r="H621" s="100"/>
      <c r="I621" s="16"/>
      <c r="J621" s="16"/>
      <c r="K621" s="16" t="b">
        <v>0</v>
      </c>
      <c r="L621" s="16" t="b">
        <v>0</v>
      </c>
    </row>
    <row r="622">
      <c r="A622" s="107"/>
      <c r="B622" s="16"/>
      <c r="C622" s="7" t="str">
        <f>IFERROR(VLOOKUP(B622,'Master data'!$A$1:$F$1000,2,FALSE),"")</f>
        <v/>
      </c>
      <c r="D622" s="7" t="str">
        <f>IFERROR(VLOOKUP(B622,'Master data'!$A$1:$F$1000,6,FALSE),"")</f>
        <v/>
      </c>
      <c r="F622" s="7" t="str">
        <f>IFERROR(VLOOKUP(B622,'Master data'!$A$1:$F$1000,3,FALSE),"")</f>
        <v/>
      </c>
      <c r="G622" s="100"/>
      <c r="H622" s="100"/>
      <c r="I622" s="16"/>
      <c r="J622" s="16"/>
      <c r="K622" s="16" t="b">
        <v>0</v>
      </c>
      <c r="L622" s="16" t="b">
        <v>0</v>
      </c>
    </row>
    <row r="623">
      <c r="A623" s="107"/>
      <c r="B623" s="16"/>
      <c r="C623" s="7" t="str">
        <f>IFERROR(VLOOKUP(B623,'Master data'!$A$1:$F$1000,2,FALSE),"")</f>
        <v/>
      </c>
      <c r="D623" s="7" t="str">
        <f>IFERROR(VLOOKUP(B623,'Master data'!$A$1:$F$1000,6,FALSE),"")</f>
        <v/>
      </c>
      <c r="F623" s="7" t="str">
        <f>IFERROR(VLOOKUP(B623,'Master data'!$A$1:$F$1000,3,FALSE),"")</f>
        <v/>
      </c>
      <c r="G623" s="100"/>
      <c r="H623" s="100"/>
      <c r="I623" s="16"/>
      <c r="J623" s="16"/>
      <c r="K623" s="16" t="b">
        <v>0</v>
      </c>
      <c r="L623" s="16" t="b">
        <v>0</v>
      </c>
    </row>
    <row r="624">
      <c r="A624" s="107"/>
      <c r="B624" s="16"/>
      <c r="C624" s="7" t="str">
        <f>IFERROR(VLOOKUP(B624,'Master data'!$A$1:$F$1000,2,FALSE),"")</f>
        <v/>
      </c>
      <c r="D624" s="7" t="str">
        <f>IFERROR(VLOOKUP(B624,'Master data'!$A$1:$F$1000,6,FALSE),"")</f>
        <v/>
      </c>
      <c r="F624" s="7" t="str">
        <f>IFERROR(VLOOKUP(B624,'Master data'!$A$1:$F$1000,3,FALSE),"")</f>
        <v/>
      </c>
      <c r="G624" s="100"/>
      <c r="H624" s="100"/>
      <c r="I624" s="16"/>
      <c r="J624" s="16"/>
      <c r="K624" s="16" t="b">
        <v>0</v>
      </c>
      <c r="L624" s="16" t="b">
        <v>0</v>
      </c>
    </row>
    <row r="625">
      <c r="A625" s="107"/>
      <c r="B625" s="16"/>
      <c r="C625" s="7" t="str">
        <f>IFERROR(VLOOKUP(B625,'Master data'!$A$1:$F$1000,2,FALSE),"")</f>
        <v/>
      </c>
      <c r="D625" s="7" t="str">
        <f>IFERROR(VLOOKUP(B625,'Master data'!$A$1:$F$1000,6,FALSE),"")</f>
        <v/>
      </c>
      <c r="F625" s="7" t="str">
        <f>IFERROR(VLOOKUP(B625,'Master data'!$A$1:$F$1000,3,FALSE),"")</f>
        <v/>
      </c>
      <c r="G625" s="100"/>
      <c r="H625" s="100"/>
      <c r="I625" s="16"/>
      <c r="J625" s="16"/>
      <c r="K625" s="16" t="b">
        <v>0</v>
      </c>
      <c r="L625" s="16" t="b">
        <v>0</v>
      </c>
    </row>
    <row r="626">
      <c r="A626" s="107"/>
      <c r="B626" s="16"/>
      <c r="C626" s="7" t="str">
        <f>IFERROR(VLOOKUP(B626,'Master data'!$A$1:$F$1000,2,FALSE),"")</f>
        <v/>
      </c>
      <c r="D626" s="7" t="str">
        <f>IFERROR(VLOOKUP(B626,'Master data'!$A$1:$F$1000,6,FALSE),"")</f>
        <v/>
      </c>
      <c r="F626" s="7" t="str">
        <f>IFERROR(VLOOKUP(B626,'Master data'!$A$1:$F$1000,3,FALSE),"")</f>
        <v/>
      </c>
      <c r="G626" s="100"/>
      <c r="H626" s="100"/>
      <c r="I626" s="16"/>
      <c r="J626" s="16"/>
      <c r="K626" s="16" t="b">
        <v>0</v>
      </c>
      <c r="L626" s="16" t="b">
        <v>0</v>
      </c>
    </row>
    <row r="627">
      <c r="A627" s="107"/>
      <c r="B627" s="16"/>
      <c r="C627" s="7" t="str">
        <f>IFERROR(VLOOKUP(B627,'Master data'!$A$1:$F$1000,2,FALSE),"")</f>
        <v/>
      </c>
      <c r="D627" s="7" t="str">
        <f>IFERROR(VLOOKUP(B627,'Master data'!$A$1:$F$1000,6,FALSE),"")</f>
        <v/>
      </c>
      <c r="F627" s="7" t="str">
        <f>IFERROR(VLOOKUP(B627,'Master data'!$A$1:$F$1000,3,FALSE),"")</f>
        <v/>
      </c>
      <c r="G627" s="100"/>
      <c r="H627" s="100"/>
      <c r="I627" s="16"/>
      <c r="J627" s="16"/>
      <c r="K627" s="16" t="b">
        <v>0</v>
      </c>
      <c r="L627" s="16" t="b">
        <v>0</v>
      </c>
    </row>
    <row r="628">
      <c r="A628" s="107"/>
      <c r="B628" s="16"/>
      <c r="C628" s="7" t="str">
        <f>IFERROR(VLOOKUP(B628,'Master data'!$A$1:$F$1000,2,FALSE),"")</f>
        <v/>
      </c>
      <c r="D628" s="7" t="str">
        <f>IFERROR(VLOOKUP(B628,'Master data'!$A$1:$F$1000,6,FALSE),"")</f>
        <v/>
      </c>
      <c r="F628" s="7" t="str">
        <f>IFERROR(VLOOKUP(B628,'Master data'!$A$1:$F$1000,3,FALSE),"")</f>
        <v/>
      </c>
      <c r="G628" s="100"/>
      <c r="H628" s="100"/>
      <c r="I628" s="16"/>
      <c r="J628" s="16"/>
      <c r="K628" s="16" t="b">
        <v>0</v>
      </c>
      <c r="L628" s="16" t="b">
        <v>0</v>
      </c>
    </row>
    <row r="629">
      <c r="A629" s="107"/>
      <c r="B629" s="16"/>
      <c r="C629" s="7" t="str">
        <f>IFERROR(VLOOKUP(B629,'Master data'!$A$1:$F$1000,2,FALSE),"")</f>
        <v/>
      </c>
      <c r="D629" s="7" t="str">
        <f>IFERROR(VLOOKUP(B629,'Master data'!$A$1:$F$1000,6,FALSE),"")</f>
        <v/>
      </c>
      <c r="F629" s="7" t="str">
        <f>IFERROR(VLOOKUP(B629,'Master data'!$A$1:$F$1000,3,FALSE),"")</f>
        <v/>
      </c>
      <c r="G629" s="100"/>
      <c r="H629" s="100"/>
      <c r="I629" s="16"/>
      <c r="J629" s="16"/>
      <c r="K629" s="16" t="b">
        <v>0</v>
      </c>
      <c r="L629" s="16" t="b">
        <v>0</v>
      </c>
    </row>
    <row r="630">
      <c r="A630" s="107"/>
      <c r="B630" s="16"/>
      <c r="C630" s="7" t="str">
        <f>IFERROR(VLOOKUP(B630,'Master data'!$A$1:$F$1000,2,FALSE),"")</f>
        <v/>
      </c>
      <c r="D630" s="7" t="str">
        <f>IFERROR(VLOOKUP(B630,'Master data'!$A$1:$F$1000,6,FALSE),"")</f>
        <v/>
      </c>
      <c r="F630" s="7" t="str">
        <f>IFERROR(VLOOKUP(B630,'Master data'!$A$1:$F$1000,3,FALSE),"")</f>
        <v/>
      </c>
      <c r="G630" s="100"/>
      <c r="H630" s="100"/>
      <c r="I630" s="16"/>
      <c r="J630" s="16"/>
      <c r="K630" s="16" t="b">
        <v>0</v>
      </c>
      <c r="L630" s="16" t="b">
        <v>0</v>
      </c>
    </row>
    <row r="631">
      <c r="A631" s="107"/>
      <c r="B631" s="16"/>
      <c r="C631" s="7" t="str">
        <f>IFERROR(VLOOKUP(B631,'Master data'!$A$1:$F$1000,2,FALSE),"")</f>
        <v/>
      </c>
      <c r="D631" s="7" t="str">
        <f>IFERROR(VLOOKUP(B631,'Master data'!$A$1:$F$1000,6,FALSE),"")</f>
        <v/>
      </c>
      <c r="F631" s="7" t="str">
        <f>IFERROR(VLOOKUP(B631,'Master data'!$A$1:$F$1000,3,FALSE),"")</f>
        <v/>
      </c>
      <c r="G631" s="100"/>
      <c r="H631" s="100"/>
      <c r="I631" s="16"/>
      <c r="J631" s="16"/>
      <c r="K631" s="16" t="b">
        <v>0</v>
      </c>
      <c r="L631" s="16" t="b">
        <v>0</v>
      </c>
    </row>
    <row r="632">
      <c r="A632" s="107"/>
      <c r="B632" s="16"/>
      <c r="C632" s="7" t="str">
        <f>IFERROR(VLOOKUP(B632,'Master data'!$A$1:$F$1000,2,FALSE),"")</f>
        <v/>
      </c>
      <c r="D632" s="7" t="str">
        <f>IFERROR(VLOOKUP(B632,'Master data'!$A$1:$F$1000,6,FALSE),"")</f>
        <v/>
      </c>
      <c r="F632" s="7" t="str">
        <f>IFERROR(VLOOKUP(B632,'Master data'!$A$1:$F$1000,3,FALSE),"")</f>
        <v/>
      </c>
      <c r="G632" s="100"/>
      <c r="H632" s="100"/>
      <c r="I632" s="16"/>
      <c r="J632" s="16"/>
      <c r="K632" s="16" t="b">
        <v>0</v>
      </c>
      <c r="L632" s="16" t="b">
        <v>0</v>
      </c>
    </row>
    <row r="633">
      <c r="A633" s="107"/>
      <c r="B633" s="16"/>
      <c r="C633" s="7" t="str">
        <f>IFERROR(VLOOKUP(B633,'Master data'!$A$1:$F$1000,2,FALSE),"")</f>
        <v/>
      </c>
      <c r="D633" s="7" t="str">
        <f>IFERROR(VLOOKUP(B633,'Master data'!$A$1:$F$1000,6,FALSE),"")</f>
        <v/>
      </c>
      <c r="F633" s="7" t="str">
        <f>IFERROR(VLOOKUP(B633,'Master data'!$A$1:$F$1000,3,FALSE),"")</f>
        <v/>
      </c>
      <c r="G633" s="100"/>
      <c r="H633" s="100"/>
      <c r="I633" s="16"/>
      <c r="J633" s="16"/>
      <c r="K633" s="16" t="b">
        <v>0</v>
      </c>
      <c r="L633" s="16" t="b">
        <v>0</v>
      </c>
    </row>
    <row r="634">
      <c r="A634" s="107"/>
      <c r="B634" s="16"/>
      <c r="C634" s="7" t="str">
        <f>IFERROR(VLOOKUP(B634,'Master data'!$A$1:$F$1000,2,FALSE),"")</f>
        <v/>
      </c>
      <c r="D634" s="7" t="str">
        <f>IFERROR(VLOOKUP(B634,'Master data'!$A$1:$F$1000,6,FALSE),"")</f>
        <v/>
      </c>
      <c r="F634" s="7" t="str">
        <f>IFERROR(VLOOKUP(B634,'Master data'!$A$1:$F$1000,3,FALSE),"")</f>
        <v/>
      </c>
      <c r="G634" s="100"/>
      <c r="H634" s="100"/>
      <c r="I634" s="16"/>
      <c r="J634" s="16"/>
      <c r="K634" s="16" t="b">
        <v>0</v>
      </c>
      <c r="L634" s="16" t="b">
        <v>0</v>
      </c>
    </row>
    <row r="635">
      <c r="A635" s="107"/>
      <c r="B635" s="16"/>
      <c r="C635" s="7" t="str">
        <f>IFERROR(VLOOKUP(B635,'Master data'!$A$1:$F$1000,2,FALSE),"")</f>
        <v/>
      </c>
      <c r="D635" s="7" t="str">
        <f>IFERROR(VLOOKUP(B635,'Master data'!$A$1:$F$1000,6,FALSE),"")</f>
        <v/>
      </c>
      <c r="F635" s="7" t="str">
        <f>IFERROR(VLOOKUP(B635,'Master data'!$A$1:$F$1000,3,FALSE),"")</f>
        <v/>
      </c>
      <c r="G635" s="100"/>
      <c r="H635" s="100"/>
      <c r="I635" s="16"/>
      <c r="J635" s="16"/>
      <c r="K635" s="16" t="b">
        <v>0</v>
      </c>
      <c r="L635" s="16" t="b">
        <v>0</v>
      </c>
    </row>
    <row r="636">
      <c r="A636" s="107"/>
      <c r="B636" s="16"/>
      <c r="C636" s="7" t="str">
        <f>IFERROR(VLOOKUP(B636,'Master data'!$A$1:$F$1000,2,FALSE),"")</f>
        <v/>
      </c>
      <c r="D636" s="7" t="str">
        <f>IFERROR(VLOOKUP(B636,'Master data'!$A$1:$F$1000,6,FALSE),"")</f>
        <v/>
      </c>
      <c r="F636" s="7" t="str">
        <f>IFERROR(VLOOKUP(B636,'Master data'!$A$1:$F$1000,3,FALSE),"")</f>
        <v/>
      </c>
      <c r="G636" s="100"/>
      <c r="H636" s="100"/>
      <c r="I636" s="16"/>
      <c r="J636" s="16"/>
      <c r="K636" s="16" t="b">
        <v>0</v>
      </c>
      <c r="L636" s="16" t="b">
        <v>0</v>
      </c>
    </row>
    <row r="637">
      <c r="A637" s="107"/>
      <c r="B637" s="16"/>
      <c r="C637" s="7" t="str">
        <f>IFERROR(VLOOKUP(B637,'Master data'!$A$1:$F$1000,2,FALSE),"")</f>
        <v/>
      </c>
      <c r="D637" s="7" t="str">
        <f>IFERROR(VLOOKUP(B637,'Master data'!$A$1:$F$1000,6,FALSE),"")</f>
        <v/>
      </c>
      <c r="F637" s="7" t="str">
        <f>IFERROR(VLOOKUP(B637,'Master data'!$A$1:$F$1000,3,FALSE),"")</f>
        <v/>
      </c>
      <c r="G637" s="100"/>
      <c r="H637" s="100"/>
      <c r="I637" s="16"/>
      <c r="J637" s="16"/>
      <c r="K637" s="16" t="b">
        <v>0</v>
      </c>
      <c r="L637" s="16" t="b">
        <v>0</v>
      </c>
    </row>
    <row r="638">
      <c r="A638" s="107"/>
      <c r="B638" s="16"/>
      <c r="C638" s="7" t="str">
        <f>IFERROR(VLOOKUP(B638,'Master data'!$A$1:$F$1000,2,FALSE),"")</f>
        <v/>
      </c>
      <c r="D638" s="7" t="str">
        <f>IFERROR(VLOOKUP(B638,'Master data'!$A$1:$F$1000,6,FALSE),"")</f>
        <v/>
      </c>
      <c r="F638" s="7" t="str">
        <f>IFERROR(VLOOKUP(B638,'Master data'!$A$1:$F$1000,3,FALSE),"")</f>
        <v/>
      </c>
      <c r="G638" s="100"/>
      <c r="H638" s="100"/>
      <c r="I638" s="16"/>
      <c r="J638" s="16"/>
      <c r="K638" s="16" t="b">
        <v>0</v>
      </c>
      <c r="L638" s="16" t="b">
        <v>0</v>
      </c>
    </row>
    <row r="639">
      <c r="A639" s="107"/>
      <c r="B639" s="16"/>
      <c r="C639" s="7" t="str">
        <f>IFERROR(VLOOKUP(B639,'Master data'!$A$1:$F$1000,2,FALSE),"")</f>
        <v/>
      </c>
      <c r="D639" s="7" t="str">
        <f>IFERROR(VLOOKUP(B639,'Master data'!$A$1:$F$1000,6,FALSE),"")</f>
        <v/>
      </c>
      <c r="F639" s="7" t="str">
        <f>IFERROR(VLOOKUP(B639,'Master data'!$A$1:$F$1000,3,FALSE),"")</f>
        <v/>
      </c>
      <c r="G639" s="100"/>
      <c r="H639" s="100"/>
      <c r="I639" s="16"/>
      <c r="J639" s="16"/>
      <c r="K639" s="16" t="b">
        <v>0</v>
      </c>
      <c r="L639" s="16" t="b">
        <v>0</v>
      </c>
    </row>
    <row r="640">
      <c r="A640" s="107"/>
      <c r="B640" s="16"/>
      <c r="C640" s="7" t="str">
        <f>IFERROR(VLOOKUP(B640,'Master data'!$A$1:$F$1000,2,FALSE),"")</f>
        <v/>
      </c>
      <c r="D640" s="7" t="str">
        <f>IFERROR(VLOOKUP(B640,'Master data'!$A$1:$F$1000,6,FALSE),"")</f>
        <v/>
      </c>
      <c r="F640" s="7" t="str">
        <f>IFERROR(VLOOKUP(B640,'Master data'!$A$1:$F$1000,3,FALSE),"")</f>
        <v/>
      </c>
      <c r="G640" s="100"/>
      <c r="H640" s="100"/>
      <c r="I640" s="16"/>
      <c r="J640" s="16"/>
      <c r="K640" s="16" t="b">
        <v>0</v>
      </c>
      <c r="L640" s="16" t="b">
        <v>0</v>
      </c>
    </row>
    <row r="641">
      <c r="A641" s="107"/>
      <c r="B641" s="16"/>
      <c r="C641" s="7" t="str">
        <f>IFERROR(VLOOKUP(B641,'Master data'!$A$1:$F$1000,2,FALSE),"")</f>
        <v/>
      </c>
      <c r="D641" s="7" t="str">
        <f>IFERROR(VLOOKUP(B641,'Master data'!$A$1:$F$1000,6,FALSE),"")</f>
        <v/>
      </c>
      <c r="F641" s="7" t="str">
        <f>IFERROR(VLOOKUP(B641,'Master data'!$A$1:$F$1000,3,FALSE),"")</f>
        <v/>
      </c>
      <c r="G641" s="100"/>
      <c r="H641" s="100"/>
      <c r="I641" s="16"/>
      <c r="J641" s="16"/>
      <c r="K641" s="16" t="b">
        <v>0</v>
      </c>
      <c r="L641" s="16" t="b">
        <v>0</v>
      </c>
    </row>
    <row r="642">
      <c r="A642" s="107"/>
      <c r="B642" s="16"/>
      <c r="C642" s="7" t="str">
        <f>IFERROR(VLOOKUP(B642,'Master data'!$A$1:$F$1000,2,FALSE),"")</f>
        <v/>
      </c>
      <c r="D642" s="7" t="str">
        <f>IFERROR(VLOOKUP(B642,'Master data'!$A$1:$F$1000,6,FALSE),"")</f>
        <v/>
      </c>
      <c r="F642" s="7" t="str">
        <f>IFERROR(VLOOKUP(B642,'Master data'!$A$1:$F$1000,3,FALSE),"")</f>
        <v/>
      </c>
      <c r="G642" s="100"/>
      <c r="H642" s="100"/>
      <c r="I642" s="16"/>
      <c r="J642" s="16"/>
      <c r="K642" s="16" t="b">
        <v>0</v>
      </c>
      <c r="L642" s="16" t="b">
        <v>0</v>
      </c>
    </row>
    <row r="643">
      <c r="A643" s="107"/>
      <c r="B643" s="16"/>
      <c r="C643" s="7" t="str">
        <f>IFERROR(VLOOKUP(B643,'Master data'!$A$1:$F$1000,2,FALSE),"")</f>
        <v/>
      </c>
      <c r="D643" s="7" t="str">
        <f>IFERROR(VLOOKUP(B643,'Master data'!$A$1:$F$1000,6,FALSE),"")</f>
        <v/>
      </c>
      <c r="F643" s="7" t="str">
        <f>IFERROR(VLOOKUP(B643,'Master data'!$A$1:$F$1000,3,FALSE),"")</f>
        <v/>
      </c>
      <c r="G643" s="100"/>
      <c r="H643" s="100"/>
      <c r="I643" s="16"/>
      <c r="J643" s="16"/>
      <c r="K643" s="16" t="b">
        <v>0</v>
      </c>
      <c r="L643" s="16" t="b">
        <v>0</v>
      </c>
    </row>
    <row r="644">
      <c r="A644" s="107"/>
      <c r="B644" s="16"/>
      <c r="C644" s="7" t="str">
        <f>IFERROR(VLOOKUP(B644,'Master data'!$A$1:$F$1000,2,FALSE),"")</f>
        <v/>
      </c>
      <c r="D644" s="7" t="str">
        <f>IFERROR(VLOOKUP(B644,'Master data'!$A$1:$F$1000,6,FALSE),"")</f>
        <v/>
      </c>
      <c r="F644" s="7" t="str">
        <f>IFERROR(VLOOKUP(B644,'Master data'!$A$1:$F$1000,3,FALSE),"")</f>
        <v/>
      </c>
      <c r="G644" s="100"/>
      <c r="H644" s="100"/>
      <c r="I644" s="16"/>
      <c r="J644" s="16"/>
      <c r="K644" s="16" t="b">
        <v>0</v>
      </c>
      <c r="L644" s="16" t="b">
        <v>0</v>
      </c>
    </row>
    <row r="645">
      <c r="A645" s="107"/>
      <c r="B645" s="16"/>
      <c r="C645" s="7" t="str">
        <f>IFERROR(VLOOKUP(B645,'Master data'!$A$1:$F$1000,2,FALSE),"")</f>
        <v/>
      </c>
      <c r="D645" s="7" t="str">
        <f>IFERROR(VLOOKUP(B645,'Master data'!$A$1:$F$1000,6,FALSE),"")</f>
        <v/>
      </c>
      <c r="F645" s="7" t="str">
        <f>IFERROR(VLOOKUP(B645,'Master data'!$A$1:$F$1000,3,FALSE),"")</f>
        <v/>
      </c>
      <c r="G645" s="100"/>
      <c r="H645" s="100"/>
      <c r="I645" s="16"/>
      <c r="J645" s="16"/>
      <c r="K645" s="16" t="b">
        <v>0</v>
      </c>
      <c r="L645" s="16" t="b">
        <v>0</v>
      </c>
    </row>
    <row r="646">
      <c r="A646" s="107"/>
      <c r="B646" s="16"/>
      <c r="C646" s="7" t="str">
        <f>IFERROR(VLOOKUP(B646,'Master data'!$A$1:$F$1000,2,FALSE),"")</f>
        <v/>
      </c>
      <c r="D646" s="7" t="str">
        <f>IFERROR(VLOOKUP(B646,'Master data'!$A$1:$F$1000,6,FALSE),"")</f>
        <v/>
      </c>
      <c r="F646" s="7" t="str">
        <f>IFERROR(VLOOKUP(B646,'Master data'!$A$1:$F$1000,3,FALSE),"")</f>
        <v/>
      </c>
      <c r="G646" s="100"/>
      <c r="H646" s="100"/>
      <c r="I646" s="16"/>
      <c r="J646" s="16"/>
      <c r="K646" s="16" t="b">
        <v>0</v>
      </c>
      <c r="L646" s="16" t="b">
        <v>0</v>
      </c>
    </row>
    <row r="647">
      <c r="A647" s="107"/>
      <c r="B647" s="16"/>
      <c r="C647" s="7" t="str">
        <f>IFERROR(VLOOKUP(B647,'Master data'!$A$1:$F$1000,2,FALSE),"")</f>
        <v/>
      </c>
      <c r="D647" s="7" t="str">
        <f>IFERROR(VLOOKUP(B647,'Master data'!$A$1:$F$1000,6,FALSE),"")</f>
        <v/>
      </c>
      <c r="F647" s="7" t="str">
        <f>IFERROR(VLOOKUP(B647,'Master data'!$A$1:$F$1000,3,FALSE),"")</f>
        <v/>
      </c>
      <c r="G647" s="100"/>
      <c r="H647" s="100"/>
      <c r="I647" s="16"/>
      <c r="J647" s="16"/>
      <c r="K647" s="16" t="b">
        <v>0</v>
      </c>
      <c r="L647" s="16" t="b">
        <v>0</v>
      </c>
    </row>
    <row r="648">
      <c r="A648" s="107"/>
      <c r="B648" s="16"/>
      <c r="C648" s="7" t="str">
        <f>IFERROR(VLOOKUP(B648,'Master data'!$A$1:$F$1000,2,FALSE),"")</f>
        <v/>
      </c>
      <c r="D648" s="7" t="str">
        <f>IFERROR(VLOOKUP(B648,'Master data'!$A$1:$F$1000,6,FALSE),"")</f>
        <v/>
      </c>
      <c r="F648" s="7" t="str">
        <f>IFERROR(VLOOKUP(B648,'Master data'!$A$1:$F$1000,3,FALSE),"")</f>
        <v/>
      </c>
      <c r="G648" s="100"/>
      <c r="H648" s="100"/>
      <c r="I648" s="16"/>
      <c r="J648" s="16"/>
      <c r="K648" s="16" t="b">
        <v>0</v>
      </c>
      <c r="L648" s="16" t="b">
        <v>0</v>
      </c>
    </row>
    <row r="649">
      <c r="A649" s="107"/>
      <c r="B649" s="16"/>
      <c r="C649" s="7" t="str">
        <f>IFERROR(VLOOKUP(B649,'Master data'!$A$1:$F$1000,2,FALSE),"")</f>
        <v/>
      </c>
      <c r="D649" s="7" t="str">
        <f>IFERROR(VLOOKUP(B649,'Master data'!$A$1:$F$1000,6,FALSE),"")</f>
        <v/>
      </c>
      <c r="F649" s="7" t="str">
        <f>IFERROR(VLOOKUP(B649,'Master data'!$A$1:$F$1000,3,FALSE),"")</f>
        <v/>
      </c>
      <c r="G649" s="100"/>
      <c r="H649" s="100"/>
      <c r="I649" s="16"/>
      <c r="J649" s="16"/>
      <c r="K649" s="16" t="b">
        <v>0</v>
      </c>
      <c r="L649" s="16" t="b">
        <v>0</v>
      </c>
    </row>
    <row r="650">
      <c r="A650" s="107"/>
      <c r="B650" s="16"/>
      <c r="C650" s="7" t="str">
        <f>IFERROR(VLOOKUP(B650,'Master data'!$A$1:$F$1000,2,FALSE),"")</f>
        <v/>
      </c>
      <c r="D650" s="7" t="str">
        <f>IFERROR(VLOOKUP(B650,'Master data'!$A$1:$F$1000,6,FALSE),"")</f>
        <v/>
      </c>
      <c r="F650" s="7" t="str">
        <f>IFERROR(VLOOKUP(B650,'Master data'!$A$1:$F$1000,3,FALSE),"")</f>
        <v/>
      </c>
      <c r="G650" s="100"/>
      <c r="H650" s="100"/>
      <c r="I650" s="16"/>
      <c r="J650" s="16"/>
      <c r="K650" s="16" t="b">
        <v>0</v>
      </c>
      <c r="L650" s="16" t="b">
        <v>0</v>
      </c>
    </row>
    <row r="651">
      <c r="A651" s="107"/>
      <c r="B651" s="16"/>
      <c r="C651" s="7" t="str">
        <f>IFERROR(VLOOKUP(B651,'Master data'!$A$1:$F$1000,2,FALSE),"")</f>
        <v/>
      </c>
      <c r="D651" s="7" t="str">
        <f>IFERROR(VLOOKUP(B651,'Master data'!$A$1:$F$1000,6,FALSE),"")</f>
        <v/>
      </c>
      <c r="F651" s="7" t="str">
        <f>IFERROR(VLOOKUP(B651,'Master data'!$A$1:$F$1000,3,FALSE),"")</f>
        <v/>
      </c>
      <c r="G651" s="100"/>
      <c r="H651" s="100"/>
      <c r="I651" s="16"/>
      <c r="J651" s="16"/>
      <c r="K651" s="16" t="b">
        <v>0</v>
      </c>
      <c r="L651" s="16" t="b">
        <v>0</v>
      </c>
    </row>
    <row r="652">
      <c r="A652" s="107"/>
      <c r="B652" s="16"/>
      <c r="C652" s="7" t="str">
        <f>IFERROR(VLOOKUP(B652,'Master data'!$A$1:$F$1000,2,FALSE),"")</f>
        <v/>
      </c>
      <c r="D652" s="7" t="str">
        <f>IFERROR(VLOOKUP(B652,'Master data'!$A$1:$F$1000,6,FALSE),"")</f>
        <v/>
      </c>
      <c r="F652" s="7" t="str">
        <f>IFERROR(VLOOKUP(B652,'Master data'!$A$1:$F$1000,3,FALSE),"")</f>
        <v/>
      </c>
      <c r="G652" s="100"/>
      <c r="H652" s="100"/>
      <c r="I652" s="16"/>
      <c r="J652" s="16"/>
      <c r="K652" s="16" t="b">
        <v>0</v>
      </c>
      <c r="L652" s="16" t="b">
        <v>0</v>
      </c>
    </row>
    <row r="653">
      <c r="A653" s="107"/>
      <c r="B653" s="16"/>
      <c r="C653" s="7" t="str">
        <f>IFERROR(VLOOKUP(B653,'Master data'!$A$1:$F$1000,2,FALSE),"")</f>
        <v/>
      </c>
      <c r="D653" s="7" t="str">
        <f>IFERROR(VLOOKUP(B653,'Master data'!$A$1:$F$1000,6,FALSE),"")</f>
        <v/>
      </c>
      <c r="F653" s="7" t="str">
        <f>IFERROR(VLOOKUP(B653,'Master data'!$A$1:$F$1000,3,FALSE),"")</f>
        <v/>
      </c>
      <c r="G653" s="100"/>
      <c r="H653" s="100"/>
      <c r="I653" s="16"/>
      <c r="J653" s="16"/>
      <c r="K653" s="16" t="b">
        <v>0</v>
      </c>
      <c r="L653" s="16" t="b">
        <v>0</v>
      </c>
    </row>
    <row r="654">
      <c r="A654" s="107"/>
      <c r="B654" s="16"/>
      <c r="C654" s="7" t="str">
        <f>IFERROR(VLOOKUP(B654,'Master data'!$A$1:$F$1000,2,FALSE),"")</f>
        <v/>
      </c>
      <c r="D654" s="7" t="str">
        <f>IFERROR(VLOOKUP(B654,'Master data'!$A$1:$F$1000,6,FALSE),"")</f>
        <v/>
      </c>
      <c r="F654" s="7" t="str">
        <f>IFERROR(VLOOKUP(B654,'Master data'!$A$1:$F$1000,3,FALSE),"")</f>
        <v/>
      </c>
      <c r="G654" s="100"/>
      <c r="H654" s="100"/>
      <c r="I654" s="16"/>
      <c r="J654" s="16"/>
      <c r="K654" s="16" t="b">
        <v>0</v>
      </c>
      <c r="L654" s="16" t="b">
        <v>0</v>
      </c>
    </row>
    <row r="655">
      <c r="A655" s="107"/>
      <c r="B655" s="16"/>
      <c r="C655" s="7" t="str">
        <f>IFERROR(VLOOKUP(B655,'Master data'!$A$1:$F$1000,2,FALSE),"")</f>
        <v/>
      </c>
      <c r="D655" s="7" t="str">
        <f>IFERROR(VLOOKUP(B655,'Master data'!$A$1:$F$1000,6,FALSE),"")</f>
        <v/>
      </c>
      <c r="F655" s="7" t="str">
        <f>IFERROR(VLOOKUP(B655,'Master data'!$A$1:$F$1000,3,FALSE),"")</f>
        <v/>
      </c>
      <c r="G655" s="100"/>
      <c r="H655" s="100"/>
      <c r="I655" s="16"/>
      <c r="J655" s="16"/>
      <c r="K655" s="16" t="b">
        <v>0</v>
      </c>
      <c r="L655" s="16" t="b">
        <v>0</v>
      </c>
    </row>
    <row r="656">
      <c r="A656" s="107"/>
      <c r="B656" s="16"/>
      <c r="C656" s="7" t="str">
        <f>IFERROR(VLOOKUP(B656,'Master data'!$A$1:$F$1000,2,FALSE),"")</f>
        <v/>
      </c>
      <c r="D656" s="7" t="str">
        <f>IFERROR(VLOOKUP(B656,'Master data'!$A$1:$F$1000,6,FALSE),"")</f>
        <v/>
      </c>
      <c r="F656" s="7" t="str">
        <f>IFERROR(VLOOKUP(B656,'Master data'!$A$1:$F$1000,3,FALSE),"")</f>
        <v/>
      </c>
      <c r="G656" s="100"/>
      <c r="H656" s="100"/>
      <c r="I656" s="16"/>
      <c r="J656" s="16"/>
      <c r="K656" s="16" t="b">
        <v>0</v>
      </c>
      <c r="L656" s="16" t="b">
        <v>0</v>
      </c>
    </row>
    <row r="657">
      <c r="A657" s="107"/>
      <c r="B657" s="16"/>
      <c r="C657" s="7" t="str">
        <f>IFERROR(VLOOKUP(B657,'Master data'!$A$1:$F$1000,2,FALSE),"")</f>
        <v/>
      </c>
      <c r="D657" s="7" t="str">
        <f>IFERROR(VLOOKUP(B657,'Master data'!$A$1:$F$1000,6,FALSE),"")</f>
        <v/>
      </c>
      <c r="F657" s="7" t="str">
        <f>IFERROR(VLOOKUP(B657,'Master data'!$A$1:$F$1000,3,FALSE),"")</f>
        <v/>
      </c>
      <c r="G657" s="100"/>
      <c r="H657" s="100"/>
      <c r="I657" s="16"/>
      <c r="J657" s="16"/>
      <c r="K657" s="16" t="b">
        <v>0</v>
      </c>
      <c r="L657" s="16" t="b">
        <v>0</v>
      </c>
    </row>
    <row r="658">
      <c r="A658" s="107"/>
      <c r="B658" s="16"/>
      <c r="C658" s="7" t="str">
        <f>IFERROR(VLOOKUP(B658,'Master data'!$A$1:$F$1000,2,FALSE),"")</f>
        <v/>
      </c>
      <c r="D658" s="7" t="str">
        <f>IFERROR(VLOOKUP(B658,'Master data'!$A$1:$F$1000,6,FALSE),"")</f>
        <v/>
      </c>
      <c r="F658" s="7" t="str">
        <f>IFERROR(VLOOKUP(B658,'Master data'!$A$1:$F$1000,3,FALSE),"")</f>
        <v/>
      </c>
      <c r="G658" s="100"/>
      <c r="H658" s="100"/>
      <c r="I658" s="16"/>
      <c r="J658" s="16"/>
      <c r="K658" s="16" t="b">
        <v>0</v>
      </c>
      <c r="L658" s="16" t="b">
        <v>0</v>
      </c>
    </row>
    <row r="659">
      <c r="A659" s="107"/>
      <c r="B659" s="16"/>
      <c r="C659" s="7" t="str">
        <f>IFERROR(VLOOKUP(B659,'Master data'!$A$1:$F$1000,2,FALSE),"")</f>
        <v/>
      </c>
      <c r="D659" s="7" t="str">
        <f>IFERROR(VLOOKUP(B659,'Master data'!$A$1:$F$1000,6,FALSE),"")</f>
        <v/>
      </c>
      <c r="F659" s="7" t="str">
        <f>IFERROR(VLOOKUP(B659,'Master data'!$A$1:$F$1000,3,FALSE),"")</f>
        <v/>
      </c>
      <c r="G659" s="100"/>
      <c r="H659" s="100"/>
      <c r="I659" s="16"/>
      <c r="J659" s="16"/>
      <c r="K659" s="16" t="b">
        <v>0</v>
      </c>
      <c r="L659" s="16" t="b">
        <v>0</v>
      </c>
    </row>
    <row r="660">
      <c r="A660" s="107"/>
      <c r="B660" s="16"/>
      <c r="C660" s="7" t="str">
        <f>IFERROR(VLOOKUP(B660,'Master data'!$A$1:$F$1000,2,FALSE),"")</f>
        <v/>
      </c>
      <c r="D660" s="7" t="str">
        <f>IFERROR(VLOOKUP(B660,'Master data'!$A$1:$F$1000,6,FALSE),"")</f>
        <v/>
      </c>
      <c r="F660" s="7" t="str">
        <f>IFERROR(VLOOKUP(B660,'Master data'!$A$1:$F$1000,3,FALSE),"")</f>
        <v/>
      </c>
      <c r="G660" s="100"/>
      <c r="H660" s="100"/>
      <c r="I660" s="16"/>
      <c r="J660" s="16"/>
      <c r="K660" s="16" t="b">
        <v>0</v>
      </c>
      <c r="L660" s="16" t="b">
        <v>0</v>
      </c>
    </row>
    <row r="661">
      <c r="A661" s="107"/>
      <c r="B661" s="16"/>
      <c r="C661" s="7" t="str">
        <f>IFERROR(VLOOKUP(B661,'Master data'!$A$1:$F$1000,2,FALSE),"")</f>
        <v/>
      </c>
      <c r="D661" s="7" t="str">
        <f>IFERROR(VLOOKUP(B661,'Master data'!$A$1:$F$1000,6,FALSE),"")</f>
        <v/>
      </c>
      <c r="F661" s="7" t="str">
        <f>IFERROR(VLOOKUP(B661,'Master data'!$A$1:$F$1000,3,FALSE),"")</f>
        <v/>
      </c>
      <c r="G661" s="100"/>
      <c r="H661" s="100"/>
      <c r="I661" s="16"/>
      <c r="J661" s="16"/>
      <c r="K661" s="16" t="b">
        <v>0</v>
      </c>
      <c r="L661" s="16" t="b">
        <v>0</v>
      </c>
    </row>
    <row r="662">
      <c r="A662" s="107"/>
      <c r="B662" s="16"/>
      <c r="C662" s="7" t="str">
        <f>IFERROR(VLOOKUP(B662,'Master data'!$A$1:$F$1000,2,FALSE),"")</f>
        <v/>
      </c>
      <c r="D662" s="7" t="str">
        <f>IFERROR(VLOOKUP(B662,'Master data'!$A$1:$F$1000,6,FALSE),"")</f>
        <v/>
      </c>
      <c r="F662" s="7" t="str">
        <f>IFERROR(VLOOKUP(B662,'Master data'!$A$1:$F$1000,3,FALSE),"")</f>
        <v/>
      </c>
      <c r="G662" s="100"/>
      <c r="H662" s="100"/>
      <c r="I662" s="16"/>
      <c r="J662" s="16"/>
      <c r="K662" s="16" t="b">
        <v>0</v>
      </c>
      <c r="L662" s="16" t="b">
        <v>0</v>
      </c>
    </row>
    <row r="663">
      <c r="A663" s="107"/>
      <c r="B663" s="16"/>
      <c r="C663" s="7" t="str">
        <f>IFERROR(VLOOKUP(B663,'Master data'!$A$1:$F$1000,2,FALSE),"")</f>
        <v/>
      </c>
      <c r="D663" s="7" t="str">
        <f>IFERROR(VLOOKUP(B663,'Master data'!$A$1:$F$1000,6,FALSE),"")</f>
        <v/>
      </c>
      <c r="F663" s="7" t="str">
        <f>IFERROR(VLOOKUP(B663,'Master data'!$A$1:$F$1000,3,FALSE),"")</f>
        <v/>
      </c>
      <c r="G663" s="100"/>
      <c r="H663" s="100"/>
      <c r="I663" s="16"/>
      <c r="J663" s="16"/>
      <c r="K663" s="16" t="b">
        <v>0</v>
      </c>
      <c r="L663" s="16" t="b">
        <v>0</v>
      </c>
    </row>
    <row r="664">
      <c r="A664" s="107"/>
      <c r="B664" s="16"/>
      <c r="C664" s="7" t="str">
        <f>IFERROR(VLOOKUP(B664,'Master data'!$A$1:$F$1000,2,FALSE),"")</f>
        <v/>
      </c>
      <c r="D664" s="7" t="str">
        <f>IFERROR(VLOOKUP(B664,'Master data'!$A$1:$F$1000,6,FALSE),"")</f>
        <v/>
      </c>
      <c r="F664" s="7" t="str">
        <f>IFERROR(VLOOKUP(B664,'Master data'!$A$1:$F$1000,3,FALSE),"")</f>
        <v/>
      </c>
      <c r="G664" s="100"/>
      <c r="H664" s="100"/>
      <c r="I664" s="16"/>
      <c r="J664" s="16"/>
      <c r="K664" s="16" t="b">
        <v>0</v>
      </c>
      <c r="L664" s="16" t="b">
        <v>0</v>
      </c>
    </row>
    <row r="665">
      <c r="A665" s="107"/>
      <c r="B665" s="16"/>
      <c r="C665" s="7" t="str">
        <f>IFERROR(VLOOKUP(B665,'Master data'!$A$1:$F$1000,2,FALSE),"")</f>
        <v/>
      </c>
      <c r="D665" s="7" t="str">
        <f>IFERROR(VLOOKUP(B665,'Master data'!$A$1:$F$1000,6,FALSE),"")</f>
        <v/>
      </c>
      <c r="F665" s="7" t="str">
        <f>IFERROR(VLOOKUP(B665,'Master data'!$A$1:$F$1000,3,FALSE),"")</f>
        <v/>
      </c>
      <c r="G665" s="100"/>
      <c r="H665" s="100"/>
      <c r="I665" s="16"/>
      <c r="J665" s="16"/>
      <c r="K665" s="16" t="b">
        <v>0</v>
      </c>
      <c r="L665" s="16" t="b">
        <v>0</v>
      </c>
    </row>
    <row r="666">
      <c r="A666" s="107"/>
      <c r="B666" s="16"/>
      <c r="C666" s="7" t="str">
        <f>IFERROR(VLOOKUP(B666,'Master data'!$A$1:$F$1000,2,FALSE),"")</f>
        <v/>
      </c>
      <c r="D666" s="7" t="str">
        <f>IFERROR(VLOOKUP(B666,'Master data'!$A$1:$F$1000,6,FALSE),"")</f>
        <v/>
      </c>
      <c r="F666" s="7" t="str">
        <f>IFERROR(VLOOKUP(B666,'Master data'!$A$1:$F$1000,3,FALSE),"")</f>
        <v/>
      </c>
      <c r="G666" s="100"/>
      <c r="H666" s="100"/>
      <c r="I666" s="16"/>
      <c r="J666" s="16"/>
      <c r="K666" s="16" t="b">
        <v>0</v>
      </c>
      <c r="L666" s="16" t="b">
        <v>0</v>
      </c>
    </row>
    <row r="667">
      <c r="A667" s="107"/>
      <c r="B667" s="16"/>
      <c r="C667" s="7" t="str">
        <f>IFERROR(VLOOKUP(B667,'Master data'!$A$1:$F$1000,2,FALSE),"")</f>
        <v/>
      </c>
      <c r="D667" s="7" t="str">
        <f>IFERROR(VLOOKUP(B667,'Master data'!$A$1:$F$1000,6,FALSE),"")</f>
        <v/>
      </c>
      <c r="F667" s="7" t="str">
        <f>IFERROR(VLOOKUP(B667,'Master data'!$A$1:$F$1000,3,FALSE),"")</f>
        <v/>
      </c>
      <c r="G667" s="100"/>
      <c r="H667" s="100"/>
      <c r="I667" s="16"/>
      <c r="J667" s="16"/>
      <c r="K667" s="16" t="b">
        <v>0</v>
      </c>
      <c r="L667" s="16" t="b">
        <v>0</v>
      </c>
    </row>
    <row r="668">
      <c r="A668" s="107"/>
      <c r="B668" s="16"/>
      <c r="C668" s="7" t="str">
        <f>IFERROR(VLOOKUP(B668,'Master data'!$A$1:$F$1000,2,FALSE),"")</f>
        <v/>
      </c>
      <c r="D668" s="7" t="str">
        <f>IFERROR(VLOOKUP(B668,'Master data'!$A$1:$F$1000,6,FALSE),"")</f>
        <v/>
      </c>
      <c r="F668" s="7" t="str">
        <f>IFERROR(VLOOKUP(B668,'Master data'!$A$1:$F$1000,3,FALSE),"")</f>
        <v/>
      </c>
      <c r="G668" s="100"/>
      <c r="H668" s="100"/>
      <c r="I668" s="16"/>
      <c r="J668" s="16"/>
      <c r="K668" s="16" t="b">
        <v>0</v>
      </c>
      <c r="L668" s="16" t="b">
        <v>0</v>
      </c>
    </row>
    <row r="669">
      <c r="A669" s="107"/>
      <c r="B669" s="16"/>
      <c r="C669" s="7" t="str">
        <f>IFERROR(VLOOKUP(B669,'Master data'!$A$1:$F$1000,2,FALSE),"")</f>
        <v/>
      </c>
      <c r="D669" s="7" t="str">
        <f>IFERROR(VLOOKUP(B669,'Master data'!$A$1:$F$1000,6,FALSE),"")</f>
        <v/>
      </c>
      <c r="F669" s="7" t="str">
        <f>IFERROR(VLOOKUP(B669,'Master data'!$A$1:$F$1000,3,FALSE),"")</f>
        <v/>
      </c>
      <c r="G669" s="100"/>
      <c r="H669" s="100"/>
      <c r="I669" s="16"/>
      <c r="J669" s="16"/>
      <c r="K669" s="16" t="b">
        <v>0</v>
      </c>
      <c r="L669" s="16" t="b">
        <v>0</v>
      </c>
    </row>
    <row r="670">
      <c r="A670" s="107"/>
      <c r="B670" s="16"/>
      <c r="C670" s="7" t="str">
        <f>IFERROR(VLOOKUP(B670,'Master data'!$A$1:$F$1000,2,FALSE),"")</f>
        <v/>
      </c>
      <c r="D670" s="7" t="str">
        <f>IFERROR(VLOOKUP(B670,'Master data'!$A$1:$F$1000,6,FALSE),"")</f>
        <v/>
      </c>
      <c r="F670" s="7" t="str">
        <f>IFERROR(VLOOKUP(B670,'Master data'!$A$1:$F$1000,3,FALSE),"")</f>
        <v/>
      </c>
      <c r="G670" s="100"/>
      <c r="H670" s="100"/>
      <c r="I670" s="16"/>
      <c r="J670" s="16"/>
      <c r="K670" s="16" t="b">
        <v>0</v>
      </c>
      <c r="L670" s="16" t="b">
        <v>0</v>
      </c>
    </row>
    <row r="671">
      <c r="A671" s="107"/>
      <c r="B671" s="16"/>
      <c r="C671" s="7" t="str">
        <f>IFERROR(VLOOKUP(B671,'Master data'!$A$1:$F$1000,2,FALSE),"")</f>
        <v/>
      </c>
      <c r="D671" s="7" t="str">
        <f>IFERROR(VLOOKUP(B671,'Master data'!$A$1:$F$1000,6,FALSE),"")</f>
        <v/>
      </c>
      <c r="F671" s="7" t="str">
        <f>IFERROR(VLOOKUP(B671,'Master data'!$A$1:$F$1000,3,FALSE),"")</f>
        <v/>
      </c>
      <c r="G671" s="100"/>
      <c r="H671" s="100"/>
      <c r="I671" s="16"/>
      <c r="J671" s="16"/>
      <c r="K671" s="16" t="b">
        <v>0</v>
      </c>
      <c r="L671" s="16" t="b">
        <v>0</v>
      </c>
    </row>
    <row r="672">
      <c r="A672" s="107"/>
      <c r="B672" s="16"/>
      <c r="C672" s="7" t="str">
        <f>IFERROR(VLOOKUP(B672,'Master data'!$A$1:$F$1000,2,FALSE),"")</f>
        <v/>
      </c>
      <c r="D672" s="7" t="str">
        <f>IFERROR(VLOOKUP(B672,'Master data'!$A$1:$F$1000,6,FALSE),"")</f>
        <v/>
      </c>
      <c r="F672" s="7" t="str">
        <f>IFERROR(VLOOKUP(B672,'Master data'!$A$1:$F$1000,3,FALSE),"")</f>
        <v/>
      </c>
      <c r="G672" s="100"/>
      <c r="H672" s="100"/>
      <c r="I672" s="16"/>
      <c r="J672" s="16"/>
      <c r="K672" s="16" t="b">
        <v>0</v>
      </c>
      <c r="L672" s="16" t="b">
        <v>0</v>
      </c>
    </row>
    <row r="673">
      <c r="A673" s="107"/>
      <c r="B673" s="16"/>
      <c r="C673" s="7" t="str">
        <f>IFERROR(VLOOKUP(B673,'Master data'!$A$1:$F$1000,2,FALSE),"")</f>
        <v/>
      </c>
      <c r="D673" s="7" t="str">
        <f>IFERROR(VLOOKUP(B673,'Master data'!$A$1:$F$1000,6,FALSE),"")</f>
        <v/>
      </c>
      <c r="F673" s="7" t="str">
        <f>IFERROR(VLOOKUP(B673,'Master data'!$A$1:$F$1000,3,FALSE),"")</f>
        <v/>
      </c>
      <c r="G673" s="100"/>
      <c r="H673" s="100"/>
      <c r="I673" s="16"/>
      <c r="J673" s="16"/>
      <c r="K673" s="16" t="b">
        <v>0</v>
      </c>
      <c r="L673" s="16" t="b">
        <v>0</v>
      </c>
    </row>
    <row r="674">
      <c r="A674" s="107"/>
      <c r="B674" s="16"/>
      <c r="C674" s="7" t="str">
        <f>IFERROR(VLOOKUP(B674,'Master data'!$A$1:$F$1000,2,FALSE),"")</f>
        <v/>
      </c>
      <c r="D674" s="7" t="str">
        <f>IFERROR(VLOOKUP(B674,'Master data'!$A$1:$F$1000,6,FALSE),"")</f>
        <v/>
      </c>
      <c r="F674" s="7" t="str">
        <f>IFERROR(VLOOKUP(B674,'Master data'!$A$1:$F$1000,3,FALSE),"")</f>
        <v/>
      </c>
      <c r="G674" s="100"/>
      <c r="H674" s="100"/>
      <c r="I674" s="16"/>
      <c r="J674" s="16"/>
      <c r="K674" s="16" t="b">
        <v>0</v>
      </c>
      <c r="L674" s="16" t="b">
        <v>0</v>
      </c>
    </row>
    <row r="675">
      <c r="A675" s="107"/>
      <c r="B675" s="16"/>
      <c r="C675" s="7" t="str">
        <f>IFERROR(VLOOKUP(B675,'Master data'!$A$1:$F$1000,2,FALSE),"")</f>
        <v/>
      </c>
      <c r="D675" s="7" t="str">
        <f>IFERROR(VLOOKUP(B675,'Master data'!$A$1:$F$1000,6,FALSE),"")</f>
        <v/>
      </c>
      <c r="F675" s="7" t="str">
        <f>IFERROR(VLOOKUP(B675,'Master data'!$A$1:$F$1000,3,FALSE),"")</f>
        <v/>
      </c>
      <c r="G675" s="100"/>
      <c r="H675" s="100"/>
      <c r="I675" s="16"/>
      <c r="J675" s="16"/>
      <c r="K675" s="16" t="b">
        <v>0</v>
      </c>
      <c r="L675" s="16" t="b">
        <v>0</v>
      </c>
    </row>
    <row r="676">
      <c r="A676" s="107"/>
      <c r="B676" s="16"/>
      <c r="C676" s="7" t="str">
        <f>IFERROR(VLOOKUP(B676,'Master data'!$A$1:$F$1000,2,FALSE),"")</f>
        <v/>
      </c>
      <c r="D676" s="7" t="str">
        <f>IFERROR(VLOOKUP(B676,'Master data'!$A$1:$F$1000,6,FALSE),"")</f>
        <v/>
      </c>
      <c r="F676" s="7" t="str">
        <f>IFERROR(VLOOKUP(B676,'Master data'!$A$1:$F$1000,3,FALSE),"")</f>
        <v/>
      </c>
      <c r="G676" s="100"/>
      <c r="H676" s="100"/>
      <c r="I676" s="16"/>
      <c r="J676" s="16"/>
      <c r="K676" s="16" t="b">
        <v>0</v>
      </c>
      <c r="L676" s="16" t="b">
        <v>0</v>
      </c>
    </row>
    <row r="677">
      <c r="A677" s="107"/>
      <c r="B677" s="16"/>
      <c r="C677" s="7" t="str">
        <f>IFERROR(VLOOKUP(B677,'Master data'!$A$1:$F$1000,2,FALSE),"")</f>
        <v/>
      </c>
      <c r="D677" s="7" t="str">
        <f>IFERROR(VLOOKUP(B677,'Master data'!$A$1:$F$1000,6,FALSE),"")</f>
        <v/>
      </c>
      <c r="F677" s="7" t="str">
        <f>IFERROR(VLOOKUP(B677,'Master data'!$A$1:$F$1000,3,FALSE),"")</f>
        <v/>
      </c>
      <c r="G677" s="100"/>
      <c r="H677" s="100"/>
      <c r="I677" s="16"/>
      <c r="J677" s="16"/>
      <c r="K677" s="16" t="b">
        <v>0</v>
      </c>
      <c r="L677" s="16" t="b">
        <v>0</v>
      </c>
    </row>
    <row r="678">
      <c r="A678" s="107"/>
      <c r="B678" s="16"/>
      <c r="C678" s="7" t="str">
        <f>IFERROR(VLOOKUP(B678,'Master data'!$A$1:$F$1000,2,FALSE),"")</f>
        <v/>
      </c>
      <c r="D678" s="7" t="str">
        <f>IFERROR(VLOOKUP(B678,'Master data'!$A$1:$F$1000,6,FALSE),"")</f>
        <v/>
      </c>
      <c r="F678" s="7" t="str">
        <f>IFERROR(VLOOKUP(B678,'Master data'!$A$1:$F$1000,3,FALSE),"")</f>
        <v/>
      </c>
      <c r="G678" s="100"/>
      <c r="H678" s="100"/>
      <c r="I678" s="16"/>
      <c r="J678" s="16"/>
      <c r="K678" s="16" t="b">
        <v>0</v>
      </c>
      <c r="L678" s="16" t="b">
        <v>0</v>
      </c>
    </row>
    <row r="679">
      <c r="A679" s="107"/>
      <c r="B679" s="16"/>
      <c r="C679" s="7" t="str">
        <f>IFERROR(VLOOKUP(B679,'Master data'!$A$1:$F$1000,2,FALSE),"")</f>
        <v/>
      </c>
      <c r="D679" s="7" t="str">
        <f>IFERROR(VLOOKUP(B679,'Master data'!$A$1:$F$1000,6,FALSE),"")</f>
        <v/>
      </c>
      <c r="F679" s="7" t="str">
        <f>IFERROR(VLOOKUP(B679,'Master data'!$A$1:$F$1000,3,FALSE),"")</f>
        <v/>
      </c>
      <c r="G679" s="100"/>
      <c r="H679" s="100"/>
      <c r="I679" s="16"/>
      <c r="J679" s="16"/>
      <c r="K679" s="16" t="b">
        <v>0</v>
      </c>
      <c r="L679" s="16" t="b">
        <v>0</v>
      </c>
    </row>
    <row r="680">
      <c r="A680" s="107"/>
      <c r="B680" s="16"/>
      <c r="C680" s="7" t="str">
        <f>IFERROR(VLOOKUP(B680,'Master data'!$A$1:$F$1000,2,FALSE),"")</f>
        <v/>
      </c>
      <c r="D680" s="7" t="str">
        <f>IFERROR(VLOOKUP(B680,'Master data'!$A$1:$F$1000,6,FALSE),"")</f>
        <v/>
      </c>
      <c r="F680" s="7" t="str">
        <f>IFERROR(VLOOKUP(B680,'Master data'!$A$1:$F$1000,3,FALSE),"")</f>
        <v/>
      </c>
      <c r="G680" s="100"/>
      <c r="H680" s="100"/>
      <c r="I680" s="16"/>
      <c r="J680" s="16"/>
      <c r="K680" s="16" t="b">
        <v>0</v>
      </c>
      <c r="L680" s="16" t="b">
        <v>0</v>
      </c>
    </row>
    <row r="681">
      <c r="A681" s="107"/>
      <c r="B681" s="16"/>
      <c r="C681" s="7" t="str">
        <f>IFERROR(VLOOKUP(B681,'Master data'!$A$1:$F$1000,2,FALSE),"")</f>
        <v/>
      </c>
      <c r="D681" s="7" t="str">
        <f>IFERROR(VLOOKUP(B681,'Master data'!$A$1:$F$1000,6,FALSE),"")</f>
        <v/>
      </c>
      <c r="F681" s="7" t="str">
        <f>IFERROR(VLOOKUP(B681,'Master data'!$A$1:$F$1000,3,FALSE),"")</f>
        <v/>
      </c>
      <c r="G681" s="100"/>
      <c r="H681" s="100"/>
      <c r="I681" s="16"/>
      <c r="J681" s="16"/>
      <c r="K681" s="16" t="b">
        <v>0</v>
      </c>
      <c r="L681" s="16" t="b">
        <v>0</v>
      </c>
    </row>
    <row r="682">
      <c r="A682" s="107"/>
      <c r="B682" s="16"/>
      <c r="C682" s="7" t="str">
        <f>IFERROR(VLOOKUP(B682,'Master data'!$A$1:$F$1000,2,FALSE),"")</f>
        <v/>
      </c>
      <c r="D682" s="7" t="str">
        <f>IFERROR(VLOOKUP(B682,'Master data'!$A$1:$F$1000,6,FALSE),"")</f>
        <v/>
      </c>
      <c r="F682" s="7" t="str">
        <f>IFERROR(VLOOKUP(B682,'Master data'!$A$1:$F$1000,3,FALSE),"")</f>
        <v/>
      </c>
      <c r="G682" s="100"/>
      <c r="H682" s="100"/>
      <c r="I682" s="16"/>
      <c r="J682" s="16"/>
      <c r="K682" s="16" t="b">
        <v>0</v>
      </c>
      <c r="L682" s="16" t="b">
        <v>0</v>
      </c>
    </row>
    <row r="683">
      <c r="A683" s="107"/>
      <c r="B683" s="16"/>
      <c r="C683" s="7" t="str">
        <f>IFERROR(VLOOKUP(B683,'Master data'!$A$1:$F$1000,2,FALSE),"")</f>
        <v/>
      </c>
      <c r="D683" s="7" t="str">
        <f>IFERROR(VLOOKUP(B683,'Master data'!$A$1:$F$1000,6,FALSE),"")</f>
        <v/>
      </c>
      <c r="F683" s="7" t="str">
        <f>IFERROR(VLOOKUP(B683,'Master data'!$A$1:$F$1000,3,FALSE),"")</f>
        <v/>
      </c>
      <c r="G683" s="100"/>
      <c r="H683" s="100"/>
      <c r="I683" s="16"/>
      <c r="J683" s="16"/>
      <c r="K683" s="16" t="b">
        <v>0</v>
      </c>
      <c r="L683" s="16" t="b">
        <v>0</v>
      </c>
    </row>
    <row r="684">
      <c r="A684" s="107"/>
      <c r="B684" s="16"/>
      <c r="C684" s="7" t="str">
        <f>IFERROR(VLOOKUP(B684,'Master data'!$A$1:$F$1000,2,FALSE),"")</f>
        <v/>
      </c>
      <c r="D684" s="7" t="str">
        <f>IFERROR(VLOOKUP(B684,'Master data'!$A$1:$F$1000,6,FALSE),"")</f>
        <v/>
      </c>
      <c r="F684" s="7" t="str">
        <f>IFERROR(VLOOKUP(B684,'Master data'!$A$1:$F$1000,3,FALSE),"")</f>
        <v/>
      </c>
      <c r="G684" s="100"/>
      <c r="H684" s="100"/>
      <c r="I684" s="16"/>
      <c r="J684" s="16"/>
      <c r="K684" s="16" t="b">
        <v>0</v>
      </c>
      <c r="L684" s="16" t="b">
        <v>0</v>
      </c>
    </row>
    <row r="685">
      <c r="A685" s="107"/>
      <c r="B685" s="16"/>
      <c r="C685" s="7" t="str">
        <f>IFERROR(VLOOKUP(B685,'Master data'!$A$1:$F$1000,2,FALSE),"")</f>
        <v/>
      </c>
      <c r="D685" s="7" t="str">
        <f>IFERROR(VLOOKUP(B685,'Master data'!$A$1:$F$1000,6,FALSE),"")</f>
        <v/>
      </c>
      <c r="F685" s="7" t="str">
        <f>IFERROR(VLOOKUP(B685,'Master data'!$A$1:$F$1000,3,FALSE),"")</f>
        <v/>
      </c>
      <c r="G685" s="100"/>
      <c r="H685" s="100"/>
      <c r="I685" s="16"/>
      <c r="J685" s="16"/>
      <c r="K685" s="16" t="b">
        <v>0</v>
      </c>
      <c r="L685" s="16" t="b">
        <v>0</v>
      </c>
    </row>
    <row r="686">
      <c r="A686" s="107"/>
      <c r="B686" s="16"/>
      <c r="C686" s="7" t="str">
        <f>IFERROR(VLOOKUP(B686,'Master data'!$A$1:$F$1000,2,FALSE),"")</f>
        <v/>
      </c>
      <c r="D686" s="7" t="str">
        <f>IFERROR(VLOOKUP(B686,'Master data'!$A$1:$F$1000,6,FALSE),"")</f>
        <v/>
      </c>
      <c r="F686" s="7" t="str">
        <f>IFERROR(VLOOKUP(B686,'Master data'!$A$1:$F$1000,3,FALSE),"")</f>
        <v/>
      </c>
      <c r="G686" s="100"/>
      <c r="H686" s="100"/>
      <c r="I686" s="16"/>
      <c r="J686" s="16"/>
      <c r="K686" s="16" t="b">
        <v>0</v>
      </c>
      <c r="L686" s="16" t="b">
        <v>0</v>
      </c>
    </row>
    <row r="687">
      <c r="A687" s="107"/>
      <c r="B687" s="16"/>
      <c r="C687" s="7" t="str">
        <f>IFERROR(VLOOKUP(B687,'Master data'!$A$1:$F$1000,2,FALSE),"")</f>
        <v/>
      </c>
      <c r="D687" s="7" t="str">
        <f>IFERROR(VLOOKUP(B687,'Master data'!$A$1:$F$1000,6,FALSE),"")</f>
        <v/>
      </c>
      <c r="F687" s="7" t="str">
        <f>IFERROR(VLOOKUP(B687,'Master data'!$A$1:$F$1000,3,FALSE),"")</f>
        <v/>
      </c>
      <c r="G687" s="100"/>
      <c r="H687" s="100"/>
      <c r="I687" s="16"/>
      <c r="J687" s="16"/>
      <c r="K687" s="16" t="b">
        <v>0</v>
      </c>
      <c r="L687" s="16" t="b">
        <v>0</v>
      </c>
    </row>
    <row r="688">
      <c r="A688" s="107"/>
      <c r="B688" s="16"/>
      <c r="C688" s="7" t="str">
        <f>IFERROR(VLOOKUP(B688,'Master data'!$A$1:$F$1000,2,FALSE),"")</f>
        <v/>
      </c>
      <c r="D688" s="7" t="str">
        <f>IFERROR(VLOOKUP(B688,'Master data'!$A$1:$F$1000,6,FALSE),"")</f>
        <v/>
      </c>
      <c r="F688" s="7" t="str">
        <f>IFERROR(VLOOKUP(B688,'Master data'!$A$1:$F$1000,3,FALSE),"")</f>
        <v/>
      </c>
      <c r="G688" s="100"/>
      <c r="H688" s="100"/>
      <c r="I688" s="16"/>
      <c r="J688" s="16"/>
      <c r="K688" s="16" t="b">
        <v>0</v>
      </c>
      <c r="L688" s="16" t="b">
        <v>0</v>
      </c>
    </row>
    <row r="689">
      <c r="A689" s="107"/>
      <c r="B689" s="16"/>
      <c r="C689" s="7" t="str">
        <f>IFERROR(VLOOKUP(B689,'Master data'!$A$1:$F$1000,2,FALSE),"")</f>
        <v/>
      </c>
      <c r="D689" s="7" t="str">
        <f>IFERROR(VLOOKUP(B689,'Master data'!$A$1:$F$1000,6,FALSE),"")</f>
        <v/>
      </c>
      <c r="F689" s="7" t="str">
        <f>IFERROR(VLOOKUP(B689,'Master data'!$A$1:$F$1000,3,FALSE),"")</f>
        <v/>
      </c>
      <c r="G689" s="100"/>
      <c r="H689" s="100"/>
      <c r="I689" s="16"/>
      <c r="J689" s="16"/>
      <c r="K689" s="16" t="b">
        <v>0</v>
      </c>
      <c r="L689" s="16" t="b">
        <v>0</v>
      </c>
    </row>
    <row r="690">
      <c r="A690" s="107"/>
      <c r="B690" s="16"/>
      <c r="C690" s="7" t="str">
        <f>IFERROR(VLOOKUP(B690,'Master data'!$A$1:$F$1000,2,FALSE),"")</f>
        <v/>
      </c>
      <c r="D690" s="7" t="str">
        <f>IFERROR(VLOOKUP(B690,'Master data'!$A$1:$F$1000,6,FALSE),"")</f>
        <v/>
      </c>
      <c r="F690" s="7" t="str">
        <f>IFERROR(VLOOKUP(B690,'Master data'!$A$1:$F$1000,3,FALSE),"")</f>
        <v/>
      </c>
      <c r="G690" s="100"/>
      <c r="H690" s="100"/>
      <c r="I690" s="16"/>
      <c r="J690" s="16"/>
      <c r="K690" s="16" t="b">
        <v>0</v>
      </c>
      <c r="L690" s="16" t="b">
        <v>0</v>
      </c>
    </row>
    <row r="691">
      <c r="A691" s="107"/>
      <c r="B691" s="16"/>
      <c r="C691" s="7" t="str">
        <f>IFERROR(VLOOKUP(B691,'Master data'!$A$1:$F$1000,2,FALSE),"")</f>
        <v/>
      </c>
      <c r="D691" s="7" t="str">
        <f>IFERROR(VLOOKUP(B691,'Master data'!$A$1:$F$1000,6,FALSE),"")</f>
        <v/>
      </c>
      <c r="F691" s="7" t="str">
        <f>IFERROR(VLOOKUP(B691,'Master data'!$A$1:$F$1000,3,FALSE),"")</f>
        <v/>
      </c>
      <c r="G691" s="100"/>
      <c r="H691" s="100"/>
      <c r="I691" s="16"/>
      <c r="J691" s="16"/>
      <c r="K691" s="16" t="b">
        <v>0</v>
      </c>
      <c r="L691" s="16" t="b">
        <v>0</v>
      </c>
    </row>
    <row r="692">
      <c r="A692" s="107"/>
      <c r="B692" s="16"/>
      <c r="C692" s="7" t="str">
        <f>IFERROR(VLOOKUP(B692,'Master data'!$A$1:$F$1000,2,FALSE),"")</f>
        <v/>
      </c>
      <c r="D692" s="7" t="str">
        <f>IFERROR(VLOOKUP(B692,'Master data'!$A$1:$F$1000,6,FALSE),"")</f>
        <v/>
      </c>
      <c r="F692" s="7" t="str">
        <f>IFERROR(VLOOKUP(B692,'Master data'!$A$1:$F$1000,3,FALSE),"")</f>
        <v/>
      </c>
      <c r="G692" s="100"/>
      <c r="H692" s="100"/>
      <c r="I692" s="16"/>
      <c r="J692" s="16"/>
      <c r="K692" s="16" t="b">
        <v>0</v>
      </c>
      <c r="L692" s="16" t="b">
        <v>0</v>
      </c>
    </row>
    <row r="693">
      <c r="A693" s="107"/>
      <c r="B693" s="16"/>
      <c r="C693" s="7" t="str">
        <f>IFERROR(VLOOKUP(B693,'Master data'!$A$1:$F$1000,2,FALSE),"")</f>
        <v/>
      </c>
      <c r="D693" s="7" t="str">
        <f>IFERROR(VLOOKUP(B693,'Master data'!$A$1:$F$1000,6,FALSE),"")</f>
        <v/>
      </c>
      <c r="F693" s="7" t="str">
        <f>IFERROR(VLOOKUP(B693,'Master data'!$A$1:$F$1000,3,FALSE),"")</f>
        <v/>
      </c>
      <c r="G693" s="100"/>
      <c r="H693" s="100"/>
      <c r="I693" s="16"/>
      <c r="J693" s="16"/>
      <c r="K693" s="16" t="b">
        <v>0</v>
      </c>
      <c r="L693" s="16" t="b">
        <v>0</v>
      </c>
    </row>
    <row r="694">
      <c r="A694" s="107"/>
      <c r="B694" s="16"/>
      <c r="C694" s="7" t="str">
        <f>IFERROR(VLOOKUP(B694,'Master data'!$A$1:$F$1000,2,FALSE),"")</f>
        <v/>
      </c>
      <c r="D694" s="7" t="str">
        <f>IFERROR(VLOOKUP(B694,'Master data'!$A$1:$F$1000,6,FALSE),"")</f>
        <v/>
      </c>
      <c r="F694" s="7" t="str">
        <f>IFERROR(VLOOKUP(B694,'Master data'!$A$1:$F$1000,3,FALSE),"")</f>
        <v/>
      </c>
      <c r="G694" s="100"/>
      <c r="H694" s="100"/>
      <c r="I694" s="16"/>
      <c r="J694" s="16"/>
      <c r="K694" s="16" t="b">
        <v>0</v>
      </c>
      <c r="L694" s="16" t="b">
        <v>0</v>
      </c>
    </row>
    <row r="695">
      <c r="A695" s="107"/>
      <c r="B695" s="16"/>
      <c r="C695" s="7" t="str">
        <f>IFERROR(VLOOKUP(B695,'Master data'!$A$1:$F$1000,2,FALSE),"")</f>
        <v/>
      </c>
      <c r="D695" s="7" t="str">
        <f>IFERROR(VLOOKUP(B695,'Master data'!$A$1:$F$1000,6,FALSE),"")</f>
        <v/>
      </c>
      <c r="F695" s="7" t="str">
        <f>IFERROR(VLOOKUP(B695,'Master data'!$A$1:$F$1000,3,FALSE),"")</f>
        <v/>
      </c>
      <c r="G695" s="100"/>
      <c r="H695" s="100"/>
      <c r="I695" s="16"/>
      <c r="J695" s="16"/>
      <c r="K695" s="16" t="b">
        <v>0</v>
      </c>
      <c r="L695" s="16" t="b">
        <v>0</v>
      </c>
    </row>
    <row r="696">
      <c r="A696" s="107"/>
      <c r="B696" s="16"/>
      <c r="C696" s="7" t="str">
        <f>IFERROR(VLOOKUP(B696,'Master data'!$A$1:$F$1000,2,FALSE),"")</f>
        <v/>
      </c>
      <c r="D696" s="7" t="str">
        <f>IFERROR(VLOOKUP(B696,'Master data'!$A$1:$F$1000,6,FALSE),"")</f>
        <v/>
      </c>
      <c r="F696" s="7" t="str">
        <f>IFERROR(VLOOKUP(B696,'Master data'!$A$1:$F$1000,3,FALSE),"")</f>
        <v/>
      </c>
      <c r="G696" s="100"/>
      <c r="H696" s="100"/>
      <c r="I696" s="16"/>
      <c r="J696" s="16"/>
      <c r="K696" s="16" t="b">
        <v>0</v>
      </c>
      <c r="L696" s="16" t="b">
        <v>0</v>
      </c>
    </row>
    <row r="697">
      <c r="A697" s="107"/>
      <c r="B697" s="16"/>
      <c r="C697" s="7" t="str">
        <f>IFERROR(VLOOKUP(B697,'Master data'!$A$1:$F$1000,2,FALSE),"")</f>
        <v/>
      </c>
      <c r="D697" s="7" t="str">
        <f>IFERROR(VLOOKUP(B697,'Master data'!$A$1:$F$1000,6,FALSE),"")</f>
        <v/>
      </c>
      <c r="F697" s="7" t="str">
        <f>IFERROR(VLOOKUP(B697,'Master data'!$A$1:$F$1000,3,FALSE),"")</f>
        <v/>
      </c>
      <c r="G697" s="100"/>
      <c r="H697" s="100"/>
      <c r="I697" s="16"/>
      <c r="J697" s="16"/>
      <c r="K697" s="16" t="b">
        <v>0</v>
      </c>
      <c r="L697" s="16" t="b">
        <v>0</v>
      </c>
    </row>
    <row r="698">
      <c r="A698" s="107"/>
      <c r="B698" s="16"/>
      <c r="C698" s="7" t="str">
        <f>IFERROR(VLOOKUP(B698,'Master data'!$A$1:$F$1000,2,FALSE),"")</f>
        <v/>
      </c>
      <c r="D698" s="7" t="str">
        <f>IFERROR(VLOOKUP(B698,'Master data'!$A$1:$F$1000,6,FALSE),"")</f>
        <v/>
      </c>
      <c r="F698" s="7" t="str">
        <f>IFERROR(VLOOKUP(B698,'Master data'!$A$1:$F$1000,3,FALSE),"")</f>
        <v/>
      </c>
      <c r="G698" s="100"/>
      <c r="H698" s="100"/>
      <c r="I698" s="16"/>
      <c r="J698" s="16"/>
      <c r="K698" s="16" t="b">
        <v>0</v>
      </c>
      <c r="L698" s="16" t="b">
        <v>0</v>
      </c>
    </row>
    <row r="699">
      <c r="A699" s="107"/>
      <c r="B699" s="16"/>
      <c r="C699" s="7" t="str">
        <f>IFERROR(VLOOKUP(B699,'Master data'!$A$1:$F$1000,2,FALSE),"")</f>
        <v/>
      </c>
      <c r="D699" s="7" t="str">
        <f>IFERROR(VLOOKUP(B699,'Master data'!$A$1:$F$1000,6,FALSE),"")</f>
        <v/>
      </c>
      <c r="F699" s="7" t="str">
        <f>IFERROR(VLOOKUP(B699,'Master data'!$A$1:$F$1000,3,FALSE),"")</f>
        <v/>
      </c>
      <c r="G699" s="100"/>
      <c r="H699" s="100"/>
      <c r="I699" s="16"/>
      <c r="J699" s="16"/>
      <c r="K699" s="16" t="b">
        <v>0</v>
      </c>
      <c r="L699" s="16" t="b">
        <v>0</v>
      </c>
    </row>
    <row r="700">
      <c r="A700" s="107"/>
      <c r="B700" s="16"/>
      <c r="C700" s="7" t="str">
        <f>IFERROR(VLOOKUP(B700,'Master data'!$A$1:$F$1000,2,FALSE),"")</f>
        <v/>
      </c>
      <c r="D700" s="7" t="str">
        <f>IFERROR(VLOOKUP(B700,'Master data'!$A$1:$F$1000,6,FALSE),"")</f>
        <v/>
      </c>
      <c r="F700" s="7" t="str">
        <f>IFERROR(VLOOKUP(B700,'Master data'!$A$1:$F$1000,3,FALSE),"")</f>
        <v/>
      </c>
      <c r="G700" s="100"/>
      <c r="H700" s="100"/>
      <c r="I700" s="16"/>
      <c r="J700" s="16"/>
      <c r="K700" s="16" t="b">
        <v>0</v>
      </c>
      <c r="L700" s="16" t="b">
        <v>0</v>
      </c>
    </row>
    <row r="701">
      <c r="A701" s="107"/>
      <c r="B701" s="16"/>
      <c r="C701" s="7" t="str">
        <f>IFERROR(VLOOKUP(B701,'Master data'!$A$1:$F$1000,2,FALSE),"")</f>
        <v/>
      </c>
      <c r="D701" s="7" t="str">
        <f>IFERROR(VLOOKUP(B701,'Master data'!$A$1:$F$1000,6,FALSE),"")</f>
        <v/>
      </c>
      <c r="F701" s="7" t="str">
        <f>IFERROR(VLOOKUP(B701,'Master data'!$A$1:$F$1000,3,FALSE),"")</f>
        <v/>
      </c>
      <c r="G701" s="100"/>
      <c r="H701" s="100"/>
      <c r="I701" s="16"/>
      <c r="J701" s="16"/>
      <c r="K701" s="16" t="b">
        <v>0</v>
      </c>
      <c r="L701" s="16" t="b">
        <v>0</v>
      </c>
    </row>
    <row r="702">
      <c r="A702" s="107"/>
      <c r="B702" s="16"/>
      <c r="C702" s="7" t="str">
        <f>IFERROR(VLOOKUP(B702,'Master data'!$A$1:$F$1000,2,FALSE),"")</f>
        <v/>
      </c>
      <c r="D702" s="7" t="str">
        <f>IFERROR(VLOOKUP(B702,'Master data'!$A$1:$F$1000,6,FALSE),"")</f>
        <v/>
      </c>
      <c r="F702" s="7" t="str">
        <f>IFERROR(VLOOKUP(B702,'Master data'!$A$1:$F$1000,3,FALSE),"")</f>
        <v/>
      </c>
      <c r="G702" s="100"/>
      <c r="H702" s="100"/>
      <c r="I702" s="16"/>
      <c r="J702" s="16"/>
      <c r="K702" s="16" t="b">
        <v>0</v>
      </c>
      <c r="L702" s="16" t="b">
        <v>0</v>
      </c>
    </row>
    <row r="703">
      <c r="A703" s="107"/>
      <c r="B703" s="16"/>
      <c r="C703" s="7" t="str">
        <f>IFERROR(VLOOKUP(B703,'Master data'!$A$1:$F$1000,2,FALSE),"")</f>
        <v/>
      </c>
      <c r="D703" s="7" t="str">
        <f>IFERROR(VLOOKUP(B703,'Master data'!$A$1:$F$1000,6,FALSE),"")</f>
        <v/>
      </c>
      <c r="F703" s="7" t="str">
        <f>IFERROR(VLOOKUP(B703,'Master data'!$A$1:$F$1000,3,FALSE),"")</f>
        <v/>
      </c>
      <c r="G703" s="100"/>
      <c r="H703" s="100"/>
      <c r="I703" s="16"/>
      <c r="J703" s="16"/>
      <c r="K703" s="16" t="b">
        <v>0</v>
      </c>
      <c r="L703" s="16" t="b">
        <v>0</v>
      </c>
    </row>
    <row r="704">
      <c r="A704" s="107"/>
      <c r="B704" s="16"/>
      <c r="C704" s="7" t="str">
        <f>IFERROR(VLOOKUP(B704,'Master data'!$A$1:$F$1000,2,FALSE),"")</f>
        <v/>
      </c>
      <c r="D704" s="7" t="str">
        <f>IFERROR(VLOOKUP(B704,'Master data'!$A$1:$F$1000,6,FALSE),"")</f>
        <v/>
      </c>
      <c r="F704" s="7" t="str">
        <f>IFERROR(VLOOKUP(B704,'Master data'!$A$1:$F$1000,3,FALSE),"")</f>
        <v/>
      </c>
      <c r="G704" s="100"/>
      <c r="H704" s="100"/>
      <c r="I704" s="16"/>
      <c r="J704" s="16"/>
      <c r="K704" s="16" t="b">
        <v>0</v>
      </c>
      <c r="L704" s="16" t="b">
        <v>0</v>
      </c>
    </row>
    <row r="705">
      <c r="A705" s="107"/>
      <c r="B705" s="16"/>
      <c r="C705" s="7" t="str">
        <f>IFERROR(VLOOKUP(B705,'Master data'!$A$1:$F$1000,2,FALSE),"")</f>
        <v/>
      </c>
      <c r="D705" s="7" t="str">
        <f>IFERROR(VLOOKUP(B705,'Master data'!$A$1:$F$1000,6,FALSE),"")</f>
        <v/>
      </c>
      <c r="F705" s="7" t="str">
        <f>IFERROR(VLOOKUP(B705,'Master data'!$A$1:$F$1000,3,FALSE),"")</f>
        <v/>
      </c>
      <c r="G705" s="100"/>
      <c r="H705" s="100"/>
      <c r="I705" s="16"/>
      <c r="J705" s="16"/>
      <c r="K705" s="16" t="b">
        <v>0</v>
      </c>
      <c r="L705" s="16" t="b">
        <v>0</v>
      </c>
    </row>
    <row r="706">
      <c r="A706" s="107"/>
      <c r="B706" s="16"/>
      <c r="C706" s="7" t="str">
        <f>IFERROR(VLOOKUP(B706,'Master data'!$A$1:$F$1000,2,FALSE),"")</f>
        <v/>
      </c>
      <c r="D706" s="7" t="str">
        <f>IFERROR(VLOOKUP(B706,'Master data'!$A$1:$F$1000,6,FALSE),"")</f>
        <v/>
      </c>
      <c r="F706" s="7" t="str">
        <f>IFERROR(VLOOKUP(B706,'Master data'!$A$1:$F$1000,3,FALSE),"")</f>
        <v/>
      </c>
      <c r="G706" s="100"/>
      <c r="H706" s="100"/>
      <c r="I706" s="16"/>
      <c r="J706" s="16"/>
      <c r="K706" s="16" t="b">
        <v>0</v>
      </c>
      <c r="L706" s="16" t="b">
        <v>0</v>
      </c>
    </row>
    <row r="707">
      <c r="A707" s="107"/>
      <c r="B707" s="16"/>
      <c r="C707" s="7" t="str">
        <f>IFERROR(VLOOKUP(B707,'Master data'!$A$1:$F$1000,2,FALSE),"")</f>
        <v/>
      </c>
      <c r="D707" s="7" t="str">
        <f>IFERROR(VLOOKUP(B707,'Master data'!$A$1:$F$1000,6,FALSE),"")</f>
        <v/>
      </c>
      <c r="F707" s="7" t="str">
        <f>IFERROR(VLOOKUP(B707,'Master data'!$A$1:$F$1000,3,FALSE),"")</f>
        <v/>
      </c>
      <c r="G707" s="100"/>
      <c r="H707" s="100"/>
      <c r="I707" s="16"/>
      <c r="J707" s="16"/>
      <c r="K707" s="16" t="b">
        <v>0</v>
      </c>
      <c r="L707" s="16" t="b">
        <v>0</v>
      </c>
    </row>
    <row r="708">
      <c r="A708" s="107"/>
      <c r="B708" s="16"/>
      <c r="C708" s="7" t="str">
        <f>IFERROR(VLOOKUP(B708,'Master data'!$A$1:$F$1000,2,FALSE),"")</f>
        <v/>
      </c>
      <c r="D708" s="7" t="str">
        <f>IFERROR(VLOOKUP(B708,'Master data'!$A$1:$F$1000,6,FALSE),"")</f>
        <v/>
      </c>
      <c r="F708" s="7" t="str">
        <f>IFERROR(VLOOKUP(B708,'Master data'!$A$1:$F$1000,3,FALSE),"")</f>
        <v/>
      </c>
      <c r="G708" s="100"/>
      <c r="H708" s="100"/>
      <c r="I708" s="16"/>
      <c r="J708" s="16"/>
      <c r="K708" s="16" t="b">
        <v>0</v>
      </c>
      <c r="L708" s="16" t="b">
        <v>0</v>
      </c>
    </row>
    <row r="709">
      <c r="A709" s="107"/>
      <c r="B709" s="16"/>
      <c r="C709" s="7" t="str">
        <f>IFERROR(VLOOKUP(B709,'Master data'!$A$1:$F$1000,2,FALSE),"")</f>
        <v/>
      </c>
      <c r="D709" s="7" t="str">
        <f>IFERROR(VLOOKUP(B709,'Master data'!$A$1:$F$1000,6,FALSE),"")</f>
        <v/>
      </c>
      <c r="F709" s="7" t="str">
        <f>IFERROR(VLOOKUP(B709,'Master data'!$A$1:$F$1000,3,FALSE),"")</f>
        <v/>
      </c>
      <c r="G709" s="100"/>
      <c r="H709" s="100"/>
      <c r="I709" s="16"/>
      <c r="J709" s="16"/>
      <c r="K709" s="16" t="b">
        <v>0</v>
      </c>
      <c r="L709" s="16" t="b">
        <v>0</v>
      </c>
    </row>
    <row r="710">
      <c r="A710" s="107"/>
      <c r="B710" s="16"/>
      <c r="C710" s="7" t="str">
        <f>IFERROR(VLOOKUP(B710,'Master data'!$A$1:$F$1000,2,FALSE),"")</f>
        <v/>
      </c>
      <c r="D710" s="7" t="str">
        <f>IFERROR(VLOOKUP(B710,'Master data'!$A$1:$F$1000,6,FALSE),"")</f>
        <v/>
      </c>
      <c r="F710" s="7" t="str">
        <f>IFERROR(VLOOKUP(B710,'Master data'!$A$1:$F$1000,3,FALSE),"")</f>
        <v/>
      </c>
      <c r="G710" s="100"/>
      <c r="H710" s="100"/>
      <c r="I710" s="16"/>
      <c r="J710" s="16"/>
      <c r="K710" s="16" t="b">
        <v>0</v>
      </c>
      <c r="L710" s="16" t="b">
        <v>0</v>
      </c>
    </row>
    <row r="711">
      <c r="A711" s="107"/>
      <c r="B711" s="16"/>
      <c r="C711" s="7" t="str">
        <f>IFERROR(VLOOKUP(B711,'Master data'!$A$1:$F$1000,2,FALSE),"")</f>
        <v/>
      </c>
      <c r="D711" s="7" t="str">
        <f>IFERROR(VLOOKUP(B711,'Master data'!$A$1:$F$1000,6,FALSE),"")</f>
        <v/>
      </c>
      <c r="F711" s="7" t="str">
        <f>IFERROR(VLOOKUP(B711,'Master data'!$A$1:$F$1000,3,FALSE),"")</f>
        <v/>
      </c>
      <c r="G711" s="100"/>
      <c r="H711" s="100"/>
      <c r="I711" s="16"/>
      <c r="J711" s="16"/>
      <c r="K711" s="16" t="b">
        <v>0</v>
      </c>
      <c r="L711" s="16" t="b">
        <v>0</v>
      </c>
    </row>
    <row r="712">
      <c r="A712" s="107"/>
      <c r="B712" s="16"/>
      <c r="C712" s="7" t="str">
        <f>IFERROR(VLOOKUP(B712,'Master data'!$A$1:$F$1000,2,FALSE),"")</f>
        <v/>
      </c>
      <c r="D712" s="7" t="str">
        <f>IFERROR(VLOOKUP(B712,'Master data'!$A$1:$F$1000,6,FALSE),"")</f>
        <v/>
      </c>
      <c r="F712" s="7" t="str">
        <f>IFERROR(VLOOKUP(B712,'Master data'!$A$1:$F$1000,3,FALSE),"")</f>
        <v/>
      </c>
      <c r="G712" s="100"/>
      <c r="H712" s="100"/>
      <c r="I712" s="16"/>
      <c r="J712" s="16"/>
      <c r="K712" s="16" t="b">
        <v>0</v>
      </c>
      <c r="L712" s="16" t="b">
        <v>0</v>
      </c>
    </row>
    <row r="713">
      <c r="A713" s="107"/>
      <c r="B713" s="16"/>
      <c r="C713" s="7" t="str">
        <f>IFERROR(VLOOKUP(B713,'Master data'!$A$1:$F$1000,2,FALSE),"")</f>
        <v/>
      </c>
      <c r="D713" s="7" t="str">
        <f>IFERROR(VLOOKUP(B713,'Master data'!$A$1:$F$1000,6,FALSE),"")</f>
        <v/>
      </c>
      <c r="F713" s="7" t="str">
        <f>IFERROR(VLOOKUP(B713,'Master data'!$A$1:$F$1000,3,FALSE),"")</f>
        <v/>
      </c>
      <c r="G713" s="100"/>
      <c r="H713" s="100"/>
      <c r="I713" s="16"/>
      <c r="J713" s="16"/>
      <c r="K713" s="16" t="b">
        <v>0</v>
      </c>
      <c r="L713" s="16" t="b">
        <v>0</v>
      </c>
    </row>
    <row r="714">
      <c r="A714" s="107"/>
      <c r="B714" s="16"/>
      <c r="C714" s="7" t="str">
        <f>IFERROR(VLOOKUP(B714,'Master data'!$A$1:$F$1000,2,FALSE),"")</f>
        <v/>
      </c>
      <c r="D714" s="7" t="str">
        <f>IFERROR(VLOOKUP(B714,'Master data'!$A$1:$F$1000,6,FALSE),"")</f>
        <v/>
      </c>
      <c r="F714" s="7" t="str">
        <f>IFERROR(VLOOKUP(B714,'Master data'!$A$1:$F$1000,3,FALSE),"")</f>
        <v/>
      </c>
      <c r="G714" s="100"/>
      <c r="H714" s="100"/>
      <c r="I714" s="16"/>
      <c r="J714" s="16"/>
      <c r="K714" s="16" t="b">
        <v>0</v>
      </c>
      <c r="L714" s="16" t="b">
        <v>0</v>
      </c>
    </row>
    <row r="715">
      <c r="A715" s="107"/>
      <c r="B715" s="16"/>
      <c r="C715" s="7" t="str">
        <f>IFERROR(VLOOKUP(B715,'Master data'!$A$1:$F$1000,2,FALSE),"")</f>
        <v/>
      </c>
      <c r="D715" s="7" t="str">
        <f>IFERROR(VLOOKUP(B715,'Master data'!$A$1:$F$1000,6,FALSE),"")</f>
        <v/>
      </c>
      <c r="F715" s="7" t="str">
        <f>IFERROR(VLOOKUP(B715,'Master data'!$A$1:$F$1000,3,FALSE),"")</f>
        <v/>
      </c>
      <c r="G715" s="100"/>
      <c r="H715" s="100"/>
      <c r="I715" s="16"/>
      <c r="J715" s="16"/>
      <c r="K715" s="16" t="b">
        <v>0</v>
      </c>
      <c r="L715" s="16" t="b">
        <v>0</v>
      </c>
    </row>
    <row r="716">
      <c r="A716" s="107"/>
      <c r="B716" s="16"/>
      <c r="C716" s="7" t="str">
        <f>IFERROR(VLOOKUP(B716,'Master data'!$A$1:$F$1000,2,FALSE),"")</f>
        <v/>
      </c>
      <c r="D716" s="7" t="str">
        <f>IFERROR(VLOOKUP(B716,'Master data'!$A$1:$F$1000,6,FALSE),"")</f>
        <v/>
      </c>
      <c r="F716" s="7" t="str">
        <f>IFERROR(VLOOKUP(B716,'Master data'!$A$1:$F$1000,3,FALSE),"")</f>
        <v/>
      </c>
      <c r="G716" s="100"/>
      <c r="H716" s="100"/>
      <c r="I716" s="16"/>
      <c r="J716" s="16"/>
      <c r="K716" s="16" t="b">
        <v>0</v>
      </c>
      <c r="L716" s="16" t="b">
        <v>0</v>
      </c>
    </row>
    <row r="717">
      <c r="A717" s="107"/>
      <c r="B717" s="16"/>
      <c r="C717" s="7" t="str">
        <f>IFERROR(VLOOKUP(B717,'Master data'!$A$1:$F$1000,2,FALSE),"")</f>
        <v/>
      </c>
      <c r="D717" s="7" t="str">
        <f>IFERROR(VLOOKUP(B717,'Master data'!$A$1:$F$1000,6,FALSE),"")</f>
        <v/>
      </c>
      <c r="F717" s="7" t="str">
        <f>IFERROR(VLOOKUP(B717,'Master data'!$A$1:$F$1000,3,FALSE),"")</f>
        <v/>
      </c>
      <c r="G717" s="100"/>
      <c r="H717" s="100"/>
      <c r="I717" s="16"/>
      <c r="J717" s="16"/>
      <c r="K717" s="16" t="b">
        <v>0</v>
      </c>
      <c r="L717" s="16" t="b">
        <v>0</v>
      </c>
    </row>
    <row r="718">
      <c r="A718" s="107"/>
      <c r="B718" s="16"/>
      <c r="C718" s="7" t="str">
        <f>IFERROR(VLOOKUP(B718,'Master data'!$A$1:$F$1000,2,FALSE),"")</f>
        <v/>
      </c>
      <c r="D718" s="7" t="str">
        <f>IFERROR(VLOOKUP(B718,'Master data'!$A$1:$F$1000,6,FALSE),"")</f>
        <v/>
      </c>
      <c r="F718" s="7" t="str">
        <f>IFERROR(VLOOKUP(B718,'Master data'!$A$1:$F$1000,3,FALSE),"")</f>
        <v/>
      </c>
      <c r="G718" s="100"/>
      <c r="H718" s="100"/>
      <c r="I718" s="16"/>
      <c r="J718" s="16"/>
      <c r="K718" s="16" t="b">
        <v>0</v>
      </c>
      <c r="L718" s="16" t="b">
        <v>0</v>
      </c>
    </row>
    <row r="719">
      <c r="A719" s="107"/>
      <c r="B719" s="16"/>
      <c r="C719" s="7" t="str">
        <f>IFERROR(VLOOKUP(B719,'Master data'!$A$1:$F$1000,2,FALSE),"")</f>
        <v/>
      </c>
      <c r="D719" s="7" t="str">
        <f>IFERROR(VLOOKUP(B719,'Master data'!$A$1:$F$1000,6,FALSE),"")</f>
        <v/>
      </c>
      <c r="F719" s="7" t="str">
        <f>IFERROR(VLOOKUP(B719,'Master data'!$A$1:$F$1000,3,FALSE),"")</f>
        <v/>
      </c>
      <c r="G719" s="100"/>
      <c r="H719" s="100"/>
      <c r="I719" s="16"/>
      <c r="J719" s="16"/>
      <c r="K719" s="16" t="b">
        <v>0</v>
      </c>
      <c r="L719" s="16" t="b">
        <v>0</v>
      </c>
    </row>
    <row r="720">
      <c r="A720" s="107"/>
      <c r="B720" s="16"/>
      <c r="C720" s="7" t="str">
        <f>IFERROR(VLOOKUP(B720,'Master data'!$A$1:$F$1000,2,FALSE),"")</f>
        <v/>
      </c>
      <c r="D720" s="7" t="str">
        <f>IFERROR(VLOOKUP(B720,'Master data'!$A$1:$F$1000,6,FALSE),"")</f>
        <v/>
      </c>
      <c r="F720" s="7" t="str">
        <f>IFERROR(VLOOKUP(B720,'Master data'!$A$1:$F$1000,3,FALSE),"")</f>
        <v/>
      </c>
      <c r="G720" s="100"/>
      <c r="H720" s="100"/>
      <c r="I720" s="16"/>
      <c r="J720" s="16"/>
      <c r="K720" s="16" t="b">
        <v>0</v>
      </c>
      <c r="L720" s="16" t="b">
        <v>0</v>
      </c>
    </row>
    <row r="721">
      <c r="A721" s="107"/>
      <c r="B721" s="16"/>
      <c r="C721" s="7" t="str">
        <f>IFERROR(VLOOKUP(B721,'Master data'!$A$1:$F$1000,2,FALSE),"")</f>
        <v/>
      </c>
      <c r="D721" s="7" t="str">
        <f>IFERROR(VLOOKUP(B721,'Master data'!$A$1:$F$1000,6,FALSE),"")</f>
        <v/>
      </c>
      <c r="F721" s="7" t="str">
        <f>IFERROR(VLOOKUP(B721,'Master data'!$A$1:$F$1000,3,FALSE),"")</f>
        <v/>
      </c>
      <c r="G721" s="100"/>
      <c r="H721" s="100"/>
      <c r="I721" s="16"/>
      <c r="J721" s="16"/>
      <c r="K721" s="16" t="b">
        <v>0</v>
      </c>
      <c r="L721" s="16" t="b">
        <v>0</v>
      </c>
    </row>
    <row r="722">
      <c r="A722" s="107"/>
      <c r="B722" s="16"/>
      <c r="C722" s="7" t="str">
        <f>IFERROR(VLOOKUP(B722,'Master data'!$A$1:$F$1000,2,FALSE),"")</f>
        <v/>
      </c>
      <c r="D722" s="7" t="str">
        <f>IFERROR(VLOOKUP(B722,'Master data'!$A$1:$F$1000,6,FALSE),"")</f>
        <v/>
      </c>
      <c r="F722" s="7" t="str">
        <f>IFERROR(VLOOKUP(B722,'Master data'!$A$1:$F$1000,3,FALSE),"")</f>
        <v/>
      </c>
      <c r="G722" s="100"/>
      <c r="H722" s="100"/>
      <c r="I722" s="16"/>
      <c r="J722" s="16"/>
      <c r="K722" s="16" t="b">
        <v>0</v>
      </c>
      <c r="L722" s="16" t="b">
        <v>0</v>
      </c>
    </row>
    <row r="723">
      <c r="A723" s="107"/>
      <c r="B723" s="16"/>
      <c r="C723" s="7" t="str">
        <f>IFERROR(VLOOKUP(B723,'Master data'!$A$1:$F$1000,2,FALSE),"")</f>
        <v/>
      </c>
      <c r="D723" s="7" t="str">
        <f>IFERROR(VLOOKUP(B723,'Master data'!$A$1:$F$1000,6,FALSE),"")</f>
        <v/>
      </c>
      <c r="F723" s="7" t="str">
        <f>IFERROR(VLOOKUP(B723,'Master data'!$A$1:$F$1000,3,FALSE),"")</f>
        <v/>
      </c>
      <c r="G723" s="100"/>
      <c r="H723" s="100"/>
      <c r="I723" s="16"/>
      <c r="J723" s="16"/>
      <c r="K723" s="16" t="b">
        <v>0</v>
      </c>
      <c r="L723" s="16" t="b">
        <v>0</v>
      </c>
    </row>
    <row r="724">
      <c r="A724" s="107"/>
      <c r="B724" s="16"/>
      <c r="C724" s="7" t="str">
        <f>IFERROR(VLOOKUP(B724,'Master data'!$A$1:$F$1000,2,FALSE),"")</f>
        <v/>
      </c>
      <c r="D724" s="7" t="str">
        <f>IFERROR(VLOOKUP(B724,'Master data'!$A$1:$F$1000,6,FALSE),"")</f>
        <v/>
      </c>
      <c r="F724" s="7" t="str">
        <f>IFERROR(VLOOKUP(B724,'Master data'!$A$1:$F$1000,3,FALSE),"")</f>
        <v/>
      </c>
      <c r="G724" s="100"/>
      <c r="H724" s="100"/>
      <c r="I724" s="16"/>
      <c r="J724" s="16"/>
      <c r="K724" s="16" t="b">
        <v>0</v>
      </c>
      <c r="L724" s="16" t="b">
        <v>0</v>
      </c>
    </row>
    <row r="725">
      <c r="A725" s="107"/>
      <c r="B725" s="16"/>
      <c r="C725" s="7" t="str">
        <f>IFERROR(VLOOKUP(B725,'Master data'!$A$1:$F$1000,2,FALSE),"")</f>
        <v/>
      </c>
      <c r="D725" s="7" t="str">
        <f>IFERROR(VLOOKUP(B725,'Master data'!$A$1:$F$1000,6,FALSE),"")</f>
        <v/>
      </c>
      <c r="F725" s="7" t="str">
        <f>IFERROR(VLOOKUP(B725,'Master data'!$A$1:$F$1000,3,FALSE),"")</f>
        <v/>
      </c>
      <c r="G725" s="100"/>
      <c r="H725" s="100"/>
      <c r="I725" s="16"/>
      <c r="J725" s="16"/>
      <c r="K725" s="16" t="b">
        <v>0</v>
      </c>
      <c r="L725" s="16" t="b">
        <v>0</v>
      </c>
    </row>
    <row r="726">
      <c r="A726" s="107"/>
      <c r="B726" s="16"/>
      <c r="C726" s="7" t="str">
        <f>IFERROR(VLOOKUP(B726,'Master data'!$A$1:$F$1000,2,FALSE),"")</f>
        <v/>
      </c>
      <c r="D726" s="7" t="str">
        <f>IFERROR(VLOOKUP(B726,'Master data'!$A$1:$F$1000,6,FALSE),"")</f>
        <v/>
      </c>
      <c r="F726" s="7" t="str">
        <f>IFERROR(VLOOKUP(B726,'Master data'!$A$1:$F$1000,3,FALSE),"")</f>
        <v/>
      </c>
      <c r="G726" s="100"/>
      <c r="H726" s="100"/>
      <c r="I726" s="16"/>
      <c r="J726" s="16"/>
      <c r="K726" s="16" t="b">
        <v>0</v>
      </c>
      <c r="L726" s="16" t="b">
        <v>0</v>
      </c>
    </row>
    <row r="727">
      <c r="A727" s="107"/>
      <c r="B727" s="16"/>
      <c r="C727" s="7" t="str">
        <f>IFERROR(VLOOKUP(B727,'Master data'!$A$1:$F$1000,2,FALSE),"")</f>
        <v/>
      </c>
      <c r="D727" s="7" t="str">
        <f>IFERROR(VLOOKUP(B727,'Master data'!$A$1:$F$1000,6,FALSE),"")</f>
        <v/>
      </c>
      <c r="F727" s="7" t="str">
        <f>IFERROR(VLOOKUP(B727,'Master data'!$A$1:$F$1000,3,FALSE),"")</f>
        <v/>
      </c>
      <c r="G727" s="100"/>
      <c r="H727" s="100"/>
      <c r="I727" s="16"/>
      <c r="J727" s="16"/>
      <c r="K727" s="16" t="b">
        <v>0</v>
      </c>
      <c r="L727" s="16" t="b">
        <v>0</v>
      </c>
    </row>
    <row r="728">
      <c r="A728" s="107"/>
      <c r="B728" s="16"/>
      <c r="C728" s="7" t="str">
        <f>IFERROR(VLOOKUP(B728,'Master data'!$A$1:$F$1000,2,FALSE),"")</f>
        <v/>
      </c>
      <c r="D728" s="7" t="str">
        <f>IFERROR(VLOOKUP(B728,'Master data'!$A$1:$F$1000,6,FALSE),"")</f>
        <v/>
      </c>
      <c r="F728" s="7" t="str">
        <f>IFERROR(VLOOKUP(B728,'Master data'!$A$1:$F$1000,3,FALSE),"")</f>
        <v/>
      </c>
      <c r="G728" s="100"/>
      <c r="H728" s="100"/>
      <c r="I728" s="16"/>
      <c r="J728" s="16"/>
      <c r="K728" s="16" t="b">
        <v>0</v>
      </c>
      <c r="L728" s="16" t="b">
        <v>0</v>
      </c>
    </row>
    <row r="729">
      <c r="A729" s="107"/>
      <c r="B729" s="16"/>
      <c r="C729" s="7" t="str">
        <f>IFERROR(VLOOKUP(B729,'Master data'!$A$1:$F$1000,2,FALSE),"")</f>
        <v/>
      </c>
      <c r="D729" s="7" t="str">
        <f>IFERROR(VLOOKUP(B729,'Master data'!$A$1:$F$1000,6,FALSE),"")</f>
        <v/>
      </c>
      <c r="F729" s="7" t="str">
        <f>IFERROR(VLOOKUP(B729,'Master data'!$A$1:$F$1000,3,FALSE),"")</f>
        <v/>
      </c>
      <c r="G729" s="100"/>
      <c r="H729" s="100"/>
      <c r="I729" s="16"/>
      <c r="J729" s="16"/>
      <c r="K729" s="16" t="b">
        <v>0</v>
      </c>
      <c r="L729" s="16" t="b">
        <v>0</v>
      </c>
    </row>
    <row r="730">
      <c r="A730" s="107"/>
      <c r="B730" s="16"/>
      <c r="C730" s="7" t="str">
        <f>IFERROR(VLOOKUP(B730,'Master data'!$A$1:$F$1000,2,FALSE),"")</f>
        <v/>
      </c>
      <c r="D730" s="7" t="str">
        <f>IFERROR(VLOOKUP(B730,'Master data'!$A$1:$F$1000,6,FALSE),"")</f>
        <v/>
      </c>
      <c r="F730" s="7" t="str">
        <f>IFERROR(VLOOKUP(B730,'Master data'!$A$1:$F$1000,3,FALSE),"")</f>
        <v/>
      </c>
      <c r="G730" s="100"/>
      <c r="H730" s="100"/>
      <c r="I730" s="16"/>
      <c r="J730" s="16"/>
      <c r="K730" s="16" t="b">
        <v>0</v>
      </c>
      <c r="L730" s="16" t="b">
        <v>0</v>
      </c>
    </row>
    <row r="731">
      <c r="A731" s="107"/>
      <c r="B731" s="16"/>
      <c r="C731" s="7" t="str">
        <f>IFERROR(VLOOKUP(B731,'Master data'!$A$1:$F$1000,2,FALSE),"")</f>
        <v/>
      </c>
      <c r="D731" s="7" t="str">
        <f>IFERROR(VLOOKUP(B731,'Master data'!$A$1:$F$1000,6,FALSE),"")</f>
        <v/>
      </c>
      <c r="F731" s="7" t="str">
        <f>IFERROR(VLOOKUP(B731,'Master data'!$A$1:$F$1000,3,FALSE),"")</f>
        <v/>
      </c>
      <c r="G731" s="100"/>
      <c r="H731" s="100"/>
      <c r="I731" s="16"/>
      <c r="J731" s="16"/>
      <c r="K731" s="16" t="b">
        <v>0</v>
      </c>
      <c r="L731" s="16" t="b">
        <v>0</v>
      </c>
    </row>
    <row r="732">
      <c r="A732" s="107"/>
      <c r="B732" s="16"/>
      <c r="C732" s="7" t="str">
        <f>IFERROR(VLOOKUP(B732,'Master data'!$A$1:$F$1000,2,FALSE),"")</f>
        <v/>
      </c>
      <c r="D732" s="7" t="str">
        <f>IFERROR(VLOOKUP(B732,'Master data'!$A$1:$F$1000,6,FALSE),"")</f>
        <v/>
      </c>
      <c r="F732" s="7" t="str">
        <f>IFERROR(VLOOKUP(B732,'Master data'!$A$1:$F$1000,3,FALSE),"")</f>
        <v/>
      </c>
      <c r="G732" s="100"/>
      <c r="H732" s="100"/>
      <c r="I732" s="16"/>
      <c r="J732" s="16"/>
      <c r="K732" s="16" t="b">
        <v>0</v>
      </c>
      <c r="L732" s="16" t="b">
        <v>0</v>
      </c>
    </row>
    <row r="733">
      <c r="A733" s="107"/>
      <c r="B733" s="16"/>
      <c r="C733" s="7" t="str">
        <f>IFERROR(VLOOKUP(B733,'Master data'!$A$1:$F$1000,2,FALSE),"")</f>
        <v/>
      </c>
      <c r="D733" s="7" t="str">
        <f>IFERROR(VLOOKUP(B733,'Master data'!$A$1:$F$1000,6,FALSE),"")</f>
        <v/>
      </c>
      <c r="F733" s="7" t="str">
        <f>IFERROR(VLOOKUP(B733,'Master data'!$A$1:$F$1000,3,FALSE),"")</f>
        <v/>
      </c>
      <c r="G733" s="100"/>
      <c r="H733" s="100"/>
      <c r="I733" s="16"/>
      <c r="J733" s="16"/>
      <c r="K733" s="16" t="b">
        <v>0</v>
      </c>
      <c r="L733" s="16" t="b">
        <v>0</v>
      </c>
    </row>
    <row r="734">
      <c r="A734" s="107"/>
      <c r="B734" s="16"/>
      <c r="C734" s="7" t="str">
        <f>IFERROR(VLOOKUP(B734,'Master data'!$A$1:$F$1000,2,FALSE),"")</f>
        <v/>
      </c>
      <c r="D734" s="7" t="str">
        <f>IFERROR(VLOOKUP(B734,'Master data'!$A$1:$F$1000,6,FALSE),"")</f>
        <v/>
      </c>
      <c r="F734" s="7" t="str">
        <f>IFERROR(VLOOKUP(B734,'Master data'!$A$1:$F$1000,3,FALSE),"")</f>
        <v/>
      </c>
      <c r="G734" s="100"/>
      <c r="H734" s="100"/>
      <c r="I734" s="16"/>
      <c r="J734" s="16"/>
      <c r="K734" s="16" t="b">
        <v>0</v>
      </c>
      <c r="L734" s="16" t="b">
        <v>0</v>
      </c>
    </row>
    <row r="735">
      <c r="A735" s="107"/>
      <c r="B735" s="16"/>
      <c r="C735" s="7" t="str">
        <f>IFERROR(VLOOKUP(B735,'Master data'!$A$1:$F$1000,2,FALSE),"")</f>
        <v/>
      </c>
      <c r="D735" s="7" t="str">
        <f>IFERROR(VLOOKUP(B735,'Master data'!$A$1:$F$1000,6,FALSE),"")</f>
        <v/>
      </c>
      <c r="F735" s="7" t="str">
        <f>IFERROR(VLOOKUP(B735,'Master data'!$A$1:$F$1000,3,FALSE),"")</f>
        <v/>
      </c>
      <c r="G735" s="100"/>
      <c r="H735" s="100"/>
      <c r="I735" s="16"/>
      <c r="J735" s="16"/>
      <c r="K735" s="16" t="b">
        <v>0</v>
      </c>
      <c r="L735" s="16" t="b">
        <v>0</v>
      </c>
    </row>
    <row r="736">
      <c r="A736" s="107"/>
      <c r="B736" s="16"/>
      <c r="C736" s="7" t="str">
        <f>IFERROR(VLOOKUP(B736,'Master data'!$A$1:$F$1000,2,FALSE),"")</f>
        <v/>
      </c>
      <c r="D736" s="7" t="str">
        <f>IFERROR(VLOOKUP(B736,'Master data'!$A$1:$F$1000,6,FALSE),"")</f>
        <v/>
      </c>
      <c r="F736" s="7" t="str">
        <f>IFERROR(VLOOKUP(B736,'Master data'!$A$1:$F$1000,3,FALSE),"")</f>
        <v/>
      </c>
      <c r="G736" s="100"/>
      <c r="H736" s="100"/>
      <c r="I736" s="16"/>
      <c r="J736" s="16"/>
      <c r="K736" s="16" t="b">
        <v>0</v>
      </c>
      <c r="L736" s="16" t="b">
        <v>0</v>
      </c>
    </row>
    <row r="737">
      <c r="A737" s="107"/>
      <c r="B737" s="16"/>
      <c r="C737" s="7" t="str">
        <f>IFERROR(VLOOKUP(B737,'Master data'!$A$1:$F$1000,2,FALSE),"")</f>
        <v/>
      </c>
      <c r="D737" s="7" t="str">
        <f>IFERROR(VLOOKUP(B737,'Master data'!$A$1:$F$1000,6,FALSE),"")</f>
        <v/>
      </c>
      <c r="F737" s="7" t="str">
        <f>IFERROR(VLOOKUP(B737,'Master data'!$A$1:$F$1000,3,FALSE),"")</f>
        <v/>
      </c>
      <c r="G737" s="100"/>
      <c r="H737" s="100"/>
      <c r="I737" s="16"/>
      <c r="J737" s="16"/>
      <c r="K737" s="16" t="b">
        <v>0</v>
      </c>
      <c r="L737" s="16" t="b">
        <v>0</v>
      </c>
    </row>
    <row r="738">
      <c r="A738" s="107"/>
      <c r="B738" s="16"/>
      <c r="C738" s="7" t="str">
        <f>IFERROR(VLOOKUP(B738,'Master data'!$A$1:$F$1000,2,FALSE),"")</f>
        <v/>
      </c>
      <c r="D738" s="7" t="str">
        <f>IFERROR(VLOOKUP(B738,'Master data'!$A$1:$F$1000,6,FALSE),"")</f>
        <v/>
      </c>
      <c r="F738" s="7" t="str">
        <f>IFERROR(VLOOKUP(B738,'Master data'!$A$1:$F$1000,3,FALSE),"")</f>
        <v/>
      </c>
      <c r="G738" s="100"/>
      <c r="H738" s="100"/>
      <c r="I738" s="16"/>
      <c r="J738" s="16"/>
      <c r="K738" s="16" t="b">
        <v>0</v>
      </c>
      <c r="L738" s="16" t="b">
        <v>0</v>
      </c>
    </row>
    <row r="739">
      <c r="A739" s="107"/>
      <c r="B739" s="16"/>
      <c r="C739" s="7" t="str">
        <f>IFERROR(VLOOKUP(B739,'Master data'!$A$1:$F$1000,2,FALSE),"")</f>
        <v/>
      </c>
      <c r="D739" s="7" t="str">
        <f>IFERROR(VLOOKUP(B739,'Master data'!$A$1:$F$1000,6,FALSE),"")</f>
        <v/>
      </c>
      <c r="F739" s="7" t="str">
        <f>IFERROR(VLOOKUP(B739,'Master data'!$A$1:$F$1000,3,FALSE),"")</f>
        <v/>
      </c>
      <c r="G739" s="100"/>
      <c r="H739" s="100"/>
      <c r="I739" s="16"/>
      <c r="J739" s="16"/>
      <c r="K739" s="16" t="b">
        <v>0</v>
      </c>
      <c r="L739" s="16" t="b">
        <v>0</v>
      </c>
    </row>
    <row r="740">
      <c r="A740" s="107"/>
      <c r="B740" s="16"/>
      <c r="C740" s="7" t="str">
        <f>IFERROR(VLOOKUP(B740,'Master data'!$A$1:$F$1000,2,FALSE),"")</f>
        <v/>
      </c>
      <c r="D740" s="7" t="str">
        <f>IFERROR(VLOOKUP(B740,'Master data'!$A$1:$F$1000,6,FALSE),"")</f>
        <v/>
      </c>
      <c r="F740" s="7" t="str">
        <f>IFERROR(VLOOKUP(B740,'Master data'!$A$1:$F$1000,3,FALSE),"")</f>
        <v/>
      </c>
      <c r="G740" s="100"/>
      <c r="H740" s="100"/>
      <c r="I740" s="16"/>
      <c r="J740" s="16"/>
      <c r="K740" s="16" t="b">
        <v>0</v>
      </c>
      <c r="L740" s="16" t="b">
        <v>0</v>
      </c>
    </row>
    <row r="741">
      <c r="A741" s="107"/>
      <c r="B741" s="16"/>
      <c r="C741" s="7" t="str">
        <f>IFERROR(VLOOKUP(B741,'Master data'!$A$1:$F$1000,2,FALSE),"")</f>
        <v/>
      </c>
      <c r="D741" s="7" t="str">
        <f>IFERROR(VLOOKUP(B741,'Master data'!$A$1:$F$1000,6,FALSE),"")</f>
        <v/>
      </c>
      <c r="F741" s="7" t="str">
        <f>IFERROR(VLOOKUP(B741,'Master data'!$A$1:$F$1000,3,FALSE),"")</f>
        <v/>
      </c>
      <c r="G741" s="100"/>
      <c r="H741" s="100"/>
      <c r="I741" s="16"/>
      <c r="J741" s="16"/>
      <c r="K741" s="16" t="b">
        <v>0</v>
      </c>
      <c r="L741" s="16" t="b">
        <v>0</v>
      </c>
    </row>
    <row r="742">
      <c r="A742" s="107"/>
      <c r="B742" s="16"/>
      <c r="C742" s="7" t="str">
        <f>IFERROR(VLOOKUP(B742,'Master data'!$A$1:$F$1000,2,FALSE),"")</f>
        <v/>
      </c>
      <c r="D742" s="7" t="str">
        <f>IFERROR(VLOOKUP(B742,'Master data'!$A$1:$F$1000,6,FALSE),"")</f>
        <v/>
      </c>
      <c r="F742" s="7" t="str">
        <f>IFERROR(VLOOKUP(B742,'Master data'!$A$1:$F$1000,3,FALSE),"")</f>
        <v/>
      </c>
      <c r="G742" s="100"/>
      <c r="H742" s="100"/>
      <c r="I742" s="16"/>
      <c r="J742" s="16"/>
      <c r="K742" s="16" t="b">
        <v>0</v>
      </c>
      <c r="L742" s="16" t="b">
        <v>0</v>
      </c>
    </row>
    <row r="743">
      <c r="A743" s="107"/>
      <c r="B743" s="16"/>
      <c r="C743" s="7" t="str">
        <f>IFERROR(VLOOKUP(B743,'Master data'!$A$1:$F$1000,2,FALSE),"")</f>
        <v/>
      </c>
      <c r="D743" s="7" t="str">
        <f>IFERROR(VLOOKUP(B743,'Master data'!$A$1:$F$1000,6,FALSE),"")</f>
        <v/>
      </c>
      <c r="F743" s="7" t="str">
        <f>IFERROR(VLOOKUP(B743,'Master data'!$A$1:$F$1000,3,FALSE),"")</f>
        <v/>
      </c>
      <c r="G743" s="100"/>
      <c r="H743" s="100"/>
      <c r="I743" s="16"/>
      <c r="J743" s="16"/>
      <c r="K743" s="16" t="b">
        <v>0</v>
      </c>
      <c r="L743" s="16" t="b">
        <v>0</v>
      </c>
    </row>
    <row r="744">
      <c r="A744" s="107"/>
      <c r="B744" s="16"/>
      <c r="C744" s="7" t="str">
        <f>IFERROR(VLOOKUP(B744,'Master data'!$A$1:$F$1000,2,FALSE),"")</f>
        <v/>
      </c>
      <c r="D744" s="7" t="str">
        <f>IFERROR(VLOOKUP(B744,'Master data'!$A$1:$F$1000,6,FALSE),"")</f>
        <v/>
      </c>
      <c r="F744" s="7" t="str">
        <f>IFERROR(VLOOKUP(B744,'Master data'!$A$1:$F$1000,3,FALSE),"")</f>
        <v/>
      </c>
      <c r="G744" s="100"/>
      <c r="H744" s="100"/>
      <c r="I744" s="16"/>
      <c r="J744" s="16"/>
      <c r="K744" s="16" t="b">
        <v>0</v>
      </c>
      <c r="L744" s="16" t="b">
        <v>0</v>
      </c>
    </row>
    <row r="745">
      <c r="A745" s="107"/>
      <c r="B745" s="16"/>
      <c r="C745" s="7" t="str">
        <f>IFERROR(VLOOKUP(B745,'Master data'!$A$1:$F$1000,2,FALSE),"")</f>
        <v/>
      </c>
      <c r="D745" s="7" t="str">
        <f>IFERROR(VLOOKUP(B745,'Master data'!$A$1:$F$1000,6,FALSE),"")</f>
        <v/>
      </c>
      <c r="F745" s="7" t="str">
        <f>IFERROR(VLOOKUP(B745,'Master data'!$A$1:$F$1000,3,FALSE),"")</f>
        <v/>
      </c>
      <c r="G745" s="100"/>
      <c r="H745" s="100"/>
      <c r="I745" s="16"/>
      <c r="J745" s="16"/>
      <c r="K745" s="16" t="b">
        <v>0</v>
      </c>
      <c r="L745" s="16" t="b">
        <v>0</v>
      </c>
    </row>
    <row r="746">
      <c r="A746" s="107"/>
      <c r="B746" s="16"/>
      <c r="C746" s="7" t="str">
        <f>IFERROR(VLOOKUP(B746,'Master data'!$A$1:$F$1000,2,FALSE),"")</f>
        <v/>
      </c>
      <c r="D746" s="7" t="str">
        <f>IFERROR(VLOOKUP(B746,'Master data'!$A$1:$F$1000,6,FALSE),"")</f>
        <v/>
      </c>
      <c r="F746" s="7" t="str">
        <f>IFERROR(VLOOKUP(B746,'Master data'!$A$1:$F$1000,3,FALSE),"")</f>
        <v/>
      </c>
      <c r="G746" s="100"/>
      <c r="H746" s="100"/>
      <c r="I746" s="16"/>
      <c r="J746" s="16"/>
      <c r="K746" s="16" t="b">
        <v>0</v>
      </c>
      <c r="L746" s="16" t="b">
        <v>0</v>
      </c>
    </row>
    <row r="747">
      <c r="A747" s="107"/>
      <c r="B747" s="16"/>
      <c r="C747" s="7" t="str">
        <f>IFERROR(VLOOKUP(B747,'Master data'!$A$1:$F$1000,2,FALSE),"")</f>
        <v/>
      </c>
      <c r="D747" s="7" t="str">
        <f>IFERROR(VLOOKUP(B747,'Master data'!$A$1:$F$1000,6,FALSE),"")</f>
        <v/>
      </c>
      <c r="F747" s="7" t="str">
        <f>IFERROR(VLOOKUP(B747,'Master data'!$A$1:$F$1000,3,FALSE),"")</f>
        <v/>
      </c>
      <c r="G747" s="100"/>
      <c r="H747" s="100"/>
      <c r="I747" s="16"/>
      <c r="J747" s="16"/>
      <c r="K747" s="16" t="b">
        <v>0</v>
      </c>
      <c r="L747" s="16" t="b">
        <v>0</v>
      </c>
    </row>
    <row r="748">
      <c r="A748" s="107"/>
      <c r="B748" s="16"/>
      <c r="C748" s="7" t="str">
        <f>IFERROR(VLOOKUP(B748,'Master data'!$A$1:$F$1000,2,FALSE),"")</f>
        <v/>
      </c>
      <c r="D748" s="7" t="str">
        <f>IFERROR(VLOOKUP(B748,'Master data'!$A$1:$F$1000,6,FALSE),"")</f>
        <v/>
      </c>
      <c r="F748" s="7" t="str">
        <f>IFERROR(VLOOKUP(B748,'Master data'!$A$1:$F$1000,3,FALSE),"")</f>
        <v/>
      </c>
      <c r="G748" s="100"/>
      <c r="H748" s="100"/>
      <c r="I748" s="16"/>
      <c r="J748" s="16"/>
      <c r="K748" s="16" t="b">
        <v>0</v>
      </c>
      <c r="L748" s="16" t="b">
        <v>0</v>
      </c>
    </row>
    <row r="749">
      <c r="A749" s="107"/>
      <c r="B749" s="16"/>
      <c r="C749" s="7" t="str">
        <f>IFERROR(VLOOKUP(B749,'Master data'!$A$1:$F$1000,2,FALSE),"")</f>
        <v/>
      </c>
      <c r="D749" s="7" t="str">
        <f>IFERROR(VLOOKUP(B749,'Master data'!$A$1:$F$1000,6,FALSE),"")</f>
        <v/>
      </c>
      <c r="F749" s="7" t="str">
        <f>IFERROR(VLOOKUP(B749,'Master data'!$A$1:$F$1000,3,FALSE),"")</f>
        <v/>
      </c>
      <c r="G749" s="100"/>
      <c r="H749" s="100"/>
      <c r="I749" s="16"/>
      <c r="J749" s="16"/>
      <c r="K749" s="16" t="b">
        <v>0</v>
      </c>
      <c r="L749" s="16" t="b">
        <v>0</v>
      </c>
    </row>
    <row r="750">
      <c r="A750" s="107"/>
      <c r="B750" s="16"/>
      <c r="C750" s="7" t="str">
        <f>IFERROR(VLOOKUP(B750,'Master data'!$A$1:$F$1000,2,FALSE),"")</f>
        <v/>
      </c>
      <c r="D750" s="7" t="str">
        <f>IFERROR(VLOOKUP(B750,'Master data'!$A$1:$F$1000,6,FALSE),"")</f>
        <v/>
      </c>
      <c r="F750" s="7" t="str">
        <f>IFERROR(VLOOKUP(B750,'Master data'!$A$1:$F$1000,3,FALSE),"")</f>
        <v/>
      </c>
      <c r="G750" s="100"/>
      <c r="H750" s="100"/>
      <c r="I750" s="16"/>
      <c r="J750" s="16"/>
      <c r="K750" s="16" t="b">
        <v>0</v>
      </c>
      <c r="L750" s="16" t="b">
        <v>0</v>
      </c>
    </row>
    <row r="751">
      <c r="A751" s="107"/>
      <c r="B751" s="16"/>
      <c r="C751" s="7" t="str">
        <f>IFERROR(VLOOKUP(B751,'Master data'!$A$1:$F$1000,2,FALSE),"")</f>
        <v/>
      </c>
      <c r="D751" s="7" t="str">
        <f>IFERROR(VLOOKUP(B751,'Master data'!$A$1:$F$1000,6,FALSE),"")</f>
        <v/>
      </c>
      <c r="F751" s="7" t="str">
        <f>IFERROR(VLOOKUP(B751,'Master data'!$A$1:$F$1000,3,FALSE),"")</f>
        <v/>
      </c>
      <c r="G751" s="100"/>
      <c r="H751" s="100"/>
      <c r="I751" s="16"/>
      <c r="J751" s="16"/>
      <c r="K751" s="16" t="b">
        <v>0</v>
      </c>
      <c r="L751" s="16" t="b">
        <v>0</v>
      </c>
    </row>
    <row r="752">
      <c r="A752" s="107"/>
      <c r="B752" s="16"/>
      <c r="C752" s="7" t="str">
        <f>IFERROR(VLOOKUP(B752,'Master data'!$A$1:$F$1000,2,FALSE),"")</f>
        <v/>
      </c>
      <c r="D752" s="7" t="str">
        <f>IFERROR(VLOOKUP(B752,'Master data'!$A$1:$F$1000,6,FALSE),"")</f>
        <v/>
      </c>
      <c r="F752" s="7" t="str">
        <f>IFERROR(VLOOKUP(B752,'Master data'!$A$1:$F$1000,3,FALSE),"")</f>
        <v/>
      </c>
      <c r="G752" s="100"/>
      <c r="H752" s="100"/>
      <c r="I752" s="16"/>
      <c r="J752" s="16"/>
      <c r="K752" s="16" t="b">
        <v>0</v>
      </c>
      <c r="L752" s="16" t="b">
        <v>0</v>
      </c>
    </row>
    <row r="753">
      <c r="A753" s="107"/>
      <c r="B753" s="16"/>
      <c r="C753" s="7" t="str">
        <f>IFERROR(VLOOKUP(B753,'Master data'!$A$1:$F$1000,2,FALSE),"")</f>
        <v/>
      </c>
      <c r="D753" s="7" t="str">
        <f>IFERROR(VLOOKUP(B753,'Master data'!$A$1:$F$1000,6,FALSE),"")</f>
        <v/>
      </c>
      <c r="F753" s="7" t="str">
        <f>IFERROR(VLOOKUP(B753,'Master data'!$A$1:$F$1000,3,FALSE),"")</f>
        <v/>
      </c>
      <c r="G753" s="100"/>
      <c r="H753" s="100"/>
      <c r="I753" s="16"/>
      <c r="J753" s="16"/>
      <c r="K753" s="16" t="b">
        <v>0</v>
      </c>
      <c r="L753" s="16" t="b">
        <v>0</v>
      </c>
    </row>
    <row r="754">
      <c r="A754" s="107"/>
      <c r="B754" s="16"/>
      <c r="C754" s="7" t="str">
        <f>IFERROR(VLOOKUP(B754,'Master data'!$A$1:$F$1000,2,FALSE),"")</f>
        <v/>
      </c>
      <c r="D754" s="7" t="str">
        <f>IFERROR(VLOOKUP(B754,'Master data'!$A$1:$F$1000,6,FALSE),"")</f>
        <v/>
      </c>
      <c r="F754" s="7" t="str">
        <f>IFERROR(VLOOKUP(B754,'Master data'!$A$1:$F$1000,3,FALSE),"")</f>
        <v/>
      </c>
      <c r="G754" s="100"/>
      <c r="H754" s="100"/>
      <c r="I754" s="16"/>
      <c r="J754" s="16"/>
      <c r="K754" s="16" t="b">
        <v>0</v>
      </c>
      <c r="L754" s="16" t="b">
        <v>0</v>
      </c>
    </row>
    <row r="755">
      <c r="A755" s="107"/>
      <c r="B755" s="16"/>
      <c r="C755" s="7" t="str">
        <f>IFERROR(VLOOKUP(B755,'Master data'!$A$1:$F$1000,2,FALSE),"")</f>
        <v/>
      </c>
      <c r="D755" s="7" t="str">
        <f>IFERROR(VLOOKUP(B755,'Master data'!$A$1:$F$1000,6,FALSE),"")</f>
        <v/>
      </c>
      <c r="F755" s="7" t="str">
        <f>IFERROR(VLOOKUP(B755,'Master data'!$A$1:$F$1000,3,FALSE),"")</f>
        <v/>
      </c>
      <c r="G755" s="100"/>
      <c r="H755" s="100"/>
      <c r="I755" s="16"/>
      <c r="J755" s="16"/>
      <c r="K755" s="16" t="b">
        <v>0</v>
      </c>
      <c r="L755" s="16" t="b">
        <v>0</v>
      </c>
    </row>
    <row r="756">
      <c r="A756" s="107"/>
      <c r="B756" s="16"/>
      <c r="C756" s="7" t="str">
        <f>IFERROR(VLOOKUP(B756,'Master data'!$A$1:$F$1000,2,FALSE),"")</f>
        <v/>
      </c>
      <c r="D756" s="7" t="str">
        <f>IFERROR(VLOOKUP(B756,'Master data'!$A$1:$F$1000,6,FALSE),"")</f>
        <v/>
      </c>
      <c r="F756" s="7" t="str">
        <f>IFERROR(VLOOKUP(B756,'Master data'!$A$1:$F$1000,3,FALSE),"")</f>
        <v/>
      </c>
      <c r="G756" s="100"/>
      <c r="H756" s="100"/>
      <c r="I756" s="16"/>
      <c r="J756" s="16"/>
      <c r="K756" s="16" t="b">
        <v>0</v>
      </c>
      <c r="L756" s="16" t="b">
        <v>0</v>
      </c>
    </row>
    <row r="757">
      <c r="A757" s="107"/>
      <c r="B757" s="16"/>
      <c r="C757" s="7" t="str">
        <f>IFERROR(VLOOKUP(B757,'Master data'!$A$1:$F$1000,2,FALSE),"")</f>
        <v/>
      </c>
      <c r="D757" s="7" t="str">
        <f>IFERROR(VLOOKUP(B757,'Master data'!$A$1:$F$1000,6,FALSE),"")</f>
        <v/>
      </c>
      <c r="F757" s="7" t="str">
        <f>IFERROR(VLOOKUP(B757,'Master data'!$A$1:$F$1000,3,FALSE),"")</f>
        <v/>
      </c>
      <c r="G757" s="100"/>
      <c r="H757" s="100"/>
      <c r="I757" s="16"/>
      <c r="J757" s="16"/>
      <c r="K757" s="16" t="b">
        <v>0</v>
      </c>
      <c r="L757" s="16" t="b">
        <v>0</v>
      </c>
    </row>
    <row r="758">
      <c r="A758" s="107"/>
      <c r="B758" s="16"/>
      <c r="C758" s="7" t="str">
        <f>IFERROR(VLOOKUP(B758,'Master data'!$A$1:$F$1000,2,FALSE),"")</f>
        <v/>
      </c>
      <c r="D758" s="7" t="str">
        <f>IFERROR(VLOOKUP(B758,'Master data'!$A$1:$F$1000,6,FALSE),"")</f>
        <v/>
      </c>
      <c r="F758" s="7" t="str">
        <f>IFERROR(VLOOKUP(B758,'Master data'!$A$1:$F$1000,3,FALSE),"")</f>
        <v/>
      </c>
      <c r="G758" s="100"/>
      <c r="H758" s="100"/>
      <c r="I758" s="16"/>
      <c r="J758" s="16"/>
      <c r="K758" s="16" t="b">
        <v>0</v>
      </c>
      <c r="L758" s="16" t="b">
        <v>0</v>
      </c>
    </row>
    <row r="759">
      <c r="A759" s="107"/>
      <c r="B759" s="16"/>
      <c r="C759" s="7" t="str">
        <f>IFERROR(VLOOKUP(B759,'Master data'!$A$1:$F$1000,2,FALSE),"")</f>
        <v/>
      </c>
      <c r="D759" s="7" t="str">
        <f>IFERROR(VLOOKUP(B759,'Master data'!$A$1:$F$1000,6,FALSE),"")</f>
        <v/>
      </c>
      <c r="F759" s="7" t="str">
        <f>IFERROR(VLOOKUP(B759,'Master data'!$A$1:$F$1000,3,FALSE),"")</f>
        <v/>
      </c>
      <c r="G759" s="100"/>
      <c r="H759" s="100"/>
      <c r="I759" s="16"/>
      <c r="J759" s="16"/>
      <c r="K759" s="16" t="b">
        <v>0</v>
      </c>
      <c r="L759" s="16" t="b">
        <v>0</v>
      </c>
    </row>
    <row r="760">
      <c r="A760" s="107"/>
      <c r="B760" s="16"/>
      <c r="C760" s="7" t="str">
        <f>IFERROR(VLOOKUP(B760,'Master data'!$A$1:$F$1000,2,FALSE),"")</f>
        <v/>
      </c>
      <c r="D760" s="7" t="str">
        <f>IFERROR(VLOOKUP(B760,'Master data'!$A$1:$F$1000,6,FALSE),"")</f>
        <v/>
      </c>
      <c r="F760" s="7" t="str">
        <f>IFERROR(VLOOKUP(B760,'Master data'!$A$1:$F$1000,3,FALSE),"")</f>
        <v/>
      </c>
      <c r="G760" s="100"/>
      <c r="H760" s="100"/>
      <c r="I760" s="16"/>
      <c r="J760" s="16"/>
      <c r="K760" s="16" t="b">
        <v>0</v>
      </c>
      <c r="L760" s="16" t="b">
        <v>0</v>
      </c>
    </row>
    <row r="761">
      <c r="A761" s="107"/>
      <c r="B761" s="16"/>
      <c r="C761" s="7" t="str">
        <f>IFERROR(VLOOKUP(B761,'Master data'!$A$1:$F$1000,2,FALSE),"")</f>
        <v/>
      </c>
      <c r="D761" s="7" t="str">
        <f>IFERROR(VLOOKUP(B761,'Master data'!$A$1:$F$1000,6,FALSE),"")</f>
        <v/>
      </c>
      <c r="F761" s="7" t="str">
        <f>IFERROR(VLOOKUP(B761,'Master data'!$A$1:$F$1000,3,FALSE),"")</f>
        <v/>
      </c>
      <c r="G761" s="100"/>
      <c r="H761" s="100"/>
      <c r="I761" s="16"/>
      <c r="J761" s="16"/>
      <c r="K761" s="16" t="b">
        <v>0</v>
      </c>
      <c r="L761" s="16" t="b">
        <v>0</v>
      </c>
    </row>
    <row r="762">
      <c r="A762" s="107"/>
      <c r="B762" s="16"/>
      <c r="C762" s="7" t="str">
        <f>IFERROR(VLOOKUP(B762,'Master data'!$A$1:$F$1000,2,FALSE),"")</f>
        <v/>
      </c>
      <c r="D762" s="7" t="str">
        <f>IFERROR(VLOOKUP(B762,'Master data'!$A$1:$F$1000,6,FALSE),"")</f>
        <v/>
      </c>
      <c r="F762" s="7" t="str">
        <f>IFERROR(VLOOKUP(B762,'Master data'!$A$1:$F$1000,3,FALSE),"")</f>
        <v/>
      </c>
      <c r="G762" s="100"/>
      <c r="H762" s="100"/>
      <c r="I762" s="16"/>
      <c r="J762" s="16"/>
      <c r="K762" s="16" t="b">
        <v>0</v>
      </c>
      <c r="L762" s="16" t="b">
        <v>0</v>
      </c>
    </row>
    <row r="763">
      <c r="A763" s="107"/>
      <c r="B763" s="16"/>
      <c r="C763" s="7" t="str">
        <f>IFERROR(VLOOKUP(B763,'Master data'!$A$1:$F$1000,2,FALSE),"")</f>
        <v/>
      </c>
      <c r="D763" s="7" t="str">
        <f>IFERROR(VLOOKUP(B763,'Master data'!$A$1:$F$1000,6,FALSE),"")</f>
        <v/>
      </c>
      <c r="F763" s="7" t="str">
        <f>IFERROR(VLOOKUP(B763,'Master data'!$A$1:$F$1000,3,FALSE),"")</f>
        <v/>
      </c>
      <c r="G763" s="100"/>
      <c r="H763" s="100"/>
      <c r="I763" s="16"/>
      <c r="J763" s="16"/>
      <c r="K763" s="16" t="b">
        <v>0</v>
      </c>
      <c r="L763" s="16" t="b">
        <v>0</v>
      </c>
    </row>
    <row r="764">
      <c r="A764" s="107"/>
      <c r="B764" s="16"/>
      <c r="C764" s="7" t="str">
        <f>IFERROR(VLOOKUP(B764,'Master data'!$A$1:$F$1000,2,FALSE),"")</f>
        <v/>
      </c>
      <c r="D764" s="7" t="str">
        <f>IFERROR(VLOOKUP(B764,'Master data'!$A$1:$F$1000,6,FALSE),"")</f>
        <v/>
      </c>
      <c r="F764" s="7" t="str">
        <f>IFERROR(VLOOKUP(B764,'Master data'!$A$1:$F$1000,3,FALSE),"")</f>
        <v/>
      </c>
      <c r="G764" s="100"/>
      <c r="H764" s="100"/>
      <c r="I764" s="16"/>
      <c r="J764" s="16"/>
      <c r="K764" s="16" t="b">
        <v>0</v>
      </c>
      <c r="L764" s="16" t="b">
        <v>0</v>
      </c>
    </row>
    <row r="765">
      <c r="A765" s="107"/>
      <c r="B765" s="16"/>
      <c r="C765" s="7" t="str">
        <f>IFERROR(VLOOKUP(B765,'Master data'!$A$1:$F$1000,2,FALSE),"")</f>
        <v/>
      </c>
      <c r="D765" s="7" t="str">
        <f>IFERROR(VLOOKUP(B765,'Master data'!$A$1:$F$1000,6,FALSE),"")</f>
        <v/>
      </c>
      <c r="F765" s="7" t="str">
        <f>IFERROR(VLOOKUP(B765,'Master data'!$A$1:$F$1000,3,FALSE),"")</f>
        <v/>
      </c>
      <c r="G765" s="100"/>
      <c r="H765" s="100"/>
      <c r="I765" s="16"/>
      <c r="J765" s="16"/>
      <c r="K765" s="16" t="b">
        <v>0</v>
      </c>
      <c r="L765" s="16" t="b">
        <v>0</v>
      </c>
    </row>
    <row r="766">
      <c r="A766" s="107"/>
      <c r="B766" s="16"/>
      <c r="C766" s="7" t="str">
        <f>IFERROR(VLOOKUP(B766,'Master data'!$A$1:$F$1000,2,FALSE),"")</f>
        <v/>
      </c>
      <c r="D766" s="7" t="str">
        <f>IFERROR(VLOOKUP(B766,'Master data'!$A$1:$F$1000,6,FALSE),"")</f>
        <v/>
      </c>
      <c r="F766" s="7" t="str">
        <f>IFERROR(VLOOKUP(B766,'Master data'!$A$1:$F$1000,3,FALSE),"")</f>
        <v/>
      </c>
      <c r="G766" s="100"/>
      <c r="H766" s="100"/>
      <c r="I766" s="16"/>
      <c r="J766" s="16"/>
      <c r="K766" s="16" t="b">
        <v>0</v>
      </c>
      <c r="L766" s="16" t="b">
        <v>0</v>
      </c>
    </row>
    <row r="767">
      <c r="A767" s="107"/>
      <c r="B767" s="16"/>
      <c r="C767" s="7" t="str">
        <f>IFERROR(VLOOKUP(B767,'Master data'!$A$1:$F$1000,2,FALSE),"")</f>
        <v/>
      </c>
      <c r="D767" s="7" t="str">
        <f>IFERROR(VLOOKUP(B767,'Master data'!$A$1:$F$1000,6,FALSE),"")</f>
        <v/>
      </c>
      <c r="F767" s="7" t="str">
        <f>IFERROR(VLOOKUP(B767,'Master data'!$A$1:$F$1000,3,FALSE),"")</f>
        <v/>
      </c>
      <c r="G767" s="100"/>
      <c r="H767" s="100"/>
      <c r="I767" s="16"/>
      <c r="J767" s="16"/>
      <c r="K767" s="16" t="b">
        <v>0</v>
      </c>
      <c r="L767" s="16" t="b">
        <v>0</v>
      </c>
    </row>
    <row r="768">
      <c r="A768" s="107"/>
      <c r="B768" s="16"/>
      <c r="C768" s="7" t="str">
        <f>IFERROR(VLOOKUP(B768,'Master data'!$A$1:$F$1000,2,FALSE),"")</f>
        <v/>
      </c>
      <c r="D768" s="7" t="str">
        <f>IFERROR(VLOOKUP(B768,'Master data'!$A$1:$F$1000,6,FALSE),"")</f>
        <v/>
      </c>
      <c r="F768" s="7" t="str">
        <f>IFERROR(VLOOKUP(B768,'Master data'!$A$1:$F$1000,3,FALSE),"")</f>
        <v/>
      </c>
      <c r="G768" s="100"/>
      <c r="H768" s="100"/>
      <c r="I768" s="16"/>
      <c r="J768" s="16"/>
      <c r="K768" s="16" t="b">
        <v>0</v>
      </c>
      <c r="L768" s="16" t="b">
        <v>0</v>
      </c>
    </row>
    <row r="769">
      <c r="A769" s="107"/>
      <c r="B769" s="16"/>
      <c r="C769" s="7" t="str">
        <f>IFERROR(VLOOKUP(B769,'Master data'!$A$1:$F$1000,2,FALSE),"")</f>
        <v/>
      </c>
      <c r="D769" s="7" t="str">
        <f>IFERROR(VLOOKUP(B769,'Master data'!$A$1:$F$1000,6,FALSE),"")</f>
        <v/>
      </c>
      <c r="F769" s="7" t="str">
        <f>IFERROR(VLOOKUP(B769,'Master data'!$A$1:$F$1000,3,FALSE),"")</f>
        <v/>
      </c>
      <c r="G769" s="100"/>
      <c r="H769" s="100"/>
      <c r="I769" s="16"/>
      <c r="J769" s="16"/>
      <c r="K769" s="16" t="b">
        <v>0</v>
      </c>
      <c r="L769" s="16" t="b">
        <v>0</v>
      </c>
    </row>
    <row r="770">
      <c r="A770" s="107"/>
      <c r="B770" s="16"/>
      <c r="C770" s="7" t="str">
        <f>IFERROR(VLOOKUP(B770,'Master data'!$A$1:$F$1000,2,FALSE),"")</f>
        <v/>
      </c>
      <c r="D770" s="7" t="str">
        <f>IFERROR(VLOOKUP(B770,'Master data'!$A$1:$F$1000,6,FALSE),"")</f>
        <v/>
      </c>
      <c r="F770" s="7" t="str">
        <f>IFERROR(VLOOKUP(B770,'Master data'!$A$1:$F$1000,3,FALSE),"")</f>
        <v/>
      </c>
      <c r="G770" s="100"/>
      <c r="H770" s="100"/>
      <c r="I770" s="16"/>
      <c r="J770" s="16"/>
      <c r="K770" s="16" t="b">
        <v>0</v>
      </c>
      <c r="L770" s="16" t="b">
        <v>0</v>
      </c>
    </row>
    <row r="771">
      <c r="A771" s="107"/>
      <c r="B771" s="16"/>
      <c r="C771" s="7" t="str">
        <f>IFERROR(VLOOKUP(B771,'Master data'!$A$1:$F$1000,2,FALSE),"")</f>
        <v/>
      </c>
      <c r="D771" s="7" t="str">
        <f>IFERROR(VLOOKUP(B771,'Master data'!$A$1:$F$1000,6,FALSE),"")</f>
        <v/>
      </c>
      <c r="F771" s="7" t="str">
        <f>IFERROR(VLOOKUP(B771,'Master data'!$A$1:$F$1000,3,FALSE),"")</f>
        <v/>
      </c>
      <c r="G771" s="100"/>
      <c r="H771" s="100"/>
      <c r="I771" s="16"/>
      <c r="J771" s="16"/>
      <c r="K771" s="16" t="b">
        <v>0</v>
      </c>
      <c r="L771" s="16" t="b">
        <v>0</v>
      </c>
    </row>
    <row r="772">
      <c r="A772" s="107"/>
      <c r="B772" s="16"/>
      <c r="C772" s="7" t="str">
        <f>IFERROR(VLOOKUP(B772,'Master data'!$A$1:$F$1000,2,FALSE),"")</f>
        <v/>
      </c>
      <c r="D772" s="7" t="str">
        <f>IFERROR(VLOOKUP(B772,'Master data'!$A$1:$F$1000,6,FALSE),"")</f>
        <v/>
      </c>
      <c r="F772" s="7" t="str">
        <f>IFERROR(VLOOKUP(B772,'Master data'!$A$1:$F$1000,3,FALSE),"")</f>
        <v/>
      </c>
      <c r="G772" s="100"/>
      <c r="H772" s="100"/>
      <c r="I772" s="16"/>
      <c r="J772" s="16"/>
      <c r="K772" s="16" t="b">
        <v>0</v>
      </c>
      <c r="L772" s="16" t="b">
        <v>0</v>
      </c>
    </row>
    <row r="773">
      <c r="A773" s="107"/>
      <c r="B773" s="16"/>
      <c r="C773" s="7" t="str">
        <f>IFERROR(VLOOKUP(B773,'Master data'!$A$1:$F$1000,2,FALSE),"")</f>
        <v/>
      </c>
      <c r="D773" s="7" t="str">
        <f>IFERROR(VLOOKUP(B773,'Master data'!$A$1:$F$1000,6,FALSE),"")</f>
        <v/>
      </c>
      <c r="F773" s="7" t="str">
        <f>IFERROR(VLOOKUP(B773,'Master data'!$A$1:$F$1000,3,FALSE),"")</f>
        <v/>
      </c>
      <c r="G773" s="100"/>
      <c r="H773" s="100"/>
      <c r="I773" s="16"/>
      <c r="J773" s="16"/>
      <c r="K773" s="16" t="b">
        <v>0</v>
      </c>
      <c r="L773" s="16" t="b">
        <v>0</v>
      </c>
    </row>
    <row r="774">
      <c r="A774" s="107"/>
      <c r="B774" s="16"/>
      <c r="C774" s="7" t="str">
        <f>IFERROR(VLOOKUP(B774,'Master data'!$A$1:$F$1000,2,FALSE),"")</f>
        <v/>
      </c>
      <c r="D774" s="7" t="str">
        <f>IFERROR(VLOOKUP(B774,'Master data'!$A$1:$F$1000,6,FALSE),"")</f>
        <v/>
      </c>
      <c r="F774" s="7" t="str">
        <f>IFERROR(VLOOKUP(B774,'Master data'!$A$1:$F$1000,3,FALSE),"")</f>
        <v/>
      </c>
      <c r="G774" s="100"/>
      <c r="H774" s="100"/>
      <c r="I774" s="16"/>
      <c r="J774" s="16"/>
      <c r="K774" s="16" t="b">
        <v>0</v>
      </c>
      <c r="L774" s="16" t="b">
        <v>0</v>
      </c>
    </row>
    <row r="775">
      <c r="A775" s="107"/>
      <c r="B775" s="16"/>
      <c r="C775" s="7" t="str">
        <f>IFERROR(VLOOKUP(B775,'Master data'!$A$1:$F$1000,2,FALSE),"")</f>
        <v/>
      </c>
      <c r="D775" s="7" t="str">
        <f>IFERROR(VLOOKUP(B775,'Master data'!$A$1:$F$1000,6,FALSE),"")</f>
        <v/>
      </c>
      <c r="F775" s="7" t="str">
        <f>IFERROR(VLOOKUP(B775,'Master data'!$A$1:$F$1000,3,FALSE),"")</f>
        <v/>
      </c>
      <c r="G775" s="100"/>
      <c r="H775" s="100"/>
      <c r="I775" s="16"/>
      <c r="J775" s="16"/>
      <c r="K775" s="16" t="b">
        <v>0</v>
      </c>
      <c r="L775" s="16" t="b">
        <v>0</v>
      </c>
    </row>
    <row r="776">
      <c r="A776" s="107"/>
      <c r="B776" s="16"/>
      <c r="C776" s="7" t="str">
        <f>IFERROR(VLOOKUP(B776,'Master data'!$A$1:$F$1000,2,FALSE),"")</f>
        <v/>
      </c>
      <c r="D776" s="7" t="str">
        <f>IFERROR(VLOOKUP(B776,'Master data'!$A$1:$F$1000,6,FALSE),"")</f>
        <v/>
      </c>
      <c r="F776" s="7" t="str">
        <f>IFERROR(VLOOKUP(B776,'Master data'!$A$1:$F$1000,3,FALSE),"")</f>
        <v/>
      </c>
      <c r="G776" s="100"/>
      <c r="H776" s="100"/>
      <c r="I776" s="16"/>
      <c r="J776" s="16"/>
      <c r="K776" s="16" t="b">
        <v>0</v>
      </c>
      <c r="L776" s="16" t="b">
        <v>0</v>
      </c>
    </row>
    <row r="777">
      <c r="A777" s="107"/>
      <c r="B777" s="16"/>
      <c r="C777" s="7" t="str">
        <f>IFERROR(VLOOKUP(B777,'Master data'!$A$1:$F$1000,2,FALSE),"")</f>
        <v/>
      </c>
      <c r="D777" s="7" t="str">
        <f>IFERROR(VLOOKUP(B777,'Master data'!$A$1:$F$1000,6,FALSE),"")</f>
        <v/>
      </c>
      <c r="F777" s="7" t="str">
        <f>IFERROR(VLOOKUP(B777,'Master data'!$A$1:$F$1000,3,FALSE),"")</f>
        <v/>
      </c>
      <c r="G777" s="100"/>
      <c r="H777" s="100"/>
      <c r="I777" s="16"/>
      <c r="J777" s="16"/>
      <c r="K777" s="16" t="b">
        <v>0</v>
      </c>
      <c r="L777" s="16" t="b">
        <v>0</v>
      </c>
    </row>
    <row r="778">
      <c r="A778" s="107"/>
      <c r="B778" s="16"/>
      <c r="C778" s="7" t="str">
        <f>IFERROR(VLOOKUP(B778,'Master data'!$A$1:$F$1000,2,FALSE),"")</f>
        <v/>
      </c>
      <c r="D778" s="7" t="str">
        <f>IFERROR(VLOOKUP(B778,'Master data'!$A$1:$F$1000,6,FALSE),"")</f>
        <v/>
      </c>
      <c r="F778" s="7" t="str">
        <f>IFERROR(VLOOKUP(B778,'Master data'!$A$1:$F$1000,3,FALSE),"")</f>
        <v/>
      </c>
      <c r="G778" s="100"/>
      <c r="H778" s="100"/>
      <c r="I778" s="16"/>
      <c r="J778" s="16"/>
      <c r="K778" s="16" t="b">
        <v>0</v>
      </c>
      <c r="L778" s="16" t="b">
        <v>0</v>
      </c>
    </row>
    <row r="779">
      <c r="A779" s="107"/>
      <c r="B779" s="16"/>
      <c r="C779" s="7" t="str">
        <f>IFERROR(VLOOKUP(B779,'Master data'!$A$1:$F$1000,2,FALSE),"")</f>
        <v/>
      </c>
      <c r="D779" s="7" t="str">
        <f>IFERROR(VLOOKUP(B779,'Master data'!$A$1:$F$1000,6,FALSE),"")</f>
        <v/>
      </c>
      <c r="F779" s="7" t="str">
        <f>IFERROR(VLOOKUP(B779,'Master data'!$A$1:$F$1000,3,FALSE),"")</f>
        <v/>
      </c>
      <c r="G779" s="100"/>
      <c r="H779" s="100"/>
      <c r="I779" s="16"/>
      <c r="J779" s="16"/>
      <c r="K779" s="16" t="b">
        <v>0</v>
      </c>
      <c r="L779" s="16" t="b">
        <v>0</v>
      </c>
    </row>
    <row r="780">
      <c r="A780" s="107"/>
      <c r="B780" s="16"/>
      <c r="C780" s="7" t="str">
        <f>IFERROR(VLOOKUP(B780,'Master data'!$A$1:$F$1000,2,FALSE),"")</f>
        <v/>
      </c>
      <c r="D780" s="7" t="str">
        <f>IFERROR(VLOOKUP(B780,'Master data'!$A$1:$F$1000,6,FALSE),"")</f>
        <v/>
      </c>
      <c r="F780" s="7" t="str">
        <f>IFERROR(VLOOKUP(B780,'Master data'!$A$1:$F$1000,3,FALSE),"")</f>
        <v/>
      </c>
      <c r="G780" s="100"/>
      <c r="H780" s="100"/>
      <c r="I780" s="16"/>
      <c r="J780" s="16"/>
      <c r="K780" s="16" t="b">
        <v>0</v>
      </c>
      <c r="L780" s="16" t="b">
        <v>0</v>
      </c>
    </row>
    <row r="781">
      <c r="A781" s="107"/>
      <c r="B781" s="16"/>
      <c r="C781" s="7" t="str">
        <f>IFERROR(VLOOKUP(B781,'Master data'!$A$1:$F$1000,2,FALSE),"")</f>
        <v/>
      </c>
      <c r="D781" s="7" t="str">
        <f>IFERROR(VLOOKUP(B781,'Master data'!$A$1:$F$1000,6,FALSE),"")</f>
        <v/>
      </c>
      <c r="F781" s="7" t="str">
        <f>IFERROR(VLOOKUP(B781,'Master data'!$A$1:$F$1000,3,FALSE),"")</f>
        <v/>
      </c>
      <c r="G781" s="100"/>
      <c r="H781" s="100"/>
      <c r="I781" s="16"/>
      <c r="J781" s="16"/>
      <c r="K781" s="16" t="b">
        <v>0</v>
      </c>
      <c r="L781" s="16" t="b">
        <v>0</v>
      </c>
    </row>
    <row r="782">
      <c r="A782" s="107"/>
      <c r="B782" s="16"/>
      <c r="C782" s="7" t="str">
        <f>IFERROR(VLOOKUP(B782,'Master data'!$A$1:$F$1000,2,FALSE),"")</f>
        <v/>
      </c>
      <c r="D782" s="7" t="str">
        <f>IFERROR(VLOOKUP(B782,'Master data'!$A$1:$F$1000,6,FALSE),"")</f>
        <v/>
      </c>
      <c r="F782" s="7" t="str">
        <f>IFERROR(VLOOKUP(B782,'Master data'!$A$1:$F$1000,3,FALSE),"")</f>
        <v/>
      </c>
      <c r="G782" s="100"/>
      <c r="H782" s="100"/>
      <c r="I782" s="16"/>
      <c r="J782" s="16"/>
      <c r="K782" s="16" t="b">
        <v>0</v>
      </c>
      <c r="L782" s="16" t="b">
        <v>0</v>
      </c>
    </row>
    <row r="783">
      <c r="A783" s="107"/>
      <c r="B783" s="16"/>
      <c r="C783" s="7" t="str">
        <f>IFERROR(VLOOKUP(B783,'Master data'!$A$1:$F$1000,2,FALSE),"")</f>
        <v/>
      </c>
      <c r="D783" s="7" t="str">
        <f>IFERROR(VLOOKUP(B783,'Master data'!$A$1:$F$1000,6,FALSE),"")</f>
        <v/>
      </c>
      <c r="F783" s="7" t="str">
        <f>IFERROR(VLOOKUP(B783,'Master data'!$A$1:$F$1000,3,FALSE),"")</f>
        <v/>
      </c>
      <c r="G783" s="100"/>
      <c r="H783" s="100"/>
      <c r="I783" s="16"/>
      <c r="J783" s="16"/>
      <c r="K783" s="16" t="b">
        <v>0</v>
      </c>
      <c r="L783" s="16" t="b">
        <v>0</v>
      </c>
    </row>
    <row r="784">
      <c r="A784" s="107"/>
      <c r="B784" s="16"/>
      <c r="C784" s="7" t="str">
        <f>IFERROR(VLOOKUP(B784,'Master data'!$A$1:$F$1000,2,FALSE),"")</f>
        <v/>
      </c>
      <c r="D784" s="7" t="str">
        <f>IFERROR(VLOOKUP(B784,'Master data'!$A$1:$F$1000,6,FALSE),"")</f>
        <v/>
      </c>
      <c r="F784" s="7" t="str">
        <f>IFERROR(VLOOKUP(B784,'Master data'!$A$1:$F$1000,3,FALSE),"")</f>
        <v/>
      </c>
      <c r="G784" s="100"/>
      <c r="H784" s="100"/>
      <c r="I784" s="16"/>
      <c r="J784" s="16"/>
      <c r="K784" s="16" t="b">
        <v>0</v>
      </c>
      <c r="L784" s="16" t="b">
        <v>0</v>
      </c>
    </row>
    <row r="785">
      <c r="A785" s="107"/>
      <c r="B785" s="16"/>
      <c r="C785" s="7" t="str">
        <f>IFERROR(VLOOKUP(B785,'Master data'!$A$1:$F$1000,2,FALSE),"")</f>
        <v/>
      </c>
      <c r="D785" s="7" t="str">
        <f>IFERROR(VLOOKUP(B785,'Master data'!$A$1:$F$1000,6,FALSE),"")</f>
        <v/>
      </c>
      <c r="F785" s="7" t="str">
        <f>IFERROR(VLOOKUP(B785,'Master data'!$A$1:$F$1000,3,FALSE),"")</f>
        <v/>
      </c>
      <c r="G785" s="100"/>
      <c r="H785" s="100"/>
      <c r="I785" s="16"/>
      <c r="J785" s="16"/>
      <c r="K785" s="16" t="b">
        <v>0</v>
      </c>
      <c r="L785" s="16" t="b">
        <v>0</v>
      </c>
    </row>
    <row r="786">
      <c r="A786" s="107"/>
      <c r="B786" s="16"/>
      <c r="C786" s="7" t="str">
        <f>IFERROR(VLOOKUP(B786,'Master data'!$A$1:$F$1000,2,FALSE),"")</f>
        <v/>
      </c>
      <c r="D786" s="7" t="str">
        <f>IFERROR(VLOOKUP(B786,'Master data'!$A$1:$F$1000,6,FALSE),"")</f>
        <v/>
      </c>
      <c r="F786" s="7" t="str">
        <f>IFERROR(VLOOKUP(B786,'Master data'!$A$1:$F$1000,3,FALSE),"")</f>
        <v/>
      </c>
      <c r="G786" s="100"/>
      <c r="H786" s="100"/>
      <c r="I786" s="16"/>
      <c r="J786" s="16"/>
      <c r="K786" s="16" t="b">
        <v>0</v>
      </c>
      <c r="L786" s="16" t="b">
        <v>0</v>
      </c>
    </row>
    <row r="787">
      <c r="A787" s="107"/>
      <c r="B787" s="16"/>
      <c r="C787" s="7" t="str">
        <f>IFERROR(VLOOKUP(B787,'Master data'!$A$1:$F$1000,2,FALSE),"")</f>
        <v/>
      </c>
      <c r="D787" s="7" t="str">
        <f>IFERROR(VLOOKUP(B787,'Master data'!$A$1:$F$1000,6,FALSE),"")</f>
        <v/>
      </c>
      <c r="F787" s="7" t="str">
        <f>IFERROR(VLOOKUP(B787,'Master data'!$A$1:$F$1000,3,FALSE),"")</f>
        <v/>
      </c>
      <c r="G787" s="100"/>
      <c r="H787" s="100"/>
      <c r="I787" s="16"/>
      <c r="J787" s="16"/>
      <c r="K787" s="16" t="b">
        <v>0</v>
      </c>
      <c r="L787" s="16" t="b">
        <v>0</v>
      </c>
    </row>
    <row r="788">
      <c r="A788" s="107"/>
      <c r="B788" s="16"/>
      <c r="C788" s="7" t="str">
        <f>IFERROR(VLOOKUP(B788,'Master data'!$A$1:$F$1000,2,FALSE),"")</f>
        <v/>
      </c>
      <c r="D788" s="7" t="str">
        <f>IFERROR(VLOOKUP(B788,'Master data'!$A$1:$F$1000,6,FALSE),"")</f>
        <v/>
      </c>
      <c r="F788" s="7" t="str">
        <f>IFERROR(VLOOKUP(B788,'Master data'!$A$1:$F$1000,3,FALSE),"")</f>
        <v/>
      </c>
      <c r="G788" s="100"/>
      <c r="H788" s="100"/>
      <c r="I788" s="16"/>
      <c r="J788" s="16"/>
      <c r="K788" s="16" t="b">
        <v>0</v>
      </c>
      <c r="L788" s="16" t="b">
        <v>0</v>
      </c>
    </row>
    <row r="789">
      <c r="A789" s="107"/>
      <c r="B789" s="16"/>
      <c r="C789" s="7" t="str">
        <f>IFERROR(VLOOKUP(B789,'Master data'!$A$1:$F$1000,2,FALSE),"")</f>
        <v/>
      </c>
      <c r="D789" s="7" t="str">
        <f>IFERROR(VLOOKUP(B789,'Master data'!$A$1:$F$1000,6,FALSE),"")</f>
        <v/>
      </c>
      <c r="F789" s="7" t="str">
        <f>IFERROR(VLOOKUP(B789,'Master data'!$A$1:$F$1000,3,FALSE),"")</f>
        <v/>
      </c>
      <c r="G789" s="100"/>
      <c r="H789" s="100"/>
      <c r="I789" s="16"/>
      <c r="J789" s="16"/>
      <c r="K789" s="16" t="b">
        <v>0</v>
      </c>
      <c r="L789" s="16" t="b">
        <v>0</v>
      </c>
    </row>
    <row r="790">
      <c r="A790" s="107"/>
      <c r="B790" s="16"/>
      <c r="C790" s="7" t="str">
        <f>IFERROR(VLOOKUP(B790,'Master data'!$A$1:$F$1000,2,FALSE),"")</f>
        <v/>
      </c>
      <c r="D790" s="7" t="str">
        <f>IFERROR(VLOOKUP(B790,'Master data'!$A$1:$F$1000,6,FALSE),"")</f>
        <v/>
      </c>
      <c r="F790" s="7" t="str">
        <f>IFERROR(VLOOKUP(B790,'Master data'!$A$1:$F$1000,3,FALSE),"")</f>
        <v/>
      </c>
      <c r="G790" s="100"/>
      <c r="H790" s="100"/>
      <c r="I790" s="16"/>
      <c r="J790" s="16"/>
      <c r="K790" s="16" t="b">
        <v>0</v>
      </c>
      <c r="L790" s="16" t="b">
        <v>0</v>
      </c>
    </row>
    <row r="791">
      <c r="A791" s="107"/>
      <c r="B791" s="16"/>
      <c r="C791" s="7" t="str">
        <f>IFERROR(VLOOKUP(B791,'Master data'!$A$1:$F$1000,2,FALSE),"")</f>
        <v/>
      </c>
      <c r="D791" s="7" t="str">
        <f>IFERROR(VLOOKUP(B791,'Master data'!$A$1:$F$1000,6,FALSE),"")</f>
        <v/>
      </c>
      <c r="F791" s="7" t="str">
        <f>IFERROR(VLOOKUP(B791,'Master data'!$A$1:$F$1000,3,FALSE),"")</f>
        <v/>
      </c>
      <c r="G791" s="100"/>
      <c r="H791" s="100"/>
      <c r="I791" s="16"/>
      <c r="J791" s="16"/>
      <c r="K791" s="16" t="b">
        <v>0</v>
      </c>
      <c r="L791" s="16" t="b">
        <v>0</v>
      </c>
    </row>
    <row r="792">
      <c r="A792" s="107"/>
      <c r="B792" s="16"/>
      <c r="C792" s="7" t="str">
        <f>IFERROR(VLOOKUP(B792,'Master data'!$A$1:$F$1000,2,FALSE),"")</f>
        <v/>
      </c>
      <c r="D792" s="7" t="str">
        <f>IFERROR(VLOOKUP(B792,'Master data'!$A$1:$F$1000,6,FALSE),"")</f>
        <v/>
      </c>
      <c r="F792" s="7" t="str">
        <f>IFERROR(VLOOKUP(B792,'Master data'!$A$1:$F$1000,3,FALSE),"")</f>
        <v/>
      </c>
      <c r="G792" s="100"/>
      <c r="H792" s="100"/>
      <c r="I792" s="16"/>
      <c r="J792" s="16"/>
      <c r="K792" s="16" t="b">
        <v>0</v>
      </c>
      <c r="L792" s="16" t="b">
        <v>0</v>
      </c>
    </row>
    <row r="793">
      <c r="A793" s="107"/>
      <c r="B793" s="16"/>
      <c r="C793" s="7" t="str">
        <f>IFERROR(VLOOKUP(B793,'Master data'!$A$1:$F$1000,2,FALSE),"")</f>
        <v/>
      </c>
      <c r="D793" s="7" t="str">
        <f>IFERROR(VLOOKUP(B793,'Master data'!$A$1:$F$1000,6,FALSE),"")</f>
        <v/>
      </c>
      <c r="F793" s="7" t="str">
        <f>IFERROR(VLOOKUP(B793,'Master data'!$A$1:$F$1000,3,FALSE),"")</f>
        <v/>
      </c>
      <c r="G793" s="100"/>
      <c r="H793" s="100"/>
      <c r="I793" s="16"/>
      <c r="J793" s="16"/>
      <c r="K793" s="16" t="b">
        <v>0</v>
      </c>
      <c r="L793" s="16" t="b">
        <v>0</v>
      </c>
    </row>
    <row r="794">
      <c r="A794" s="107"/>
      <c r="B794" s="16"/>
      <c r="C794" s="7" t="str">
        <f>IFERROR(VLOOKUP(B794,'Master data'!$A$1:$F$1000,2,FALSE),"")</f>
        <v/>
      </c>
      <c r="D794" s="7" t="str">
        <f>IFERROR(VLOOKUP(B794,'Master data'!$A$1:$F$1000,6,FALSE),"")</f>
        <v/>
      </c>
      <c r="F794" s="7" t="str">
        <f>IFERROR(VLOOKUP(B794,'Master data'!$A$1:$F$1000,3,FALSE),"")</f>
        <v/>
      </c>
      <c r="G794" s="100"/>
      <c r="H794" s="100"/>
      <c r="I794" s="16"/>
      <c r="J794" s="16"/>
      <c r="K794" s="16" t="b">
        <v>0</v>
      </c>
      <c r="L794" s="16" t="b">
        <v>0</v>
      </c>
    </row>
    <row r="795">
      <c r="A795" s="107"/>
      <c r="B795" s="16"/>
      <c r="C795" s="7" t="str">
        <f>IFERROR(VLOOKUP(B795,'Master data'!$A$1:$F$1000,2,FALSE),"")</f>
        <v/>
      </c>
      <c r="D795" s="7" t="str">
        <f>IFERROR(VLOOKUP(B795,'Master data'!$A$1:$F$1000,6,FALSE),"")</f>
        <v/>
      </c>
      <c r="F795" s="7" t="str">
        <f>IFERROR(VLOOKUP(B795,'Master data'!$A$1:$F$1000,3,FALSE),"")</f>
        <v/>
      </c>
      <c r="G795" s="100"/>
      <c r="H795" s="100"/>
      <c r="I795" s="16"/>
      <c r="J795" s="16"/>
      <c r="K795" s="16" t="b">
        <v>0</v>
      </c>
      <c r="L795" s="16" t="b">
        <v>0</v>
      </c>
    </row>
    <row r="796">
      <c r="A796" s="107"/>
      <c r="B796" s="16"/>
      <c r="C796" s="7" t="str">
        <f>IFERROR(VLOOKUP(B796,'Master data'!$A$1:$F$1000,2,FALSE),"")</f>
        <v/>
      </c>
      <c r="D796" s="7" t="str">
        <f>IFERROR(VLOOKUP(B796,'Master data'!$A$1:$F$1000,6,FALSE),"")</f>
        <v/>
      </c>
      <c r="F796" s="7" t="str">
        <f>IFERROR(VLOOKUP(B796,'Master data'!$A$1:$F$1000,3,FALSE),"")</f>
        <v/>
      </c>
      <c r="G796" s="100"/>
      <c r="H796" s="100"/>
      <c r="I796" s="16"/>
      <c r="J796" s="16"/>
      <c r="K796" s="16" t="b">
        <v>0</v>
      </c>
      <c r="L796" s="16" t="b">
        <v>0</v>
      </c>
    </row>
    <row r="797">
      <c r="A797" s="107"/>
      <c r="B797" s="16"/>
      <c r="C797" s="7" t="str">
        <f>IFERROR(VLOOKUP(B797,'Master data'!$A$1:$F$1000,2,FALSE),"")</f>
        <v/>
      </c>
      <c r="D797" s="7" t="str">
        <f>IFERROR(VLOOKUP(B797,'Master data'!$A$1:$F$1000,6,FALSE),"")</f>
        <v/>
      </c>
      <c r="F797" s="7" t="str">
        <f>IFERROR(VLOOKUP(B797,'Master data'!$A$1:$F$1000,3,FALSE),"")</f>
        <v/>
      </c>
      <c r="G797" s="100"/>
      <c r="H797" s="100"/>
      <c r="I797" s="16"/>
      <c r="J797" s="16"/>
      <c r="K797" s="16" t="b">
        <v>0</v>
      </c>
      <c r="L797" s="16" t="b">
        <v>0</v>
      </c>
    </row>
    <row r="798">
      <c r="A798" s="107"/>
      <c r="B798" s="16"/>
      <c r="C798" s="7" t="str">
        <f>IFERROR(VLOOKUP(B798,'Master data'!$A$1:$F$1000,2,FALSE),"")</f>
        <v/>
      </c>
      <c r="D798" s="7" t="str">
        <f>IFERROR(VLOOKUP(B798,'Master data'!$A$1:$F$1000,6,FALSE),"")</f>
        <v/>
      </c>
      <c r="F798" s="7" t="str">
        <f>IFERROR(VLOOKUP(B798,'Master data'!$A$1:$F$1000,3,FALSE),"")</f>
        <v/>
      </c>
      <c r="G798" s="100"/>
      <c r="H798" s="100"/>
      <c r="I798" s="16"/>
      <c r="J798" s="16"/>
      <c r="K798" s="16" t="b">
        <v>0</v>
      </c>
      <c r="L798" s="16" t="b">
        <v>0</v>
      </c>
    </row>
    <row r="799">
      <c r="A799" s="107"/>
      <c r="B799" s="16"/>
      <c r="C799" s="7" t="str">
        <f>IFERROR(VLOOKUP(B799,'Master data'!$A$1:$F$1000,2,FALSE),"")</f>
        <v/>
      </c>
      <c r="D799" s="7" t="str">
        <f>IFERROR(VLOOKUP(B799,'Master data'!$A$1:$F$1000,6,FALSE),"")</f>
        <v/>
      </c>
      <c r="F799" s="7" t="str">
        <f>IFERROR(VLOOKUP(B799,'Master data'!$A$1:$F$1000,3,FALSE),"")</f>
        <v/>
      </c>
      <c r="G799" s="100"/>
      <c r="H799" s="100"/>
      <c r="I799" s="16"/>
      <c r="J799" s="16"/>
      <c r="K799" s="16" t="b">
        <v>0</v>
      </c>
      <c r="L799" s="16" t="b">
        <v>0</v>
      </c>
    </row>
    <row r="800">
      <c r="A800" s="107"/>
      <c r="B800" s="16"/>
      <c r="C800" s="7" t="str">
        <f>IFERROR(VLOOKUP(B800,'Master data'!$A$1:$F$1000,2,FALSE),"")</f>
        <v/>
      </c>
      <c r="D800" s="7" t="str">
        <f>IFERROR(VLOOKUP(B800,'Master data'!$A$1:$F$1000,6,FALSE),"")</f>
        <v/>
      </c>
      <c r="F800" s="7" t="str">
        <f>IFERROR(VLOOKUP(B800,'Master data'!$A$1:$F$1000,3,FALSE),"")</f>
        <v/>
      </c>
      <c r="G800" s="100"/>
      <c r="H800" s="100"/>
      <c r="I800" s="16"/>
      <c r="J800" s="16"/>
      <c r="K800" s="16" t="b">
        <v>0</v>
      </c>
      <c r="L800" s="16" t="b">
        <v>0</v>
      </c>
    </row>
    <row r="801">
      <c r="A801" s="107"/>
      <c r="B801" s="16"/>
      <c r="C801" s="7" t="str">
        <f>IFERROR(VLOOKUP(B801,'Master data'!$A$1:$F$1000,2,FALSE),"")</f>
        <v/>
      </c>
      <c r="D801" s="7" t="str">
        <f>IFERROR(VLOOKUP(B801,'Master data'!$A$1:$F$1000,6,FALSE),"")</f>
        <v/>
      </c>
      <c r="F801" s="7" t="str">
        <f>IFERROR(VLOOKUP(B801,'Master data'!$A$1:$F$1000,3,FALSE),"")</f>
        <v/>
      </c>
      <c r="G801" s="100"/>
      <c r="H801" s="100"/>
      <c r="I801" s="16"/>
      <c r="J801" s="16"/>
      <c r="K801" s="16" t="b">
        <v>0</v>
      </c>
      <c r="L801" s="16" t="b">
        <v>0</v>
      </c>
    </row>
    <row r="802">
      <c r="A802" s="107"/>
      <c r="B802" s="16"/>
      <c r="C802" s="7" t="str">
        <f>IFERROR(VLOOKUP(B802,'Master data'!$A$1:$F$1000,2,FALSE),"")</f>
        <v/>
      </c>
      <c r="D802" s="7" t="str">
        <f>IFERROR(VLOOKUP(B802,'Master data'!$A$1:$F$1000,6,FALSE),"")</f>
        <v/>
      </c>
      <c r="F802" s="7" t="str">
        <f>IFERROR(VLOOKUP(B802,'Master data'!$A$1:$F$1000,3,FALSE),"")</f>
        <v/>
      </c>
      <c r="G802" s="100"/>
      <c r="H802" s="100"/>
      <c r="I802" s="16"/>
      <c r="J802" s="16"/>
      <c r="K802" s="16" t="b">
        <v>0</v>
      </c>
      <c r="L802" s="16" t="b">
        <v>0</v>
      </c>
    </row>
    <row r="803">
      <c r="A803" s="107"/>
      <c r="B803" s="16"/>
      <c r="C803" s="7" t="str">
        <f>IFERROR(VLOOKUP(B803,'Master data'!$A$1:$F$1000,2,FALSE),"")</f>
        <v/>
      </c>
      <c r="D803" s="7" t="str">
        <f>IFERROR(VLOOKUP(B803,'Master data'!$A$1:$F$1000,6,FALSE),"")</f>
        <v/>
      </c>
      <c r="F803" s="7" t="str">
        <f>IFERROR(VLOOKUP(B803,'Master data'!$A$1:$F$1000,3,FALSE),"")</f>
        <v/>
      </c>
      <c r="G803" s="100"/>
      <c r="H803" s="100"/>
      <c r="I803" s="16"/>
      <c r="J803" s="16"/>
      <c r="K803" s="16" t="b">
        <v>0</v>
      </c>
      <c r="L803" s="16" t="b">
        <v>0</v>
      </c>
    </row>
    <row r="804">
      <c r="A804" s="107"/>
      <c r="B804" s="16"/>
      <c r="C804" s="7" t="str">
        <f>IFERROR(VLOOKUP(B804,'Master data'!$A$1:$F$1000,2,FALSE),"")</f>
        <v/>
      </c>
      <c r="D804" s="7" t="str">
        <f>IFERROR(VLOOKUP(B804,'Master data'!$A$1:$F$1000,6,FALSE),"")</f>
        <v/>
      </c>
      <c r="F804" s="7" t="str">
        <f>IFERROR(VLOOKUP(B804,'Master data'!$A$1:$F$1000,3,FALSE),"")</f>
        <v/>
      </c>
      <c r="G804" s="100"/>
      <c r="H804" s="100"/>
      <c r="I804" s="16"/>
      <c r="J804" s="16"/>
      <c r="K804" s="16" t="b">
        <v>0</v>
      </c>
      <c r="L804" s="16" t="b">
        <v>0</v>
      </c>
    </row>
    <row r="805">
      <c r="A805" s="107"/>
      <c r="B805" s="16"/>
      <c r="C805" s="7" t="str">
        <f>IFERROR(VLOOKUP(B805,'Master data'!$A$1:$F$1000,2,FALSE),"")</f>
        <v/>
      </c>
      <c r="D805" s="7" t="str">
        <f>IFERROR(VLOOKUP(B805,'Master data'!$A$1:$F$1000,6,FALSE),"")</f>
        <v/>
      </c>
      <c r="F805" s="7" t="str">
        <f>IFERROR(VLOOKUP(B805,'Master data'!$A$1:$F$1000,3,FALSE),"")</f>
        <v/>
      </c>
      <c r="G805" s="100"/>
      <c r="H805" s="100"/>
      <c r="I805" s="16"/>
      <c r="J805" s="16"/>
      <c r="K805" s="16" t="b">
        <v>0</v>
      </c>
      <c r="L805" s="16" t="b">
        <v>0</v>
      </c>
    </row>
    <row r="806">
      <c r="A806" s="107"/>
      <c r="B806" s="16"/>
      <c r="C806" s="7" t="str">
        <f>IFERROR(VLOOKUP(B806,'Master data'!$A$1:$F$1000,2,FALSE),"")</f>
        <v/>
      </c>
      <c r="D806" s="7" t="str">
        <f>IFERROR(VLOOKUP(B806,'Master data'!$A$1:$F$1000,6,FALSE),"")</f>
        <v/>
      </c>
      <c r="F806" s="7" t="str">
        <f>IFERROR(VLOOKUP(B806,'Master data'!$A$1:$F$1000,3,FALSE),"")</f>
        <v/>
      </c>
      <c r="G806" s="100"/>
      <c r="H806" s="100"/>
      <c r="I806" s="16"/>
      <c r="J806" s="16"/>
      <c r="K806" s="16" t="b">
        <v>0</v>
      </c>
      <c r="L806" s="16" t="b">
        <v>0</v>
      </c>
    </row>
    <row r="807">
      <c r="A807" s="107"/>
      <c r="B807" s="16"/>
      <c r="C807" s="7" t="str">
        <f>IFERROR(VLOOKUP(B807,'Master data'!$A$1:$F$1000,2,FALSE),"")</f>
        <v/>
      </c>
      <c r="D807" s="7" t="str">
        <f>IFERROR(VLOOKUP(B807,'Master data'!$A$1:$F$1000,6,FALSE),"")</f>
        <v/>
      </c>
      <c r="F807" s="7" t="str">
        <f>IFERROR(VLOOKUP(B807,'Master data'!$A$1:$F$1000,3,FALSE),"")</f>
        <v/>
      </c>
      <c r="G807" s="100"/>
      <c r="H807" s="100"/>
      <c r="I807" s="16"/>
      <c r="J807" s="16"/>
      <c r="K807" s="16" t="b">
        <v>0</v>
      </c>
      <c r="L807" s="16" t="b">
        <v>0</v>
      </c>
    </row>
    <row r="808">
      <c r="A808" s="107"/>
      <c r="B808" s="16"/>
      <c r="C808" s="7" t="str">
        <f>IFERROR(VLOOKUP(B808,'Master data'!$A$1:$F$1000,2,FALSE),"")</f>
        <v/>
      </c>
      <c r="D808" s="7" t="str">
        <f>IFERROR(VLOOKUP(B808,'Master data'!$A$1:$F$1000,6,FALSE),"")</f>
        <v/>
      </c>
      <c r="F808" s="7" t="str">
        <f>IFERROR(VLOOKUP(B808,'Master data'!$A$1:$F$1000,3,FALSE),"")</f>
        <v/>
      </c>
      <c r="G808" s="100"/>
      <c r="H808" s="100"/>
      <c r="I808" s="16"/>
      <c r="J808" s="16"/>
      <c r="K808" s="16" t="b">
        <v>0</v>
      </c>
      <c r="L808" s="16" t="b">
        <v>0</v>
      </c>
    </row>
    <row r="809">
      <c r="A809" s="107"/>
      <c r="B809" s="16"/>
      <c r="C809" s="7" t="str">
        <f>IFERROR(VLOOKUP(B809,'Master data'!$A$1:$F$1000,2,FALSE),"")</f>
        <v/>
      </c>
      <c r="D809" s="7" t="str">
        <f>IFERROR(VLOOKUP(B809,'Master data'!$A$1:$F$1000,6,FALSE),"")</f>
        <v/>
      </c>
      <c r="F809" s="7" t="str">
        <f>IFERROR(VLOOKUP(B809,'Master data'!$A$1:$F$1000,3,FALSE),"")</f>
        <v/>
      </c>
      <c r="G809" s="100"/>
      <c r="H809" s="100"/>
      <c r="I809" s="16"/>
      <c r="J809" s="16"/>
      <c r="K809" s="16" t="b">
        <v>0</v>
      </c>
      <c r="L809" s="16" t="b">
        <v>0</v>
      </c>
    </row>
    <row r="810">
      <c r="A810" s="107"/>
      <c r="B810" s="16"/>
      <c r="C810" s="7" t="str">
        <f>IFERROR(VLOOKUP(B810,'Master data'!$A$1:$F$1000,2,FALSE),"")</f>
        <v/>
      </c>
      <c r="D810" s="7" t="str">
        <f>IFERROR(VLOOKUP(B810,'Master data'!$A$1:$F$1000,6,FALSE),"")</f>
        <v/>
      </c>
      <c r="F810" s="7" t="str">
        <f>IFERROR(VLOOKUP(B810,'Master data'!$A$1:$F$1000,3,FALSE),"")</f>
        <v/>
      </c>
      <c r="G810" s="100"/>
      <c r="H810" s="100"/>
      <c r="I810" s="16"/>
      <c r="J810" s="16"/>
      <c r="K810" s="16" t="b">
        <v>0</v>
      </c>
      <c r="L810" s="16" t="b">
        <v>0</v>
      </c>
    </row>
    <row r="811">
      <c r="A811" s="107"/>
      <c r="B811" s="16"/>
      <c r="C811" s="7" t="str">
        <f>IFERROR(VLOOKUP(B811,'Master data'!$A$1:$F$1000,2,FALSE),"")</f>
        <v/>
      </c>
      <c r="D811" s="7" t="str">
        <f>IFERROR(VLOOKUP(B811,'Master data'!$A$1:$F$1000,6,FALSE),"")</f>
        <v/>
      </c>
      <c r="F811" s="7" t="str">
        <f>IFERROR(VLOOKUP(B811,'Master data'!$A$1:$F$1000,3,FALSE),"")</f>
        <v/>
      </c>
      <c r="G811" s="100"/>
      <c r="H811" s="100"/>
      <c r="I811" s="16"/>
      <c r="J811" s="16"/>
      <c r="K811" s="16" t="b">
        <v>0</v>
      </c>
      <c r="L811" s="16" t="b">
        <v>0</v>
      </c>
    </row>
    <row r="812">
      <c r="A812" s="107"/>
      <c r="B812" s="16"/>
      <c r="C812" s="7" t="str">
        <f>IFERROR(VLOOKUP(B812,'Master data'!$A$1:$F$1000,2,FALSE),"")</f>
        <v/>
      </c>
      <c r="D812" s="7" t="str">
        <f>IFERROR(VLOOKUP(B812,'Master data'!$A$1:$F$1000,6,FALSE),"")</f>
        <v/>
      </c>
      <c r="F812" s="7" t="str">
        <f>IFERROR(VLOOKUP(B812,'Master data'!$A$1:$F$1000,3,FALSE),"")</f>
        <v/>
      </c>
      <c r="G812" s="100"/>
      <c r="H812" s="100"/>
      <c r="I812" s="16"/>
      <c r="J812" s="16"/>
      <c r="K812" s="16" t="b">
        <v>0</v>
      </c>
      <c r="L812" s="16" t="b">
        <v>0</v>
      </c>
    </row>
    <row r="813">
      <c r="A813" s="107"/>
      <c r="B813" s="16"/>
      <c r="C813" s="7" t="str">
        <f>IFERROR(VLOOKUP(B813,'Master data'!$A$1:$F$1000,2,FALSE),"")</f>
        <v/>
      </c>
      <c r="D813" s="7" t="str">
        <f>IFERROR(VLOOKUP(B813,'Master data'!$A$1:$F$1000,6,FALSE),"")</f>
        <v/>
      </c>
      <c r="F813" s="7" t="str">
        <f>IFERROR(VLOOKUP(B813,'Master data'!$A$1:$F$1000,3,FALSE),"")</f>
        <v/>
      </c>
      <c r="G813" s="100"/>
      <c r="H813" s="100"/>
      <c r="I813" s="16"/>
      <c r="J813" s="16"/>
      <c r="K813" s="16" t="b">
        <v>0</v>
      </c>
      <c r="L813" s="16" t="b">
        <v>0</v>
      </c>
    </row>
    <row r="814">
      <c r="A814" s="107"/>
      <c r="B814" s="16"/>
      <c r="C814" s="7" t="str">
        <f>IFERROR(VLOOKUP(B814,'Master data'!$A$1:$F$1000,2,FALSE),"")</f>
        <v/>
      </c>
      <c r="D814" s="7" t="str">
        <f>IFERROR(VLOOKUP(B814,'Master data'!$A$1:$F$1000,6,FALSE),"")</f>
        <v/>
      </c>
      <c r="F814" s="7" t="str">
        <f>IFERROR(VLOOKUP(B814,'Master data'!$A$1:$F$1000,3,FALSE),"")</f>
        <v/>
      </c>
      <c r="G814" s="100"/>
      <c r="H814" s="100"/>
      <c r="I814" s="16"/>
      <c r="J814" s="16"/>
      <c r="K814" s="16" t="b">
        <v>0</v>
      </c>
      <c r="L814" s="16" t="b">
        <v>0</v>
      </c>
    </row>
    <row r="815">
      <c r="A815" s="107"/>
      <c r="B815" s="16"/>
      <c r="C815" s="7" t="str">
        <f>IFERROR(VLOOKUP(B815,'Master data'!$A$1:$F$1000,2,FALSE),"")</f>
        <v/>
      </c>
      <c r="D815" s="7" t="str">
        <f>IFERROR(VLOOKUP(B815,'Master data'!$A$1:$F$1000,6,FALSE),"")</f>
        <v/>
      </c>
      <c r="F815" s="7" t="str">
        <f>IFERROR(VLOOKUP(B815,'Master data'!$A$1:$F$1000,3,FALSE),"")</f>
        <v/>
      </c>
      <c r="G815" s="100"/>
      <c r="H815" s="100"/>
      <c r="I815" s="16"/>
      <c r="J815" s="16"/>
      <c r="K815" s="16" t="b">
        <v>0</v>
      </c>
      <c r="L815" s="16" t="b">
        <v>0</v>
      </c>
    </row>
    <row r="816">
      <c r="A816" s="107"/>
      <c r="B816" s="16"/>
      <c r="C816" s="7" t="str">
        <f>IFERROR(VLOOKUP(B816,'Master data'!$A$1:$F$1000,2,FALSE),"")</f>
        <v/>
      </c>
      <c r="D816" s="7" t="str">
        <f>IFERROR(VLOOKUP(B816,'Master data'!$A$1:$F$1000,6,FALSE),"")</f>
        <v/>
      </c>
      <c r="F816" s="7" t="str">
        <f>IFERROR(VLOOKUP(B816,'Master data'!$A$1:$F$1000,3,FALSE),"")</f>
        <v/>
      </c>
      <c r="G816" s="100"/>
      <c r="H816" s="100"/>
      <c r="I816" s="16"/>
      <c r="J816" s="16"/>
      <c r="K816" s="16" t="b">
        <v>0</v>
      </c>
      <c r="L816" s="16" t="b">
        <v>0</v>
      </c>
    </row>
    <row r="817">
      <c r="A817" s="107"/>
      <c r="B817" s="16"/>
      <c r="C817" s="7" t="str">
        <f>IFERROR(VLOOKUP(B817,'Master data'!$A$1:$F$1000,2,FALSE),"")</f>
        <v/>
      </c>
      <c r="D817" s="7" t="str">
        <f>IFERROR(VLOOKUP(B817,'Master data'!$A$1:$F$1000,6,FALSE),"")</f>
        <v/>
      </c>
      <c r="F817" s="7" t="str">
        <f>IFERROR(VLOOKUP(B817,'Master data'!$A$1:$F$1000,3,FALSE),"")</f>
        <v/>
      </c>
      <c r="G817" s="100"/>
      <c r="H817" s="100"/>
      <c r="I817" s="16"/>
      <c r="J817" s="16"/>
      <c r="K817" s="16" t="b">
        <v>0</v>
      </c>
      <c r="L817" s="16" t="b">
        <v>0</v>
      </c>
    </row>
    <row r="818">
      <c r="A818" s="107"/>
      <c r="B818" s="16"/>
      <c r="C818" s="7" t="str">
        <f>IFERROR(VLOOKUP(B818,'Master data'!$A$1:$F$1000,2,FALSE),"")</f>
        <v/>
      </c>
      <c r="D818" s="7" t="str">
        <f>IFERROR(VLOOKUP(B818,'Master data'!$A$1:$F$1000,6,FALSE),"")</f>
        <v/>
      </c>
      <c r="F818" s="7" t="str">
        <f>IFERROR(VLOOKUP(B818,'Master data'!$A$1:$F$1000,3,FALSE),"")</f>
        <v/>
      </c>
      <c r="G818" s="100"/>
      <c r="H818" s="100"/>
      <c r="I818" s="16"/>
      <c r="J818" s="16"/>
      <c r="K818" s="16" t="b">
        <v>0</v>
      </c>
      <c r="L818" s="16" t="b">
        <v>0</v>
      </c>
    </row>
    <row r="819">
      <c r="A819" s="107"/>
      <c r="B819" s="16"/>
      <c r="C819" s="7" t="str">
        <f>IFERROR(VLOOKUP(B819,'Master data'!$A$1:$F$1000,2,FALSE),"")</f>
        <v/>
      </c>
      <c r="D819" s="7" t="str">
        <f>IFERROR(VLOOKUP(B819,'Master data'!$A$1:$F$1000,6,FALSE),"")</f>
        <v/>
      </c>
      <c r="F819" s="7" t="str">
        <f>IFERROR(VLOOKUP(B819,'Master data'!$A$1:$F$1000,3,FALSE),"")</f>
        <v/>
      </c>
      <c r="G819" s="100"/>
      <c r="H819" s="100"/>
      <c r="I819" s="16"/>
      <c r="J819" s="16"/>
      <c r="K819" s="16" t="b">
        <v>0</v>
      </c>
      <c r="L819" s="16" t="b">
        <v>0</v>
      </c>
    </row>
    <row r="820">
      <c r="A820" s="107"/>
      <c r="B820" s="16"/>
      <c r="C820" s="7" t="str">
        <f>IFERROR(VLOOKUP(B820,'Master data'!$A$1:$F$1000,2,FALSE),"")</f>
        <v/>
      </c>
      <c r="D820" s="7" t="str">
        <f>IFERROR(VLOOKUP(B820,'Master data'!$A$1:$F$1000,6,FALSE),"")</f>
        <v/>
      </c>
      <c r="F820" s="7" t="str">
        <f>IFERROR(VLOOKUP(B820,'Master data'!$A$1:$F$1000,3,FALSE),"")</f>
        <v/>
      </c>
      <c r="G820" s="100"/>
      <c r="H820" s="100"/>
      <c r="I820" s="16"/>
      <c r="J820" s="16"/>
      <c r="K820" s="16" t="b">
        <v>0</v>
      </c>
      <c r="L820" s="16" t="b">
        <v>0</v>
      </c>
    </row>
    <row r="821">
      <c r="A821" s="107"/>
      <c r="B821" s="16"/>
      <c r="C821" s="7" t="str">
        <f>IFERROR(VLOOKUP(B821,'Master data'!$A$1:$F$1000,2,FALSE),"")</f>
        <v/>
      </c>
      <c r="D821" s="7" t="str">
        <f>IFERROR(VLOOKUP(B821,'Master data'!$A$1:$F$1000,6,FALSE),"")</f>
        <v/>
      </c>
      <c r="F821" s="7" t="str">
        <f>IFERROR(VLOOKUP(B821,'Master data'!$A$1:$F$1000,3,FALSE),"")</f>
        <v/>
      </c>
      <c r="G821" s="100"/>
      <c r="H821" s="100"/>
      <c r="I821" s="16"/>
      <c r="J821" s="16"/>
      <c r="K821" s="16" t="b">
        <v>0</v>
      </c>
      <c r="L821" s="16" t="b">
        <v>0</v>
      </c>
    </row>
    <row r="822">
      <c r="A822" s="107"/>
      <c r="B822" s="16"/>
      <c r="C822" s="7" t="str">
        <f>IFERROR(VLOOKUP(B822,'Master data'!$A$1:$F$1000,2,FALSE),"")</f>
        <v/>
      </c>
      <c r="D822" s="7" t="str">
        <f>IFERROR(VLOOKUP(B822,'Master data'!$A$1:$F$1000,6,FALSE),"")</f>
        <v/>
      </c>
      <c r="F822" s="7" t="str">
        <f>IFERROR(VLOOKUP(B822,'Master data'!$A$1:$F$1000,3,FALSE),"")</f>
        <v/>
      </c>
      <c r="G822" s="100"/>
      <c r="H822" s="100"/>
      <c r="I822" s="16"/>
      <c r="J822" s="16"/>
      <c r="K822" s="16" t="b">
        <v>0</v>
      </c>
      <c r="L822" s="16" t="b">
        <v>0</v>
      </c>
    </row>
    <row r="823">
      <c r="A823" s="107"/>
      <c r="B823" s="16"/>
      <c r="C823" s="7" t="str">
        <f>IFERROR(VLOOKUP(B823,'Master data'!$A$1:$F$1000,2,FALSE),"")</f>
        <v/>
      </c>
      <c r="D823" s="7" t="str">
        <f>IFERROR(VLOOKUP(B823,'Master data'!$A$1:$F$1000,6,FALSE),"")</f>
        <v/>
      </c>
      <c r="F823" s="7" t="str">
        <f>IFERROR(VLOOKUP(B823,'Master data'!$A$1:$F$1000,3,FALSE),"")</f>
        <v/>
      </c>
      <c r="G823" s="100"/>
      <c r="H823" s="100"/>
      <c r="I823" s="16"/>
      <c r="J823" s="16"/>
      <c r="K823" s="16" t="b">
        <v>0</v>
      </c>
      <c r="L823" s="16" t="b">
        <v>0</v>
      </c>
    </row>
    <row r="824">
      <c r="A824" s="107"/>
      <c r="B824" s="16"/>
      <c r="C824" s="7" t="str">
        <f>IFERROR(VLOOKUP(B824,'Master data'!$A$1:$F$1000,2,FALSE),"")</f>
        <v/>
      </c>
      <c r="D824" s="7" t="str">
        <f>IFERROR(VLOOKUP(B824,'Master data'!$A$1:$F$1000,6,FALSE),"")</f>
        <v/>
      </c>
      <c r="F824" s="7" t="str">
        <f>IFERROR(VLOOKUP(B824,'Master data'!$A$1:$F$1000,3,FALSE),"")</f>
        <v/>
      </c>
      <c r="G824" s="100"/>
      <c r="H824" s="100"/>
      <c r="I824" s="16"/>
      <c r="J824" s="16"/>
      <c r="K824" s="16" t="b">
        <v>0</v>
      </c>
      <c r="L824" s="16" t="b">
        <v>0</v>
      </c>
    </row>
    <row r="825">
      <c r="A825" s="107"/>
      <c r="B825" s="16"/>
      <c r="C825" s="7" t="str">
        <f>IFERROR(VLOOKUP(B825,'Master data'!$A$1:$F$1000,2,FALSE),"")</f>
        <v/>
      </c>
      <c r="D825" s="7" t="str">
        <f>IFERROR(VLOOKUP(B825,'Master data'!$A$1:$F$1000,6,FALSE),"")</f>
        <v/>
      </c>
      <c r="F825" s="7" t="str">
        <f>IFERROR(VLOOKUP(B825,'Master data'!$A$1:$F$1000,3,FALSE),"")</f>
        <v/>
      </c>
      <c r="G825" s="100"/>
      <c r="H825" s="100"/>
      <c r="I825" s="16"/>
      <c r="J825" s="16"/>
      <c r="K825" s="16" t="b">
        <v>0</v>
      </c>
      <c r="L825" s="16" t="b">
        <v>0</v>
      </c>
    </row>
    <row r="826">
      <c r="A826" s="107"/>
      <c r="B826" s="16"/>
      <c r="C826" s="7" t="str">
        <f>IFERROR(VLOOKUP(B826,'Master data'!$A$1:$F$1000,2,FALSE),"")</f>
        <v/>
      </c>
      <c r="D826" s="7" t="str">
        <f>IFERROR(VLOOKUP(B826,'Master data'!$A$1:$F$1000,6,FALSE),"")</f>
        <v/>
      </c>
      <c r="F826" s="7" t="str">
        <f>IFERROR(VLOOKUP(B826,'Master data'!$A$1:$F$1000,3,FALSE),"")</f>
        <v/>
      </c>
      <c r="G826" s="100"/>
      <c r="H826" s="100"/>
      <c r="I826" s="16"/>
      <c r="J826" s="16"/>
      <c r="K826" s="16" t="b">
        <v>0</v>
      </c>
      <c r="L826" s="16" t="b">
        <v>0</v>
      </c>
    </row>
    <row r="827">
      <c r="A827" s="107"/>
      <c r="B827" s="16"/>
      <c r="C827" s="7" t="str">
        <f>IFERROR(VLOOKUP(B827,'Master data'!$A$1:$F$1000,2,FALSE),"")</f>
        <v/>
      </c>
      <c r="D827" s="7" t="str">
        <f>IFERROR(VLOOKUP(B827,'Master data'!$A$1:$F$1000,6,FALSE),"")</f>
        <v/>
      </c>
      <c r="F827" s="7" t="str">
        <f>IFERROR(VLOOKUP(B827,'Master data'!$A$1:$F$1000,3,FALSE),"")</f>
        <v/>
      </c>
      <c r="G827" s="100"/>
      <c r="H827" s="100"/>
      <c r="I827" s="16"/>
      <c r="J827" s="16"/>
      <c r="K827" s="16" t="b">
        <v>0</v>
      </c>
      <c r="L827" s="16" t="b">
        <v>0</v>
      </c>
    </row>
    <row r="828">
      <c r="A828" s="107"/>
      <c r="B828" s="16"/>
      <c r="C828" s="7" t="str">
        <f>IFERROR(VLOOKUP(B828,'Master data'!$A$1:$F$1000,2,FALSE),"")</f>
        <v/>
      </c>
      <c r="D828" s="7" t="str">
        <f>IFERROR(VLOOKUP(B828,'Master data'!$A$1:$F$1000,6,FALSE),"")</f>
        <v/>
      </c>
      <c r="F828" s="7" t="str">
        <f>IFERROR(VLOOKUP(B828,'Master data'!$A$1:$F$1000,3,FALSE),"")</f>
        <v/>
      </c>
      <c r="G828" s="100"/>
      <c r="H828" s="100"/>
      <c r="I828" s="16"/>
      <c r="J828" s="16"/>
      <c r="K828" s="16" t="b">
        <v>0</v>
      </c>
      <c r="L828" s="16" t="b">
        <v>0</v>
      </c>
    </row>
    <row r="829">
      <c r="A829" s="107"/>
      <c r="B829" s="16"/>
      <c r="C829" s="7" t="str">
        <f>IFERROR(VLOOKUP(B829,'Master data'!$A$1:$F$1000,2,FALSE),"")</f>
        <v/>
      </c>
      <c r="D829" s="7" t="str">
        <f>IFERROR(VLOOKUP(B829,'Master data'!$A$1:$F$1000,6,FALSE),"")</f>
        <v/>
      </c>
      <c r="F829" s="7" t="str">
        <f>IFERROR(VLOOKUP(B829,'Master data'!$A$1:$F$1000,3,FALSE),"")</f>
        <v/>
      </c>
      <c r="G829" s="100"/>
      <c r="H829" s="100"/>
      <c r="I829" s="16"/>
      <c r="J829" s="16"/>
      <c r="K829" s="16" t="b">
        <v>0</v>
      </c>
      <c r="L829" s="16" t="b">
        <v>0</v>
      </c>
    </row>
    <row r="830">
      <c r="A830" s="107"/>
      <c r="B830" s="16"/>
      <c r="C830" s="7" t="str">
        <f>IFERROR(VLOOKUP(B830,'Master data'!$A$1:$F$1000,2,FALSE),"")</f>
        <v/>
      </c>
      <c r="D830" s="7" t="str">
        <f>IFERROR(VLOOKUP(B830,'Master data'!$A$1:$F$1000,6,FALSE),"")</f>
        <v/>
      </c>
      <c r="F830" s="7" t="str">
        <f>IFERROR(VLOOKUP(B830,'Master data'!$A$1:$F$1000,3,FALSE),"")</f>
        <v/>
      </c>
      <c r="G830" s="100"/>
      <c r="H830" s="100"/>
      <c r="I830" s="16"/>
      <c r="J830" s="16"/>
      <c r="K830" s="16" t="b">
        <v>0</v>
      </c>
      <c r="L830" s="16" t="b">
        <v>0</v>
      </c>
    </row>
    <row r="831">
      <c r="A831" s="107"/>
      <c r="B831" s="16"/>
      <c r="C831" s="7" t="str">
        <f>IFERROR(VLOOKUP(B831,'Master data'!$A$1:$F$1000,2,FALSE),"")</f>
        <v/>
      </c>
      <c r="D831" s="7" t="str">
        <f>IFERROR(VLOOKUP(B831,'Master data'!$A$1:$F$1000,6,FALSE),"")</f>
        <v/>
      </c>
      <c r="F831" s="7" t="str">
        <f>IFERROR(VLOOKUP(B831,'Master data'!$A$1:$F$1000,3,FALSE),"")</f>
        <v/>
      </c>
      <c r="G831" s="100"/>
      <c r="H831" s="100"/>
      <c r="I831" s="16"/>
      <c r="J831" s="16"/>
      <c r="K831" s="16" t="b">
        <v>0</v>
      </c>
      <c r="L831" s="16" t="b">
        <v>0</v>
      </c>
    </row>
    <row r="832">
      <c r="A832" s="107"/>
      <c r="B832" s="16"/>
      <c r="C832" s="7" t="str">
        <f>IFERROR(VLOOKUP(B832,'Master data'!$A$1:$F$1000,2,FALSE),"")</f>
        <v/>
      </c>
      <c r="D832" s="7" t="str">
        <f>IFERROR(VLOOKUP(B832,'Master data'!$A$1:$F$1000,6,FALSE),"")</f>
        <v/>
      </c>
      <c r="F832" s="7" t="str">
        <f>IFERROR(VLOOKUP(B832,'Master data'!$A$1:$F$1000,3,FALSE),"")</f>
        <v/>
      </c>
      <c r="G832" s="100"/>
      <c r="H832" s="100"/>
      <c r="I832" s="16"/>
      <c r="J832" s="16"/>
      <c r="K832" s="16" t="b">
        <v>0</v>
      </c>
      <c r="L832" s="16" t="b">
        <v>0</v>
      </c>
    </row>
    <row r="833">
      <c r="A833" s="107"/>
      <c r="B833" s="16"/>
      <c r="C833" s="7" t="str">
        <f>IFERROR(VLOOKUP(B833,'Master data'!$A$1:$F$1000,2,FALSE),"")</f>
        <v/>
      </c>
      <c r="D833" s="7" t="str">
        <f>IFERROR(VLOOKUP(B833,'Master data'!$A$1:$F$1000,6,FALSE),"")</f>
        <v/>
      </c>
      <c r="F833" s="7" t="str">
        <f>IFERROR(VLOOKUP(B833,'Master data'!$A$1:$F$1000,3,FALSE),"")</f>
        <v/>
      </c>
      <c r="G833" s="100"/>
      <c r="H833" s="100"/>
      <c r="I833" s="16"/>
      <c r="J833" s="16"/>
      <c r="K833" s="16" t="b">
        <v>0</v>
      </c>
      <c r="L833" s="16" t="b">
        <v>0</v>
      </c>
    </row>
    <row r="834">
      <c r="A834" s="107"/>
      <c r="B834" s="16"/>
      <c r="C834" s="7" t="str">
        <f>IFERROR(VLOOKUP(B834,'Master data'!$A$1:$F$1000,2,FALSE),"")</f>
        <v/>
      </c>
      <c r="D834" s="7" t="str">
        <f>IFERROR(VLOOKUP(B834,'Master data'!$A$1:$F$1000,6,FALSE),"")</f>
        <v/>
      </c>
      <c r="F834" s="7" t="str">
        <f>IFERROR(VLOOKUP(B834,'Master data'!$A$1:$F$1000,3,FALSE),"")</f>
        <v/>
      </c>
      <c r="G834" s="100"/>
      <c r="H834" s="100"/>
      <c r="I834" s="16"/>
      <c r="J834" s="16"/>
      <c r="K834" s="16" t="b">
        <v>0</v>
      </c>
      <c r="L834" s="16" t="b">
        <v>0</v>
      </c>
    </row>
    <row r="835">
      <c r="A835" s="107"/>
      <c r="B835" s="16"/>
      <c r="C835" s="7" t="str">
        <f>IFERROR(VLOOKUP(B835,'Master data'!$A$1:$F$1000,2,FALSE),"")</f>
        <v/>
      </c>
      <c r="D835" s="7" t="str">
        <f>IFERROR(VLOOKUP(B835,'Master data'!$A$1:$F$1000,6,FALSE),"")</f>
        <v/>
      </c>
      <c r="F835" s="7" t="str">
        <f>IFERROR(VLOOKUP(B835,'Master data'!$A$1:$F$1000,3,FALSE),"")</f>
        <v/>
      </c>
      <c r="G835" s="100"/>
      <c r="H835" s="100"/>
      <c r="I835" s="16"/>
      <c r="J835" s="16"/>
      <c r="K835" s="16" t="b">
        <v>0</v>
      </c>
      <c r="L835" s="16" t="b">
        <v>0</v>
      </c>
    </row>
    <row r="836">
      <c r="A836" s="107"/>
      <c r="B836" s="16"/>
      <c r="C836" s="7" t="str">
        <f>IFERROR(VLOOKUP(B836,'Master data'!$A$1:$F$1000,2,FALSE),"")</f>
        <v/>
      </c>
      <c r="D836" s="7" t="str">
        <f>IFERROR(VLOOKUP(B836,'Master data'!$A$1:$F$1000,6,FALSE),"")</f>
        <v/>
      </c>
      <c r="F836" s="7" t="str">
        <f>IFERROR(VLOOKUP(B836,'Master data'!$A$1:$F$1000,3,FALSE),"")</f>
        <v/>
      </c>
      <c r="G836" s="100"/>
      <c r="H836" s="100"/>
      <c r="I836" s="16"/>
      <c r="J836" s="16"/>
      <c r="K836" s="16" t="b">
        <v>0</v>
      </c>
      <c r="L836" s="16" t="b">
        <v>0</v>
      </c>
    </row>
    <row r="837">
      <c r="A837" s="107"/>
      <c r="B837" s="16"/>
      <c r="C837" s="7" t="str">
        <f>IFERROR(VLOOKUP(B837,'Master data'!$A$1:$F$1000,2,FALSE),"")</f>
        <v/>
      </c>
      <c r="D837" s="7" t="str">
        <f>IFERROR(VLOOKUP(B837,'Master data'!$A$1:$F$1000,6,FALSE),"")</f>
        <v/>
      </c>
      <c r="F837" s="7" t="str">
        <f>IFERROR(VLOOKUP(B837,'Master data'!$A$1:$F$1000,3,FALSE),"")</f>
        <v/>
      </c>
      <c r="G837" s="100"/>
      <c r="H837" s="100"/>
      <c r="I837" s="16"/>
      <c r="J837" s="16"/>
      <c r="K837" s="16" t="b">
        <v>0</v>
      </c>
      <c r="L837" s="16" t="b">
        <v>0</v>
      </c>
    </row>
    <row r="838">
      <c r="A838" s="107"/>
      <c r="B838" s="16"/>
      <c r="C838" s="7" t="str">
        <f>IFERROR(VLOOKUP(B838,'Master data'!$A$1:$F$1000,2,FALSE),"")</f>
        <v/>
      </c>
      <c r="D838" s="7" t="str">
        <f>IFERROR(VLOOKUP(B838,'Master data'!$A$1:$F$1000,6,FALSE),"")</f>
        <v/>
      </c>
      <c r="F838" s="7" t="str">
        <f>IFERROR(VLOOKUP(B838,'Master data'!$A$1:$F$1000,3,FALSE),"")</f>
        <v/>
      </c>
      <c r="G838" s="100"/>
      <c r="H838" s="100"/>
      <c r="I838" s="16"/>
      <c r="J838" s="16"/>
      <c r="K838" s="16" t="b">
        <v>0</v>
      </c>
      <c r="L838" s="16" t="b">
        <v>0</v>
      </c>
    </row>
    <row r="839">
      <c r="A839" s="107"/>
      <c r="B839" s="16"/>
      <c r="C839" s="7" t="str">
        <f>IFERROR(VLOOKUP(B839,'Master data'!$A$1:$F$1000,2,FALSE),"")</f>
        <v/>
      </c>
      <c r="D839" s="7" t="str">
        <f>IFERROR(VLOOKUP(B839,'Master data'!$A$1:$F$1000,6,FALSE),"")</f>
        <v/>
      </c>
      <c r="F839" s="7" t="str">
        <f>IFERROR(VLOOKUP(B839,'Master data'!$A$1:$F$1000,3,FALSE),"")</f>
        <v/>
      </c>
      <c r="G839" s="100"/>
      <c r="H839" s="100"/>
      <c r="I839" s="16"/>
      <c r="J839" s="16"/>
      <c r="K839" s="16" t="b">
        <v>0</v>
      </c>
      <c r="L839" s="16" t="b">
        <v>0</v>
      </c>
    </row>
    <row r="840">
      <c r="A840" s="107"/>
      <c r="B840" s="16"/>
      <c r="C840" s="7" t="str">
        <f>IFERROR(VLOOKUP(B840,'Master data'!$A$1:$F$1000,2,FALSE),"")</f>
        <v/>
      </c>
      <c r="D840" s="7" t="str">
        <f>IFERROR(VLOOKUP(B840,'Master data'!$A$1:$F$1000,6,FALSE),"")</f>
        <v/>
      </c>
      <c r="F840" s="7" t="str">
        <f>IFERROR(VLOOKUP(B840,'Master data'!$A$1:$F$1000,3,FALSE),"")</f>
        <v/>
      </c>
      <c r="G840" s="100"/>
      <c r="H840" s="100"/>
      <c r="I840" s="16"/>
      <c r="J840" s="16"/>
      <c r="K840" s="16" t="b">
        <v>0</v>
      </c>
      <c r="L840" s="16" t="b">
        <v>0</v>
      </c>
    </row>
    <row r="841">
      <c r="A841" s="107"/>
      <c r="B841" s="16"/>
      <c r="C841" s="7" t="str">
        <f>IFERROR(VLOOKUP(B841,'Master data'!$A$1:$F$1000,2,FALSE),"")</f>
        <v/>
      </c>
      <c r="D841" s="7" t="str">
        <f>IFERROR(VLOOKUP(B841,'Master data'!$A$1:$F$1000,6,FALSE),"")</f>
        <v/>
      </c>
      <c r="F841" s="7" t="str">
        <f>IFERROR(VLOOKUP(B841,'Master data'!$A$1:$F$1000,3,FALSE),"")</f>
        <v/>
      </c>
      <c r="G841" s="100"/>
      <c r="H841" s="100"/>
      <c r="I841" s="16"/>
      <c r="J841" s="16"/>
      <c r="K841" s="16" t="b">
        <v>0</v>
      </c>
      <c r="L841" s="16" t="b">
        <v>0</v>
      </c>
    </row>
    <row r="842">
      <c r="A842" s="107"/>
      <c r="B842" s="16"/>
      <c r="C842" s="7" t="str">
        <f>IFERROR(VLOOKUP(B842,'Master data'!$A$1:$F$1000,2,FALSE),"")</f>
        <v/>
      </c>
      <c r="D842" s="7" t="str">
        <f>IFERROR(VLOOKUP(B842,'Master data'!$A$1:$F$1000,6,FALSE),"")</f>
        <v/>
      </c>
      <c r="F842" s="7" t="str">
        <f>IFERROR(VLOOKUP(B842,'Master data'!$A$1:$F$1000,3,FALSE),"")</f>
        <v/>
      </c>
      <c r="G842" s="100"/>
      <c r="H842" s="100"/>
      <c r="I842" s="16"/>
      <c r="J842" s="16"/>
      <c r="K842" s="16" t="b">
        <v>0</v>
      </c>
      <c r="L842" s="16" t="b">
        <v>0</v>
      </c>
    </row>
    <row r="843">
      <c r="A843" s="107"/>
      <c r="B843" s="16"/>
      <c r="C843" s="7" t="str">
        <f>IFERROR(VLOOKUP(B843,'Master data'!$A$1:$F$1000,2,FALSE),"")</f>
        <v/>
      </c>
      <c r="D843" s="7" t="str">
        <f>IFERROR(VLOOKUP(B843,'Master data'!$A$1:$F$1000,6,FALSE),"")</f>
        <v/>
      </c>
      <c r="F843" s="7" t="str">
        <f>IFERROR(VLOOKUP(B843,'Master data'!$A$1:$F$1000,3,FALSE),"")</f>
        <v/>
      </c>
      <c r="G843" s="100"/>
      <c r="H843" s="100"/>
      <c r="I843" s="16"/>
      <c r="J843" s="16"/>
      <c r="K843" s="16" t="b">
        <v>0</v>
      </c>
      <c r="L843" s="16" t="b">
        <v>0</v>
      </c>
    </row>
    <row r="844">
      <c r="A844" s="107"/>
      <c r="B844" s="16"/>
      <c r="C844" s="7" t="str">
        <f>IFERROR(VLOOKUP(B844,'Master data'!$A$1:$F$1000,2,FALSE),"")</f>
        <v/>
      </c>
      <c r="D844" s="7" t="str">
        <f>IFERROR(VLOOKUP(B844,'Master data'!$A$1:$F$1000,6,FALSE),"")</f>
        <v/>
      </c>
      <c r="F844" s="7" t="str">
        <f>IFERROR(VLOOKUP(B844,'Master data'!$A$1:$F$1000,3,FALSE),"")</f>
        <v/>
      </c>
      <c r="G844" s="100"/>
      <c r="H844" s="100"/>
      <c r="I844" s="16"/>
      <c r="J844" s="16"/>
      <c r="K844" s="16" t="b">
        <v>0</v>
      </c>
      <c r="L844" s="16" t="b">
        <v>0</v>
      </c>
    </row>
    <row r="845">
      <c r="A845" s="107"/>
      <c r="B845" s="16"/>
      <c r="C845" s="7" t="str">
        <f>IFERROR(VLOOKUP(B845,'Master data'!$A$1:$F$1000,2,FALSE),"")</f>
        <v/>
      </c>
      <c r="D845" s="7" t="str">
        <f>IFERROR(VLOOKUP(B845,'Master data'!$A$1:$F$1000,6,FALSE),"")</f>
        <v/>
      </c>
      <c r="F845" s="7" t="str">
        <f>IFERROR(VLOOKUP(B845,'Master data'!$A$1:$F$1000,3,FALSE),"")</f>
        <v/>
      </c>
      <c r="G845" s="100"/>
      <c r="H845" s="100"/>
      <c r="I845" s="16"/>
      <c r="J845" s="16"/>
      <c r="K845" s="16" t="b">
        <v>0</v>
      </c>
      <c r="L845" s="16" t="b">
        <v>0</v>
      </c>
    </row>
    <row r="846">
      <c r="A846" s="107"/>
      <c r="B846" s="16"/>
      <c r="C846" s="7" t="str">
        <f>IFERROR(VLOOKUP(B846,'Master data'!$A$1:$F$1000,2,FALSE),"")</f>
        <v/>
      </c>
      <c r="D846" s="7" t="str">
        <f>IFERROR(VLOOKUP(B846,'Master data'!$A$1:$F$1000,6,FALSE),"")</f>
        <v/>
      </c>
      <c r="F846" s="7" t="str">
        <f>IFERROR(VLOOKUP(B846,'Master data'!$A$1:$F$1000,3,FALSE),"")</f>
        <v/>
      </c>
      <c r="G846" s="100"/>
      <c r="H846" s="100"/>
      <c r="I846" s="16"/>
      <c r="J846" s="16"/>
      <c r="K846" s="16" t="b">
        <v>0</v>
      </c>
      <c r="L846" s="16" t="b">
        <v>0</v>
      </c>
    </row>
    <row r="847">
      <c r="A847" s="107"/>
      <c r="B847" s="16"/>
      <c r="C847" s="7" t="str">
        <f>IFERROR(VLOOKUP(B847,'Master data'!$A$1:$F$1000,2,FALSE),"")</f>
        <v/>
      </c>
      <c r="D847" s="7" t="str">
        <f>IFERROR(VLOOKUP(B847,'Master data'!$A$1:$F$1000,6,FALSE),"")</f>
        <v/>
      </c>
      <c r="F847" s="7" t="str">
        <f>IFERROR(VLOOKUP(B847,'Master data'!$A$1:$F$1000,3,FALSE),"")</f>
        <v/>
      </c>
      <c r="G847" s="100"/>
      <c r="H847" s="100"/>
      <c r="I847" s="16"/>
      <c r="J847" s="16"/>
      <c r="K847" s="16" t="b">
        <v>0</v>
      </c>
      <c r="L847" s="16" t="b">
        <v>0</v>
      </c>
    </row>
    <row r="848">
      <c r="A848" s="107"/>
      <c r="B848" s="16"/>
      <c r="C848" s="7" t="str">
        <f>IFERROR(VLOOKUP(B848,'Master data'!$A$1:$F$1000,2,FALSE),"")</f>
        <v/>
      </c>
      <c r="D848" s="7" t="str">
        <f>IFERROR(VLOOKUP(B848,'Master data'!$A$1:$F$1000,6,FALSE),"")</f>
        <v/>
      </c>
      <c r="F848" s="7" t="str">
        <f>IFERROR(VLOOKUP(B848,'Master data'!$A$1:$F$1000,3,FALSE),"")</f>
        <v/>
      </c>
      <c r="G848" s="100"/>
      <c r="H848" s="100"/>
      <c r="I848" s="16"/>
      <c r="J848" s="16"/>
      <c r="K848" s="16" t="b">
        <v>0</v>
      </c>
      <c r="L848" s="16" t="b">
        <v>0</v>
      </c>
    </row>
    <row r="849">
      <c r="A849" s="107"/>
      <c r="B849" s="16"/>
      <c r="C849" s="7" t="str">
        <f>IFERROR(VLOOKUP(B849,'Master data'!$A$1:$F$1000,2,FALSE),"")</f>
        <v/>
      </c>
      <c r="D849" s="7" t="str">
        <f>IFERROR(VLOOKUP(B849,'Master data'!$A$1:$F$1000,6,FALSE),"")</f>
        <v/>
      </c>
      <c r="F849" s="7" t="str">
        <f>IFERROR(VLOOKUP(B849,'Master data'!$A$1:$F$1000,3,FALSE),"")</f>
        <v/>
      </c>
      <c r="G849" s="100"/>
      <c r="H849" s="100"/>
      <c r="I849" s="16"/>
      <c r="J849" s="16"/>
      <c r="K849" s="16" t="b">
        <v>0</v>
      </c>
      <c r="L849" s="16" t="b">
        <v>0</v>
      </c>
    </row>
    <row r="850">
      <c r="A850" s="107"/>
      <c r="B850" s="16"/>
      <c r="C850" s="7" t="str">
        <f>IFERROR(VLOOKUP(B850,'Master data'!$A$1:$F$1000,2,FALSE),"")</f>
        <v/>
      </c>
      <c r="D850" s="7" t="str">
        <f>IFERROR(VLOOKUP(B850,'Master data'!$A$1:$F$1000,6,FALSE),"")</f>
        <v/>
      </c>
      <c r="F850" s="7" t="str">
        <f>IFERROR(VLOOKUP(B850,'Master data'!$A$1:$F$1000,3,FALSE),"")</f>
        <v/>
      </c>
      <c r="G850" s="100"/>
      <c r="H850" s="100"/>
      <c r="I850" s="16"/>
      <c r="J850" s="16"/>
      <c r="K850" s="16" t="b">
        <v>0</v>
      </c>
      <c r="L850" s="16" t="b">
        <v>0</v>
      </c>
    </row>
    <row r="851">
      <c r="A851" s="107"/>
      <c r="B851" s="16"/>
      <c r="C851" s="7" t="str">
        <f>IFERROR(VLOOKUP(B851,'Master data'!$A$1:$F$1000,2,FALSE),"")</f>
        <v/>
      </c>
      <c r="D851" s="7" t="str">
        <f>IFERROR(VLOOKUP(B851,'Master data'!$A$1:$F$1000,6,FALSE),"")</f>
        <v/>
      </c>
      <c r="F851" s="7" t="str">
        <f>IFERROR(VLOOKUP(B851,'Master data'!$A$1:$F$1000,3,FALSE),"")</f>
        <v/>
      </c>
      <c r="G851" s="100"/>
      <c r="H851" s="100"/>
      <c r="I851" s="16"/>
      <c r="J851" s="16"/>
      <c r="K851" s="16" t="b">
        <v>0</v>
      </c>
      <c r="L851" s="16" t="b">
        <v>0</v>
      </c>
    </row>
    <row r="852">
      <c r="A852" s="107"/>
      <c r="B852" s="16"/>
      <c r="C852" s="7" t="str">
        <f>IFERROR(VLOOKUP(B852,'Master data'!$A$1:$F$1000,2,FALSE),"")</f>
        <v/>
      </c>
      <c r="D852" s="7" t="str">
        <f>IFERROR(VLOOKUP(B852,'Master data'!$A$1:$F$1000,6,FALSE),"")</f>
        <v/>
      </c>
      <c r="F852" s="7" t="str">
        <f>IFERROR(VLOOKUP(B852,'Master data'!$A$1:$F$1000,3,FALSE),"")</f>
        <v/>
      </c>
      <c r="G852" s="100"/>
      <c r="H852" s="100"/>
      <c r="I852" s="16"/>
      <c r="J852" s="16"/>
      <c r="K852" s="16" t="b">
        <v>0</v>
      </c>
      <c r="L852" s="16" t="b">
        <v>0</v>
      </c>
    </row>
    <row r="853">
      <c r="A853" s="107"/>
      <c r="B853" s="16"/>
      <c r="C853" s="7" t="str">
        <f>IFERROR(VLOOKUP(B853,'Master data'!$A$1:$F$1000,2,FALSE),"")</f>
        <v/>
      </c>
      <c r="D853" s="7" t="str">
        <f>IFERROR(VLOOKUP(B853,'Master data'!$A$1:$F$1000,6,FALSE),"")</f>
        <v/>
      </c>
      <c r="F853" s="7" t="str">
        <f>IFERROR(VLOOKUP(B853,'Master data'!$A$1:$F$1000,3,FALSE),"")</f>
        <v/>
      </c>
      <c r="G853" s="100"/>
      <c r="H853" s="100"/>
      <c r="I853" s="16"/>
      <c r="J853" s="16"/>
      <c r="K853" s="16" t="b">
        <v>0</v>
      </c>
      <c r="L853" s="16" t="b">
        <v>0</v>
      </c>
    </row>
    <row r="854">
      <c r="A854" s="107"/>
      <c r="B854" s="16"/>
      <c r="C854" s="7" t="str">
        <f>IFERROR(VLOOKUP(B854,'Master data'!$A$1:$F$1000,2,FALSE),"")</f>
        <v/>
      </c>
      <c r="D854" s="7" t="str">
        <f>IFERROR(VLOOKUP(B854,'Master data'!$A$1:$F$1000,6,FALSE),"")</f>
        <v/>
      </c>
      <c r="F854" s="7" t="str">
        <f>IFERROR(VLOOKUP(B854,'Master data'!$A$1:$F$1000,3,FALSE),"")</f>
        <v/>
      </c>
      <c r="G854" s="100"/>
      <c r="H854" s="100"/>
      <c r="I854" s="16"/>
      <c r="J854" s="16"/>
      <c r="K854" s="16" t="b">
        <v>0</v>
      </c>
      <c r="L854" s="16" t="b">
        <v>0</v>
      </c>
    </row>
    <row r="855">
      <c r="A855" s="107"/>
      <c r="B855" s="16"/>
      <c r="C855" s="7" t="str">
        <f>IFERROR(VLOOKUP(B855,'Master data'!$A$1:$F$1000,2,FALSE),"")</f>
        <v/>
      </c>
      <c r="D855" s="7" t="str">
        <f>IFERROR(VLOOKUP(B855,'Master data'!$A$1:$F$1000,6,FALSE),"")</f>
        <v/>
      </c>
      <c r="F855" s="7" t="str">
        <f>IFERROR(VLOOKUP(B855,'Master data'!$A$1:$F$1000,3,FALSE),"")</f>
        <v/>
      </c>
      <c r="G855" s="100"/>
      <c r="H855" s="100"/>
      <c r="I855" s="16"/>
      <c r="J855" s="16"/>
      <c r="K855" s="16" t="b">
        <v>0</v>
      </c>
      <c r="L855" s="16" t="b">
        <v>0</v>
      </c>
    </row>
    <row r="856">
      <c r="A856" s="107"/>
      <c r="B856" s="16"/>
      <c r="C856" s="7" t="str">
        <f>IFERROR(VLOOKUP(B856,'Master data'!$A$1:$F$1000,2,FALSE),"")</f>
        <v/>
      </c>
      <c r="D856" s="7" t="str">
        <f>IFERROR(VLOOKUP(B856,'Master data'!$A$1:$F$1000,6,FALSE),"")</f>
        <v/>
      </c>
      <c r="F856" s="7" t="str">
        <f>IFERROR(VLOOKUP(B856,'Master data'!$A$1:$F$1000,3,FALSE),"")</f>
        <v/>
      </c>
      <c r="G856" s="100"/>
      <c r="H856" s="100"/>
      <c r="I856" s="16"/>
      <c r="J856" s="16"/>
      <c r="K856" s="16" t="b">
        <v>0</v>
      </c>
      <c r="L856" s="16" t="b">
        <v>0</v>
      </c>
    </row>
    <row r="857">
      <c r="A857" s="107"/>
      <c r="B857" s="16"/>
      <c r="C857" s="7" t="str">
        <f>IFERROR(VLOOKUP(B857,'Master data'!$A$1:$F$1000,2,FALSE),"")</f>
        <v/>
      </c>
      <c r="D857" s="7" t="str">
        <f>IFERROR(VLOOKUP(B857,'Master data'!$A$1:$F$1000,6,FALSE),"")</f>
        <v/>
      </c>
      <c r="F857" s="7" t="str">
        <f>IFERROR(VLOOKUP(B857,'Master data'!$A$1:$F$1000,3,FALSE),"")</f>
        <v/>
      </c>
      <c r="G857" s="100"/>
      <c r="H857" s="100"/>
      <c r="I857" s="16"/>
      <c r="J857" s="16"/>
      <c r="K857" s="16" t="b">
        <v>0</v>
      </c>
      <c r="L857" s="16" t="b">
        <v>0</v>
      </c>
    </row>
    <row r="858">
      <c r="A858" s="107"/>
      <c r="B858" s="16"/>
      <c r="C858" s="7" t="str">
        <f>IFERROR(VLOOKUP(B858,'Master data'!$A$1:$F$1000,2,FALSE),"")</f>
        <v/>
      </c>
      <c r="D858" s="7" t="str">
        <f>IFERROR(VLOOKUP(B858,'Master data'!$A$1:$F$1000,6,FALSE),"")</f>
        <v/>
      </c>
      <c r="F858" s="7" t="str">
        <f>IFERROR(VLOOKUP(B858,'Master data'!$A$1:$F$1000,3,FALSE),"")</f>
        <v/>
      </c>
      <c r="G858" s="100"/>
      <c r="H858" s="100"/>
      <c r="I858" s="16"/>
      <c r="J858" s="16"/>
      <c r="K858" s="16" t="b">
        <v>0</v>
      </c>
      <c r="L858" s="16" t="b">
        <v>0</v>
      </c>
    </row>
    <row r="859">
      <c r="A859" s="107"/>
      <c r="B859" s="16"/>
      <c r="C859" s="7" t="str">
        <f>IFERROR(VLOOKUP(B859,'Master data'!$A$1:$F$1000,2,FALSE),"")</f>
        <v/>
      </c>
      <c r="D859" s="7" t="str">
        <f>IFERROR(VLOOKUP(B859,'Master data'!$A$1:$F$1000,6,FALSE),"")</f>
        <v/>
      </c>
      <c r="F859" s="7" t="str">
        <f>IFERROR(VLOOKUP(B859,'Master data'!$A$1:$F$1000,3,FALSE),"")</f>
        <v/>
      </c>
      <c r="G859" s="100"/>
      <c r="H859" s="100"/>
      <c r="I859" s="16"/>
      <c r="J859" s="16"/>
      <c r="K859" s="16" t="b">
        <v>0</v>
      </c>
      <c r="L859" s="16" t="b">
        <v>0</v>
      </c>
    </row>
    <row r="860">
      <c r="A860" s="107"/>
      <c r="B860" s="16"/>
      <c r="C860" s="7" t="str">
        <f>IFERROR(VLOOKUP(B860,'Master data'!$A$1:$F$1000,2,FALSE),"")</f>
        <v/>
      </c>
      <c r="D860" s="7" t="str">
        <f>IFERROR(VLOOKUP(B860,'Master data'!$A$1:$F$1000,6,FALSE),"")</f>
        <v/>
      </c>
      <c r="F860" s="7" t="str">
        <f>IFERROR(VLOOKUP(B860,'Master data'!$A$1:$F$1000,3,FALSE),"")</f>
        <v/>
      </c>
      <c r="G860" s="100"/>
      <c r="H860" s="100"/>
      <c r="I860" s="16"/>
      <c r="J860" s="16"/>
      <c r="K860" s="16" t="b">
        <v>0</v>
      </c>
      <c r="L860" s="16" t="b">
        <v>0</v>
      </c>
    </row>
    <row r="861">
      <c r="A861" s="107"/>
      <c r="B861" s="16"/>
      <c r="C861" s="7" t="str">
        <f>IFERROR(VLOOKUP(B861,'Master data'!$A$1:$F$1000,2,FALSE),"")</f>
        <v/>
      </c>
      <c r="D861" s="7" t="str">
        <f>IFERROR(VLOOKUP(B861,'Master data'!$A$1:$F$1000,6,FALSE),"")</f>
        <v/>
      </c>
      <c r="F861" s="7" t="str">
        <f>IFERROR(VLOOKUP(B861,'Master data'!$A$1:$F$1000,3,FALSE),"")</f>
        <v/>
      </c>
      <c r="G861" s="100"/>
      <c r="H861" s="100"/>
      <c r="I861" s="16"/>
      <c r="J861" s="16"/>
      <c r="K861" s="16" t="b">
        <v>0</v>
      </c>
      <c r="L861" s="16" t="b">
        <v>0</v>
      </c>
    </row>
    <row r="862">
      <c r="A862" s="107"/>
      <c r="B862" s="16"/>
      <c r="C862" s="7" t="str">
        <f>IFERROR(VLOOKUP(B862,'Master data'!$A$1:$F$1000,2,FALSE),"")</f>
        <v/>
      </c>
      <c r="D862" s="7" t="str">
        <f>IFERROR(VLOOKUP(B862,'Master data'!$A$1:$F$1000,6,FALSE),"")</f>
        <v/>
      </c>
      <c r="F862" s="7" t="str">
        <f>IFERROR(VLOOKUP(B862,'Master data'!$A$1:$F$1000,3,FALSE),"")</f>
        <v/>
      </c>
      <c r="G862" s="100"/>
      <c r="H862" s="100"/>
      <c r="I862" s="16"/>
      <c r="J862" s="16"/>
      <c r="K862" s="16" t="b">
        <v>0</v>
      </c>
      <c r="L862" s="16" t="b">
        <v>0</v>
      </c>
    </row>
    <row r="863">
      <c r="A863" s="107"/>
      <c r="B863" s="16"/>
      <c r="C863" s="7" t="str">
        <f>IFERROR(VLOOKUP(B863,'Master data'!$A$1:$F$1000,2,FALSE),"")</f>
        <v/>
      </c>
      <c r="D863" s="7" t="str">
        <f>IFERROR(VLOOKUP(B863,'Master data'!$A$1:$F$1000,6,FALSE),"")</f>
        <v/>
      </c>
      <c r="F863" s="7" t="str">
        <f>IFERROR(VLOOKUP(B863,'Master data'!$A$1:$F$1000,3,FALSE),"")</f>
        <v/>
      </c>
      <c r="G863" s="100"/>
      <c r="H863" s="100"/>
      <c r="I863" s="16"/>
      <c r="J863" s="16"/>
      <c r="K863" s="16" t="b">
        <v>0</v>
      </c>
      <c r="L863" s="16" t="b">
        <v>0</v>
      </c>
    </row>
    <row r="864">
      <c r="A864" s="107"/>
      <c r="B864" s="16"/>
      <c r="C864" s="7" t="str">
        <f>IFERROR(VLOOKUP(B864,'Master data'!$A$1:$F$1000,2,FALSE),"")</f>
        <v/>
      </c>
      <c r="D864" s="7" t="str">
        <f>IFERROR(VLOOKUP(B864,'Master data'!$A$1:$F$1000,6,FALSE),"")</f>
        <v/>
      </c>
      <c r="F864" s="7" t="str">
        <f>IFERROR(VLOOKUP(B864,'Master data'!$A$1:$F$1000,3,FALSE),"")</f>
        <v/>
      </c>
      <c r="G864" s="100"/>
      <c r="H864" s="100"/>
      <c r="I864" s="16"/>
      <c r="J864" s="16"/>
      <c r="K864" s="16" t="b">
        <v>0</v>
      </c>
      <c r="L864" s="16" t="b">
        <v>0</v>
      </c>
    </row>
    <row r="865">
      <c r="A865" s="107"/>
      <c r="B865" s="16"/>
      <c r="C865" s="7" t="str">
        <f>IFERROR(VLOOKUP(B865,'Master data'!$A$1:$F$1000,2,FALSE),"")</f>
        <v/>
      </c>
      <c r="D865" s="7" t="str">
        <f>IFERROR(VLOOKUP(B865,'Master data'!$A$1:$F$1000,6,FALSE),"")</f>
        <v/>
      </c>
      <c r="F865" s="7" t="str">
        <f>IFERROR(VLOOKUP(B865,'Master data'!$A$1:$F$1000,3,FALSE),"")</f>
        <v/>
      </c>
      <c r="G865" s="100"/>
      <c r="H865" s="100"/>
      <c r="I865" s="16"/>
      <c r="J865" s="16"/>
      <c r="K865" s="16" t="b">
        <v>0</v>
      </c>
      <c r="L865" s="16" t="b">
        <v>0</v>
      </c>
    </row>
    <row r="866">
      <c r="A866" s="107"/>
      <c r="B866" s="16"/>
      <c r="C866" s="7" t="str">
        <f>IFERROR(VLOOKUP(B866,'Master data'!$A$1:$F$1000,2,FALSE),"")</f>
        <v/>
      </c>
      <c r="D866" s="7" t="str">
        <f>IFERROR(VLOOKUP(B866,'Master data'!$A$1:$F$1000,6,FALSE),"")</f>
        <v/>
      </c>
      <c r="F866" s="7" t="str">
        <f>IFERROR(VLOOKUP(B866,'Master data'!$A$1:$F$1000,3,FALSE),"")</f>
        <v/>
      </c>
      <c r="G866" s="100"/>
      <c r="H866" s="100"/>
      <c r="I866" s="16"/>
      <c r="J866" s="16"/>
      <c r="K866" s="16" t="b">
        <v>0</v>
      </c>
      <c r="L866" s="16" t="b">
        <v>0</v>
      </c>
    </row>
    <row r="867">
      <c r="A867" s="107"/>
      <c r="B867" s="16"/>
      <c r="C867" s="7" t="str">
        <f>IFERROR(VLOOKUP(B867,'Master data'!$A$1:$F$1000,2,FALSE),"")</f>
        <v/>
      </c>
      <c r="D867" s="7" t="str">
        <f>IFERROR(VLOOKUP(B867,'Master data'!$A$1:$F$1000,6,FALSE),"")</f>
        <v/>
      </c>
      <c r="F867" s="7" t="str">
        <f>IFERROR(VLOOKUP(B867,'Master data'!$A$1:$F$1000,3,FALSE),"")</f>
        <v/>
      </c>
      <c r="G867" s="100"/>
      <c r="H867" s="100"/>
      <c r="I867" s="16"/>
      <c r="J867" s="16"/>
      <c r="K867" s="16" t="b">
        <v>0</v>
      </c>
      <c r="L867" s="16" t="b">
        <v>0</v>
      </c>
    </row>
    <row r="868">
      <c r="A868" s="107"/>
      <c r="B868" s="16"/>
      <c r="C868" s="7" t="str">
        <f>IFERROR(VLOOKUP(B868,'Master data'!$A$1:$F$1000,2,FALSE),"")</f>
        <v/>
      </c>
      <c r="D868" s="7" t="str">
        <f>IFERROR(VLOOKUP(B868,'Master data'!$A$1:$F$1000,6,FALSE),"")</f>
        <v/>
      </c>
      <c r="F868" s="7" t="str">
        <f>IFERROR(VLOOKUP(B868,'Master data'!$A$1:$F$1000,3,FALSE),"")</f>
        <v/>
      </c>
      <c r="G868" s="100"/>
      <c r="H868" s="100"/>
      <c r="I868" s="16"/>
      <c r="J868" s="16"/>
      <c r="K868" s="16" t="b">
        <v>0</v>
      </c>
      <c r="L868" s="16" t="b">
        <v>0</v>
      </c>
    </row>
    <row r="869">
      <c r="A869" s="107"/>
      <c r="B869" s="16"/>
      <c r="C869" s="7" t="str">
        <f>IFERROR(VLOOKUP(B869,'Master data'!$A$1:$F$1000,2,FALSE),"")</f>
        <v/>
      </c>
      <c r="D869" s="7" t="str">
        <f>IFERROR(VLOOKUP(B869,'Master data'!$A$1:$F$1000,6,FALSE),"")</f>
        <v/>
      </c>
      <c r="F869" s="7" t="str">
        <f>IFERROR(VLOOKUP(B869,'Master data'!$A$1:$F$1000,3,FALSE),"")</f>
        <v/>
      </c>
      <c r="G869" s="100"/>
      <c r="H869" s="100"/>
      <c r="I869" s="16"/>
      <c r="J869" s="16"/>
      <c r="K869" s="16" t="b">
        <v>0</v>
      </c>
      <c r="L869" s="16" t="b">
        <v>0</v>
      </c>
    </row>
    <row r="870">
      <c r="A870" s="107"/>
      <c r="B870" s="16"/>
      <c r="C870" s="7" t="str">
        <f>IFERROR(VLOOKUP(B870,'Master data'!$A$1:$F$1000,2,FALSE),"")</f>
        <v/>
      </c>
      <c r="D870" s="7" t="str">
        <f>IFERROR(VLOOKUP(B870,'Master data'!$A$1:$F$1000,6,FALSE),"")</f>
        <v/>
      </c>
      <c r="F870" s="7" t="str">
        <f>IFERROR(VLOOKUP(B870,'Master data'!$A$1:$F$1000,3,FALSE),"")</f>
        <v/>
      </c>
      <c r="G870" s="100"/>
      <c r="H870" s="100"/>
      <c r="I870" s="16"/>
      <c r="J870" s="16"/>
      <c r="K870" s="16" t="b">
        <v>0</v>
      </c>
      <c r="L870" s="16" t="b">
        <v>0</v>
      </c>
    </row>
    <row r="871">
      <c r="A871" s="107"/>
      <c r="B871" s="16"/>
      <c r="C871" s="7" t="str">
        <f>IFERROR(VLOOKUP(B871,'Master data'!$A$1:$F$1000,2,FALSE),"")</f>
        <v/>
      </c>
      <c r="D871" s="7" t="str">
        <f>IFERROR(VLOOKUP(B871,'Master data'!$A$1:$F$1000,6,FALSE),"")</f>
        <v/>
      </c>
      <c r="F871" s="7" t="str">
        <f>IFERROR(VLOOKUP(B871,'Master data'!$A$1:$F$1000,3,FALSE),"")</f>
        <v/>
      </c>
      <c r="G871" s="100"/>
      <c r="H871" s="100"/>
      <c r="I871" s="16"/>
      <c r="J871" s="16"/>
      <c r="K871" s="16" t="b">
        <v>0</v>
      </c>
      <c r="L871" s="16" t="b">
        <v>0</v>
      </c>
    </row>
    <row r="872">
      <c r="A872" s="107"/>
      <c r="B872" s="16"/>
      <c r="C872" s="7" t="str">
        <f>IFERROR(VLOOKUP(B872,'Master data'!$A$1:$F$1000,2,FALSE),"")</f>
        <v/>
      </c>
      <c r="D872" s="7" t="str">
        <f>IFERROR(VLOOKUP(B872,'Master data'!$A$1:$F$1000,6,FALSE),"")</f>
        <v/>
      </c>
      <c r="F872" s="7" t="str">
        <f>IFERROR(VLOOKUP(B872,'Master data'!$A$1:$F$1000,3,FALSE),"")</f>
        <v/>
      </c>
      <c r="G872" s="100"/>
      <c r="H872" s="100"/>
      <c r="I872" s="16"/>
      <c r="J872" s="16"/>
      <c r="K872" s="16" t="b">
        <v>0</v>
      </c>
      <c r="L872" s="16" t="b">
        <v>0</v>
      </c>
    </row>
    <row r="873">
      <c r="A873" s="107"/>
      <c r="B873" s="16"/>
      <c r="C873" s="7" t="str">
        <f>IFERROR(VLOOKUP(B873,'Master data'!$A$1:$F$1000,2,FALSE),"")</f>
        <v/>
      </c>
      <c r="D873" s="7" t="str">
        <f>IFERROR(VLOOKUP(B873,'Master data'!$A$1:$F$1000,6,FALSE),"")</f>
        <v/>
      </c>
      <c r="F873" s="7" t="str">
        <f>IFERROR(VLOOKUP(B873,'Master data'!$A$1:$F$1000,3,FALSE),"")</f>
        <v/>
      </c>
      <c r="G873" s="100"/>
      <c r="H873" s="100"/>
      <c r="I873" s="16"/>
      <c r="J873" s="16"/>
      <c r="K873" s="16" t="b">
        <v>0</v>
      </c>
      <c r="L873" s="16" t="b">
        <v>0</v>
      </c>
    </row>
    <row r="874">
      <c r="A874" s="107"/>
      <c r="B874" s="16"/>
      <c r="C874" s="7" t="str">
        <f>IFERROR(VLOOKUP(B874,'Master data'!$A$1:$F$1000,2,FALSE),"")</f>
        <v/>
      </c>
      <c r="D874" s="7" t="str">
        <f>IFERROR(VLOOKUP(B874,'Master data'!$A$1:$F$1000,6,FALSE),"")</f>
        <v/>
      </c>
      <c r="F874" s="7" t="str">
        <f>IFERROR(VLOOKUP(B874,'Master data'!$A$1:$F$1000,3,FALSE),"")</f>
        <v/>
      </c>
      <c r="G874" s="100"/>
      <c r="H874" s="100"/>
      <c r="I874" s="16"/>
      <c r="J874" s="16"/>
      <c r="K874" s="16" t="b">
        <v>0</v>
      </c>
      <c r="L874" s="16" t="b">
        <v>0</v>
      </c>
    </row>
    <row r="875">
      <c r="A875" s="107"/>
      <c r="B875" s="16"/>
      <c r="C875" s="7" t="str">
        <f>IFERROR(VLOOKUP(B875,'Master data'!$A$1:$F$1000,2,FALSE),"")</f>
        <v/>
      </c>
      <c r="D875" s="7" t="str">
        <f>IFERROR(VLOOKUP(B875,'Master data'!$A$1:$F$1000,6,FALSE),"")</f>
        <v/>
      </c>
      <c r="F875" s="7" t="str">
        <f>IFERROR(VLOOKUP(B875,'Master data'!$A$1:$F$1000,3,FALSE),"")</f>
        <v/>
      </c>
      <c r="G875" s="100"/>
      <c r="H875" s="100"/>
      <c r="I875" s="16"/>
      <c r="J875" s="16"/>
      <c r="K875" s="16" t="b">
        <v>0</v>
      </c>
      <c r="L875" s="16" t="b">
        <v>0</v>
      </c>
    </row>
    <row r="876">
      <c r="A876" s="107"/>
      <c r="B876" s="16"/>
      <c r="C876" s="7" t="str">
        <f>IFERROR(VLOOKUP(B876,'Master data'!$A$1:$F$1000,2,FALSE),"")</f>
        <v/>
      </c>
      <c r="D876" s="7" t="str">
        <f>IFERROR(VLOOKUP(B876,'Master data'!$A$1:$F$1000,6,FALSE),"")</f>
        <v/>
      </c>
      <c r="F876" s="7" t="str">
        <f>IFERROR(VLOOKUP(B876,'Master data'!$A$1:$F$1000,3,FALSE),"")</f>
        <v/>
      </c>
      <c r="G876" s="100"/>
      <c r="H876" s="100"/>
      <c r="I876" s="16"/>
      <c r="J876" s="16"/>
      <c r="K876" s="16" t="b">
        <v>0</v>
      </c>
      <c r="L876" s="16" t="b">
        <v>0</v>
      </c>
    </row>
    <row r="877">
      <c r="A877" s="107"/>
      <c r="B877" s="16"/>
      <c r="C877" s="7" t="str">
        <f>IFERROR(VLOOKUP(B877,'Master data'!$A$1:$F$1000,2,FALSE),"")</f>
        <v/>
      </c>
      <c r="D877" s="7" t="str">
        <f>IFERROR(VLOOKUP(B877,'Master data'!$A$1:$F$1000,6,FALSE),"")</f>
        <v/>
      </c>
      <c r="F877" s="7" t="str">
        <f>IFERROR(VLOOKUP(B877,'Master data'!$A$1:$F$1000,3,FALSE),"")</f>
        <v/>
      </c>
      <c r="G877" s="100"/>
      <c r="H877" s="100"/>
      <c r="I877" s="16"/>
      <c r="J877" s="16"/>
      <c r="K877" s="16" t="b">
        <v>0</v>
      </c>
      <c r="L877" s="16" t="b">
        <v>0</v>
      </c>
    </row>
    <row r="878">
      <c r="A878" s="107"/>
      <c r="B878" s="16"/>
      <c r="C878" s="7" t="str">
        <f>IFERROR(VLOOKUP(B878,'Master data'!$A$1:$F$1000,2,FALSE),"")</f>
        <v/>
      </c>
      <c r="D878" s="7" t="str">
        <f>IFERROR(VLOOKUP(B878,'Master data'!$A$1:$F$1000,6,FALSE),"")</f>
        <v/>
      </c>
      <c r="F878" s="7" t="str">
        <f>IFERROR(VLOOKUP(B878,'Master data'!$A$1:$F$1000,3,FALSE),"")</f>
        <v/>
      </c>
      <c r="G878" s="100"/>
      <c r="H878" s="100"/>
      <c r="I878" s="16"/>
      <c r="J878" s="16"/>
      <c r="K878" s="16" t="b">
        <v>0</v>
      </c>
      <c r="L878" s="16" t="b">
        <v>0</v>
      </c>
    </row>
    <row r="879">
      <c r="A879" s="107"/>
      <c r="B879" s="16"/>
      <c r="C879" s="7" t="str">
        <f>IFERROR(VLOOKUP(B879,'Master data'!$A$1:$F$1000,2,FALSE),"")</f>
        <v/>
      </c>
      <c r="D879" s="7" t="str">
        <f>IFERROR(VLOOKUP(B879,'Master data'!$A$1:$F$1000,6,FALSE),"")</f>
        <v/>
      </c>
      <c r="F879" s="7" t="str">
        <f>IFERROR(VLOOKUP(B879,'Master data'!$A$1:$F$1000,3,FALSE),"")</f>
        <v/>
      </c>
      <c r="G879" s="100"/>
      <c r="H879" s="100"/>
      <c r="I879" s="16"/>
      <c r="J879" s="16"/>
      <c r="K879" s="16" t="b">
        <v>0</v>
      </c>
      <c r="L879" s="16" t="b">
        <v>0</v>
      </c>
    </row>
    <row r="880">
      <c r="A880" s="107"/>
      <c r="B880" s="16"/>
      <c r="C880" s="7" t="str">
        <f>IFERROR(VLOOKUP(B880,'Master data'!$A$1:$F$1000,2,FALSE),"")</f>
        <v/>
      </c>
      <c r="D880" s="7" t="str">
        <f>IFERROR(VLOOKUP(B880,'Master data'!$A$1:$F$1000,6,FALSE),"")</f>
        <v/>
      </c>
      <c r="F880" s="7" t="str">
        <f>IFERROR(VLOOKUP(B880,'Master data'!$A$1:$F$1000,3,FALSE),"")</f>
        <v/>
      </c>
      <c r="G880" s="100"/>
      <c r="H880" s="100"/>
      <c r="I880" s="16"/>
      <c r="J880" s="16"/>
      <c r="K880" s="16" t="b">
        <v>0</v>
      </c>
      <c r="L880" s="16" t="b">
        <v>0</v>
      </c>
    </row>
    <row r="881">
      <c r="A881" s="107"/>
      <c r="B881" s="16"/>
      <c r="C881" s="7" t="str">
        <f>IFERROR(VLOOKUP(B881,'Master data'!$A$1:$F$1000,2,FALSE),"")</f>
        <v/>
      </c>
      <c r="D881" s="7" t="str">
        <f>IFERROR(VLOOKUP(B881,'Master data'!$A$1:$F$1000,6,FALSE),"")</f>
        <v/>
      </c>
      <c r="F881" s="7" t="str">
        <f>IFERROR(VLOOKUP(B881,'Master data'!$A$1:$F$1000,3,FALSE),"")</f>
        <v/>
      </c>
      <c r="G881" s="100"/>
      <c r="H881" s="100"/>
      <c r="I881" s="16"/>
      <c r="J881" s="16"/>
      <c r="K881" s="16" t="b">
        <v>0</v>
      </c>
      <c r="L881" s="16" t="b">
        <v>0</v>
      </c>
    </row>
    <row r="882">
      <c r="A882" s="107"/>
      <c r="B882" s="16"/>
      <c r="C882" s="7" t="str">
        <f>IFERROR(VLOOKUP(B882,'Master data'!$A$1:$F$1000,2,FALSE),"")</f>
        <v/>
      </c>
      <c r="D882" s="7" t="str">
        <f>IFERROR(VLOOKUP(B882,'Master data'!$A$1:$F$1000,6,FALSE),"")</f>
        <v/>
      </c>
      <c r="F882" s="7" t="str">
        <f>IFERROR(VLOOKUP(B882,'Master data'!$A$1:$F$1000,3,FALSE),"")</f>
        <v/>
      </c>
      <c r="G882" s="100"/>
      <c r="H882" s="100"/>
      <c r="I882" s="16"/>
      <c r="J882" s="16"/>
      <c r="K882" s="16" t="b">
        <v>0</v>
      </c>
      <c r="L882" s="16" t="b">
        <v>0</v>
      </c>
    </row>
    <row r="883">
      <c r="A883" s="107"/>
      <c r="B883" s="16"/>
      <c r="C883" s="7" t="str">
        <f>IFERROR(VLOOKUP(B883,'Master data'!$A$1:$F$1000,2,FALSE),"")</f>
        <v/>
      </c>
      <c r="D883" s="7" t="str">
        <f>IFERROR(VLOOKUP(B883,'Master data'!$A$1:$F$1000,6,FALSE),"")</f>
        <v/>
      </c>
      <c r="F883" s="7" t="str">
        <f>IFERROR(VLOOKUP(B883,'Master data'!$A$1:$F$1000,3,FALSE),"")</f>
        <v/>
      </c>
      <c r="G883" s="100"/>
      <c r="H883" s="100"/>
      <c r="I883" s="16"/>
      <c r="J883" s="16"/>
      <c r="K883" s="16" t="b">
        <v>0</v>
      </c>
      <c r="L883" s="16" t="b">
        <v>0</v>
      </c>
    </row>
    <row r="884">
      <c r="A884" s="107"/>
      <c r="B884" s="16"/>
      <c r="C884" s="7" t="str">
        <f>IFERROR(VLOOKUP(B884,'Master data'!$A$1:$F$1000,2,FALSE),"")</f>
        <v/>
      </c>
      <c r="D884" s="7" t="str">
        <f>IFERROR(VLOOKUP(B884,'Master data'!$A$1:$F$1000,6,FALSE),"")</f>
        <v/>
      </c>
      <c r="F884" s="7" t="str">
        <f>IFERROR(VLOOKUP(B884,'Master data'!$A$1:$F$1000,3,FALSE),"")</f>
        <v/>
      </c>
      <c r="G884" s="100"/>
      <c r="H884" s="100"/>
      <c r="I884" s="16"/>
      <c r="J884" s="16"/>
      <c r="K884" s="16" t="b">
        <v>0</v>
      </c>
      <c r="L884" s="16" t="b">
        <v>0</v>
      </c>
    </row>
    <row r="885">
      <c r="A885" s="107"/>
      <c r="B885" s="16"/>
      <c r="C885" s="7" t="str">
        <f>IFERROR(VLOOKUP(B885,'Master data'!$A$1:$F$1000,2,FALSE),"")</f>
        <v/>
      </c>
      <c r="D885" s="7" t="str">
        <f>IFERROR(VLOOKUP(B885,'Master data'!$A$1:$F$1000,6,FALSE),"")</f>
        <v/>
      </c>
      <c r="F885" s="7" t="str">
        <f>IFERROR(VLOOKUP(B885,'Master data'!$A$1:$F$1000,3,FALSE),"")</f>
        <v/>
      </c>
      <c r="G885" s="100"/>
      <c r="H885" s="100"/>
      <c r="I885" s="16"/>
      <c r="J885" s="16"/>
      <c r="K885" s="16" t="b">
        <v>0</v>
      </c>
      <c r="L885" s="16" t="b">
        <v>0</v>
      </c>
    </row>
    <row r="886">
      <c r="A886" s="107"/>
      <c r="B886" s="16"/>
      <c r="C886" s="7" t="str">
        <f>IFERROR(VLOOKUP(B886,'Master data'!$A$1:$F$1000,2,FALSE),"")</f>
        <v/>
      </c>
      <c r="D886" s="7" t="str">
        <f>IFERROR(VLOOKUP(B886,'Master data'!$A$1:$F$1000,6,FALSE),"")</f>
        <v/>
      </c>
      <c r="F886" s="7" t="str">
        <f>IFERROR(VLOOKUP(B886,'Master data'!$A$1:$F$1000,3,FALSE),"")</f>
        <v/>
      </c>
      <c r="G886" s="100"/>
      <c r="H886" s="100"/>
      <c r="I886" s="16"/>
      <c r="J886" s="16"/>
      <c r="K886" s="16" t="b">
        <v>0</v>
      </c>
      <c r="L886" s="16" t="b">
        <v>0</v>
      </c>
    </row>
    <row r="887">
      <c r="A887" s="107"/>
      <c r="B887" s="16"/>
      <c r="C887" s="7" t="str">
        <f>IFERROR(VLOOKUP(B887,'Master data'!$A$1:$F$1000,2,FALSE),"")</f>
        <v/>
      </c>
      <c r="D887" s="7" t="str">
        <f>IFERROR(VLOOKUP(B887,'Master data'!$A$1:$F$1000,6,FALSE),"")</f>
        <v/>
      </c>
      <c r="F887" s="7" t="str">
        <f>IFERROR(VLOOKUP(B887,'Master data'!$A$1:$F$1000,3,FALSE),"")</f>
        <v/>
      </c>
      <c r="G887" s="100"/>
      <c r="H887" s="100"/>
      <c r="I887" s="16"/>
      <c r="J887" s="16"/>
      <c r="K887" s="16" t="b">
        <v>0</v>
      </c>
      <c r="L887" s="16" t="b">
        <v>0</v>
      </c>
    </row>
    <row r="888">
      <c r="A888" s="107"/>
      <c r="B888" s="16"/>
      <c r="C888" s="7" t="str">
        <f>IFERROR(VLOOKUP(B888,'Master data'!$A$1:$F$1000,2,FALSE),"")</f>
        <v/>
      </c>
      <c r="D888" s="7" t="str">
        <f>IFERROR(VLOOKUP(B888,'Master data'!$A$1:$F$1000,6,FALSE),"")</f>
        <v/>
      </c>
      <c r="F888" s="7" t="str">
        <f>IFERROR(VLOOKUP(B888,'Master data'!$A$1:$F$1000,3,FALSE),"")</f>
        <v/>
      </c>
      <c r="G888" s="100"/>
      <c r="H888" s="100"/>
      <c r="I888" s="16"/>
      <c r="J888" s="16"/>
      <c r="K888" s="16" t="b">
        <v>0</v>
      </c>
      <c r="L888" s="16" t="b">
        <v>0</v>
      </c>
    </row>
    <row r="889">
      <c r="A889" s="107"/>
      <c r="B889" s="16"/>
      <c r="C889" s="7" t="str">
        <f>IFERROR(VLOOKUP(B889,'Master data'!$A$1:$F$1000,2,FALSE),"")</f>
        <v/>
      </c>
      <c r="D889" s="7" t="str">
        <f>IFERROR(VLOOKUP(B889,'Master data'!$A$1:$F$1000,6,FALSE),"")</f>
        <v/>
      </c>
      <c r="F889" s="7" t="str">
        <f>IFERROR(VLOOKUP(B889,'Master data'!$A$1:$F$1000,3,FALSE),"")</f>
        <v/>
      </c>
      <c r="G889" s="100"/>
      <c r="H889" s="100"/>
      <c r="I889" s="16"/>
      <c r="J889" s="16"/>
      <c r="K889" s="16" t="b">
        <v>0</v>
      </c>
      <c r="L889" s="16" t="b">
        <v>0</v>
      </c>
    </row>
    <row r="890">
      <c r="A890" s="107"/>
      <c r="B890" s="16"/>
      <c r="C890" s="7" t="str">
        <f>IFERROR(VLOOKUP(B890,'Master data'!$A$1:$F$1000,2,FALSE),"")</f>
        <v/>
      </c>
      <c r="D890" s="7" t="str">
        <f>IFERROR(VLOOKUP(B890,'Master data'!$A$1:$F$1000,6,FALSE),"")</f>
        <v/>
      </c>
      <c r="F890" s="7" t="str">
        <f>IFERROR(VLOOKUP(B890,'Master data'!$A$1:$F$1000,3,FALSE),"")</f>
        <v/>
      </c>
      <c r="G890" s="100"/>
      <c r="H890" s="100"/>
      <c r="I890" s="16"/>
      <c r="J890" s="16"/>
      <c r="K890" s="16" t="b">
        <v>0</v>
      </c>
      <c r="L890" s="16" t="b">
        <v>0</v>
      </c>
    </row>
    <row r="891">
      <c r="A891" s="107"/>
      <c r="B891" s="16"/>
      <c r="C891" s="7" t="str">
        <f>IFERROR(VLOOKUP(B891,'Master data'!$A$1:$F$1000,2,FALSE),"")</f>
        <v/>
      </c>
      <c r="D891" s="7" t="str">
        <f>IFERROR(VLOOKUP(B891,'Master data'!$A$1:$F$1000,6,FALSE),"")</f>
        <v/>
      </c>
      <c r="F891" s="7" t="str">
        <f>IFERROR(VLOOKUP(B891,'Master data'!$A$1:$F$1000,3,FALSE),"")</f>
        <v/>
      </c>
      <c r="G891" s="100"/>
      <c r="H891" s="100"/>
      <c r="I891" s="16"/>
      <c r="J891" s="16"/>
      <c r="K891" s="16" t="b">
        <v>0</v>
      </c>
      <c r="L891" s="16" t="b">
        <v>0</v>
      </c>
    </row>
    <row r="892">
      <c r="A892" s="107"/>
      <c r="B892" s="16"/>
      <c r="C892" s="7" t="str">
        <f>IFERROR(VLOOKUP(B892,'Master data'!$A$1:$F$1000,2,FALSE),"")</f>
        <v/>
      </c>
      <c r="D892" s="7" t="str">
        <f>IFERROR(VLOOKUP(B892,'Master data'!$A$1:$F$1000,6,FALSE),"")</f>
        <v/>
      </c>
      <c r="F892" s="7" t="str">
        <f>IFERROR(VLOOKUP(B892,'Master data'!$A$1:$F$1000,3,FALSE),"")</f>
        <v/>
      </c>
      <c r="G892" s="100"/>
      <c r="H892" s="100"/>
      <c r="I892" s="16"/>
      <c r="J892" s="16"/>
      <c r="K892" s="16" t="b">
        <v>0</v>
      </c>
      <c r="L892" s="16" t="b">
        <v>0</v>
      </c>
    </row>
    <row r="893">
      <c r="A893" s="107"/>
      <c r="B893" s="16"/>
      <c r="C893" s="7" t="str">
        <f>IFERROR(VLOOKUP(B893,'Master data'!$A$1:$F$1000,2,FALSE),"")</f>
        <v/>
      </c>
      <c r="D893" s="7" t="str">
        <f>IFERROR(VLOOKUP(B893,'Master data'!$A$1:$F$1000,6,FALSE),"")</f>
        <v/>
      </c>
      <c r="F893" s="7" t="str">
        <f>IFERROR(VLOOKUP(B893,'Master data'!$A$1:$F$1000,3,FALSE),"")</f>
        <v/>
      </c>
      <c r="G893" s="100"/>
      <c r="H893" s="100"/>
      <c r="I893" s="16"/>
      <c r="J893" s="16"/>
      <c r="K893" s="16" t="b">
        <v>0</v>
      </c>
      <c r="L893" s="16" t="b">
        <v>0</v>
      </c>
    </row>
    <row r="894">
      <c r="A894" s="107"/>
      <c r="B894" s="16"/>
      <c r="C894" s="7" t="str">
        <f>IFERROR(VLOOKUP(B894,'Master data'!$A$1:$F$1000,2,FALSE),"")</f>
        <v/>
      </c>
      <c r="D894" s="7" t="str">
        <f>IFERROR(VLOOKUP(B894,'Master data'!$A$1:$F$1000,6,FALSE),"")</f>
        <v/>
      </c>
      <c r="F894" s="7" t="str">
        <f>IFERROR(VLOOKUP(B894,'Master data'!$A$1:$F$1000,3,FALSE),"")</f>
        <v/>
      </c>
      <c r="G894" s="100"/>
      <c r="H894" s="100"/>
      <c r="I894" s="16"/>
      <c r="J894" s="16"/>
      <c r="K894" s="16" t="b">
        <v>0</v>
      </c>
      <c r="L894" s="16" t="b">
        <v>0</v>
      </c>
    </row>
    <row r="895">
      <c r="A895" s="107"/>
      <c r="B895" s="16"/>
      <c r="C895" s="7" t="str">
        <f>IFERROR(VLOOKUP(B895,'Master data'!$A$1:$F$1000,2,FALSE),"")</f>
        <v/>
      </c>
      <c r="D895" s="7" t="str">
        <f>IFERROR(VLOOKUP(B895,'Master data'!$A$1:$F$1000,6,FALSE),"")</f>
        <v/>
      </c>
      <c r="F895" s="7" t="str">
        <f>IFERROR(VLOOKUP(B895,'Master data'!$A$1:$F$1000,3,FALSE),"")</f>
        <v/>
      </c>
      <c r="G895" s="100"/>
      <c r="H895" s="100"/>
      <c r="I895" s="16"/>
      <c r="J895" s="16"/>
      <c r="K895" s="16" t="b">
        <v>0</v>
      </c>
      <c r="L895" s="16" t="b">
        <v>0</v>
      </c>
    </row>
    <row r="896">
      <c r="A896" s="107"/>
      <c r="B896" s="16"/>
      <c r="C896" s="7" t="str">
        <f>IFERROR(VLOOKUP(B896,'Master data'!$A$1:$F$1000,2,FALSE),"")</f>
        <v/>
      </c>
      <c r="D896" s="7" t="str">
        <f>IFERROR(VLOOKUP(B896,'Master data'!$A$1:$F$1000,6,FALSE),"")</f>
        <v/>
      </c>
      <c r="F896" s="7" t="str">
        <f>IFERROR(VLOOKUP(B896,'Master data'!$A$1:$F$1000,3,FALSE),"")</f>
        <v/>
      </c>
      <c r="G896" s="100"/>
      <c r="H896" s="100"/>
      <c r="I896" s="16"/>
      <c r="J896" s="16"/>
      <c r="K896" s="16" t="b">
        <v>0</v>
      </c>
      <c r="L896" s="16" t="b">
        <v>0</v>
      </c>
    </row>
    <row r="897">
      <c r="A897" s="107"/>
      <c r="B897" s="16"/>
      <c r="C897" s="7" t="str">
        <f>IFERROR(VLOOKUP(B897,'Master data'!$A$1:$F$1000,2,FALSE),"")</f>
        <v/>
      </c>
      <c r="D897" s="7" t="str">
        <f>IFERROR(VLOOKUP(B897,'Master data'!$A$1:$F$1000,6,FALSE),"")</f>
        <v/>
      </c>
      <c r="F897" s="7" t="str">
        <f>IFERROR(VLOOKUP(B897,'Master data'!$A$1:$F$1000,3,FALSE),"")</f>
        <v/>
      </c>
      <c r="G897" s="100"/>
      <c r="H897" s="100"/>
      <c r="I897" s="16"/>
      <c r="J897" s="16"/>
      <c r="K897" s="16" t="b">
        <v>0</v>
      </c>
      <c r="L897" s="16" t="b">
        <v>0</v>
      </c>
    </row>
    <row r="898">
      <c r="A898" s="107"/>
      <c r="B898" s="16"/>
      <c r="C898" s="7" t="str">
        <f>IFERROR(VLOOKUP(B898,'Master data'!$A$1:$F$1000,2,FALSE),"")</f>
        <v/>
      </c>
      <c r="D898" s="7" t="str">
        <f>IFERROR(VLOOKUP(B898,'Master data'!$A$1:$F$1000,6,FALSE),"")</f>
        <v/>
      </c>
      <c r="F898" s="7" t="str">
        <f>IFERROR(VLOOKUP(B898,'Master data'!$A$1:$F$1000,3,FALSE),"")</f>
        <v/>
      </c>
      <c r="G898" s="100"/>
      <c r="H898" s="100"/>
      <c r="I898" s="16"/>
      <c r="J898" s="16"/>
      <c r="K898" s="16" t="b">
        <v>0</v>
      </c>
      <c r="L898" s="16" t="b">
        <v>0</v>
      </c>
    </row>
    <row r="899">
      <c r="A899" s="107"/>
      <c r="B899" s="16"/>
      <c r="C899" s="7" t="str">
        <f>IFERROR(VLOOKUP(B899,'Master data'!$A$1:$F$1000,2,FALSE),"")</f>
        <v/>
      </c>
      <c r="D899" s="7" t="str">
        <f>IFERROR(VLOOKUP(B899,'Master data'!$A$1:$F$1000,6,FALSE),"")</f>
        <v/>
      </c>
      <c r="F899" s="7" t="str">
        <f>IFERROR(VLOOKUP(B899,'Master data'!$A$1:$F$1000,3,FALSE),"")</f>
        <v/>
      </c>
      <c r="G899" s="100"/>
      <c r="H899" s="100"/>
      <c r="I899" s="16"/>
      <c r="J899" s="16"/>
      <c r="K899" s="16" t="b">
        <v>0</v>
      </c>
      <c r="L899" s="16" t="b">
        <v>0</v>
      </c>
    </row>
    <row r="900">
      <c r="A900" s="107"/>
      <c r="B900" s="16"/>
      <c r="C900" s="7" t="str">
        <f>IFERROR(VLOOKUP(B900,'Master data'!$A$1:$F$1000,2,FALSE),"")</f>
        <v/>
      </c>
      <c r="D900" s="7" t="str">
        <f>IFERROR(VLOOKUP(B900,'Master data'!$A$1:$F$1000,6,FALSE),"")</f>
        <v/>
      </c>
      <c r="F900" s="7" t="str">
        <f>IFERROR(VLOOKUP(B900,'Master data'!$A$1:$F$1000,3,FALSE),"")</f>
        <v/>
      </c>
      <c r="G900" s="100"/>
      <c r="H900" s="100"/>
      <c r="I900" s="16"/>
      <c r="J900" s="16"/>
      <c r="K900" s="16" t="b">
        <v>0</v>
      </c>
      <c r="L900" s="16" t="b">
        <v>0</v>
      </c>
    </row>
    <row r="901">
      <c r="A901" s="107"/>
      <c r="B901" s="16"/>
      <c r="C901" s="7" t="str">
        <f>IFERROR(VLOOKUP(B901,'Master data'!$A$1:$F$1000,2,FALSE),"")</f>
        <v/>
      </c>
      <c r="D901" s="7" t="str">
        <f>IFERROR(VLOOKUP(B901,'Master data'!$A$1:$F$1000,6,FALSE),"")</f>
        <v/>
      </c>
      <c r="F901" s="7" t="str">
        <f>IFERROR(VLOOKUP(B901,'Master data'!$A$1:$F$1000,3,FALSE),"")</f>
        <v/>
      </c>
      <c r="G901" s="100"/>
      <c r="H901" s="100"/>
      <c r="I901" s="16"/>
      <c r="J901" s="16"/>
      <c r="K901" s="16" t="b">
        <v>0</v>
      </c>
      <c r="L901" s="16" t="b">
        <v>0</v>
      </c>
    </row>
    <row r="902">
      <c r="A902" s="107"/>
      <c r="B902" s="16"/>
      <c r="C902" s="7" t="str">
        <f>IFERROR(VLOOKUP(B902,'Master data'!$A$1:$F$1000,2,FALSE),"")</f>
        <v/>
      </c>
      <c r="D902" s="7" t="str">
        <f>IFERROR(VLOOKUP(B902,'Master data'!$A$1:$F$1000,6,FALSE),"")</f>
        <v/>
      </c>
      <c r="F902" s="7" t="str">
        <f>IFERROR(VLOOKUP(B902,'Master data'!$A$1:$F$1000,3,FALSE),"")</f>
        <v/>
      </c>
      <c r="G902" s="100"/>
      <c r="H902" s="100"/>
      <c r="I902" s="16"/>
      <c r="J902" s="16"/>
      <c r="K902" s="16" t="b">
        <v>0</v>
      </c>
      <c r="L902" s="16" t="b">
        <v>0</v>
      </c>
    </row>
    <row r="903">
      <c r="A903" s="107"/>
      <c r="B903" s="16"/>
      <c r="C903" s="7" t="str">
        <f>IFERROR(VLOOKUP(B903,'Master data'!$A$1:$F$1000,2,FALSE),"")</f>
        <v/>
      </c>
      <c r="D903" s="7" t="str">
        <f>IFERROR(VLOOKUP(B903,'Master data'!$A$1:$F$1000,6,FALSE),"")</f>
        <v/>
      </c>
      <c r="F903" s="7" t="str">
        <f>IFERROR(VLOOKUP(B903,'Master data'!$A$1:$F$1000,3,FALSE),"")</f>
        <v/>
      </c>
      <c r="G903" s="100"/>
      <c r="H903" s="100"/>
      <c r="I903" s="16"/>
      <c r="J903" s="16"/>
      <c r="K903" s="16" t="b">
        <v>0</v>
      </c>
      <c r="L903" s="16" t="b">
        <v>0</v>
      </c>
    </row>
    <row r="904">
      <c r="A904" s="107"/>
      <c r="B904" s="16"/>
      <c r="C904" s="7" t="str">
        <f>IFERROR(VLOOKUP(B904,'Master data'!$A$1:$F$1000,2,FALSE),"")</f>
        <v/>
      </c>
      <c r="D904" s="7" t="str">
        <f>IFERROR(VLOOKUP(B904,'Master data'!$A$1:$F$1000,6,FALSE),"")</f>
        <v/>
      </c>
      <c r="F904" s="7" t="str">
        <f>IFERROR(VLOOKUP(B904,'Master data'!$A$1:$F$1000,3,FALSE),"")</f>
        <v/>
      </c>
      <c r="G904" s="100"/>
      <c r="H904" s="100"/>
      <c r="I904" s="16"/>
      <c r="J904" s="16"/>
      <c r="K904" s="16" t="b">
        <v>0</v>
      </c>
      <c r="L904" s="16" t="b">
        <v>0</v>
      </c>
    </row>
    <row r="905">
      <c r="A905" s="107"/>
      <c r="B905" s="16"/>
      <c r="C905" s="7" t="str">
        <f>IFERROR(VLOOKUP(B905,'Master data'!$A$1:$F$1000,2,FALSE),"")</f>
        <v/>
      </c>
      <c r="D905" s="7" t="str">
        <f>IFERROR(VLOOKUP(B905,'Master data'!$A$1:$F$1000,6,FALSE),"")</f>
        <v/>
      </c>
      <c r="F905" s="7" t="str">
        <f>IFERROR(VLOOKUP(B905,'Master data'!$A$1:$F$1000,3,FALSE),"")</f>
        <v/>
      </c>
      <c r="G905" s="100"/>
      <c r="H905" s="100"/>
      <c r="I905" s="16"/>
      <c r="J905" s="16"/>
      <c r="K905" s="16" t="b">
        <v>0</v>
      </c>
      <c r="L905" s="16" t="b">
        <v>0</v>
      </c>
    </row>
    <row r="906">
      <c r="A906" s="107"/>
      <c r="B906" s="16"/>
      <c r="C906" s="7" t="str">
        <f>IFERROR(VLOOKUP(B906,'Master data'!$A$1:$F$1000,2,FALSE),"")</f>
        <v/>
      </c>
      <c r="D906" s="7" t="str">
        <f>IFERROR(VLOOKUP(B906,'Master data'!$A$1:$F$1000,6,FALSE),"")</f>
        <v/>
      </c>
      <c r="F906" s="7" t="str">
        <f>IFERROR(VLOOKUP(B906,'Master data'!$A$1:$F$1000,3,FALSE),"")</f>
        <v/>
      </c>
      <c r="G906" s="100"/>
      <c r="H906" s="100"/>
      <c r="I906" s="16"/>
      <c r="J906" s="16"/>
      <c r="K906" s="16" t="b">
        <v>0</v>
      </c>
      <c r="L906" s="16" t="b">
        <v>0</v>
      </c>
    </row>
    <row r="907">
      <c r="A907" s="107"/>
      <c r="B907" s="16"/>
      <c r="C907" s="7" t="str">
        <f>IFERROR(VLOOKUP(B907,'Master data'!$A$1:$F$1000,2,FALSE),"")</f>
        <v/>
      </c>
      <c r="D907" s="7" t="str">
        <f>IFERROR(VLOOKUP(B907,'Master data'!$A$1:$F$1000,6,FALSE),"")</f>
        <v/>
      </c>
      <c r="F907" s="7" t="str">
        <f>IFERROR(VLOOKUP(B907,'Master data'!$A$1:$F$1000,3,FALSE),"")</f>
        <v/>
      </c>
      <c r="G907" s="100"/>
      <c r="H907" s="100"/>
      <c r="I907" s="16"/>
      <c r="J907" s="16"/>
      <c r="K907" s="16" t="b">
        <v>0</v>
      </c>
      <c r="L907" s="16" t="b">
        <v>0</v>
      </c>
    </row>
    <row r="908">
      <c r="A908" s="107"/>
      <c r="B908" s="16"/>
      <c r="C908" s="7" t="str">
        <f>IFERROR(VLOOKUP(B908,'Master data'!$A$1:$F$1000,2,FALSE),"")</f>
        <v/>
      </c>
      <c r="D908" s="7" t="str">
        <f>IFERROR(VLOOKUP(B908,'Master data'!$A$1:$F$1000,6,FALSE),"")</f>
        <v/>
      </c>
      <c r="F908" s="7" t="str">
        <f>IFERROR(VLOOKUP(B908,'Master data'!$A$1:$F$1000,3,FALSE),"")</f>
        <v/>
      </c>
      <c r="G908" s="100"/>
      <c r="H908" s="100"/>
      <c r="I908" s="16"/>
      <c r="J908" s="16"/>
      <c r="K908" s="16" t="b">
        <v>0</v>
      </c>
      <c r="L908" s="16" t="b">
        <v>0</v>
      </c>
    </row>
    <row r="909">
      <c r="A909" s="107"/>
      <c r="B909" s="16"/>
      <c r="C909" s="7" t="str">
        <f>IFERROR(VLOOKUP(B909,'Master data'!$A$1:$F$1000,2,FALSE),"")</f>
        <v/>
      </c>
      <c r="D909" s="7" t="str">
        <f>IFERROR(VLOOKUP(B909,'Master data'!$A$1:$F$1000,6,FALSE),"")</f>
        <v/>
      </c>
      <c r="F909" s="7" t="str">
        <f>IFERROR(VLOOKUP(B909,'Master data'!$A$1:$F$1000,3,FALSE),"")</f>
        <v/>
      </c>
      <c r="G909" s="100"/>
      <c r="H909" s="100"/>
      <c r="I909" s="16"/>
      <c r="J909" s="16"/>
      <c r="K909" s="16" t="b">
        <v>0</v>
      </c>
      <c r="L909" s="16" t="b">
        <v>0</v>
      </c>
    </row>
    <row r="910">
      <c r="A910" s="107"/>
      <c r="B910" s="16"/>
      <c r="C910" s="7" t="str">
        <f>IFERROR(VLOOKUP(B910,'Master data'!$A$1:$F$1000,2,FALSE),"")</f>
        <v/>
      </c>
      <c r="D910" s="7" t="str">
        <f>IFERROR(VLOOKUP(B910,'Master data'!$A$1:$F$1000,6,FALSE),"")</f>
        <v/>
      </c>
      <c r="F910" s="7" t="str">
        <f>IFERROR(VLOOKUP(B910,'Master data'!$A$1:$F$1000,3,FALSE),"")</f>
        <v/>
      </c>
      <c r="G910" s="100"/>
      <c r="H910" s="100"/>
      <c r="I910" s="16"/>
      <c r="J910" s="16"/>
      <c r="K910" s="16" t="b">
        <v>0</v>
      </c>
      <c r="L910" s="16" t="b">
        <v>0</v>
      </c>
    </row>
    <row r="911">
      <c r="A911" s="107"/>
      <c r="B911" s="16"/>
      <c r="C911" s="7" t="str">
        <f>IFERROR(VLOOKUP(B911,'Master data'!$A$1:$F$1000,2,FALSE),"")</f>
        <v/>
      </c>
      <c r="D911" s="7" t="str">
        <f>IFERROR(VLOOKUP(B911,'Master data'!$A$1:$F$1000,6,FALSE),"")</f>
        <v/>
      </c>
      <c r="F911" s="7" t="str">
        <f>IFERROR(VLOOKUP(B911,'Master data'!$A$1:$F$1000,3,FALSE),"")</f>
        <v/>
      </c>
      <c r="G911" s="100"/>
      <c r="H911" s="100"/>
      <c r="I911" s="16"/>
      <c r="J911" s="16"/>
      <c r="K911" s="16" t="b">
        <v>0</v>
      </c>
      <c r="L911" s="16" t="b">
        <v>0</v>
      </c>
    </row>
    <row r="912">
      <c r="A912" s="107"/>
      <c r="B912" s="16"/>
      <c r="C912" s="7" t="str">
        <f>IFERROR(VLOOKUP(B912,'Master data'!$A$1:$F$1000,2,FALSE),"")</f>
        <v/>
      </c>
      <c r="D912" s="7" t="str">
        <f>IFERROR(VLOOKUP(B912,'Master data'!$A$1:$F$1000,6,FALSE),"")</f>
        <v/>
      </c>
      <c r="F912" s="7" t="str">
        <f>IFERROR(VLOOKUP(B912,'Master data'!$A$1:$F$1000,3,FALSE),"")</f>
        <v/>
      </c>
      <c r="G912" s="100"/>
      <c r="H912" s="100"/>
      <c r="I912" s="16"/>
      <c r="J912" s="16"/>
      <c r="K912" s="16" t="b">
        <v>0</v>
      </c>
      <c r="L912" s="16" t="b">
        <v>0</v>
      </c>
    </row>
    <row r="913">
      <c r="A913" s="107"/>
      <c r="B913" s="16"/>
      <c r="C913" s="7" t="str">
        <f>IFERROR(VLOOKUP(B913,'Master data'!$A$1:$F$1000,2,FALSE),"")</f>
        <v/>
      </c>
      <c r="D913" s="7" t="str">
        <f>IFERROR(VLOOKUP(B913,'Master data'!$A$1:$F$1000,6,FALSE),"")</f>
        <v/>
      </c>
      <c r="F913" s="7" t="str">
        <f>IFERROR(VLOOKUP(B913,'Master data'!$A$1:$F$1000,3,FALSE),"")</f>
        <v/>
      </c>
      <c r="G913" s="100"/>
      <c r="H913" s="100"/>
      <c r="I913" s="16"/>
      <c r="J913" s="16"/>
      <c r="K913" s="16" t="b">
        <v>0</v>
      </c>
      <c r="L913" s="16" t="b">
        <v>0</v>
      </c>
    </row>
    <row r="914">
      <c r="A914" s="107"/>
      <c r="B914" s="16"/>
      <c r="C914" s="7" t="str">
        <f>IFERROR(VLOOKUP(B914,'Master data'!$A$1:$F$1000,2,FALSE),"")</f>
        <v/>
      </c>
      <c r="D914" s="7" t="str">
        <f>IFERROR(VLOOKUP(B914,'Master data'!$A$1:$F$1000,6,FALSE),"")</f>
        <v/>
      </c>
      <c r="F914" s="7" t="str">
        <f>IFERROR(VLOOKUP(B914,'Master data'!$A$1:$F$1000,3,FALSE),"")</f>
        <v/>
      </c>
      <c r="G914" s="100"/>
      <c r="H914" s="100"/>
      <c r="I914" s="16"/>
      <c r="J914" s="16"/>
      <c r="K914" s="16" t="b">
        <v>0</v>
      </c>
      <c r="L914" s="16" t="b">
        <v>0</v>
      </c>
    </row>
    <row r="915">
      <c r="A915" s="107"/>
      <c r="B915" s="16"/>
      <c r="C915" s="7" t="str">
        <f>IFERROR(VLOOKUP(B915,'Master data'!$A$1:$F$1000,2,FALSE),"")</f>
        <v/>
      </c>
      <c r="D915" s="7" t="str">
        <f>IFERROR(VLOOKUP(B915,'Master data'!$A$1:$F$1000,6,FALSE),"")</f>
        <v/>
      </c>
      <c r="F915" s="7" t="str">
        <f>IFERROR(VLOOKUP(B915,'Master data'!$A$1:$F$1000,3,FALSE),"")</f>
        <v/>
      </c>
      <c r="G915" s="100"/>
      <c r="H915" s="100"/>
      <c r="I915" s="16"/>
      <c r="J915" s="16"/>
      <c r="K915" s="16" t="b">
        <v>0</v>
      </c>
      <c r="L915" s="16" t="b">
        <v>0</v>
      </c>
    </row>
    <row r="916">
      <c r="A916" s="107"/>
      <c r="B916" s="16"/>
      <c r="C916" s="7" t="str">
        <f>IFERROR(VLOOKUP(B916,'Master data'!$A$1:$F$1000,2,FALSE),"")</f>
        <v/>
      </c>
      <c r="D916" s="7" t="str">
        <f>IFERROR(VLOOKUP(B916,'Master data'!$A$1:$F$1000,6,FALSE),"")</f>
        <v/>
      </c>
      <c r="F916" s="7" t="str">
        <f>IFERROR(VLOOKUP(B916,'Master data'!$A$1:$F$1000,3,FALSE),"")</f>
        <v/>
      </c>
      <c r="G916" s="100"/>
      <c r="H916" s="100"/>
      <c r="I916" s="16"/>
      <c r="J916" s="16"/>
      <c r="K916" s="16" t="b">
        <v>0</v>
      </c>
      <c r="L916" s="16" t="b">
        <v>0</v>
      </c>
    </row>
    <row r="917">
      <c r="A917" s="107"/>
      <c r="B917" s="16"/>
      <c r="C917" s="7" t="str">
        <f>IFERROR(VLOOKUP(B917,'Master data'!$A$1:$F$1000,2,FALSE),"")</f>
        <v/>
      </c>
      <c r="D917" s="7" t="str">
        <f>IFERROR(VLOOKUP(B917,'Master data'!$A$1:$F$1000,6,FALSE),"")</f>
        <v/>
      </c>
      <c r="F917" s="7" t="str">
        <f>IFERROR(VLOOKUP(B917,'Master data'!$A$1:$F$1000,3,FALSE),"")</f>
        <v/>
      </c>
      <c r="G917" s="100"/>
      <c r="H917" s="100"/>
      <c r="I917" s="16"/>
      <c r="J917" s="16"/>
      <c r="K917" s="16" t="b">
        <v>0</v>
      </c>
      <c r="L917" s="16" t="b">
        <v>0</v>
      </c>
    </row>
    <row r="918">
      <c r="A918" s="107"/>
      <c r="B918" s="16"/>
      <c r="C918" s="7" t="str">
        <f>IFERROR(VLOOKUP(B918,'Master data'!$A$1:$F$1000,2,FALSE),"")</f>
        <v/>
      </c>
      <c r="D918" s="7" t="str">
        <f>IFERROR(VLOOKUP(B918,'Master data'!$A$1:$F$1000,6,FALSE),"")</f>
        <v/>
      </c>
      <c r="F918" s="7" t="str">
        <f>IFERROR(VLOOKUP(B918,'Master data'!$A$1:$F$1000,3,FALSE),"")</f>
        <v/>
      </c>
      <c r="G918" s="100"/>
      <c r="H918" s="100"/>
      <c r="I918" s="16"/>
      <c r="J918" s="16"/>
      <c r="K918" s="16" t="b">
        <v>0</v>
      </c>
      <c r="L918" s="16" t="b">
        <v>0</v>
      </c>
    </row>
    <row r="919">
      <c r="A919" s="107"/>
      <c r="B919" s="16"/>
      <c r="C919" s="7" t="str">
        <f>IFERROR(VLOOKUP(B919,'Master data'!$A$1:$F$1000,2,FALSE),"")</f>
        <v/>
      </c>
      <c r="D919" s="7" t="str">
        <f>IFERROR(VLOOKUP(B919,'Master data'!$A$1:$F$1000,6,FALSE),"")</f>
        <v/>
      </c>
      <c r="F919" s="7" t="str">
        <f>IFERROR(VLOOKUP(B919,'Master data'!$A$1:$F$1000,3,FALSE),"")</f>
        <v/>
      </c>
      <c r="G919" s="100"/>
      <c r="H919" s="100"/>
      <c r="I919" s="16"/>
      <c r="J919" s="16"/>
      <c r="K919" s="16" t="b">
        <v>0</v>
      </c>
      <c r="L919" s="16" t="b">
        <v>0</v>
      </c>
    </row>
    <row r="920">
      <c r="A920" s="107"/>
      <c r="B920" s="16"/>
      <c r="C920" s="7" t="str">
        <f>IFERROR(VLOOKUP(B920,'Master data'!$A$1:$F$1000,2,FALSE),"")</f>
        <v/>
      </c>
      <c r="D920" s="7" t="str">
        <f>IFERROR(VLOOKUP(B920,'Master data'!$A$1:$F$1000,6,FALSE),"")</f>
        <v/>
      </c>
      <c r="F920" s="7" t="str">
        <f>IFERROR(VLOOKUP(B920,'Master data'!$A$1:$F$1000,3,FALSE),"")</f>
        <v/>
      </c>
      <c r="G920" s="100"/>
      <c r="H920" s="100"/>
      <c r="I920" s="16"/>
      <c r="J920" s="16"/>
      <c r="K920" s="16" t="b">
        <v>0</v>
      </c>
      <c r="L920" s="16" t="b">
        <v>0</v>
      </c>
    </row>
    <row r="921">
      <c r="A921" s="107"/>
      <c r="B921" s="16"/>
      <c r="C921" s="7" t="str">
        <f>IFERROR(VLOOKUP(B921,'Master data'!$A$1:$F$1000,2,FALSE),"")</f>
        <v/>
      </c>
      <c r="D921" s="7" t="str">
        <f>IFERROR(VLOOKUP(B921,'Master data'!$A$1:$F$1000,6,FALSE),"")</f>
        <v/>
      </c>
      <c r="F921" s="7" t="str">
        <f>IFERROR(VLOOKUP(B921,'Master data'!$A$1:$F$1000,3,FALSE),"")</f>
        <v/>
      </c>
      <c r="G921" s="100"/>
      <c r="H921" s="100"/>
      <c r="I921" s="16"/>
      <c r="J921" s="16"/>
      <c r="K921" s="16" t="b">
        <v>0</v>
      </c>
      <c r="L921" s="16" t="b">
        <v>0</v>
      </c>
    </row>
    <row r="922">
      <c r="A922" s="107"/>
      <c r="B922" s="16"/>
      <c r="C922" s="7" t="str">
        <f>IFERROR(VLOOKUP(B922,'Master data'!$A$1:$F$1000,2,FALSE),"")</f>
        <v/>
      </c>
      <c r="D922" s="7" t="str">
        <f>IFERROR(VLOOKUP(B922,'Master data'!$A$1:$F$1000,6,FALSE),"")</f>
        <v/>
      </c>
      <c r="F922" s="7" t="str">
        <f>IFERROR(VLOOKUP(B922,'Master data'!$A$1:$F$1000,3,FALSE),"")</f>
        <v/>
      </c>
      <c r="G922" s="100"/>
      <c r="H922" s="100"/>
      <c r="I922" s="16"/>
      <c r="J922" s="16"/>
      <c r="K922" s="16" t="b">
        <v>0</v>
      </c>
      <c r="L922" s="16" t="b">
        <v>0</v>
      </c>
    </row>
    <row r="923">
      <c r="A923" s="107"/>
      <c r="B923" s="16"/>
      <c r="C923" s="7" t="str">
        <f>IFERROR(VLOOKUP(B923,'Master data'!$A$1:$F$1000,2,FALSE),"")</f>
        <v/>
      </c>
      <c r="D923" s="7" t="str">
        <f>IFERROR(VLOOKUP(B923,'Master data'!$A$1:$F$1000,6,FALSE),"")</f>
        <v/>
      </c>
      <c r="F923" s="7" t="str">
        <f>IFERROR(VLOOKUP(B923,'Master data'!$A$1:$F$1000,3,FALSE),"")</f>
        <v/>
      </c>
      <c r="G923" s="100"/>
      <c r="H923" s="100"/>
      <c r="I923" s="16"/>
      <c r="J923" s="16"/>
      <c r="K923" s="16" t="b">
        <v>0</v>
      </c>
      <c r="L923" s="16" t="b">
        <v>0</v>
      </c>
    </row>
    <row r="924">
      <c r="A924" s="107"/>
      <c r="B924" s="16"/>
      <c r="C924" s="7" t="str">
        <f>IFERROR(VLOOKUP(B924,'Master data'!$A$1:$F$1000,2,FALSE),"")</f>
        <v/>
      </c>
      <c r="D924" s="7" t="str">
        <f>IFERROR(VLOOKUP(B924,'Master data'!$A$1:$F$1000,6,FALSE),"")</f>
        <v/>
      </c>
      <c r="F924" s="7" t="str">
        <f>IFERROR(VLOOKUP(B924,'Master data'!$A$1:$F$1000,3,FALSE),"")</f>
        <v/>
      </c>
      <c r="G924" s="100"/>
      <c r="H924" s="100"/>
      <c r="I924" s="16"/>
      <c r="J924" s="16"/>
      <c r="K924" s="16" t="b">
        <v>0</v>
      </c>
      <c r="L924" s="16" t="b">
        <v>0</v>
      </c>
    </row>
    <row r="925">
      <c r="A925" s="107"/>
      <c r="B925" s="16"/>
      <c r="C925" s="7" t="str">
        <f>IFERROR(VLOOKUP(B925,'Master data'!$A$1:$F$1000,2,FALSE),"")</f>
        <v/>
      </c>
      <c r="D925" s="7" t="str">
        <f>IFERROR(VLOOKUP(B925,'Master data'!$A$1:$F$1000,6,FALSE),"")</f>
        <v/>
      </c>
      <c r="F925" s="7" t="str">
        <f>IFERROR(VLOOKUP(B925,'Master data'!$A$1:$F$1000,3,FALSE),"")</f>
        <v/>
      </c>
      <c r="G925" s="100"/>
      <c r="H925" s="100"/>
      <c r="I925" s="16"/>
      <c r="J925" s="16"/>
      <c r="K925" s="16" t="b">
        <v>0</v>
      </c>
      <c r="L925" s="16" t="b">
        <v>0</v>
      </c>
    </row>
    <row r="926">
      <c r="A926" s="107"/>
      <c r="B926" s="16"/>
      <c r="C926" s="7" t="str">
        <f>IFERROR(VLOOKUP(B926,'Master data'!$A$1:$F$1000,2,FALSE),"")</f>
        <v/>
      </c>
      <c r="D926" s="7" t="str">
        <f>IFERROR(VLOOKUP(B926,'Master data'!$A$1:$F$1000,6,FALSE),"")</f>
        <v/>
      </c>
      <c r="F926" s="7" t="str">
        <f>IFERROR(VLOOKUP(B926,'Master data'!$A$1:$F$1000,3,FALSE),"")</f>
        <v/>
      </c>
      <c r="G926" s="100"/>
      <c r="H926" s="100"/>
      <c r="I926" s="16"/>
      <c r="J926" s="16"/>
      <c r="K926" s="16" t="b">
        <v>0</v>
      </c>
      <c r="L926" s="16" t="b">
        <v>0</v>
      </c>
    </row>
    <row r="927">
      <c r="A927" s="107"/>
      <c r="B927" s="16"/>
      <c r="C927" s="7" t="str">
        <f>IFERROR(VLOOKUP(B927,'Master data'!$A$1:$F$1000,2,FALSE),"")</f>
        <v/>
      </c>
      <c r="D927" s="7" t="str">
        <f>IFERROR(VLOOKUP(B927,'Master data'!$A$1:$F$1000,6,FALSE),"")</f>
        <v/>
      </c>
      <c r="F927" s="7" t="str">
        <f>IFERROR(VLOOKUP(B927,'Master data'!$A$1:$F$1000,3,FALSE),"")</f>
        <v/>
      </c>
      <c r="G927" s="100"/>
      <c r="H927" s="100"/>
      <c r="I927" s="16"/>
      <c r="J927" s="16"/>
      <c r="K927" s="16" t="b">
        <v>0</v>
      </c>
      <c r="L927" s="16" t="b">
        <v>0</v>
      </c>
    </row>
    <row r="928">
      <c r="A928" s="107"/>
      <c r="B928" s="16"/>
      <c r="C928" s="7" t="str">
        <f>IFERROR(VLOOKUP(B928,'Master data'!$A$1:$F$1000,2,FALSE),"")</f>
        <v/>
      </c>
      <c r="D928" s="7" t="str">
        <f>IFERROR(VLOOKUP(B928,'Master data'!$A$1:$F$1000,6,FALSE),"")</f>
        <v/>
      </c>
      <c r="F928" s="7" t="str">
        <f>IFERROR(VLOOKUP(B928,'Master data'!$A$1:$F$1000,3,FALSE),"")</f>
        <v/>
      </c>
      <c r="G928" s="100"/>
      <c r="H928" s="100"/>
      <c r="I928" s="16"/>
      <c r="J928" s="16"/>
      <c r="K928" s="16" t="b">
        <v>0</v>
      </c>
      <c r="L928" s="16" t="b">
        <v>0</v>
      </c>
    </row>
    <row r="929">
      <c r="A929" s="107"/>
      <c r="B929" s="16"/>
      <c r="C929" s="7" t="str">
        <f>IFERROR(VLOOKUP(B929,'Master data'!$A$1:$F$1000,2,FALSE),"")</f>
        <v/>
      </c>
      <c r="D929" s="7" t="str">
        <f>IFERROR(VLOOKUP(B929,'Master data'!$A$1:$F$1000,6,FALSE),"")</f>
        <v/>
      </c>
      <c r="F929" s="7" t="str">
        <f>IFERROR(VLOOKUP(B929,'Master data'!$A$1:$F$1000,3,FALSE),"")</f>
        <v/>
      </c>
      <c r="G929" s="100"/>
      <c r="H929" s="100"/>
      <c r="I929" s="16"/>
      <c r="J929" s="16"/>
      <c r="K929" s="16" t="b">
        <v>0</v>
      </c>
      <c r="L929" s="16" t="b">
        <v>0</v>
      </c>
    </row>
    <row r="930">
      <c r="A930" s="107"/>
      <c r="B930" s="16"/>
      <c r="C930" s="7" t="str">
        <f>IFERROR(VLOOKUP(B930,'Master data'!$A$1:$F$1000,2,FALSE),"")</f>
        <v/>
      </c>
      <c r="D930" s="7" t="str">
        <f>IFERROR(VLOOKUP(B930,'Master data'!$A$1:$F$1000,6,FALSE),"")</f>
        <v/>
      </c>
      <c r="F930" s="7" t="str">
        <f>IFERROR(VLOOKUP(B930,'Master data'!$A$1:$F$1000,3,FALSE),"")</f>
        <v/>
      </c>
      <c r="G930" s="100"/>
      <c r="H930" s="100"/>
      <c r="I930" s="16"/>
      <c r="J930" s="16"/>
      <c r="K930" s="16" t="b">
        <v>0</v>
      </c>
      <c r="L930" s="16" t="b">
        <v>0</v>
      </c>
    </row>
    <row r="931">
      <c r="A931" s="107"/>
      <c r="B931" s="16"/>
      <c r="C931" s="7" t="str">
        <f>IFERROR(VLOOKUP(B931,'Master data'!$A$1:$F$1000,2,FALSE),"")</f>
        <v/>
      </c>
      <c r="D931" s="7" t="str">
        <f>IFERROR(VLOOKUP(B931,'Master data'!$A$1:$F$1000,6,FALSE),"")</f>
        <v/>
      </c>
      <c r="F931" s="7" t="str">
        <f>IFERROR(VLOOKUP(B931,'Master data'!$A$1:$F$1000,3,FALSE),"")</f>
        <v/>
      </c>
      <c r="G931" s="100"/>
      <c r="H931" s="100"/>
      <c r="I931" s="16"/>
      <c r="J931" s="16"/>
      <c r="K931" s="16" t="b">
        <v>0</v>
      </c>
      <c r="L931" s="16" t="b">
        <v>0</v>
      </c>
    </row>
    <row r="932">
      <c r="A932" s="107"/>
      <c r="B932" s="16"/>
      <c r="C932" s="7" t="str">
        <f>IFERROR(VLOOKUP(B932,'Master data'!$A$1:$F$1000,2,FALSE),"")</f>
        <v/>
      </c>
      <c r="D932" s="7" t="str">
        <f>IFERROR(VLOOKUP(B932,'Master data'!$A$1:$F$1000,6,FALSE),"")</f>
        <v/>
      </c>
      <c r="F932" s="7" t="str">
        <f>IFERROR(VLOOKUP(B932,'Master data'!$A$1:$F$1000,3,FALSE),"")</f>
        <v/>
      </c>
      <c r="G932" s="100"/>
      <c r="H932" s="100"/>
      <c r="I932" s="16"/>
      <c r="J932" s="16"/>
      <c r="K932" s="16" t="b">
        <v>0</v>
      </c>
      <c r="L932" s="16" t="b">
        <v>0</v>
      </c>
    </row>
    <row r="933">
      <c r="A933" s="107"/>
      <c r="B933" s="16"/>
      <c r="C933" s="7" t="str">
        <f>IFERROR(VLOOKUP(B933,'Master data'!$A$1:$F$1000,2,FALSE),"")</f>
        <v/>
      </c>
      <c r="D933" s="7" t="str">
        <f>IFERROR(VLOOKUP(B933,'Master data'!$A$1:$F$1000,6,FALSE),"")</f>
        <v/>
      </c>
      <c r="F933" s="7" t="str">
        <f>IFERROR(VLOOKUP(B933,'Master data'!$A$1:$F$1000,3,FALSE),"")</f>
        <v/>
      </c>
      <c r="G933" s="100"/>
      <c r="H933" s="100"/>
      <c r="I933" s="16"/>
      <c r="J933" s="16"/>
      <c r="K933" s="16" t="b">
        <v>0</v>
      </c>
      <c r="L933" s="16" t="b">
        <v>0</v>
      </c>
    </row>
    <row r="934">
      <c r="A934" s="107"/>
      <c r="B934" s="16"/>
      <c r="C934" s="7" t="str">
        <f>IFERROR(VLOOKUP(B934,'Master data'!$A$1:$F$1000,2,FALSE),"")</f>
        <v/>
      </c>
      <c r="D934" s="7" t="str">
        <f>IFERROR(VLOOKUP(B934,'Master data'!$A$1:$F$1000,6,FALSE),"")</f>
        <v/>
      </c>
      <c r="F934" s="7" t="str">
        <f>IFERROR(VLOOKUP(B934,'Master data'!$A$1:$F$1000,3,FALSE),"")</f>
        <v/>
      </c>
      <c r="G934" s="100"/>
      <c r="H934" s="100"/>
      <c r="I934" s="16"/>
      <c r="J934" s="16"/>
      <c r="K934" s="16" t="b">
        <v>0</v>
      </c>
      <c r="L934" s="16" t="b">
        <v>0</v>
      </c>
    </row>
    <row r="935">
      <c r="A935" s="107"/>
      <c r="B935" s="16"/>
      <c r="C935" s="7" t="str">
        <f>IFERROR(VLOOKUP(B935,'Master data'!$A$1:$F$1000,2,FALSE),"")</f>
        <v/>
      </c>
      <c r="D935" s="7" t="str">
        <f>IFERROR(VLOOKUP(B935,'Master data'!$A$1:$F$1000,6,FALSE),"")</f>
        <v/>
      </c>
      <c r="F935" s="7" t="str">
        <f>IFERROR(VLOOKUP(B935,'Master data'!$A$1:$F$1000,3,FALSE),"")</f>
        <v/>
      </c>
      <c r="G935" s="100"/>
      <c r="H935" s="100"/>
      <c r="I935" s="16"/>
      <c r="J935" s="16"/>
      <c r="K935" s="16" t="b">
        <v>0</v>
      </c>
      <c r="L935" s="16" t="b">
        <v>0</v>
      </c>
    </row>
    <row r="936">
      <c r="A936" s="107"/>
      <c r="B936" s="16"/>
      <c r="C936" s="7" t="str">
        <f>IFERROR(VLOOKUP(B936,'Master data'!$A$1:$F$1000,2,FALSE),"")</f>
        <v/>
      </c>
      <c r="D936" s="7" t="str">
        <f>IFERROR(VLOOKUP(B936,'Master data'!$A$1:$F$1000,6,FALSE),"")</f>
        <v/>
      </c>
      <c r="F936" s="7" t="str">
        <f>IFERROR(VLOOKUP(B936,'Master data'!$A$1:$F$1000,3,FALSE),"")</f>
        <v/>
      </c>
      <c r="G936" s="100"/>
      <c r="H936" s="100"/>
      <c r="I936" s="16"/>
      <c r="J936" s="16"/>
      <c r="K936" s="16" t="b">
        <v>0</v>
      </c>
      <c r="L936" s="16" t="b">
        <v>0</v>
      </c>
    </row>
    <row r="937">
      <c r="A937" s="107"/>
      <c r="B937" s="16"/>
      <c r="C937" s="7" t="str">
        <f>IFERROR(VLOOKUP(B937,'Master data'!$A$1:$F$1000,2,FALSE),"")</f>
        <v/>
      </c>
      <c r="D937" s="7" t="str">
        <f>IFERROR(VLOOKUP(B937,'Master data'!$A$1:$F$1000,6,FALSE),"")</f>
        <v/>
      </c>
      <c r="F937" s="7" t="str">
        <f>IFERROR(VLOOKUP(B937,'Master data'!$A$1:$F$1000,3,FALSE),"")</f>
        <v/>
      </c>
      <c r="G937" s="100"/>
      <c r="H937" s="100"/>
      <c r="I937" s="16"/>
      <c r="J937" s="16"/>
      <c r="K937" s="16" t="b">
        <v>0</v>
      </c>
      <c r="L937" s="16" t="b">
        <v>0</v>
      </c>
    </row>
    <row r="938">
      <c r="A938" s="107"/>
      <c r="B938" s="16"/>
      <c r="C938" s="7" t="str">
        <f>IFERROR(VLOOKUP(B938,'Master data'!$A$1:$F$1000,2,FALSE),"")</f>
        <v/>
      </c>
      <c r="D938" s="7" t="str">
        <f>IFERROR(VLOOKUP(B938,'Master data'!$A$1:$F$1000,6,FALSE),"")</f>
        <v/>
      </c>
      <c r="F938" s="7" t="str">
        <f>IFERROR(VLOOKUP(B938,'Master data'!$A$1:$F$1000,3,FALSE),"")</f>
        <v/>
      </c>
      <c r="G938" s="100"/>
      <c r="H938" s="100"/>
      <c r="I938" s="16"/>
      <c r="J938" s="16"/>
      <c r="K938" s="16" t="b">
        <v>0</v>
      </c>
      <c r="L938" s="16" t="b">
        <v>0</v>
      </c>
    </row>
    <row r="939">
      <c r="A939" s="107"/>
      <c r="B939" s="16"/>
      <c r="C939" s="7" t="str">
        <f>IFERROR(VLOOKUP(B939,'Master data'!$A$1:$F$1000,2,FALSE),"")</f>
        <v/>
      </c>
      <c r="D939" s="7" t="str">
        <f>IFERROR(VLOOKUP(B939,'Master data'!$A$1:$F$1000,6,FALSE),"")</f>
        <v/>
      </c>
      <c r="F939" s="7" t="str">
        <f>IFERROR(VLOOKUP(B939,'Master data'!$A$1:$F$1000,3,FALSE),"")</f>
        <v/>
      </c>
      <c r="G939" s="100"/>
      <c r="H939" s="100"/>
      <c r="I939" s="16"/>
      <c r="J939" s="16"/>
      <c r="K939" s="16" t="b">
        <v>0</v>
      </c>
      <c r="L939" s="16" t="b">
        <v>0</v>
      </c>
    </row>
    <row r="940">
      <c r="A940" s="107"/>
      <c r="B940" s="16"/>
      <c r="C940" s="7" t="str">
        <f>IFERROR(VLOOKUP(B940,'Master data'!$A$1:$F$1000,2,FALSE),"")</f>
        <v/>
      </c>
      <c r="D940" s="7" t="str">
        <f>IFERROR(VLOOKUP(B940,'Master data'!$A$1:$F$1000,6,FALSE),"")</f>
        <v/>
      </c>
      <c r="F940" s="7" t="str">
        <f>IFERROR(VLOOKUP(B940,'Master data'!$A$1:$F$1000,3,FALSE),"")</f>
        <v/>
      </c>
      <c r="G940" s="100"/>
      <c r="H940" s="100"/>
      <c r="I940" s="16"/>
      <c r="J940" s="16"/>
      <c r="K940" s="16" t="b">
        <v>0</v>
      </c>
      <c r="L940" s="16" t="b">
        <v>0</v>
      </c>
    </row>
    <row r="941">
      <c r="A941" s="107"/>
      <c r="B941" s="16"/>
      <c r="C941" s="7" t="str">
        <f>IFERROR(VLOOKUP(B941,'Master data'!$A$1:$F$1000,2,FALSE),"")</f>
        <v/>
      </c>
      <c r="D941" s="7" t="str">
        <f>IFERROR(VLOOKUP(B941,'Master data'!$A$1:$F$1000,6,FALSE),"")</f>
        <v/>
      </c>
      <c r="F941" s="7" t="str">
        <f>IFERROR(VLOOKUP(B941,'Master data'!$A$1:$F$1000,3,FALSE),"")</f>
        <v/>
      </c>
      <c r="G941" s="100"/>
      <c r="H941" s="100"/>
      <c r="I941" s="16"/>
      <c r="J941" s="16"/>
      <c r="K941" s="16" t="b">
        <v>0</v>
      </c>
      <c r="L941" s="16" t="b">
        <v>0</v>
      </c>
    </row>
    <row r="942">
      <c r="A942" s="107"/>
      <c r="B942" s="16"/>
      <c r="C942" s="7" t="str">
        <f>IFERROR(VLOOKUP(B942,'Master data'!$A$1:$F$1000,2,FALSE),"")</f>
        <v/>
      </c>
      <c r="D942" s="7" t="str">
        <f>IFERROR(VLOOKUP(B942,'Master data'!$A$1:$F$1000,6,FALSE),"")</f>
        <v/>
      </c>
      <c r="F942" s="7" t="str">
        <f>IFERROR(VLOOKUP(B942,'Master data'!$A$1:$F$1000,3,FALSE),"")</f>
        <v/>
      </c>
      <c r="G942" s="100"/>
      <c r="H942" s="100"/>
      <c r="I942" s="16"/>
      <c r="J942" s="16"/>
      <c r="K942" s="16" t="b">
        <v>0</v>
      </c>
      <c r="L942" s="16" t="b">
        <v>0</v>
      </c>
    </row>
    <row r="943">
      <c r="A943" s="107"/>
      <c r="B943" s="16"/>
      <c r="C943" s="7" t="str">
        <f>IFERROR(VLOOKUP(B943,'Master data'!$A$1:$F$1000,2,FALSE),"")</f>
        <v/>
      </c>
      <c r="D943" s="7" t="str">
        <f>IFERROR(VLOOKUP(B943,'Master data'!$A$1:$F$1000,6,FALSE),"")</f>
        <v/>
      </c>
      <c r="F943" s="7" t="str">
        <f>IFERROR(VLOOKUP(B943,'Master data'!$A$1:$F$1000,3,FALSE),"")</f>
        <v/>
      </c>
      <c r="G943" s="100"/>
      <c r="H943" s="100"/>
      <c r="I943" s="16"/>
      <c r="J943" s="16"/>
      <c r="K943" s="16" t="b">
        <v>0</v>
      </c>
      <c r="L943" s="16" t="b">
        <v>0</v>
      </c>
    </row>
    <row r="944">
      <c r="A944" s="107"/>
      <c r="B944" s="16"/>
      <c r="C944" s="7" t="str">
        <f>IFERROR(VLOOKUP(B944,'Master data'!$A$1:$F$1000,2,FALSE),"")</f>
        <v/>
      </c>
      <c r="D944" s="7" t="str">
        <f>IFERROR(VLOOKUP(B944,'Master data'!$A$1:$F$1000,6,FALSE),"")</f>
        <v/>
      </c>
      <c r="F944" s="7" t="str">
        <f>IFERROR(VLOOKUP(B944,'Master data'!$A$1:$F$1000,3,FALSE),"")</f>
        <v/>
      </c>
      <c r="G944" s="100"/>
      <c r="H944" s="100"/>
      <c r="I944" s="16"/>
      <c r="J944" s="16"/>
      <c r="K944" s="16" t="b">
        <v>0</v>
      </c>
      <c r="L944" s="16" t="b">
        <v>0</v>
      </c>
    </row>
    <row r="945">
      <c r="A945" s="107"/>
      <c r="B945" s="16"/>
      <c r="C945" s="7" t="str">
        <f>IFERROR(VLOOKUP(B945,'Master data'!$A$1:$F$1000,2,FALSE),"")</f>
        <v/>
      </c>
      <c r="D945" s="7" t="str">
        <f>IFERROR(VLOOKUP(B945,'Master data'!$A$1:$F$1000,6,FALSE),"")</f>
        <v/>
      </c>
      <c r="F945" s="7" t="str">
        <f>IFERROR(VLOOKUP(B945,'Master data'!$A$1:$F$1000,3,FALSE),"")</f>
        <v/>
      </c>
      <c r="G945" s="100"/>
      <c r="H945" s="100"/>
      <c r="I945" s="16"/>
      <c r="J945" s="16"/>
      <c r="K945" s="16" t="b">
        <v>0</v>
      </c>
      <c r="L945" s="16" t="b">
        <v>0</v>
      </c>
    </row>
    <row r="946">
      <c r="A946" s="107"/>
      <c r="B946" s="16"/>
      <c r="C946" s="7" t="str">
        <f>IFERROR(VLOOKUP(B946,'Master data'!$A$1:$F$1000,2,FALSE),"")</f>
        <v/>
      </c>
      <c r="D946" s="7" t="str">
        <f>IFERROR(VLOOKUP(B946,'Master data'!$A$1:$F$1000,6,FALSE),"")</f>
        <v/>
      </c>
      <c r="F946" s="7" t="str">
        <f>IFERROR(VLOOKUP(B946,'Master data'!$A$1:$F$1000,3,FALSE),"")</f>
        <v/>
      </c>
      <c r="G946" s="100"/>
      <c r="H946" s="100"/>
      <c r="I946" s="16"/>
      <c r="J946" s="16"/>
      <c r="K946" s="16" t="b">
        <v>0</v>
      </c>
      <c r="L946" s="16" t="b">
        <v>0</v>
      </c>
    </row>
    <row r="947">
      <c r="A947" s="107"/>
      <c r="B947" s="16"/>
      <c r="C947" s="7" t="str">
        <f>IFERROR(VLOOKUP(B947,'Master data'!$A$1:$F$1000,2,FALSE),"")</f>
        <v/>
      </c>
      <c r="D947" s="7" t="str">
        <f>IFERROR(VLOOKUP(B947,'Master data'!$A$1:$F$1000,6,FALSE),"")</f>
        <v/>
      </c>
      <c r="F947" s="7" t="str">
        <f>IFERROR(VLOOKUP(B947,'Master data'!$A$1:$F$1000,3,FALSE),"")</f>
        <v/>
      </c>
      <c r="G947" s="100"/>
      <c r="H947" s="100"/>
      <c r="I947" s="16"/>
      <c r="J947" s="16"/>
      <c r="K947" s="16" t="b">
        <v>0</v>
      </c>
      <c r="L947" s="16" t="b">
        <v>0</v>
      </c>
    </row>
    <row r="948">
      <c r="A948" s="107"/>
      <c r="B948" s="16"/>
      <c r="C948" s="7" t="str">
        <f>IFERROR(VLOOKUP(B948,'Master data'!$A$1:$F$1000,2,FALSE),"")</f>
        <v/>
      </c>
      <c r="D948" s="7" t="str">
        <f>IFERROR(VLOOKUP(B948,'Master data'!$A$1:$F$1000,6,FALSE),"")</f>
        <v/>
      </c>
      <c r="F948" s="7" t="str">
        <f>IFERROR(VLOOKUP(B948,'Master data'!$A$1:$F$1000,3,FALSE),"")</f>
        <v/>
      </c>
      <c r="G948" s="100"/>
      <c r="H948" s="100"/>
      <c r="I948" s="16"/>
      <c r="J948" s="16"/>
      <c r="K948" s="16" t="b">
        <v>0</v>
      </c>
      <c r="L948" s="16" t="b">
        <v>0</v>
      </c>
    </row>
    <row r="949">
      <c r="A949" s="107"/>
      <c r="B949" s="16"/>
      <c r="C949" s="7" t="str">
        <f>IFERROR(VLOOKUP(B949,'Master data'!$A$1:$F$1000,2,FALSE),"")</f>
        <v/>
      </c>
      <c r="D949" s="7" t="str">
        <f>IFERROR(VLOOKUP(B949,'Master data'!$A$1:$F$1000,6,FALSE),"")</f>
        <v/>
      </c>
      <c r="F949" s="7" t="str">
        <f>IFERROR(VLOOKUP(B949,'Master data'!$A$1:$F$1000,3,FALSE),"")</f>
        <v/>
      </c>
      <c r="G949" s="100"/>
      <c r="H949" s="100"/>
      <c r="I949" s="16"/>
      <c r="J949" s="16"/>
      <c r="K949" s="16" t="b">
        <v>0</v>
      </c>
      <c r="L949" s="16" t="b">
        <v>0</v>
      </c>
    </row>
    <row r="950">
      <c r="A950" s="107"/>
      <c r="B950" s="16"/>
      <c r="C950" s="7" t="str">
        <f>IFERROR(VLOOKUP(B950,'Master data'!$A$1:$F$1000,2,FALSE),"")</f>
        <v/>
      </c>
      <c r="D950" s="7" t="str">
        <f>IFERROR(VLOOKUP(B950,'Master data'!$A$1:$F$1000,6,FALSE),"")</f>
        <v/>
      </c>
      <c r="F950" s="7" t="str">
        <f>IFERROR(VLOOKUP(B950,'Master data'!$A$1:$F$1000,3,FALSE),"")</f>
        <v/>
      </c>
      <c r="G950" s="100"/>
      <c r="H950" s="100"/>
      <c r="I950" s="16"/>
      <c r="J950" s="16"/>
      <c r="K950" s="16" t="b">
        <v>0</v>
      </c>
      <c r="L950" s="16" t="b">
        <v>0</v>
      </c>
    </row>
    <row r="951">
      <c r="A951" s="107"/>
      <c r="B951" s="16"/>
      <c r="C951" s="7" t="str">
        <f>IFERROR(VLOOKUP(B951,'Master data'!$A$1:$F$1000,2,FALSE),"")</f>
        <v/>
      </c>
      <c r="D951" s="7" t="str">
        <f>IFERROR(VLOOKUP(B951,'Master data'!$A$1:$F$1000,6,FALSE),"")</f>
        <v/>
      </c>
      <c r="F951" s="7" t="str">
        <f>IFERROR(VLOOKUP(B951,'Master data'!$A$1:$F$1000,3,FALSE),"")</f>
        <v/>
      </c>
      <c r="G951" s="100"/>
      <c r="H951" s="100"/>
      <c r="I951" s="16"/>
      <c r="J951" s="16"/>
      <c r="K951" s="16" t="b">
        <v>0</v>
      </c>
      <c r="L951" s="16" t="b">
        <v>0</v>
      </c>
    </row>
    <row r="952">
      <c r="A952" s="107"/>
      <c r="B952" s="16"/>
      <c r="C952" s="7" t="str">
        <f>IFERROR(VLOOKUP(B952,'Master data'!$A$1:$F$1000,2,FALSE),"")</f>
        <v/>
      </c>
      <c r="D952" s="7" t="str">
        <f>IFERROR(VLOOKUP(B952,'Master data'!$A$1:$F$1000,6,FALSE),"")</f>
        <v/>
      </c>
      <c r="F952" s="7" t="str">
        <f>IFERROR(VLOOKUP(B952,'Master data'!$A$1:$F$1000,3,FALSE),"")</f>
        <v/>
      </c>
      <c r="G952" s="100"/>
      <c r="H952" s="100"/>
      <c r="I952" s="16"/>
      <c r="J952" s="16"/>
      <c r="K952" s="16" t="b">
        <v>0</v>
      </c>
      <c r="L952" s="16" t="b">
        <v>0</v>
      </c>
    </row>
    <row r="953">
      <c r="A953" s="107"/>
      <c r="B953" s="16"/>
      <c r="C953" s="7" t="str">
        <f>IFERROR(VLOOKUP(B953,'Master data'!$A$1:$F$1000,2,FALSE),"")</f>
        <v/>
      </c>
      <c r="D953" s="7" t="str">
        <f>IFERROR(VLOOKUP(B953,'Master data'!$A$1:$F$1000,6,FALSE),"")</f>
        <v/>
      </c>
      <c r="F953" s="7" t="str">
        <f>IFERROR(VLOOKUP(B953,'Master data'!$A$1:$F$1000,3,FALSE),"")</f>
        <v/>
      </c>
      <c r="G953" s="100"/>
      <c r="H953" s="100"/>
      <c r="I953" s="16"/>
      <c r="J953" s="16"/>
      <c r="K953" s="16" t="b">
        <v>0</v>
      </c>
      <c r="L953" s="16" t="b">
        <v>0</v>
      </c>
    </row>
    <row r="954">
      <c r="A954" s="107"/>
      <c r="B954" s="16"/>
      <c r="C954" s="7" t="str">
        <f>IFERROR(VLOOKUP(B954,'Master data'!$A$1:$F$1000,2,FALSE),"")</f>
        <v/>
      </c>
      <c r="D954" s="7" t="str">
        <f>IFERROR(VLOOKUP(B954,'Master data'!$A$1:$F$1000,6,FALSE),"")</f>
        <v/>
      </c>
      <c r="F954" s="7" t="str">
        <f>IFERROR(VLOOKUP(B954,'Master data'!$A$1:$F$1000,3,FALSE),"")</f>
        <v/>
      </c>
      <c r="G954" s="100"/>
      <c r="H954" s="100"/>
      <c r="I954" s="16"/>
      <c r="J954" s="16"/>
      <c r="K954" s="16" t="b">
        <v>0</v>
      </c>
      <c r="L954" s="16" t="b">
        <v>0</v>
      </c>
    </row>
    <row r="955">
      <c r="A955" s="107"/>
      <c r="B955" s="16"/>
      <c r="C955" s="7" t="str">
        <f>IFERROR(VLOOKUP(B955,'Master data'!$A$1:$F$1000,2,FALSE),"")</f>
        <v/>
      </c>
      <c r="D955" s="7" t="str">
        <f>IFERROR(VLOOKUP(B955,'Master data'!$A$1:$F$1000,6,FALSE),"")</f>
        <v/>
      </c>
      <c r="F955" s="7" t="str">
        <f>IFERROR(VLOOKUP(B955,'Master data'!$A$1:$F$1000,3,FALSE),"")</f>
        <v/>
      </c>
      <c r="G955" s="100"/>
      <c r="H955" s="100"/>
      <c r="I955" s="16"/>
      <c r="J955" s="16"/>
      <c r="K955" s="16" t="b">
        <v>0</v>
      </c>
      <c r="L955" s="16" t="b">
        <v>0</v>
      </c>
    </row>
    <row r="956">
      <c r="A956" s="107"/>
      <c r="B956" s="16"/>
      <c r="C956" s="7" t="str">
        <f>IFERROR(VLOOKUP(B956,'Master data'!$A$1:$F$1000,2,FALSE),"")</f>
        <v/>
      </c>
      <c r="D956" s="7" t="str">
        <f>IFERROR(VLOOKUP(B956,'Master data'!$A$1:$F$1000,6,FALSE),"")</f>
        <v/>
      </c>
      <c r="F956" s="7" t="str">
        <f>IFERROR(VLOOKUP(B956,'Master data'!$A$1:$F$1000,3,FALSE),"")</f>
        <v/>
      </c>
      <c r="G956" s="100"/>
      <c r="H956" s="100"/>
      <c r="I956" s="16"/>
      <c r="J956" s="16"/>
      <c r="K956" s="16" t="b">
        <v>0</v>
      </c>
      <c r="L956" s="16" t="b">
        <v>0</v>
      </c>
    </row>
    <row r="957">
      <c r="A957" s="107"/>
      <c r="B957" s="16"/>
      <c r="C957" s="7" t="str">
        <f>IFERROR(VLOOKUP(B957,'Master data'!$A$1:$F$1000,2,FALSE),"")</f>
        <v/>
      </c>
      <c r="D957" s="7" t="str">
        <f>IFERROR(VLOOKUP(B957,'Master data'!$A$1:$F$1000,6,FALSE),"")</f>
        <v/>
      </c>
      <c r="F957" s="7" t="str">
        <f>IFERROR(VLOOKUP(B957,'Master data'!$A$1:$F$1000,3,FALSE),"")</f>
        <v/>
      </c>
      <c r="G957" s="100"/>
      <c r="H957" s="100"/>
      <c r="I957" s="16"/>
      <c r="J957" s="16"/>
      <c r="K957" s="16" t="b">
        <v>0</v>
      </c>
      <c r="L957" s="16" t="b">
        <v>0</v>
      </c>
    </row>
    <row r="958">
      <c r="A958" s="107"/>
      <c r="B958" s="16"/>
      <c r="C958" s="7" t="str">
        <f>IFERROR(VLOOKUP(B958,'Master data'!$A$1:$F$1000,2,FALSE),"")</f>
        <v/>
      </c>
      <c r="D958" s="7" t="str">
        <f>IFERROR(VLOOKUP(B958,'Master data'!$A$1:$F$1000,6,FALSE),"")</f>
        <v/>
      </c>
      <c r="F958" s="7" t="str">
        <f>IFERROR(VLOOKUP(B958,'Master data'!$A$1:$F$1000,3,FALSE),"")</f>
        <v/>
      </c>
      <c r="G958" s="100"/>
      <c r="H958" s="100"/>
      <c r="I958" s="16"/>
      <c r="J958" s="16"/>
      <c r="K958" s="16" t="b">
        <v>0</v>
      </c>
      <c r="L958" s="16" t="b">
        <v>0</v>
      </c>
    </row>
    <row r="959">
      <c r="A959" s="107"/>
      <c r="B959" s="16"/>
      <c r="C959" s="7" t="str">
        <f>IFERROR(VLOOKUP(B959,'Master data'!$A$1:$F$1000,2,FALSE),"")</f>
        <v/>
      </c>
      <c r="D959" s="7" t="str">
        <f>IFERROR(VLOOKUP(B959,'Master data'!$A$1:$F$1000,6,FALSE),"")</f>
        <v/>
      </c>
      <c r="F959" s="7" t="str">
        <f>IFERROR(VLOOKUP(B959,'Master data'!$A$1:$F$1000,3,FALSE),"")</f>
        <v/>
      </c>
      <c r="G959" s="100"/>
      <c r="H959" s="100"/>
      <c r="I959" s="16"/>
      <c r="J959" s="16"/>
      <c r="K959" s="16" t="b">
        <v>0</v>
      </c>
      <c r="L959" s="16" t="b">
        <v>0</v>
      </c>
    </row>
    <row r="960">
      <c r="A960" s="107"/>
      <c r="B960" s="16"/>
      <c r="C960" s="7" t="str">
        <f>IFERROR(VLOOKUP(B960,'Master data'!$A$1:$F$1000,2,FALSE),"")</f>
        <v/>
      </c>
      <c r="D960" s="7" t="str">
        <f>IFERROR(VLOOKUP(B960,'Master data'!$A$1:$F$1000,6,FALSE),"")</f>
        <v/>
      </c>
      <c r="F960" s="7" t="str">
        <f>IFERROR(VLOOKUP(B960,'Master data'!$A$1:$F$1000,3,FALSE),"")</f>
        <v/>
      </c>
      <c r="G960" s="100"/>
      <c r="H960" s="100"/>
      <c r="I960" s="16"/>
      <c r="J960" s="16"/>
      <c r="K960" s="16" t="b">
        <v>0</v>
      </c>
      <c r="L960" s="16" t="b">
        <v>0</v>
      </c>
    </row>
    <row r="961">
      <c r="A961" s="107"/>
      <c r="B961" s="16"/>
      <c r="C961" s="7" t="str">
        <f>IFERROR(VLOOKUP(B961,'Master data'!$A$1:$F$1000,2,FALSE),"")</f>
        <v/>
      </c>
      <c r="D961" s="7" t="str">
        <f>IFERROR(VLOOKUP(B961,'Master data'!$A$1:$F$1000,6,FALSE),"")</f>
        <v/>
      </c>
      <c r="F961" s="7" t="str">
        <f>IFERROR(VLOOKUP(B961,'Master data'!$A$1:$F$1000,3,FALSE),"")</f>
        <v/>
      </c>
      <c r="G961" s="100"/>
      <c r="H961" s="100"/>
      <c r="I961" s="16"/>
      <c r="J961" s="16"/>
      <c r="K961" s="16" t="b">
        <v>0</v>
      </c>
      <c r="L961" s="16" t="b">
        <v>0</v>
      </c>
    </row>
    <row r="962">
      <c r="A962" s="107"/>
      <c r="B962" s="16"/>
      <c r="C962" s="7" t="str">
        <f>IFERROR(VLOOKUP(B962,'Master data'!$A$1:$F$1000,2,FALSE),"")</f>
        <v/>
      </c>
      <c r="D962" s="7" t="str">
        <f>IFERROR(VLOOKUP(B962,'Master data'!$A$1:$F$1000,6,FALSE),"")</f>
        <v/>
      </c>
      <c r="F962" s="7" t="str">
        <f>IFERROR(VLOOKUP(B962,'Master data'!$A$1:$F$1000,3,FALSE),"")</f>
        <v/>
      </c>
      <c r="G962" s="100"/>
      <c r="H962" s="100"/>
      <c r="I962" s="16"/>
      <c r="J962" s="16"/>
      <c r="K962" s="16" t="b">
        <v>0</v>
      </c>
      <c r="L962" s="16" t="b">
        <v>0</v>
      </c>
    </row>
    <row r="963">
      <c r="A963" s="107"/>
      <c r="B963" s="16"/>
      <c r="C963" s="7" t="str">
        <f>IFERROR(VLOOKUP(B963,'Master data'!$A$1:$F$1000,2,FALSE),"")</f>
        <v/>
      </c>
      <c r="D963" s="7" t="str">
        <f>IFERROR(VLOOKUP(B963,'Master data'!$A$1:$F$1000,6,FALSE),"")</f>
        <v/>
      </c>
      <c r="F963" s="7" t="str">
        <f>IFERROR(VLOOKUP(B963,'Master data'!$A$1:$F$1000,3,FALSE),"")</f>
        <v/>
      </c>
      <c r="G963" s="100"/>
      <c r="H963" s="100"/>
      <c r="I963" s="16"/>
      <c r="J963" s="16"/>
      <c r="K963" s="16" t="b">
        <v>0</v>
      </c>
      <c r="L963" s="16" t="b">
        <v>0</v>
      </c>
    </row>
    <row r="964">
      <c r="A964" s="107"/>
      <c r="B964" s="16"/>
      <c r="C964" s="7" t="str">
        <f>IFERROR(VLOOKUP(B964,'Master data'!$A$1:$F$1000,2,FALSE),"")</f>
        <v/>
      </c>
      <c r="D964" s="7" t="str">
        <f>IFERROR(VLOOKUP(B964,'Master data'!$A$1:$F$1000,6,FALSE),"")</f>
        <v/>
      </c>
      <c r="F964" s="7" t="str">
        <f>IFERROR(VLOOKUP(B964,'Master data'!$A$1:$F$1000,3,FALSE),"")</f>
        <v/>
      </c>
      <c r="G964" s="100"/>
      <c r="H964" s="100"/>
      <c r="I964" s="16"/>
      <c r="J964" s="16"/>
      <c r="K964" s="16" t="b">
        <v>0</v>
      </c>
      <c r="L964" s="16" t="b">
        <v>0</v>
      </c>
    </row>
    <row r="965">
      <c r="A965" s="107"/>
      <c r="B965" s="16"/>
      <c r="C965" s="7" t="str">
        <f>IFERROR(VLOOKUP(B965,'Master data'!$A$1:$F$1000,2,FALSE),"")</f>
        <v/>
      </c>
      <c r="D965" s="7" t="str">
        <f>IFERROR(VLOOKUP(B965,'Master data'!$A$1:$F$1000,6,FALSE),"")</f>
        <v/>
      </c>
      <c r="F965" s="7" t="str">
        <f>IFERROR(VLOOKUP(B965,'Master data'!$A$1:$F$1000,3,FALSE),"")</f>
        <v/>
      </c>
      <c r="G965" s="100"/>
      <c r="H965" s="100"/>
      <c r="I965" s="16"/>
      <c r="J965" s="16"/>
      <c r="K965" s="16" t="b">
        <v>0</v>
      </c>
      <c r="L965" s="16" t="b">
        <v>0</v>
      </c>
    </row>
    <row r="966">
      <c r="A966" s="107"/>
      <c r="B966" s="16"/>
      <c r="C966" s="7" t="str">
        <f>IFERROR(VLOOKUP(B966,'Master data'!$A$1:$F$1000,2,FALSE),"")</f>
        <v/>
      </c>
      <c r="D966" s="7" t="str">
        <f>IFERROR(VLOOKUP(B966,'Master data'!$A$1:$F$1000,6,FALSE),"")</f>
        <v/>
      </c>
      <c r="F966" s="7" t="str">
        <f>IFERROR(VLOOKUP(B966,'Master data'!$A$1:$F$1000,3,FALSE),"")</f>
        <v/>
      </c>
      <c r="G966" s="100"/>
      <c r="H966" s="100"/>
      <c r="I966" s="16"/>
      <c r="J966" s="16"/>
      <c r="K966" s="16" t="b">
        <v>0</v>
      </c>
      <c r="L966" s="16" t="b">
        <v>0</v>
      </c>
    </row>
    <row r="967">
      <c r="A967" s="107"/>
      <c r="B967" s="16"/>
      <c r="C967" s="7" t="str">
        <f>IFERROR(VLOOKUP(B967,'Master data'!$A$1:$F$1000,2,FALSE),"")</f>
        <v/>
      </c>
      <c r="D967" s="7" t="str">
        <f>IFERROR(VLOOKUP(B967,'Master data'!$A$1:$F$1000,6,FALSE),"")</f>
        <v/>
      </c>
      <c r="F967" s="7" t="str">
        <f>IFERROR(VLOOKUP(B967,'Master data'!$A$1:$F$1000,3,FALSE),"")</f>
        <v/>
      </c>
      <c r="G967" s="100"/>
      <c r="H967" s="100"/>
      <c r="I967" s="16"/>
      <c r="J967" s="16"/>
      <c r="K967" s="16" t="b">
        <v>0</v>
      </c>
      <c r="L967" s="16" t="b">
        <v>0</v>
      </c>
    </row>
    <row r="968">
      <c r="A968" s="107"/>
      <c r="B968" s="16"/>
      <c r="C968" s="7" t="str">
        <f>IFERROR(VLOOKUP(B968,'Master data'!$A$1:$F$1000,2,FALSE),"")</f>
        <v/>
      </c>
      <c r="D968" s="7" t="str">
        <f>IFERROR(VLOOKUP(B968,'Master data'!$A$1:$F$1000,6,FALSE),"")</f>
        <v/>
      </c>
      <c r="F968" s="7" t="str">
        <f>IFERROR(VLOOKUP(B968,'Master data'!$A$1:$F$1000,3,FALSE),"")</f>
        <v/>
      </c>
      <c r="G968" s="100"/>
      <c r="H968" s="100"/>
      <c r="I968" s="16"/>
      <c r="J968" s="16"/>
      <c r="K968" s="16" t="b">
        <v>0</v>
      </c>
      <c r="L968" s="16" t="b">
        <v>0</v>
      </c>
    </row>
    <row r="969">
      <c r="A969" s="107"/>
      <c r="B969" s="16"/>
      <c r="C969" s="7" t="str">
        <f>IFERROR(VLOOKUP(B969,'Master data'!$A$1:$F$1000,2,FALSE),"")</f>
        <v/>
      </c>
      <c r="D969" s="7" t="str">
        <f>IFERROR(VLOOKUP(B969,'Master data'!$A$1:$F$1000,6,FALSE),"")</f>
        <v/>
      </c>
      <c r="F969" s="7" t="str">
        <f>IFERROR(VLOOKUP(B969,'Master data'!$A$1:$F$1000,3,FALSE),"")</f>
        <v/>
      </c>
      <c r="G969" s="100"/>
      <c r="H969" s="100"/>
      <c r="I969" s="16"/>
      <c r="J969" s="16"/>
      <c r="K969" s="16" t="b">
        <v>0</v>
      </c>
      <c r="L969" s="16" t="b">
        <v>0</v>
      </c>
    </row>
    <row r="970">
      <c r="A970" s="107"/>
      <c r="B970" s="16"/>
      <c r="C970" s="7" t="str">
        <f>IFERROR(VLOOKUP(B970,'Master data'!$A$1:$F$1000,2,FALSE),"")</f>
        <v/>
      </c>
      <c r="D970" s="7" t="str">
        <f>IFERROR(VLOOKUP(B970,'Master data'!$A$1:$F$1000,6,FALSE),"")</f>
        <v/>
      </c>
      <c r="F970" s="7" t="str">
        <f>IFERROR(VLOOKUP(B970,'Master data'!$A$1:$F$1000,3,FALSE),"")</f>
        <v/>
      </c>
      <c r="G970" s="100"/>
      <c r="H970" s="100"/>
      <c r="I970" s="16"/>
      <c r="J970" s="16"/>
      <c r="K970" s="16" t="b">
        <v>0</v>
      </c>
      <c r="L970" s="16" t="b">
        <v>0</v>
      </c>
    </row>
    <row r="971">
      <c r="A971" s="107"/>
      <c r="B971" s="16"/>
      <c r="C971" s="7" t="str">
        <f>IFERROR(VLOOKUP(B971,'Master data'!$A$1:$F$1000,2,FALSE),"")</f>
        <v/>
      </c>
      <c r="D971" s="7" t="str">
        <f>IFERROR(VLOOKUP(B971,'Master data'!$A$1:$F$1000,6,FALSE),"")</f>
        <v/>
      </c>
      <c r="F971" s="7" t="str">
        <f>IFERROR(VLOOKUP(B971,'Master data'!$A$1:$F$1000,3,FALSE),"")</f>
        <v/>
      </c>
      <c r="G971" s="100"/>
      <c r="H971" s="100"/>
      <c r="I971" s="16"/>
      <c r="J971" s="16"/>
      <c r="K971" s="16" t="b">
        <v>0</v>
      </c>
      <c r="L971" s="16" t="b">
        <v>0</v>
      </c>
    </row>
    <row r="972">
      <c r="A972" s="107"/>
      <c r="B972" s="16"/>
      <c r="C972" s="7" t="str">
        <f>IFERROR(VLOOKUP(B972,'Master data'!$A$1:$F$1000,2,FALSE),"")</f>
        <v/>
      </c>
      <c r="D972" s="7" t="str">
        <f>IFERROR(VLOOKUP(B972,'Master data'!$A$1:$F$1000,6,FALSE),"")</f>
        <v/>
      </c>
      <c r="F972" s="7" t="str">
        <f>IFERROR(VLOOKUP(B972,'Master data'!$A$1:$F$1000,3,FALSE),"")</f>
        <v/>
      </c>
      <c r="G972" s="100"/>
      <c r="H972" s="100"/>
      <c r="I972" s="16"/>
      <c r="J972" s="16"/>
      <c r="K972" s="16" t="b">
        <v>0</v>
      </c>
      <c r="L972" s="16" t="b">
        <v>0</v>
      </c>
    </row>
    <row r="973">
      <c r="A973" s="107"/>
      <c r="B973" s="16"/>
      <c r="C973" s="7" t="str">
        <f>IFERROR(VLOOKUP(B973,'Master data'!$A$1:$F$1000,2,FALSE),"")</f>
        <v/>
      </c>
      <c r="D973" s="7" t="str">
        <f>IFERROR(VLOOKUP(B973,'Master data'!$A$1:$F$1000,6,FALSE),"")</f>
        <v/>
      </c>
      <c r="F973" s="7" t="str">
        <f>IFERROR(VLOOKUP(B973,'Master data'!$A$1:$F$1000,3,FALSE),"")</f>
        <v/>
      </c>
      <c r="G973" s="100"/>
      <c r="H973" s="100"/>
      <c r="I973" s="16"/>
      <c r="J973" s="16"/>
      <c r="K973" s="16" t="b">
        <v>0</v>
      </c>
      <c r="L973" s="16" t="b">
        <v>0</v>
      </c>
    </row>
    <row r="974">
      <c r="A974" s="107"/>
      <c r="B974" s="16"/>
      <c r="C974" s="7" t="str">
        <f>IFERROR(VLOOKUP(B974,'Master data'!$A$1:$F$1000,2,FALSE),"")</f>
        <v/>
      </c>
      <c r="D974" s="7" t="str">
        <f>IFERROR(VLOOKUP(B974,'Master data'!$A$1:$F$1000,6,FALSE),"")</f>
        <v/>
      </c>
      <c r="F974" s="7" t="str">
        <f>IFERROR(VLOOKUP(B974,'Master data'!$A$1:$F$1000,3,FALSE),"")</f>
        <v/>
      </c>
      <c r="G974" s="100"/>
      <c r="H974" s="100"/>
      <c r="I974" s="16"/>
      <c r="J974" s="16"/>
      <c r="K974" s="16" t="b">
        <v>0</v>
      </c>
      <c r="L974" s="16" t="b">
        <v>0</v>
      </c>
    </row>
    <row r="975">
      <c r="A975" s="107"/>
      <c r="B975" s="16"/>
      <c r="C975" s="7" t="str">
        <f>IFERROR(VLOOKUP(B975,'Master data'!$A$1:$F$1000,2,FALSE),"")</f>
        <v/>
      </c>
      <c r="D975" s="7" t="str">
        <f>IFERROR(VLOOKUP(B975,'Master data'!$A$1:$F$1000,6,FALSE),"")</f>
        <v/>
      </c>
      <c r="F975" s="7" t="str">
        <f>IFERROR(VLOOKUP(B975,'Master data'!$A$1:$F$1000,3,FALSE),"")</f>
        <v/>
      </c>
      <c r="G975" s="100"/>
      <c r="H975" s="100"/>
      <c r="I975" s="16"/>
      <c r="J975" s="16"/>
      <c r="K975" s="16" t="b">
        <v>0</v>
      </c>
      <c r="L975" s="16" t="b">
        <v>0</v>
      </c>
    </row>
    <row r="976">
      <c r="A976" s="107"/>
      <c r="B976" s="16"/>
      <c r="C976" s="7" t="str">
        <f>IFERROR(VLOOKUP(B976,'Master data'!$A$1:$F$1000,2,FALSE),"")</f>
        <v/>
      </c>
      <c r="D976" s="7" t="str">
        <f>IFERROR(VLOOKUP(B976,'Master data'!$A$1:$F$1000,6,FALSE),"")</f>
        <v/>
      </c>
      <c r="F976" s="7" t="str">
        <f>IFERROR(VLOOKUP(B976,'Master data'!$A$1:$F$1000,3,FALSE),"")</f>
        <v/>
      </c>
      <c r="G976" s="100"/>
      <c r="H976" s="100"/>
      <c r="I976" s="16"/>
      <c r="J976" s="16"/>
      <c r="K976" s="16" t="b">
        <v>0</v>
      </c>
      <c r="L976" s="16" t="b">
        <v>0</v>
      </c>
    </row>
    <row r="977">
      <c r="A977" s="107"/>
      <c r="B977" s="16"/>
      <c r="C977" s="7" t="str">
        <f>IFERROR(VLOOKUP(B977,'Master data'!$A$1:$F$1000,2,FALSE),"")</f>
        <v/>
      </c>
      <c r="D977" s="7" t="str">
        <f>IFERROR(VLOOKUP(B977,'Master data'!$A$1:$F$1000,6,FALSE),"")</f>
        <v/>
      </c>
      <c r="F977" s="7" t="str">
        <f>IFERROR(VLOOKUP(B977,'Master data'!$A$1:$F$1000,3,FALSE),"")</f>
        <v/>
      </c>
      <c r="G977" s="100"/>
      <c r="H977" s="100"/>
      <c r="I977" s="16"/>
      <c r="J977" s="16"/>
      <c r="K977" s="16" t="b">
        <v>0</v>
      </c>
      <c r="L977" s="16" t="b">
        <v>0</v>
      </c>
    </row>
    <row r="978">
      <c r="A978" s="107"/>
      <c r="B978" s="16"/>
      <c r="C978" s="7" t="str">
        <f>IFERROR(VLOOKUP(B978,'Master data'!$A$1:$F$1000,2,FALSE),"")</f>
        <v/>
      </c>
      <c r="D978" s="7" t="str">
        <f>IFERROR(VLOOKUP(B978,'Master data'!$A$1:$F$1000,6,FALSE),"")</f>
        <v/>
      </c>
      <c r="F978" s="7" t="str">
        <f>IFERROR(VLOOKUP(B978,'Master data'!$A$1:$F$1000,3,FALSE),"")</f>
        <v/>
      </c>
      <c r="G978" s="100"/>
      <c r="H978" s="100"/>
      <c r="I978" s="16"/>
      <c r="J978" s="16"/>
      <c r="K978" s="16" t="b">
        <v>0</v>
      </c>
      <c r="L978" s="16" t="b">
        <v>0</v>
      </c>
    </row>
    <row r="979">
      <c r="A979" s="107"/>
      <c r="B979" s="16"/>
      <c r="C979" s="7" t="str">
        <f>IFERROR(VLOOKUP(B979,'Master data'!$A$1:$F$1000,2,FALSE),"")</f>
        <v/>
      </c>
      <c r="D979" s="7" t="str">
        <f>IFERROR(VLOOKUP(B979,'Master data'!$A$1:$F$1000,6,FALSE),"")</f>
        <v/>
      </c>
      <c r="F979" s="7" t="str">
        <f>IFERROR(VLOOKUP(B979,'Master data'!$A$1:$F$1000,3,FALSE),"")</f>
        <v/>
      </c>
      <c r="G979" s="100"/>
      <c r="H979" s="100"/>
      <c r="I979" s="16"/>
      <c r="J979" s="16"/>
      <c r="K979" s="16" t="b">
        <v>0</v>
      </c>
      <c r="L979" s="16" t="b">
        <v>0</v>
      </c>
    </row>
    <row r="980">
      <c r="A980" s="107"/>
      <c r="B980" s="16"/>
      <c r="C980" s="7" t="str">
        <f>IFERROR(VLOOKUP(B980,'Master data'!$A$1:$F$1000,2,FALSE),"")</f>
        <v/>
      </c>
      <c r="D980" s="7" t="str">
        <f>IFERROR(VLOOKUP(B980,'Master data'!$A$1:$F$1000,6,FALSE),"")</f>
        <v/>
      </c>
      <c r="F980" s="7" t="str">
        <f>IFERROR(VLOOKUP(B980,'Master data'!$A$1:$F$1000,3,FALSE),"")</f>
        <v/>
      </c>
      <c r="G980" s="100"/>
      <c r="H980" s="100"/>
      <c r="I980" s="16"/>
      <c r="J980" s="16"/>
      <c r="K980" s="16" t="b">
        <v>0</v>
      </c>
      <c r="L980" s="16" t="b">
        <v>0</v>
      </c>
    </row>
    <row r="981">
      <c r="A981" s="107"/>
      <c r="B981" s="16"/>
      <c r="C981" s="7" t="str">
        <f>IFERROR(VLOOKUP(B981,'Master data'!$A$1:$F$1000,2,FALSE),"")</f>
        <v/>
      </c>
      <c r="D981" s="7" t="str">
        <f>IFERROR(VLOOKUP(B981,'Master data'!$A$1:$F$1000,6,FALSE),"")</f>
        <v/>
      </c>
      <c r="F981" s="7" t="str">
        <f>IFERROR(VLOOKUP(B981,'Master data'!$A$1:$F$1000,3,FALSE),"")</f>
        <v/>
      </c>
      <c r="G981" s="100"/>
      <c r="H981" s="100"/>
      <c r="I981" s="16"/>
      <c r="J981" s="16"/>
      <c r="K981" s="16" t="b">
        <v>0</v>
      </c>
      <c r="L981" s="16" t="b">
        <v>0</v>
      </c>
    </row>
    <row r="982">
      <c r="A982" s="107"/>
      <c r="B982" s="16"/>
      <c r="C982" s="7" t="str">
        <f>IFERROR(VLOOKUP(B982,'Master data'!$A$1:$F$1000,2,FALSE),"")</f>
        <v/>
      </c>
      <c r="D982" s="7" t="str">
        <f>IFERROR(VLOOKUP(B982,'Master data'!$A$1:$F$1000,6,FALSE),"")</f>
        <v/>
      </c>
      <c r="F982" s="7" t="str">
        <f>IFERROR(VLOOKUP(B982,'Master data'!$A$1:$F$1000,3,FALSE),"")</f>
        <v/>
      </c>
      <c r="G982" s="100"/>
      <c r="H982" s="100"/>
      <c r="I982" s="16"/>
      <c r="J982" s="16"/>
      <c r="K982" s="16" t="b">
        <v>0</v>
      </c>
      <c r="L982" s="16" t="b">
        <v>0</v>
      </c>
    </row>
    <row r="983">
      <c r="A983" s="107"/>
      <c r="B983" s="16"/>
      <c r="C983" s="7" t="str">
        <f>IFERROR(VLOOKUP(B983,'Master data'!$A$1:$F$1000,2,FALSE),"")</f>
        <v/>
      </c>
      <c r="D983" s="7" t="str">
        <f>IFERROR(VLOOKUP(B983,'Master data'!$A$1:$F$1000,6,FALSE),"")</f>
        <v/>
      </c>
      <c r="F983" s="7" t="str">
        <f>IFERROR(VLOOKUP(B983,'Master data'!$A$1:$F$1000,3,FALSE),"")</f>
        <v/>
      </c>
      <c r="G983" s="100"/>
      <c r="H983" s="100"/>
      <c r="I983" s="16"/>
      <c r="J983" s="16"/>
      <c r="K983" s="16" t="b">
        <v>0</v>
      </c>
      <c r="L983" s="16" t="b">
        <v>0</v>
      </c>
    </row>
    <row r="984">
      <c r="A984" s="107"/>
      <c r="B984" s="16"/>
      <c r="C984" s="7" t="str">
        <f>IFERROR(VLOOKUP(B984,'Master data'!$A$1:$F$1000,2,FALSE),"")</f>
        <v/>
      </c>
      <c r="D984" s="7" t="str">
        <f>IFERROR(VLOOKUP(B984,'Master data'!$A$1:$F$1000,6,FALSE),"")</f>
        <v/>
      </c>
      <c r="F984" s="7" t="str">
        <f>IFERROR(VLOOKUP(B984,'Master data'!$A$1:$F$1000,3,FALSE),"")</f>
        <v/>
      </c>
      <c r="G984" s="100"/>
      <c r="H984" s="100"/>
      <c r="I984" s="16"/>
      <c r="J984" s="16"/>
      <c r="K984" s="16" t="b">
        <v>0</v>
      </c>
      <c r="L984" s="16" t="b">
        <v>0</v>
      </c>
    </row>
    <row r="985">
      <c r="A985" s="107"/>
      <c r="B985" s="16"/>
      <c r="C985" s="7" t="str">
        <f>IFERROR(VLOOKUP(B985,'Master data'!$A$1:$F$1000,2,FALSE),"")</f>
        <v/>
      </c>
      <c r="D985" s="7" t="str">
        <f>IFERROR(VLOOKUP(B985,'Master data'!$A$1:$F$1000,6,FALSE),"")</f>
        <v/>
      </c>
      <c r="F985" s="7" t="str">
        <f>IFERROR(VLOOKUP(B985,'Master data'!$A$1:$F$1000,3,FALSE),"")</f>
        <v/>
      </c>
      <c r="G985" s="100"/>
      <c r="H985" s="100"/>
      <c r="I985" s="16"/>
      <c r="J985" s="16"/>
      <c r="K985" s="16" t="b">
        <v>0</v>
      </c>
      <c r="L985" s="16" t="b">
        <v>0</v>
      </c>
    </row>
    <row r="986">
      <c r="A986" s="107"/>
      <c r="B986" s="16"/>
      <c r="C986" s="7" t="str">
        <f>IFERROR(VLOOKUP(B986,'Master data'!$A$1:$F$1000,2,FALSE),"")</f>
        <v/>
      </c>
      <c r="D986" s="7" t="str">
        <f>IFERROR(VLOOKUP(B986,'Master data'!$A$1:$F$1000,6,FALSE),"")</f>
        <v/>
      </c>
      <c r="F986" s="7" t="str">
        <f>IFERROR(VLOOKUP(B986,'Master data'!$A$1:$F$1000,3,FALSE),"")</f>
        <v/>
      </c>
      <c r="G986" s="100"/>
      <c r="H986" s="100"/>
      <c r="I986" s="16"/>
      <c r="J986" s="16"/>
      <c r="K986" s="16" t="b">
        <v>0</v>
      </c>
      <c r="L986" s="16" t="b">
        <v>0</v>
      </c>
    </row>
    <row r="987">
      <c r="A987" s="107"/>
      <c r="B987" s="16"/>
      <c r="C987" s="7" t="str">
        <f>IFERROR(VLOOKUP(B987,'Master data'!$A$1:$F$1000,2,FALSE),"")</f>
        <v/>
      </c>
      <c r="D987" s="7" t="str">
        <f>IFERROR(VLOOKUP(B987,'Master data'!$A$1:$F$1000,6,FALSE),"")</f>
        <v/>
      </c>
      <c r="F987" s="7" t="str">
        <f>IFERROR(VLOOKUP(B987,'Master data'!$A$1:$F$1000,3,FALSE),"")</f>
        <v/>
      </c>
      <c r="G987" s="100"/>
      <c r="H987" s="100"/>
      <c r="I987" s="16"/>
      <c r="J987" s="16"/>
      <c r="K987" s="16" t="b">
        <v>0</v>
      </c>
      <c r="L987" s="16" t="b">
        <v>0</v>
      </c>
    </row>
    <row r="988">
      <c r="A988" s="107"/>
      <c r="B988" s="16"/>
      <c r="C988" s="7" t="str">
        <f>IFERROR(VLOOKUP(B988,'Master data'!$A$1:$F$1000,2,FALSE),"")</f>
        <v/>
      </c>
      <c r="D988" s="7" t="str">
        <f>IFERROR(VLOOKUP(B988,'Master data'!$A$1:$F$1000,6,FALSE),"")</f>
        <v/>
      </c>
      <c r="F988" s="7" t="str">
        <f>IFERROR(VLOOKUP(B988,'Master data'!$A$1:$F$1000,3,FALSE),"")</f>
        <v/>
      </c>
      <c r="G988" s="100"/>
      <c r="H988" s="100"/>
      <c r="I988" s="16"/>
      <c r="J988" s="16"/>
      <c r="K988" s="16" t="b">
        <v>0</v>
      </c>
      <c r="L988" s="16" t="b">
        <v>0</v>
      </c>
    </row>
    <row r="989">
      <c r="A989" s="107"/>
      <c r="B989" s="16"/>
      <c r="C989" s="7" t="str">
        <f>IFERROR(VLOOKUP(B989,'Master data'!$A$1:$F$1000,2,FALSE),"")</f>
        <v/>
      </c>
      <c r="D989" s="7" t="str">
        <f>IFERROR(VLOOKUP(B989,'Master data'!$A$1:$F$1000,6,FALSE),"")</f>
        <v/>
      </c>
      <c r="F989" s="7" t="str">
        <f>IFERROR(VLOOKUP(B989,'Master data'!$A$1:$F$1000,3,FALSE),"")</f>
        <v/>
      </c>
      <c r="G989" s="100"/>
      <c r="H989" s="100"/>
      <c r="I989" s="16"/>
      <c r="J989" s="16"/>
      <c r="K989" s="16" t="b">
        <v>0</v>
      </c>
      <c r="L989" s="16" t="b">
        <v>0</v>
      </c>
    </row>
    <row r="990">
      <c r="A990" s="107"/>
      <c r="B990" s="16"/>
      <c r="C990" s="7" t="str">
        <f>IFERROR(VLOOKUP(B990,'Master data'!$A$1:$F$1000,2,FALSE),"")</f>
        <v/>
      </c>
      <c r="D990" s="7" t="str">
        <f>IFERROR(VLOOKUP(B990,'Master data'!$A$1:$F$1000,6,FALSE),"")</f>
        <v/>
      </c>
      <c r="F990" s="7" t="str">
        <f>IFERROR(VLOOKUP(B990,'Master data'!$A$1:$F$1000,3,FALSE),"")</f>
        <v/>
      </c>
      <c r="G990" s="100"/>
      <c r="H990" s="100"/>
      <c r="I990" s="16"/>
      <c r="J990" s="16"/>
      <c r="K990" s="16" t="b">
        <v>0</v>
      </c>
      <c r="L990" s="16" t="b">
        <v>0</v>
      </c>
    </row>
    <row r="991">
      <c r="A991" s="107"/>
      <c r="B991" s="16"/>
      <c r="C991" s="7" t="str">
        <f>IFERROR(VLOOKUP(B991,'Master data'!$A$1:$F$1000,2,FALSE),"")</f>
        <v/>
      </c>
      <c r="D991" s="7" t="str">
        <f>IFERROR(VLOOKUP(B991,'Master data'!$A$1:$F$1000,6,FALSE),"")</f>
        <v/>
      </c>
      <c r="F991" s="7" t="str">
        <f>IFERROR(VLOOKUP(B991,'Master data'!$A$1:$F$1000,3,FALSE),"")</f>
        <v/>
      </c>
      <c r="G991" s="100"/>
      <c r="H991" s="100"/>
      <c r="I991" s="16"/>
      <c r="J991" s="16"/>
      <c r="K991" s="16" t="b">
        <v>0</v>
      </c>
      <c r="L991" s="16" t="b">
        <v>0</v>
      </c>
    </row>
    <row r="992">
      <c r="A992" s="107"/>
      <c r="B992" s="16"/>
      <c r="C992" s="7" t="str">
        <f>IFERROR(VLOOKUP(B992,'Master data'!$A$1:$F$1000,2,FALSE),"")</f>
        <v/>
      </c>
      <c r="D992" s="7" t="str">
        <f>IFERROR(VLOOKUP(B992,'Master data'!$A$1:$F$1000,6,FALSE),"")</f>
        <v/>
      </c>
      <c r="F992" s="7" t="str">
        <f>IFERROR(VLOOKUP(B992,'Master data'!$A$1:$F$1000,3,FALSE),"")</f>
        <v/>
      </c>
      <c r="G992" s="100"/>
      <c r="H992" s="100"/>
      <c r="I992" s="16"/>
      <c r="J992" s="16"/>
      <c r="K992" s="16" t="b">
        <v>0</v>
      </c>
      <c r="L992" s="16" t="b">
        <v>0</v>
      </c>
    </row>
    <row r="993">
      <c r="A993" s="107"/>
      <c r="B993" s="16"/>
      <c r="C993" s="7" t="str">
        <f>IFERROR(VLOOKUP(B993,'Master data'!$A$1:$F$1000,2,FALSE),"")</f>
        <v/>
      </c>
      <c r="D993" s="7" t="str">
        <f>IFERROR(VLOOKUP(B993,'Master data'!$A$1:$F$1000,6,FALSE),"")</f>
        <v/>
      </c>
      <c r="F993" s="7" t="str">
        <f>IFERROR(VLOOKUP(B993,'Master data'!$A$1:$F$1000,3,FALSE),"")</f>
        <v/>
      </c>
      <c r="G993" s="100"/>
      <c r="H993" s="100"/>
      <c r="I993" s="16"/>
      <c r="J993" s="16"/>
      <c r="K993" s="16" t="b">
        <v>0</v>
      </c>
      <c r="L993" s="16" t="b">
        <v>0</v>
      </c>
    </row>
    <row r="994">
      <c r="A994" s="107"/>
      <c r="B994" s="16"/>
      <c r="C994" s="7" t="str">
        <f>IFERROR(VLOOKUP(B994,'Master data'!$A$1:$F$1000,2,FALSE),"")</f>
        <v/>
      </c>
      <c r="D994" s="7" t="str">
        <f>IFERROR(VLOOKUP(B994,'Master data'!$A$1:$F$1000,6,FALSE),"")</f>
        <v/>
      </c>
      <c r="F994" s="7" t="str">
        <f>IFERROR(VLOOKUP(B994,'Master data'!$A$1:$F$1000,3,FALSE),"")</f>
        <v/>
      </c>
      <c r="G994" s="100"/>
      <c r="H994" s="100"/>
      <c r="I994" s="16"/>
      <c r="J994" s="16"/>
      <c r="K994" s="16" t="b">
        <v>0</v>
      </c>
      <c r="L994" s="16" t="b">
        <v>0</v>
      </c>
    </row>
    <row r="995">
      <c r="A995" s="107"/>
      <c r="B995" s="16"/>
      <c r="C995" s="7" t="str">
        <f>IFERROR(VLOOKUP(B995,'Master data'!$A$1:$F$1000,2,FALSE),"")</f>
        <v/>
      </c>
      <c r="D995" s="7" t="str">
        <f>IFERROR(VLOOKUP(B995,'Master data'!$A$1:$F$1000,6,FALSE),"")</f>
        <v/>
      </c>
      <c r="F995" s="7" t="str">
        <f>IFERROR(VLOOKUP(B995,'Master data'!$A$1:$F$1000,3,FALSE),"")</f>
        <v/>
      </c>
      <c r="G995" s="100"/>
      <c r="H995" s="100"/>
      <c r="I995" s="16"/>
      <c r="J995" s="16"/>
      <c r="K995" s="16" t="b">
        <v>0</v>
      </c>
      <c r="L995" s="16" t="b">
        <v>0</v>
      </c>
    </row>
    <row r="996">
      <c r="A996" s="107"/>
      <c r="B996" s="16"/>
      <c r="C996" s="7" t="str">
        <f>IFERROR(VLOOKUP(B996,'Master data'!$A$1:$F$1000,2,FALSE),"")</f>
        <v/>
      </c>
      <c r="D996" s="7" t="str">
        <f>IFERROR(VLOOKUP(B996,'Master data'!$A$1:$F$1000,6,FALSE),"")</f>
        <v/>
      </c>
      <c r="F996" s="7" t="str">
        <f>IFERROR(VLOOKUP(B996,'Master data'!$A$1:$F$1000,3,FALSE),"")</f>
        <v/>
      </c>
      <c r="G996" s="100"/>
      <c r="H996" s="100"/>
      <c r="I996" s="16"/>
      <c r="J996" s="16"/>
      <c r="K996" s="16" t="b">
        <v>0</v>
      </c>
      <c r="L996" s="16" t="b">
        <v>0</v>
      </c>
    </row>
    <row r="997">
      <c r="A997" s="107"/>
      <c r="B997" s="16"/>
      <c r="C997" s="7" t="str">
        <f>IFERROR(VLOOKUP(B997,'Master data'!$A$1:$F$1000,2,FALSE),"")</f>
        <v/>
      </c>
      <c r="D997" s="7" t="str">
        <f>IFERROR(VLOOKUP(B997,'Master data'!$A$1:$F$1000,6,FALSE),"")</f>
        <v/>
      </c>
      <c r="F997" s="7" t="str">
        <f>IFERROR(VLOOKUP(B997,'Master data'!$A$1:$F$1000,3,FALSE),"")</f>
        <v/>
      </c>
      <c r="G997" s="100"/>
      <c r="H997" s="100"/>
      <c r="I997" s="16"/>
      <c r="J997" s="16"/>
      <c r="K997" s="16" t="b">
        <v>0</v>
      </c>
      <c r="L997" s="16" t="b">
        <v>0</v>
      </c>
    </row>
    <row r="998">
      <c r="A998" s="107"/>
      <c r="B998" s="16"/>
      <c r="C998" s="7" t="str">
        <f>IFERROR(VLOOKUP(B998,'Master data'!$A$1:$F$1000,2,FALSE),"")</f>
        <v/>
      </c>
      <c r="D998" s="7" t="str">
        <f>IFERROR(VLOOKUP(B998,'Master data'!$A$1:$F$1000,6,FALSE),"")</f>
        <v/>
      </c>
      <c r="F998" s="7" t="str">
        <f>IFERROR(VLOOKUP(B998,'Master data'!$A$1:$F$1000,3,FALSE),"")</f>
        <v/>
      </c>
      <c r="G998" s="100"/>
      <c r="H998" s="100"/>
      <c r="I998" s="16"/>
      <c r="J998" s="16"/>
      <c r="K998" s="16" t="b">
        <v>0</v>
      </c>
      <c r="L998" s="16" t="b">
        <v>0</v>
      </c>
    </row>
    <row r="999">
      <c r="A999" s="107"/>
      <c r="B999" s="16"/>
      <c r="C999" s="7" t="str">
        <f>IFERROR(VLOOKUP(B999,'Master data'!$A$1:$F$1000,2,FALSE),"")</f>
        <v/>
      </c>
      <c r="D999" s="7" t="str">
        <f>IFERROR(VLOOKUP(B999,'Master data'!$A$1:$F$1000,6,FALSE),"")</f>
        <v/>
      </c>
      <c r="F999" s="7" t="str">
        <f>IFERROR(VLOOKUP(B999,'Master data'!$A$1:$F$1000,3,FALSE),"")</f>
        <v/>
      </c>
      <c r="G999" s="100"/>
      <c r="H999" s="100"/>
      <c r="I999" s="16"/>
      <c r="J999" s="16"/>
      <c r="K999" s="16" t="b">
        <v>0</v>
      </c>
      <c r="L999" s="16" t="b">
        <v>0</v>
      </c>
    </row>
    <row r="1000">
      <c r="A1000" s="107"/>
      <c r="B1000" s="16"/>
      <c r="C1000" s="7" t="str">
        <f>IFERROR(VLOOKUP(B1000,'Master data'!$A$1:$F$1000,2,FALSE),"")</f>
        <v/>
      </c>
      <c r="D1000" s="7" t="str">
        <f>IFERROR(VLOOKUP(B1000,'Master data'!$A$1:$F$1000,6,FALSE),"")</f>
        <v/>
      </c>
      <c r="F1000" s="7" t="str">
        <f>IFERROR(VLOOKUP(B1000,'Master data'!$A$1:$F$1000,3,FALSE),"")</f>
        <v/>
      </c>
      <c r="G1000" s="100"/>
      <c r="H1000" s="100"/>
      <c r="I1000" s="16"/>
      <c r="J1000" s="16"/>
      <c r="K1000" s="16" t="b">
        <v>0</v>
      </c>
      <c r="L1000" s="16" t="b">
        <v>0</v>
      </c>
    </row>
    <row r="1001">
      <c r="A1001" s="107"/>
      <c r="B1001" s="16"/>
      <c r="C1001" s="7" t="str">
        <f>IFERROR(VLOOKUP(B1001,'Master data'!$A$1:$F$1000,2,FALSE),"")</f>
        <v/>
      </c>
      <c r="D1001" s="7" t="str">
        <f>IFERROR(VLOOKUP(B1001,'Master data'!$A$1:$F$1000,6,FALSE),"")</f>
        <v/>
      </c>
      <c r="F1001" s="7" t="str">
        <f>IFERROR(VLOOKUP(B1001,'Master data'!$A$1:$F$1000,3,FALSE),"")</f>
        <v/>
      </c>
      <c r="G1001" s="100"/>
      <c r="H1001" s="100"/>
      <c r="I1001" s="16"/>
      <c r="J1001" s="16"/>
      <c r="K1001" s="16" t="b">
        <v>0</v>
      </c>
      <c r="L1001" s="16" t="b">
        <v>0</v>
      </c>
    </row>
    <row r="1002">
      <c r="A1002" s="107"/>
      <c r="B1002" s="16"/>
      <c r="C1002" s="7" t="str">
        <f>IFERROR(VLOOKUP(B1002,'Master data'!$A$1:$F$1000,2,FALSE),"")</f>
        <v/>
      </c>
      <c r="D1002" s="7" t="str">
        <f>IFERROR(VLOOKUP(B1002,'Master data'!$A$1:$F$1000,6,FALSE),"")</f>
        <v/>
      </c>
      <c r="F1002" s="7" t="str">
        <f>IFERROR(VLOOKUP(B1002,'Master data'!$A$1:$F$1000,3,FALSE),"")</f>
        <v/>
      </c>
      <c r="G1002" s="100"/>
      <c r="H1002" s="100"/>
      <c r="I1002" s="16"/>
      <c r="J1002" s="16"/>
      <c r="K1002" s="16" t="b">
        <v>0</v>
      </c>
      <c r="L1002" s="16" t="b">
        <v>0</v>
      </c>
    </row>
    <row r="1003">
      <c r="A1003" s="107"/>
      <c r="B1003" s="16"/>
      <c r="C1003" s="7" t="str">
        <f>IFERROR(VLOOKUP(B1003,'Master data'!$A$1:$F$1000,2,FALSE),"")</f>
        <v/>
      </c>
      <c r="D1003" s="7" t="str">
        <f>IFERROR(VLOOKUP(B1003,'Master data'!$A$1:$F$1000,6,FALSE),"")</f>
        <v/>
      </c>
      <c r="F1003" s="7" t="str">
        <f>IFERROR(VLOOKUP(B1003,'Master data'!$A$1:$F$1000,3,FALSE),"")</f>
        <v/>
      </c>
      <c r="G1003" s="100"/>
      <c r="H1003" s="100"/>
      <c r="I1003" s="16"/>
      <c r="J1003" s="16"/>
      <c r="K1003" s="16" t="b">
        <v>0</v>
      </c>
      <c r="L1003" s="16" t="b">
        <v>0</v>
      </c>
    </row>
    <row r="1004">
      <c r="A1004" s="107"/>
      <c r="B1004" s="16"/>
      <c r="C1004" s="7" t="str">
        <f>IFERROR(VLOOKUP(B1004,'Master data'!$A$1:$F$1000,2,FALSE),"")</f>
        <v/>
      </c>
      <c r="D1004" s="7" t="str">
        <f>IFERROR(VLOOKUP(B1004,'Master data'!$A$1:$F$1000,6,FALSE),"")</f>
        <v/>
      </c>
      <c r="F1004" s="7" t="str">
        <f>IFERROR(VLOOKUP(B1004,'Master data'!$A$1:$F$1000,3,FALSE),"")</f>
        <v/>
      </c>
      <c r="G1004" s="100"/>
      <c r="H1004" s="100"/>
      <c r="I1004" s="16"/>
      <c r="J1004" s="16"/>
      <c r="K1004" s="16" t="b">
        <v>0</v>
      </c>
      <c r="L1004" s="16" t="b">
        <v>0</v>
      </c>
    </row>
    <row r="1005">
      <c r="A1005" s="107"/>
      <c r="B1005" s="16"/>
      <c r="C1005" s="7" t="str">
        <f>IFERROR(VLOOKUP(B1005,'Master data'!$A$1:$F$1000,2,FALSE),"")</f>
        <v/>
      </c>
      <c r="D1005" s="7" t="str">
        <f>IFERROR(VLOOKUP(B1005,'Master data'!$A$1:$F$1000,6,FALSE),"")</f>
        <v/>
      </c>
      <c r="F1005" s="7" t="str">
        <f>IFERROR(VLOOKUP(B1005,'Master data'!$A$1:$F$1000,3,FALSE),"")</f>
        <v/>
      </c>
      <c r="G1005" s="100"/>
      <c r="H1005" s="100"/>
      <c r="I1005" s="16"/>
      <c r="J1005" s="16"/>
      <c r="K1005" s="16" t="b">
        <v>0</v>
      </c>
      <c r="L1005" s="16" t="b">
        <v>0</v>
      </c>
    </row>
    <row r="1006">
      <c r="A1006" s="107"/>
      <c r="B1006" s="16"/>
      <c r="C1006" s="7" t="str">
        <f>IFERROR(VLOOKUP(B1006,'Master data'!$A$1:$F$1000,2,FALSE),"")</f>
        <v/>
      </c>
      <c r="D1006" s="7" t="str">
        <f>IFERROR(VLOOKUP(B1006,'Master data'!$A$1:$F$1000,6,FALSE),"")</f>
        <v/>
      </c>
      <c r="F1006" s="7" t="str">
        <f>IFERROR(VLOOKUP(B1006,'Master data'!$A$1:$F$1000,3,FALSE),"")</f>
        <v/>
      </c>
      <c r="G1006" s="100"/>
      <c r="H1006" s="100"/>
      <c r="I1006" s="16"/>
      <c r="J1006" s="16"/>
      <c r="K1006" s="16" t="b">
        <v>0</v>
      </c>
      <c r="L1006" s="16" t="b">
        <v>0</v>
      </c>
    </row>
    <row r="1007">
      <c r="A1007" s="107"/>
      <c r="B1007" s="16"/>
      <c r="C1007" s="7" t="str">
        <f>IFERROR(VLOOKUP(B1007,'Master data'!$A$1:$F$1000,2,FALSE),"")</f>
        <v/>
      </c>
      <c r="D1007" s="7" t="str">
        <f>IFERROR(VLOOKUP(B1007,'Master data'!$A$1:$F$1000,6,FALSE),"")</f>
        <v/>
      </c>
      <c r="F1007" s="7" t="str">
        <f>IFERROR(VLOOKUP(B1007,'Master data'!$A$1:$F$1000,3,FALSE),"")</f>
        <v/>
      </c>
      <c r="G1007" s="100"/>
      <c r="H1007" s="100"/>
      <c r="I1007" s="16"/>
      <c r="J1007" s="16"/>
      <c r="K1007" s="16" t="b">
        <v>0</v>
      </c>
      <c r="L1007" s="16" t="b">
        <v>0</v>
      </c>
    </row>
    <row r="1008">
      <c r="A1008" s="107"/>
      <c r="B1008" s="16"/>
      <c r="C1008" s="7" t="str">
        <f>IFERROR(VLOOKUP(B1008,'Master data'!$A$1:$F$1000,2,FALSE),"")</f>
        <v/>
      </c>
      <c r="D1008" s="7" t="str">
        <f>IFERROR(VLOOKUP(B1008,'Master data'!$A$1:$F$1000,6,FALSE),"")</f>
        <v/>
      </c>
      <c r="F1008" s="7" t="str">
        <f>IFERROR(VLOOKUP(B1008,'Master data'!$A$1:$F$1000,3,FALSE),"")</f>
        <v/>
      </c>
      <c r="G1008" s="100"/>
      <c r="H1008" s="100"/>
      <c r="I1008" s="16"/>
      <c r="J1008" s="16"/>
      <c r="K1008" s="16" t="b">
        <v>0</v>
      </c>
      <c r="L1008" s="16" t="b">
        <v>0</v>
      </c>
    </row>
    <row r="1009">
      <c r="A1009" s="107"/>
      <c r="B1009" s="16"/>
      <c r="C1009" s="7" t="str">
        <f>IFERROR(VLOOKUP(B1009,'Master data'!$A$1:$F$1000,2,FALSE),"")</f>
        <v/>
      </c>
      <c r="D1009" s="7" t="str">
        <f>IFERROR(VLOOKUP(B1009,'Master data'!$A$1:$F$1000,6,FALSE),"")</f>
        <v/>
      </c>
      <c r="F1009" s="7" t="str">
        <f>IFERROR(VLOOKUP(B1009,'Master data'!$A$1:$F$1000,3,FALSE),"")</f>
        <v/>
      </c>
      <c r="G1009" s="100"/>
      <c r="H1009" s="100"/>
      <c r="I1009" s="16"/>
      <c r="J1009" s="16"/>
      <c r="K1009" s="16" t="b">
        <v>0</v>
      </c>
      <c r="L1009" s="16" t="b">
        <v>0</v>
      </c>
    </row>
    <row r="1010">
      <c r="A1010" s="107"/>
      <c r="B1010" s="16"/>
      <c r="C1010" s="7" t="str">
        <f>IFERROR(VLOOKUP(B1010,'Master data'!$A$1:$F$1000,2,FALSE),"")</f>
        <v/>
      </c>
      <c r="D1010" s="7" t="str">
        <f>IFERROR(VLOOKUP(B1010,'Master data'!$A$1:$F$1000,6,FALSE),"")</f>
        <v/>
      </c>
      <c r="F1010" s="7" t="str">
        <f>IFERROR(VLOOKUP(B1010,'Master data'!$A$1:$F$1000,3,FALSE),"")</f>
        <v/>
      </c>
      <c r="G1010" s="100"/>
      <c r="H1010" s="100"/>
      <c r="I1010" s="16"/>
      <c r="J1010" s="16"/>
      <c r="K1010" s="16" t="b">
        <v>0</v>
      </c>
      <c r="L1010" s="16" t="b">
        <v>0</v>
      </c>
    </row>
    <row r="1011">
      <c r="A1011" s="107"/>
      <c r="B1011" s="16"/>
      <c r="C1011" s="7" t="str">
        <f>IFERROR(VLOOKUP(B1011,'Master data'!$A$1:$F$1000,2,FALSE),"")</f>
        <v/>
      </c>
      <c r="D1011" s="7" t="str">
        <f>IFERROR(VLOOKUP(B1011,'Master data'!$A$1:$F$1000,6,FALSE),"")</f>
        <v/>
      </c>
      <c r="F1011" s="7" t="str">
        <f>IFERROR(VLOOKUP(B1011,'Master data'!$A$1:$F$1000,3,FALSE),"")</f>
        <v/>
      </c>
      <c r="G1011" s="100"/>
      <c r="H1011" s="100"/>
      <c r="I1011" s="16"/>
      <c r="J1011" s="16"/>
      <c r="K1011" s="16" t="b">
        <v>0</v>
      </c>
      <c r="L1011" s="16" t="b">
        <v>0</v>
      </c>
    </row>
    <row r="1012">
      <c r="A1012" s="107"/>
      <c r="B1012" s="16"/>
      <c r="C1012" s="7" t="str">
        <f>IFERROR(VLOOKUP(B1012,'Master data'!$A$1:$F$1000,2,FALSE),"")</f>
        <v/>
      </c>
      <c r="D1012" s="7" t="str">
        <f>IFERROR(VLOOKUP(B1012,'Master data'!$A$1:$F$1000,6,FALSE),"")</f>
        <v/>
      </c>
      <c r="F1012" s="7" t="str">
        <f>IFERROR(VLOOKUP(B1012,'Master data'!$A$1:$F$1000,3,FALSE),"")</f>
        <v/>
      </c>
      <c r="G1012" s="100"/>
      <c r="H1012" s="100"/>
      <c r="I1012" s="16"/>
      <c r="J1012" s="16"/>
      <c r="K1012" s="16" t="b">
        <v>0</v>
      </c>
      <c r="L1012" s="16" t="b">
        <v>0</v>
      </c>
    </row>
    <row r="1013">
      <c r="A1013" s="107"/>
      <c r="B1013" s="16"/>
      <c r="C1013" s="7" t="str">
        <f>IFERROR(VLOOKUP(B1013,'Master data'!$A$1:$F$1000,2,FALSE),"")</f>
        <v/>
      </c>
      <c r="D1013" s="7" t="str">
        <f>IFERROR(VLOOKUP(B1013,'Master data'!$A$1:$F$1000,6,FALSE),"")</f>
        <v/>
      </c>
      <c r="F1013" s="7" t="str">
        <f>IFERROR(VLOOKUP(B1013,'Master data'!$A$1:$F$1000,3,FALSE),"")</f>
        <v/>
      </c>
      <c r="G1013" s="100"/>
      <c r="H1013" s="100"/>
      <c r="I1013" s="16"/>
      <c r="J1013" s="16"/>
      <c r="K1013" s="16" t="b">
        <v>0</v>
      </c>
      <c r="L1013" s="16" t="b">
        <v>0</v>
      </c>
    </row>
    <row r="1014">
      <c r="A1014" s="107"/>
      <c r="B1014" s="16"/>
      <c r="C1014" s="7" t="str">
        <f>IFERROR(VLOOKUP(B1014,'Master data'!$A$1:$F$1000,2,FALSE),"")</f>
        <v/>
      </c>
      <c r="D1014" s="7" t="str">
        <f>IFERROR(VLOOKUP(B1014,'Master data'!$A$1:$F$1000,6,FALSE),"")</f>
        <v/>
      </c>
      <c r="F1014" s="7" t="str">
        <f>IFERROR(VLOOKUP(B1014,'Master data'!$A$1:$F$1000,3,FALSE),"")</f>
        <v/>
      </c>
      <c r="G1014" s="100"/>
      <c r="H1014" s="100"/>
      <c r="I1014" s="16"/>
      <c r="J1014" s="16"/>
      <c r="K1014" s="16" t="b">
        <v>0</v>
      </c>
      <c r="L1014" s="16" t="b">
        <v>0</v>
      </c>
    </row>
  </sheetData>
  <autoFilter ref="$A$6:$AC$1014">
    <filterColumn colId="10">
      <filters>
        <filter val="FALSE"/>
      </filters>
    </filterColumn>
  </autoFilter>
  <mergeCells count="98">
    <mergeCell ref="H64:H66"/>
    <mergeCell ref="H68:H69"/>
    <mergeCell ref="H70:H71"/>
    <mergeCell ref="H73:H74"/>
    <mergeCell ref="G75:G82"/>
    <mergeCell ref="H75:H82"/>
    <mergeCell ref="H86:H87"/>
    <mergeCell ref="H88:H89"/>
    <mergeCell ref="H90:H91"/>
    <mergeCell ref="H100:H101"/>
    <mergeCell ref="H102:H103"/>
    <mergeCell ref="H104:H106"/>
    <mergeCell ref="G107:G108"/>
    <mergeCell ref="H107:H108"/>
    <mergeCell ref="H144:H146"/>
    <mergeCell ref="H149:H153"/>
    <mergeCell ref="H156:H157"/>
    <mergeCell ref="H166:H169"/>
    <mergeCell ref="H179:H180"/>
    <mergeCell ref="H110:H111"/>
    <mergeCell ref="H112:H113"/>
    <mergeCell ref="H115:H117"/>
    <mergeCell ref="H126:H127"/>
    <mergeCell ref="H132:H133"/>
    <mergeCell ref="H135:H138"/>
    <mergeCell ref="H140:H143"/>
    <mergeCell ref="H158:H160"/>
    <mergeCell ref="H161:H162"/>
    <mergeCell ref="H163:H165"/>
    <mergeCell ref="H171:H172"/>
    <mergeCell ref="H175:H176"/>
    <mergeCell ref="H177:H178"/>
    <mergeCell ref="H181:H182"/>
    <mergeCell ref="H220:H222"/>
    <mergeCell ref="H223:H224"/>
    <mergeCell ref="H226:H227"/>
    <mergeCell ref="H229:H230"/>
    <mergeCell ref="H183:H186"/>
    <mergeCell ref="H187:H188"/>
    <mergeCell ref="H200:H201"/>
    <mergeCell ref="H202:H203"/>
    <mergeCell ref="H204:H205"/>
    <mergeCell ref="H208:H211"/>
    <mergeCell ref="H215:H219"/>
    <mergeCell ref="A195:A197"/>
    <mergeCell ref="A198:A203"/>
    <mergeCell ref="A204:A207"/>
    <mergeCell ref="A208:A214"/>
    <mergeCell ref="A215:A225"/>
    <mergeCell ref="A226:A227"/>
    <mergeCell ref="A228:A233"/>
    <mergeCell ref="A134:A148"/>
    <mergeCell ref="A149:A156"/>
    <mergeCell ref="A157:A167"/>
    <mergeCell ref="A168:A173"/>
    <mergeCell ref="A174:A179"/>
    <mergeCell ref="A180:A188"/>
    <mergeCell ref="A189:A194"/>
    <mergeCell ref="H12:H15"/>
    <mergeCell ref="H16:H18"/>
    <mergeCell ref="A1:L1"/>
    <mergeCell ref="A2:L2"/>
    <mergeCell ref="A3:L3"/>
    <mergeCell ref="A4:L4"/>
    <mergeCell ref="A7:A15"/>
    <mergeCell ref="H9:H11"/>
    <mergeCell ref="A16:A25"/>
    <mergeCell ref="H20:H21"/>
    <mergeCell ref="H22:H25"/>
    <mergeCell ref="A26:A37"/>
    <mergeCell ref="H27:H28"/>
    <mergeCell ref="H29:H31"/>
    <mergeCell ref="H32:H35"/>
    <mergeCell ref="H38:H40"/>
    <mergeCell ref="A38:A40"/>
    <mergeCell ref="A41:A49"/>
    <mergeCell ref="A50:A58"/>
    <mergeCell ref="A59:A66"/>
    <mergeCell ref="A67:A72"/>
    <mergeCell ref="A73:A82"/>
    <mergeCell ref="A83:A89"/>
    <mergeCell ref="A90:A97"/>
    <mergeCell ref="A98:A101"/>
    <mergeCell ref="A102:A108"/>
    <mergeCell ref="A109:A114"/>
    <mergeCell ref="A115:A122"/>
    <mergeCell ref="A123:A127"/>
    <mergeCell ref="A128:A133"/>
    <mergeCell ref="H190:H191"/>
    <mergeCell ref="H193:H194"/>
    <mergeCell ref="H196:H197"/>
    <mergeCell ref="H41:H42"/>
    <mergeCell ref="H43:H45"/>
    <mergeCell ref="H46:H48"/>
    <mergeCell ref="H50:H53"/>
    <mergeCell ref="H54:H57"/>
    <mergeCell ref="H59:H60"/>
    <mergeCell ref="H61:H63"/>
  </mergeCells>
  <dataValidations>
    <dataValidation type="list" allowBlank="1" showErrorMessage="1" sqref="B7:B81 B83:B1014">
      <formula1>'Master data'!$A$2:$A$429</formula1>
    </dataValidation>
    <dataValidation type="list" allowBlank="1" showErrorMessage="1" sqref="J7:J1014">
      <formula1>"Waste,Spoil,Training,Discontinued,Test food/ Kalibrasi"</formula1>
    </dataValidation>
    <dataValidation type="list" allowBlank="1" showErrorMessage="1" sqref="I7:I1014">
      <formula1>"BAR,COOK,ASSEMBLY,MP,DINING"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33.86"/>
    <col customWidth="1" min="4" max="4" width="26.29"/>
    <col customWidth="1" min="7" max="7" width="26.86"/>
    <col customWidth="1" min="9" max="9" width="18.29"/>
    <col customWidth="1" min="10" max="10" width="19.71"/>
    <col customWidth="1" min="11" max="11" width="8.43"/>
    <col customWidth="1" min="12" max="12" width="9.0"/>
    <col customWidth="1" min="13" max="13" width="24.57"/>
    <col customWidth="1" min="14" max="14" width="33.71"/>
  </cols>
  <sheetData>
    <row r="1">
      <c r="A1" s="3" t="s">
        <v>0</v>
      </c>
    </row>
    <row r="2">
      <c r="A2" s="3" t="s">
        <v>12</v>
      </c>
    </row>
    <row r="3">
      <c r="A3" s="3" t="s">
        <v>13</v>
      </c>
    </row>
    <row r="4">
      <c r="A4" s="62" t="s">
        <v>1852</v>
      </c>
    </row>
    <row r="5">
      <c r="A5" s="108"/>
      <c r="G5" s="29"/>
      <c r="H5" s="29"/>
    </row>
    <row r="6">
      <c r="A6" s="12" t="s">
        <v>10</v>
      </c>
      <c r="B6" s="13" t="s">
        <v>2</v>
      </c>
      <c r="C6" s="14" t="s">
        <v>11</v>
      </c>
      <c r="D6" s="15" t="s">
        <v>3</v>
      </c>
      <c r="E6" s="15" t="s">
        <v>5</v>
      </c>
      <c r="F6" s="14" t="s">
        <v>4</v>
      </c>
      <c r="G6" s="14" t="s">
        <v>6</v>
      </c>
      <c r="H6" s="15" t="s">
        <v>7</v>
      </c>
      <c r="I6" s="15" t="s">
        <v>56</v>
      </c>
      <c r="J6" s="15" t="s">
        <v>57</v>
      </c>
      <c r="K6" s="15"/>
      <c r="L6" s="15" t="s">
        <v>60</v>
      </c>
      <c r="N6" s="7" t="s">
        <v>61</v>
      </c>
    </row>
    <row r="7">
      <c r="A7" s="27">
        <v>1.0</v>
      </c>
      <c r="B7" s="7" t="s">
        <v>86</v>
      </c>
      <c r="C7" s="7" t="str">
        <f>IFERROR(VLOOKUP(B7,'Master data'!$A$1:$F$1000,2,FALSE),"")</f>
        <v>B001-036</v>
      </c>
      <c r="D7" s="7" t="str">
        <f>IFERROR(VLOOKUP(B7,'Master data'!$A$1:$F$1000,6,FALSE),"")</f>
        <v>bahan baku</v>
      </c>
      <c r="E7" s="7">
        <v>58.0</v>
      </c>
      <c r="F7" s="7" t="str">
        <f>IFERROR(VLOOKUP(B7,'Master data'!$A$1:$F$1000,3,FALSE),"")</f>
        <v>GR</v>
      </c>
      <c r="G7" s="27" t="s">
        <v>1723</v>
      </c>
      <c r="H7" s="27" t="s">
        <v>1512</v>
      </c>
      <c r="I7" s="7" t="s">
        <v>1552</v>
      </c>
      <c r="J7" s="7" t="s">
        <v>61</v>
      </c>
      <c r="K7" s="16" t="b">
        <v>0</v>
      </c>
      <c r="L7" s="16" t="b">
        <v>0</v>
      </c>
      <c r="M7" s="7" t="s">
        <v>103</v>
      </c>
      <c r="N7" s="7" t="s">
        <v>104</v>
      </c>
    </row>
    <row r="8">
      <c r="A8" s="108"/>
      <c r="B8" s="7" t="s">
        <v>677</v>
      </c>
      <c r="C8" s="7" t="str">
        <f>IFERROR(VLOOKUP(B8,'Master data'!$A$1:$F$1000,2,FALSE),"")</f>
        <v>P004-031</v>
      </c>
      <c r="D8" s="7" t="str">
        <f>IFERROR(VLOOKUP(B8,'Master data'!$A$1:$F$1000,6,FALSE),"")</f>
        <v>barang jadi &amp; bahan baku</v>
      </c>
      <c r="E8" s="7">
        <v>944.0</v>
      </c>
      <c r="F8" s="7" t="s">
        <v>20</v>
      </c>
      <c r="G8" s="27" t="s">
        <v>1853</v>
      </c>
      <c r="H8" s="27" t="s">
        <v>1854</v>
      </c>
      <c r="I8" s="7" t="s">
        <v>1552</v>
      </c>
      <c r="J8" s="7" t="s">
        <v>1561</v>
      </c>
      <c r="K8" s="16" t="b">
        <v>0</v>
      </c>
      <c r="L8" s="16" t="b">
        <v>0</v>
      </c>
      <c r="N8" s="7" t="s">
        <v>126</v>
      </c>
    </row>
    <row r="9">
      <c r="A9" s="108"/>
      <c r="B9" s="7" t="s">
        <v>211</v>
      </c>
      <c r="C9" s="7" t="str">
        <f>IFERROR(VLOOKUP(B9,'Master data'!$A$1:$F$1000,2,FALSE),"")</f>
        <v>B001-088</v>
      </c>
      <c r="D9" s="7" t="str">
        <f>IFERROR(VLOOKUP(B9,'Master data'!$A$1:$F$1000,6,FALSE),"")</f>
        <v>bahan baku</v>
      </c>
      <c r="E9" s="7">
        <v>1320.0</v>
      </c>
      <c r="F9" s="7" t="str">
        <f>IFERROR(VLOOKUP(B9,'Master data'!$A$1:$F$1000,3,FALSE),"")</f>
        <v>GR</v>
      </c>
      <c r="G9" s="27" t="s">
        <v>1475</v>
      </c>
      <c r="H9" s="27" t="s">
        <v>1567</v>
      </c>
      <c r="I9" s="7" t="s">
        <v>1556</v>
      </c>
      <c r="J9" s="7" t="s">
        <v>61</v>
      </c>
      <c r="K9" s="16" t="b">
        <v>0</v>
      </c>
      <c r="L9" s="16" t="b">
        <v>0</v>
      </c>
      <c r="M9" s="7" t="s">
        <v>141</v>
      </c>
      <c r="N9" s="7" t="s">
        <v>143</v>
      </c>
    </row>
    <row r="10">
      <c r="A10" s="108"/>
      <c r="B10" s="7" t="s">
        <v>660</v>
      </c>
      <c r="C10" s="7" t="str">
        <f>IFERROR(VLOOKUP(B10,'Master data'!$A$1:$F$1000,2,FALSE),"")</f>
        <v>P004-024</v>
      </c>
      <c r="D10" s="7" t="str">
        <f>IFERROR(VLOOKUP(B10,'Master data'!$A$1:$F$1000,6,FALSE),"")</f>
        <v>barang jadi &amp; bahan baku</v>
      </c>
      <c r="E10" s="7">
        <v>562.0</v>
      </c>
      <c r="F10" s="7" t="str">
        <f>IFERROR(VLOOKUP(B10,'Master data'!$A$1:$F$1000,3,FALSE),"")</f>
        <v>ML</v>
      </c>
      <c r="G10" s="27" t="s">
        <v>1216</v>
      </c>
      <c r="H10" s="27" t="s">
        <v>1854</v>
      </c>
      <c r="I10" s="7" t="s">
        <v>1552</v>
      </c>
      <c r="J10" s="7" t="s">
        <v>1561</v>
      </c>
      <c r="K10" s="16" t="b">
        <v>0</v>
      </c>
      <c r="L10" s="16" t="b">
        <v>0</v>
      </c>
    </row>
    <row r="11">
      <c r="A11" s="108"/>
      <c r="B11" s="7" t="s">
        <v>653</v>
      </c>
      <c r="C11" s="7" t="str">
        <f>IFERROR(VLOOKUP(B11,'Master data'!$A$1:$F$1000,2,FALSE),"")</f>
        <v>P004-022</v>
      </c>
      <c r="D11" s="7" t="str">
        <f>IFERROR(VLOOKUP(B11,'Master data'!$A$1:$F$1000,6,FALSE),"")</f>
        <v>barang jadi &amp; bahan baku</v>
      </c>
      <c r="E11" s="7">
        <v>407.0</v>
      </c>
      <c r="F11" s="7" t="s">
        <v>78</v>
      </c>
      <c r="G11" s="27" t="s">
        <v>1216</v>
      </c>
      <c r="H11" s="29"/>
      <c r="I11" s="7" t="s">
        <v>1552</v>
      </c>
      <c r="J11" s="7" t="s">
        <v>1561</v>
      </c>
      <c r="K11" s="16" t="b">
        <v>0</v>
      </c>
      <c r="L11" s="16" t="b">
        <v>0</v>
      </c>
      <c r="M11" s="7" t="s">
        <v>173</v>
      </c>
    </row>
    <row r="12">
      <c r="A12" s="108"/>
      <c r="B12" s="7" t="s">
        <v>657</v>
      </c>
      <c r="C12" s="7" t="str">
        <f>IFERROR(VLOOKUP(B12,'Master data'!$A$1:$F$1000,2,FALSE),"")</f>
        <v>P004-023</v>
      </c>
      <c r="D12" s="7" t="str">
        <f>IFERROR(VLOOKUP(B12,'Master data'!$A$1:$F$1000,6,FALSE),"")</f>
        <v>barang jadi &amp; bahan baku</v>
      </c>
      <c r="E12" s="7">
        <v>185.0</v>
      </c>
      <c r="F12" s="7" t="str">
        <f>IFERROR(VLOOKUP(B12,'Master data'!$A$1:$F$1000,3,FALSE),"")</f>
        <v>GR</v>
      </c>
      <c r="G12" s="27" t="s">
        <v>1216</v>
      </c>
      <c r="H12" s="29"/>
      <c r="I12" s="7" t="s">
        <v>1552</v>
      </c>
      <c r="J12" s="7" t="s">
        <v>1561</v>
      </c>
      <c r="K12" s="16" t="b">
        <v>0</v>
      </c>
      <c r="L12" s="16" t="b">
        <v>0</v>
      </c>
    </row>
    <row r="13">
      <c r="A13" s="108"/>
      <c r="B13" s="7" t="s">
        <v>33</v>
      </c>
      <c r="C13" s="7" t="str">
        <f>IFERROR(VLOOKUP(B13,'Master data'!$A$1:$F$1000,2,FALSE),"")</f>
        <v>B001-008</v>
      </c>
      <c r="D13" s="7" t="str">
        <f>IFERROR(VLOOKUP(B13,'Master data'!$A$1:$F$1000,6,FALSE),"")</f>
        <v>bahan baku</v>
      </c>
      <c r="E13" s="7">
        <v>304.0</v>
      </c>
      <c r="F13" s="7" t="str">
        <f>IFERROR(VLOOKUP(B13,'Master data'!$A$1:$F$1000,3,FALSE),"")</f>
        <v>GR</v>
      </c>
      <c r="G13" s="27" t="s">
        <v>1855</v>
      </c>
      <c r="H13" s="27" t="s">
        <v>1225</v>
      </c>
      <c r="I13" s="7" t="s">
        <v>1548</v>
      </c>
      <c r="J13" s="7" t="s">
        <v>1561</v>
      </c>
      <c r="K13" s="16" t="b">
        <v>0</v>
      </c>
      <c r="L13" s="16" t="b">
        <v>0</v>
      </c>
      <c r="M13" s="7" t="s">
        <v>204</v>
      </c>
    </row>
    <row r="14">
      <c r="A14" s="108"/>
      <c r="B14" s="7" t="s">
        <v>129</v>
      </c>
      <c r="C14" s="7" t="str">
        <f>IFERROR(VLOOKUP(B14,'Master data'!$A$1:$F$1000,2,FALSE),"")</f>
        <v>B001-056</v>
      </c>
      <c r="D14" s="7" t="str">
        <f>IFERROR(VLOOKUP(B14,'Master data'!$A$1:$F$1000,6,FALSE),"")</f>
        <v>bahan baku</v>
      </c>
      <c r="E14" s="7">
        <v>3.0</v>
      </c>
      <c r="F14" s="7" t="str">
        <f>IFERROR(VLOOKUP(B14,'Master data'!$A$1:$F$1000,3,FALSE),"")</f>
        <v>ML</v>
      </c>
      <c r="G14" s="27" t="s">
        <v>1855</v>
      </c>
      <c r="H14" s="29"/>
      <c r="I14" s="7" t="s">
        <v>1548</v>
      </c>
      <c r="J14" s="7" t="s">
        <v>1561</v>
      </c>
      <c r="K14" s="16" t="b">
        <v>0</v>
      </c>
      <c r="L14" s="16" t="b">
        <v>0</v>
      </c>
    </row>
    <row r="15">
      <c r="A15" s="27">
        <v>2.0</v>
      </c>
      <c r="B15" s="7" t="s">
        <v>691</v>
      </c>
      <c r="C15" s="7" t="str">
        <f>IFERROR(VLOOKUP(B15,'Master data'!$A$1:$F$1000,2,FALSE),"")</f>
        <v>P004-036</v>
      </c>
      <c r="D15" s="7" t="str">
        <f>IFERROR(VLOOKUP(B15,'Master data'!$A$1:$F$1000,6,FALSE),"")</f>
        <v>barang jadi &amp; bahan baku</v>
      </c>
      <c r="E15" s="7">
        <v>1225.0</v>
      </c>
      <c r="F15" s="7" t="s">
        <v>20</v>
      </c>
      <c r="G15" s="27" t="s">
        <v>1245</v>
      </c>
      <c r="H15" s="27" t="s">
        <v>1856</v>
      </c>
      <c r="I15" s="7" t="s">
        <v>1552</v>
      </c>
      <c r="J15" s="7" t="s">
        <v>1561</v>
      </c>
      <c r="K15" s="16" t="b">
        <v>0</v>
      </c>
      <c r="L15" s="16" t="b">
        <v>0</v>
      </c>
      <c r="M15" s="7" t="s">
        <v>234</v>
      </c>
    </row>
    <row r="16">
      <c r="A16" s="108"/>
      <c r="B16" s="7" t="s">
        <v>111</v>
      </c>
      <c r="C16" s="7" t="str">
        <f>IFERROR(VLOOKUP(B16,'Master data'!$A$1:$F$1000,2,FALSE),"")</f>
        <v>B001-047</v>
      </c>
      <c r="D16" s="7" t="str">
        <f>IFERROR(VLOOKUP(B16,'Master data'!$A$1:$F$1000,6,FALSE),"")</f>
        <v>bahan baku</v>
      </c>
      <c r="E16" s="7">
        <v>38.0</v>
      </c>
      <c r="F16" s="7" t="str">
        <f>IFERROR(VLOOKUP(B16,'Master data'!$A$1:$F$1000,3,FALSE),"")</f>
        <v>GR</v>
      </c>
      <c r="G16" s="27" t="s">
        <v>1455</v>
      </c>
      <c r="H16" s="29"/>
      <c r="I16" s="7" t="s">
        <v>1552</v>
      </c>
      <c r="J16" s="7" t="s">
        <v>1561</v>
      </c>
      <c r="K16" s="16" t="b">
        <v>0</v>
      </c>
      <c r="L16" s="16" t="b">
        <v>0</v>
      </c>
    </row>
    <row r="17">
      <c r="A17" s="108"/>
      <c r="B17" s="7" t="s">
        <v>698</v>
      </c>
      <c r="C17" s="7" t="str">
        <f>IFERROR(VLOOKUP(B17,'Master data'!$A$1:$F$1000,2,FALSE),"")</f>
        <v>P004-038</v>
      </c>
      <c r="D17" s="7" t="str">
        <f>IFERROR(VLOOKUP(B17,'Master data'!$A$1:$F$1000,6,FALSE),"")</f>
        <v>barang jadi &amp; bahan baku</v>
      </c>
      <c r="E17" s="7">
        <v>1.0</v>
      </c>
      <c r="F17" s="7" t="str">
        <f>IFERROR(VLOOKUP(B17,'Master data'!$A$1:$F$1000,3,FALSE),"")</f>
        <v>PRS</v>
      </c>
      <c r="G17" s="27" t="s">
        <v>1377</v>
      </c>
      <c r="H17" s="27" t="s">
        <v>1364</v>
      </c>
      <c r="I17" s="7" t="s">
        <v>1542</v>
      </c>
      <c r="J17" s="7" t="s">
        <v>1561</v>
      </c>
      <c r="K17" s="16" t="b">
        <v>0</v>
      </c>
      <c r="L17" s="16" t="b">
        <v>0</v>
      </c>
    </row>
    <row r="18">
      <c r="A18" s="108"/>
      <c r="B18" s="7" t="s">
        <v>186</v>
      </c>
      <c r="C18" s="7" t="str">
        <f>IFERROR(VLOOKUP(B18,'Master data'!$A$1:$F$1000,2,FALSE),"")</f>
        <v>B001-078</v>
      </c>
      <c r="D18" s="7" t="str">
        <f>IFERROR(VLOOKUP(B18,'Master data'!$A$1:$F$1000,6,FALSE),"")</f>
        <v>bahan baku</v>
      </c>
      <c r="E18" s="7">
        <v>54.0</v>
      </c>
      <c r="F18" s="7" t="str">
        <f>IFERROR(VLOOKUP(B18,'Master data'!$A$1:$F$1000,3,FALSE),"")</f>
        <v>GR</v>
      </c>
      <c r="G18" s="27" t="s">
        <v>1455</v>
      </c>
      <c r="H18" s="29"/>
      <c r="I18" s="7" t="s">
        <v>1542</v>
      </c>
      <c r="J18" s="7" t="s">
        <v>1561</v>
      </c>
      <c r="K18" s="16" t="b">
        <v>0</v>
      </c>
      <c r="L18" s="16" t="b">
        <v>0</v>
      </c>
    </row>
    <row r="19">
      <c r="A19" s="108"/>
      <c r="B19" s="7" t="s">
        <v>298</v>
      </c>
      <c r="C19" s="7" t="str">
        <f>IFERROR(VLOOKUP(B19,'Master data'!$A$1:$F$1000,2,FALSE),"")</f>
        <v>B001-125</v>
      </c>
      <c r="D19" s="7" t="str">
        <f>IFERROR(VLOOKUP(B19,'Master data'!$A$1:$F$1000,6,FALSE),"")</f>
        <v>bahan baku</v>
      </c>
      <c r="E19" s="7">
        <v>317.0</v>
      </c>
      <c r="F19" s="7" t="str">
        <f>IFERROR(VLOOKUP(B19,'Master data'!$A$1:$F$1000,3,FALSE),"")</f>
        <v>GR</v>
      </c>
      <c r="G19" s="27" t="s">
        <v>1224</v>
      </c>
      <c r="H19" s="29"/>
      <c r="I19" s="7" t="s">
        <v>1542</v>
      </c>
      <c r="J19" s="7" t="s">
        <v>1561</v>
      </c>
      <c r="K19" s="16" t="b">
        <v>0</v>
      </c>
      <c r="L19" s="16" t="b">
        <v>0</v>
      </c>
    </row>
    <row r="20">
      <c r="A20" s="108"/>
      <c r="B20" s="7" t="s">
        <v>118</v>
      </c>
      <c r="C20" s="7" t="str">
        <f>IFERROR(VLOOKUP(B20,'Master data'!$A$1:$F$1000,2,FALSE),"")</f>
        <v>B001-007</v>
      </c>
      <c r="D20" s="7" t="str">
        <f>IFERROR(VLOOKUP(B20,'Master data'!$A$1:$F$1000,6,FALSE),"")</f>
        <v>bahan baku</v>
      </c>
      <c r="E20" s="7">
        <v>75.0</v>
      </c>
      <c r="F20" s="7" t="str">
        <f>IFERROR(VLOOKUP(B20,'Master data'!$A$1:$F$1000,3,FALSE),"")</f>
        <v>GR</v>
      </c>
      <c r="G20" s="27" t="s">
        <v>1224</v>
      </c>
      <c r="H20" s="29"/>
      <c r="I20" s="7" t="s">
        <v>1542</v>
      </c>
      <c r="J20" s="7" t="s">
        <v>1561</v>
      </c>
      <c r="K20" s="16" t="b">
        <v>0</v>
      </c>
      <c r="L20" s="16" t="b">
        <v>0</v>
      </c>
    </row>
    <row r="21">
      <c r="A21" s="108"/>
      <c r="B21" s="7" t="s">
        <v>28</v>
      </c>
      <c r="C21" s="7" t="str">
        <f>IFERROR(VLOOKUP(B21,'Master data'!$A$1:$F$1000,2,FALSE),"")</f>
        <v>B001-006</v>
      </c>
      <c r="D21" s="7" t="str">
        <f>IFERROR(VLOOKUP(B21,'Master data'!$A$1:$F$1000,6,FALSE),"")</f>
        <v>bahan baku</v>
      </c>
      <c r="E21" s="7">
        <v>22.0</v>
      </c>
      <c r="F21" s="7" t="str">
        <f>IFERROR(VLOOKUP(B21,'Master data'!$A$1:$F$1000,3,FALSE),"")</f>
        <v>GR</v>
      </c>
      <c r="G21" s="27" t="s">
        <v>1370</v>
      </c>
      <c r="H21" s="29"/>
      <c r="I21" s="7" t="s">
        <v>1542</v>
      </c>
      <c r="J21" s="7" t="s">
        <v>1561</v>
      </c>
      <c r="K21" s="16" t="b">
        <v>0</v>
      </c>
      <c r="L21" s="16" t="b">
        <v>0</v>
      </c>
    </row>
    <row r="22">
      <c r="A22" s="108"/>
      <c r="B22" s="7" t="s">
        <v>933</v>
      </c>
      <c r="C22" s="7" t="str">
        <f>IFERROR(VLOOKUP(B22,'Master data'!$A$1:$F$1000,2,FALSE),"")</f>
        <v>B001-167</v>
      </c>
      <c r="D22" s="7" t="str">
        <f>IFERROR(VLOOKUP(B22,'Master data'!$A$1:$F$1000,6,FALSE),"")</f>
        <v>bahan baku</v>
      </c>
      <c r="E22" s="7">
        <v>40.0</v>
      </c>
      <c r="F22" s="7" t="s">
        <v>20</v>
      </c>
      <c r="G22" s="27" t="s">
        <v>1224</v>
      </c>
      <c r="H22" s="29"/>
      <c r="I22" s="7" t="s">
        <v>1542</v>
      </c>
      <c r="J22" s="7" t="s">
        <v>61</v>
      </c>
      <c r="K22" s="16" t="b">
        <v>0</v>
      </c>
      <c r="L22" s="16" t="b">
        <v>0</v>
      </c>
    </row>
    <row r="23">
      <c r="A23" s="108"/>
      <c r="B23" s="7" t="s">
        <v>148</v>
      </c>
      <c r="C23" s="7" t="str">
        <f>IFERROR(VLOOKUP(B23,'Master data'!$A$1:$F$1000,2,FALSE),"")</f>
        <v>B001-064</v>
      </c>
      <c r="D23" s="7" t="str">
        <f>IFERROR(VLOOKUP(B23,'Master data'!$A$1:$F$1000,6,FALSE),"")</f>
        <v>bahan baku</v>
      </c>
      <c r="E23" s="7">
        <v>39.0</v>
      </c>
      <c r="F23" s="7" t="str">
        <f>IFERROR(VLOOKUP(B23,'Master data'!$A$1:$F$1000,3,FALSE),"")</f>
        <v>GR</v>
      </c>
      <c r="G23" s="27" t="s">
        <v>1858</v>
      </c>
      <c r="H23" s="29"/>
      <c r="I23" s="7" t="s">
        <v>1542</v>
      </c>
      <c r="J23" s="7" t="s">
        <v>61</v>
      </c>
      <c r="K23" s="16" t="b">
        <v>0</v>
      </c>
      <c r="L23" s="16" t="b">
        <v>0</v>
      </c>
    </row>
    <row r="24">
      <c r="A24" s="108"/>
      <c r="B24" s="7" t="s">
        <v>653</v>
      </c>
      <c r="C24" s="7" t="str">
        <f>IFERROR(VLOOKUP(B24,'Master data'!$A$1:$F$1000,2,FALSE),"")</f>
        <v>P004-022</v>
      </c>
      <c r="D24" s="7" t="str">
        <f>IFERROR(VLOOKUP(B24,'Master data'!$A$1:$F$1000,6,FALSE),"")</f>
        <v>barang jadi &amp; bahan baku</v>
      </c>
      <c r="E24" s="7">
        <v>264.0</v>
      </c>
      <c r="F24" s="7" t="s">
        <v>78</v>
      </c>
      <c r="G24" s="27" t="s">
        <v>1860</v>
      </c>
      <c r="H24" s="27" t="s">
        <v>1856</v>
      </c>
      <c r="I24" s="7" t="s">
        <v>1552</v>
      </c>
      <c r="J24" s="7" t="s">
        <v>1561</v>
      </c>
      <c r="K24" s="16" t="b">
        <v>0</v>
      </c>
      <c r="L24" s="16" t="b">
        <v>0</v>
      </c>
    </row>
    <row r="25">
      <c r="A25" s="108"/>
      <c r="B25" s="7" t="s">
        <v>657</v>
      </c>
      <c r="C25" s="7" t="str">
        <f>IFERROR(VLOOKUP(B25,'Master data'!$A$1:$F$1000,2,FALSE),"")</f>
        <v>P004-023</v>
      </c>
      <c r="D25" s="7" t="str">
        <f>IFERROR(VLOOKUP(B25,'Master data'!$A$1:$F$1000,6,FALSE),"")</f>
        <v>barang jadi &amp; bahan baku</v>
      </c>
      <c r="E25" s="7">
        <v>400.0</v>
      </c>
      <c r="F25" s="7" t="s">
        <v>78</v>
      </c>
      <c r="G25" s="27" t="s">
        <v>1164</v>
      </c>
      <c r="H25" s="29"/>
      <c r="I25" s="7" t="s">
        <v>1552</v>
      </c>
      <c r="J25" s="7" t="s">
        <v>1561</v>
      </c>
      <c r="K25" s="16" t="b">
        <v>0</v>
      </c>
      <c r="L25" s="16" t="b">
        <v>0</v>
      </c>
    </row>
    <row r="26">
      <c r="A26" s="108"/>
      <c r="B26" s="7" t="s">
        <v>930</v>
      </c>
      <c r="C26" s="7" t="str">
        <f>IFERROR(VLOOKUP(B26,'Master data'!$A$1:$F$1000,2,FALSE),"")</f>
        <v>B001-166</v>
      </c>
      <c r="D26" s="7" t="str">
        <f>IFERROR(VLOOKUP(B26,'Master data'!$A$1:$F$1000,6,FALSE),"")</f>
        <v>bahan baku</v>
      </c>
      <c r="E26" s="7">
        <v>110.0</v>
      </c>
      <c r="F26" s="7" t="s">
        <v>20</v>
      </c>
      <c r="G26" s="27" t="s">
        <v>1455</v>
      </c>
      <c r="H26" s="27" t="s">
        <v>1322</v>
      </c>
      <c r="I26" s="7" t="s">
        <v>1548</v>
      </c>
      <c r="J26" s="7" t="s">
        <v>61</v>
      </c>
      <c r="K26" s="16" t="b">
        <v>0</v>
      </c>
      <c r="L26" s="16" t="b">
        <v>0</v>
      </c>
    </row>
    <row r="27">
      <c r="A27" s="27">
        <v>3.0</v>
      </c>
      <c r="B27" s="7" t="s">
        <v>926</v>
      </c>
      <c r="C27" s="7" t="str">
        <f>IFERROR(VLOOKUP(B27,'Master data'!$A$1:$F$1000,2,FALSE),"")</f>
        <v>B001-165</v>
      </c>
      <c r="D27" s="7" t="str">
        <f>IFERROR(VLOOKUP(B27,'Master data'!$A$1:$F$1000,6,FALSE),"")</f>
        <v>bahan baku</v>
      </c>
      <c r="E27" s="7">
        <v>85.0</v>
      </c>
      <c r="F27" s="7" t="s">
        <v>20</v>
      </c>
      <c r="G27" s="27" t="s">
        <v>1525</v>
      </c>
      <c r="H27" s="29"/>
      <c r="I27" s="7" t="s">
        <v>1548</v>
      </c>
      <c r="J27" s="7" t="s">
        <v>61</v>
      </c>
      <c r="K27" s="16" t="b">
        <v>0</v>
      </c>
      <c r="L27" s="16" t="b">
        <v>0</v>
      </c>
    </row>
    <row r="28">
      <c r="A28" s="108"/>
      <c r="B28" s="7" t="s">
        <v>211</v>
      </c>
      <c r="C28" s="7" t="str">
        <f>IFERROR(VLOOKUP(B28,'Master data'!$A$1:$F$1000,2,FALSE),"")</f>
        <v>B001-088</v>
      </c>
      <c r="D28" s="7" t="str">
        <f>IFERROR(VLOOKUP(B28,'Master data'!$A$1:$F$1000,6,FALSE),"")</f>
        <v>bahan baku</v>
      </c>
      <c r="E28" s="7">
        <f>3130+790</f>
        <v>3920</v>
      </c>
      <c r="F28" s="7" t="str">
        <f>IFERROR(VLOOKUP(B28,'Master data'!$A$1:$F$1000,3,FALSE),"")</f>
        <v>GR</v>
      </c>
      <c r="G28" s="27" t="s">
        <v>1475</v>
      </c>
      <c r="H28" s="27" t="s">
        <v>876</v>
      </c>
      <c r="I28" s="7" t="s">
        <v>1556</v>
      </c>
      <c r="J28" s="7" t="s">
        <v>61</v>
      </c>
      <c r="K28" s="16" t="b">
        <v>0</v>
      </c>
      <c r="L28" s="16" t="b">
        <v>0</v>
      </c>
    </row>
    <row r="29">
      <c r="A29" s="27">
        <v>4.0</v>
      </c>
      <c r="B29" s="7" t="s">
        <v>71</v>
      </c>
      <c r="C29" s="7" t="str">
        <f>IFERROR(VLOOKUP(B29,'Master data'!$A$1:$F$1000,2,FALSE),"")</f>
        <v>B001-027</v>
      </c>
      <c r="D29" s="7" t="str">
        <f>IFERROR(VLOOKUP(B29,'Master data'!$A$1:$F$1000,6,FALSE),"")</f>
        <v>bahan baku</v>
      </c>
      <c r="E29" s="7">
        <v>119.0</v>
      </c>
      <c r="F29" s="7" t="str">
        <f>IFERROR(VLOOKUP(B29,'Master data'!$A$1:$F$1000,3,FALSE),"")</f>
        <v>GR</v>
      </c>
      <c r="G29" s="27" t="s">
        <v>1164</v>
      </c>
      <c r="H29" s="27" t="s">
        <v>1364</v>
      </c>
      <c r="I29" s="7" t="s">
        <v>1542</v>
      </c>
      <c r="J29" s="7" t="s">
        <v>1561</v>
      </c>
      <c r="K29" s="16" t="b">
        <v>0</v>
      </c>
      <c r="L29" s="16" t="b">
        <v>0</v>
      </c>
    </row>
    <row r="30">
      <c r="A30" s="108"/>
      <c r="B30" s="7" t="s">
        <v>28</v>
      </c>
      <c r="C30" s="7" t="str">
        <f>IFERROR(VLOOKUP(B30,'Master data'!$A$1:$F$1000,2,FALSE),"")</f>
        <v>B001-006</v>
      </c>
      <c r="D30" s="7" t="str">
        <f>IFERROR(VLOOKUP(B30,'Master data'!$A$1:$F$1000,6,FALSE),"")</f>
        <v>bahan baku</v>
      </c>
      <c r="E30" s="7">
        <v>15.0</v>
      </c>
      <c r="F30" s="7" t="str">
        <f>IFERROR(VLOOKUP(B30,'Master data'!$A$1:$F$1000,3,FALSE),"")</f>
        <v>GR</v>
      </c>
      <c r="G30" s="27" t="s">
        <v>1858</v>
      </c>
      <c r="H30" s="29"/>
      <c r="I30" s="7" t="s">
        <v>1542</v>
      </c>
      <c r="J30" s="7" t="s">
        <v>1561</v>
      </c>
      <c r="K30" s="16" t="b">
        <v>0</v>
      </c>
      <c r="L30" s="16" t="b">
        <v>0</v>
      </c>
    </row>
    <row r="31">
      <c r="A31" s="108"/>
      <c r="B31" s="7" t="s">
        <v>1254</v>
      </c>
      <c r="C31" s="7" t="str">
        <f>IFERROR(VLOOKUP(B31,'Master data'!$A$1:$F$1000,2,FALSE),"")</f>
        <v>P004-042</v>
      </c>
      <c r="D31" s="7" t="str">
        <f>IFERROR(VLOOKUP(B31,'Master data'!$A$1:$F$1000,6,FALSE),"")</f>
        <v>barang jadi &amp; bahan baku</v>
      </c>
      <c r="E31" s="7">
        <v>1.0</v>
      </c>
      <c r="F31" s="7" t="str">
        <f>IFERROR(VLOOKUP(B31,'Master data'!$A$1:$F$1000,3,FALSE),"")</f>
        <v>PRS</v>
      </c>
      <c r="G31" s="27" t="s">
        <v>1862</v>
      </c>
      <c r="H31" s="29"/>
      <c r="I31" s="7" t="s">
        <v>1542</v>
      </c>
      <c r="J31" s="7" t="s">
        <v>1561</v>
      </c>
      <c r="K31" s="16" t="b">
        <v>0</v>
      </c>
      <c r="L31" s="16" t="b">
        <v>0</v>
      </c>
    </row>
    <row r="32">
      <c r="A32" s="27">
        <v>5.0</v>
      </c>
      <c r="B32" s="7" t="s">
        <v>653</v>
      </c>
      <c r="C32" s="7" t="str">
        <f>IFERROR(VLOOKUP(B32,'Master data'!$A$1:$F$1000,2,FALSE),"")</f>
        <v>P004-022</v>
      </c>
      <c r="D32" s="7" t="str">
        <f>IFERROR(VLOOKUP(B32,'Master data'!$A$1:$F$1000,6,FALSE),"")</f>
        <v>barang jadi &amp; bahan baku</v>
      </c>
      <c r="E32" s="7">
        <v>917.0</v>
      </c>
      <c r="F32" s="7" t="str">
        <f>IFERROR(VLOOKUP(B32,'Master data'!$A$1:$F$1000,3,FALSE),"")</f>
        <v>GR</v>
      </c>
      <c r="G32" s="27" t="s">
        <v>1164</v>
      </c>
      <c r="H32" s="27" t="s">
        <v>1290</v>
      </c>
      <c r="I32" s="7" t="s">
        <v>1552</v>
      </c>
      <c r="J32" s="7" t="s">
        <v>1561</v>
      </c>
      <c r="K32" s="16" t="b">
        <v>0</v>
      </c>
      <c r="L32" s="16" t="b">
        <v>0</v>
      </c>
    </row>
    <row r="33">
      <c r="A33" s="108"/>
      <c r="B33" s="7" t="s">
        <v>657</v>
      </c>
      <c r="C33" s="7" t="str">
        <f>IFERROR(VLOOKUP(B33,'Master data'!$A$1:$F$1000,2,FALSE),"")</f>
        <v>P004-023</v>
      </c>
      <c r="D33" s="7" t="str">
        <f>IFERROR(VLOOKUP(B33,'Master data'!$A$1:$F$1000,6,FALSE),"")</f>
        <v>barang jadi &amp; bahan baku</v>
      </c>
      <c r="E33" s="7">
        <v>892.0</v>
      </c>
      <c r="F33" s="7" t="str">
        <f>IFERROR(VLOOKUP(B33,'Master data'!$A$1:$F$1000,3,FALSE),"")</f>
        <v>GR</v>
      </c>
      <c r="G33" s="27" t="s">
        <v>1164</v>
      </c>
      <c r="H33" s="29"/>
      <c r="I33" s="7" t="s">
        <v>1552</v>
      </c>
      <c r="J33" s="7" t="s">
        <v>1561</v>
      </c>
      <c r="K33" s="16" t="b">
        <v>0</v>
      </c>
      <c r="L33" s="16" t="b">
        <v>0</v>
      </c>
    </row>
    <row r="34">
      <c r="A34" s="108"/>
      <c r="B34" s="7" t="s">
        <v>651</v>
      </c>
      <c r="C34" s="7" t="str">
        <f>IFERROR(VLOOKUP(B34,'Master data'!$A$1:$F$1000,2,FALSE),"")</f>
        <v>P004-021</v>
      </c>
      <c r="D34" s="7" t="str">
        <f>IFERROR(VLOOKUP(B34,'Master data'!$A$1:$F$1000,6,FALSE),"")</f>
        <v>barang jadi &amp; bahan baku</v>
      </c>
      <c r="E34" s="7">
        <v>0.5</v>
      </c>
      <c r="F34" s="7" t="str">
        <f>IFERROR(VLOOKUP(B34,'Master data'!$A$1:$F$1000,3,FALSE),"")</f>
        <v>PRS</v>
      </c>
      <c r="G34" s="27" t="s">
        <v>1245</v>
      </c>
      <c r="H34" s="27" t="s">
        <v>1384</v>
      </c>
      <c r="I34" s="7" t="s">
        <v>1542</v>
      </c>
      <c r="J34" s="7" t="s">
        <v>1561</v>
      </c>
      <c r="K34" s="16" t="b">
        <v>0</v>
      </c>
      <c r="L34" s="16" t="b">
        <v>0</v>
      </c>
    </row>
    <row r="35">
      <c r="A35" s="108"/>
      <c r="B35" s="7" t="s">
        <v>629</v>
      </c>
      <c r="C35" s="7" t="str">
        <f>IFERROR(VLOOKUP(B35,'Master data'!$A$1:$F$1000,2,FALSE),"")</f>
        <v>P004-012</v>
      </c>
      <c r="D35" s="7" t="str">
        <f>IFERROR(VLOOKUP(B35,'Master data'!$A$1:$F$1000,6,FALSE),"")</f>
        <v>barang jadi &amp; bahan baku</v>
      </c>
      <c r="E35" s="7">
        <v>74.0</v>
      </c>
      <c r="F35" s="7" t="str">
        <f>IFERROR(VLOOKUP(B35,'Master data'!$A$1:$F$1000,3,FALSE),"")</f>
        <v>GR</v>
      </c>
      <c r="G35" s="27" t="s">
        <v>1245</v>
      </c>
      <c r="H35" s="29"/>
      <c r="I35" s="7" t="s">
        <v>1542</v>
      </c>
      <c r="J35" s="7" t="s">
        <v>1561</v>
      </c>
      <c r="K35" s="16" t="b">
        <v>0</v>
      </c>
      <c r="L35" s="16" t="b">
        <v>0</v>
      </c>
    </row>
    <row r="36">
      <c r="A36" s="108"/>
      <c r="B36" s="7" t="s">
        <v>221</v>
      </c>
      <c r="C36" s="7" t="str">
        <f>IFERROR(VLOOKUP(B36,'Master data'!$A$1:$F$1000,2,FALSE),"")</f>
        <v>B001-098</v>
      </c>
      <c r="D36" s="7" t="str">
        <f>IFERROR(VLOOKUP(B36,'Master data'!$A$1:$F$1000,6,FALSE),"")</f>
        <v>bahan baku</v>
      </c>
      <c r="E36" s="7">
        <v>3.0</v>
      </c>
      <c r="F36" s="7" t="str">
        <f>IFERROR(VLOOKUP(B36,'Master data'!$A$1:$F$1000,3,FALSE),"")</f>
        <v>GR</v>
      </c>
      <c r="G36" s="27" t="s">
        <v>1866</v>
      </c>
      <c r="H36" s="29"/>
      <c r="I36" s="7" t="s">
        <v>1542</v>
      </c>
      <c r="J36" s="7" t="s">
        <v>1561</v>
      </c>
      <c r="K36" s="16" t="b">
        <v>0</v>
      </c>
      <c r="L36" s="16" t="b">
        <v>0</v>
      </c>
    </row>
    <row r="37">
      <c r="A37" s="108"/>
      <c r="B37" s="7" t="s">
        <v>698</v>
      </c>
      <c r="C37" s="7" t="str">
        <f>IFERROR(VLOOKUP(B37,'Master data'!$A$1:$F$1000,2,FALSE),"")</f>
        <v>P004-038</v>
      </c>
      <c r="D37" s="7" t="str">
        <f>IFERROR(VLOOKUP(B37,'Master data'!$A$1:$F$1000,6,FALSE),"")</f>
        <v>barang jadi &amp; bahan baku</v>
      </c>
      <c r="E37" s="7">
        <v>1.0</v>
      </c>
      <c r="F37" s="7" t="str">
        <f>IFERROR(VLOOKUP(B37,'Master data'!$A$1:$F$1000,3,FALSE),"")</f>
        <v>PRS</v>
      </c>
      <c r="G37" s="27" t="s">
        <v>1455</v>
      </c>
      <c r="H37" s="29"/>
      <c r="I37" s="7" t="s">
        <v>1542</v>
      </c>
      <c r="J37" s="7" t="s">
        <v>1561</v>
      </c>
      <c r="K37" s="16" t="b">
        <v>0</v>
      </c>
      <c r="L37" s="16" t="b">
        <v>0</v>
      </c>
    </row>
    <row r="38">
      <c r="A38" s="108"/>
      <c r="B38" s="7" t="s">
        <v>298</v>
      </c>
      <c r="C38" s="7" t="str">
        <f>IFERROR(VLOOKUP(B38,'Master data'!$A$1:$F$1000,2,FALSE),"")</f>
        <v>B001-125</v>
      </c>
      <c r="D38" s="7" t="str">
        <f>IFERROR(VLOOKUP(B38,'Master data'!$A$1:$F$1000,6,FALSE),"")</f>
        <v>bahan baku</v>
      </c>
      <c r="E38" s="7">
        <v>56.0</v>
      </c>
      <c r="F38" s="7" t="str">
        <f>IFERROR(VLOOKUP(B38,'Master data'!$A$1:$F$1000,3,FALSE),"")</f>
        <v>GR</v>
      </c>
      <c r="G38" s="27" t="s">
        <v>1866</v>
      </c>
      <c r="H38" s="29"/>
      <c r="I38" s="7" t="s">
        <v>1542</v>
      </c>
      <c r="J38" s="7" t="s">
        <v>1561</v>
      </c>
      <c r="K38" s="16" t="b">
        <v>0</v>
      </c>
      <c r="L38" s="16" t="b">
        <v>0</v>
      </c>
    </row>
    <row r="39">
      <c r="A39" s="108"/>
      <c r="B39" s="7" t="s">
        <v>28</v>
      </c>
      <c r="C39" s="7" t="str">
        <f>IFERROR(VLOOKUP(B39,'Master data'!$A$1:$F$1000,2,FALSE),"")</f>
        <v>B001-006</v>
      </c>
      <c r="D39" s="7" t="str">
        <f>IFERROR(VLOOKUP(B39,'Master data'!$A$1:$F$1000,6,FALSE),"")</f>
        <v>bahan baku</v>
      </c>
      <c r="E39" s="7">
        <v>31.0</v>
      </c>
      <c r="F39" s="7" t="str">
        <f>IFERROR(VLOOKUP(B39,'Master data'!$A$1:$F$1000,3,FALSE),"")</f>
        <v>GR</v>
      </c>
      <c r="G39" s="27" t="s">
        <v>1858</v>
      </c>
      <c r="H39" s="29"/>
      <c r="I39" s="7" t="s">
        <v>1542</v>
      </c>
      <c r="J39" s="7" t="s">
        <v>61</v>
      </c>
      <c r="K39" s="16" t="b">
        <v>0</v>
      </c>
      <c r="L39" s="16" t="b">
        <v>0</v>
      </c>
    </row>
    <row r="40">
      <c r="A40" s="27">
        <v>6.0</v>
      </c>
      <c r="B40" s="7" t="s">
        <v>139</v>
      </c>
      <c r="C40" s="7" t="str">
        <f>IFERROR(VLOOKUP(B40,'Master data'!$A$1:$F$1000,2,FALSE),"")</f>
        <v>B001-061</v>
      </c>
      <c r="D40" s="7" t="str">
        <f>IFERROR(VLOOKUP(B40,'Master data'!$A$1:$F$1000,6,FALSE),"")</f>
        <v>bahan baku</v>
      </c>
      <c r="E40" s="7">
        <v>24.0</v>
      </c>
      <c r="F40" s="7" t="str">
        <f>IFERROR(VLOOKUP(B40,'Master data'!$A$1:$F$1000,3,FALSE),"")</f>
        <v>GR</v>
      </c>
      <c r="G40" s="27" t="s">
        <v>1868</v>
      </c>
      <c r="H40" s="29"/>
      <c r="I40" s="7" t="s">
        <v>1542</v>
      </c>
      <c r="J40" s="7" t="s">
        <v>61</v>
      </c>
      <c r="K40" s="16" t="b">
        <v>0</v>
      </c>
      <c r="L40" s="16" t="b">
        <v>0</v>
      </c>
    </row>
    <row r="41">
      <c r="A41" s="108"/>
      <c r="B41" s="7" t="s">
        <v>918</v>
      </c>
      <c r="C41" s="7" t="str">
        <f>IFERROR(VLOOKUP(B41,'Master data'!$A$1:$F$1000,2,FALSE),"")</f>
        <v>B001-162</v>
      </c>
      <c r="D41" s="7" t="str">
        <f>IFERROR(VLOOKUP(B41,'Master data'!$A$1:$F$1000,6,FALSE),"")</f>
        <v>bahan baku</v>
      </c>
      <c r="E41" s="7">
        <v>100.0</v>
      </c>
      <c r="F41" s="7" t="s">
        <v>20</v>
      </c>
      <c r="G41" s="27" t="s">
        <v>1224</v>
      </c>
      <c r="H41" s="29"/>
      <c r="I41" s="7" t="s">
        <v>1542</v>
      </c>
      <c r="J41" s="7" t="s">
        <v>1561</v>
      </c>
      <c r="K41" s="16" t="b">
        <v>0</v>
      </c>
      <c r="L41" s="16" t="b">
        <v>0</v>
      </c>
    </row>
    <row r="42">
      <c r="A42" s="108"/>
      <c r="B42" s="7" t="s">
        <v>28</v>
      </c>
      <c r="C42" s="7" t="str">
        <f>IFERROR(VLOOKUP(B42,'Master data'!$A$1:$F$1000,2,FALSE),"")</f>
        <v>B001-006</v>
      </c>
      <c r="D42" s="7" t="str">
        <f>IFERROR(VLOOKUP(B42,'Master data'!$A$1:$F$1000,6,FALSE),"")</f>
        <v>bahan baku</v>
      </c>
      <c r="E42" s="7">
        <v>13.0</v>
      </c>
      <c r="F42" s="7" t="str">
        <f>IFERROR(VLOOKUP(B42,'Master data'!$A$1:$F$1000,3,FALSE),"")</f>
        <v>GR</v>
      </c>
      <c r="G42" s="27" t="s">
        <v>1858</v>
      </c>
      <c r="H42" s="29"/>
      <c r="I42" s="7" t="s">
        <v>1542</v>
      </c>
      <c r="J42" s="7" t="s">
        <v>61</v>
      </c>
      <c r="K42" s="16" t="b">
        <v>0</v>
      </c>
      <c r="L42" s="16" t="b">
        <v>0</v>
      </c>
    </row>
    <row r="43">
      <c r="A43" s="108"/>
      <c r="B43" s="7" t="s">
        <v>300</v>
      </c>
      <c r="C43" s="7" t="str">
        <f>IFERROR(VLOOKUP(B43,'Master data'!$A$1:$F$1000,2,FALSE),"")</f>
        <v>B001-126</v>
      </c>
      <c r="D43" s="7" t="str">
        <f>IFERROR(VLOOKUP(B43,'Master data'!$A$1:$F$1000,6,FALSE),"")</f>
        <v>bahan baku</v>
      </c>
      <c r="E43" s="7">
        <v>30.0</v>
      </c>
      <c r="F43" s="7" t="str">
        <f>IFERROR(VLOOKUP(B43,'Master data'!$A$1:$F$1000,3,FALSE),"")</f>
        <v>GR</v>
      </c>
      <c r="G43" s="27" t="s">
        <v>1245</v>
      </c>
      <c r="H43" s="29"/>
      <c r="I43" s="7" t="s">
        <v>1542</v>
      </c>
      <c r="J43" s="7" t="s">
        <v>1561</v>
      </c>
      <c r="K43" s="16" t="b">
        <v>0</v>
      </c>
      <c r="L43" s="16" t="b">
        <v>0</v>
      </c>
    </row>
    <row r="44">
      <c r="A44" s="108"/>
      <c r="B44" s="7" t="s">
        <v>28</v>
      </c>
      <c r="C44" s="7" t="str">
        <f>IFERROR(VLOOKUP(B44,'Master data'!$A$1:$F$1000,2,FALSE),"")</f>
        <v>B001-006</v>
      </c>
      <c r="D44" s="7" t="str">
        <f>IFERROR(VLOOKUP(B44,'Master data'!$A$1:$F$1000,6,FALSE),"")</f>
        <v>bahan baku</v>
      </c>
      <c r="E44" s="7">
        <v>12.0</v>
      </c>
      <c r="F44" s="7" t="str">
        <f>IFERROR(VLOOKUP(B44,'Master data'!$A$1:$F$1000,3,FALSE),"")</f>
        <v>GR</v>
      </c>
      <c r="G44" s="27" t="s">
        <v>1858</v>
      </c>
      <c r="H44" s="29"/>
      <c r="I44" s="7" t="s">
        <v>1542</v>
      </c>
      <c r="J44" s="7" t="s">
        <v>61</v>
      </c>
      <c r="K44" s="16" t="b">
        <v>0</v>
      </c>
      <c r="L44" s="16" t="b">
        <v>0</v>
      </c>
    </row>
    <row r="45">
      <c r="A45" s="108"/>
      <c r="B45" s="7" t="s">
        <v>50</v>
      </c>
      <c r="C45" s="7" t="str">
        <f>IFERROR(VLOOKUP(B45,'Master data'!$A$1:$F$1000,2,FALSE),"")</f>
        <v>B001-017</v>
      </c>
      <c r="D45" s="7" t="str">
        <f>IFERROR(VLOOKUP(B45,'Master data'!$A$1:$F$1000,6,FALSE),"")</f>
        <v>bahan baku</v>
      </c>
      <c r="E45" s="7">
        <v>14.0</v>
      </c>
      <c r="F45" s="7" t="str">
        <f>IFERROR(VLOOKUP(B45,'Master data'!$A$1:$F$1000,3,FALSE),"")</f>
        <v>GR</v>
      </c>
      <c r="G45" s="27" t="s">
        <v>1224</v>
      </c>
      <c r="H45" s="29"/>
      <c r="I45" s="7" t="s">
        <v>1542</v>
      </c>
      <c r="J45" s="7" t="s">
        <v>1561</v>
      </c>
      <c r="K45" s="16" t="b">
        <v>0</v>
      </c>
      <c r="L45" s="16" t="b">
        <v>0</v>
      </c>
    </row>
    <row r="46">
      <c r="A46" s="108"/>
      <c r="B46" s="7" t="s">
        <v>269</v>
      </c>
      <c r="C46" s="7" t="str">
        <f>IFERROR(VLOOKUP(B46,'Master data'!$A$1:$F$1000,2,FALSE),"")</f>
        <v>B001-119</v>
      </c>
      <c r="D46" s="7" t="str">
        <f>IFERROR(VLOOKUP(B46,'Master data'!$A$1:$F$1000,6,FALSE),"")</f>
        <v>bahan baku</v>
      </c>
      <c r="E46" s="7">
        <v>6.0</v>
      </c>
      <c r="F46" s="7" t="str">
        <f>IFERROR(VLOOKUP(B46,'Master data'!$A$1:$F$1000,3,FALSE),"")</f>
        <v>GR</v>
      </c>
      <c r="G46" s="27" t="s">
        <v>1858</v>
      </c>
      <c r="H46" s="29"/>
      <c r="I46" s="7" t="s">
        <v>1542</v>
      </c>
      <c r="J46" s="7" t="s">
        <v>61</v>
      </c>
      <c r="K46" s="16" t="b">
        <v>0</v>
      </c>
      <c r="L46" s="16" t="b">
        <v>0</v>
      </c>
    </row>
    <row r="47">
      <c r="A47" s="108"/>
      <c r="B47" s="7" t="s">
        <v>148</v>
      </c>
      <c r="C47" s="7" t="str">
        <f>IFERROR(VLOOKUP(B47,'Master data'!$A$1:$F$1000,2,FALSE),"")</f>
        <v>B001-064</v>
      </c>
      <c r="D47" s="7" t="str">
        <f>IFERROR(VLOOKUP(B47,'Master data'!$A$1:$F$1000,6,FALSE),"")</f>
        <v>bahan baku</v>
      </c>
      <c r="E47" s="7">
        <v>38.0</v>
      </c>
      <c r="F47" s="7" t="str">
        <f>IFERROR(VLOOKUP(B47,'Master data'!$A$1:$F$1000,3,FALSE),"")</f>
        <v>GR</v>
      </c>
      <c r="G47" s="27" t="s">
        <v>1858</v>
      </c>
      <c r="H47" s="29"/>
      <c r="I47" s="7" t="s">
        <v>1542</v>
      </c>
      <c r="J47" s="7" t="s">
        <v>61</v>
      </c>
      <c r="K47" s="16" t="b">
        <v>0</v>
      </c>
      <c r="L47" s="16" t="b">
        <v>0</v>
      </c>
    </row>
    <row r="48">
      <c r="A48" s="108"/>
      <c r="B48" s="7" t="s">
        <v>657</v>
      </c>
      <c r="C48" s="7" t="str">
        <f>IFERROR(VLOOKUP(B48,'Master data'!$A$1:$F$1000,2,FALSE),"")</f>
        <v>P004-023</v>
      </c>
      <c r="D48" s="7" t="str">
        <f>IFERROR(VLOOKUP(B48,'Master data'!$A$1:$F$1000,6,FALSE),"")</f>
        <v>barang jadi &amp; bahan baku</v>
      </c>
      <c r="E48" s="7">
        <v>336.0</v>
      </c>
      <c r="F48" s="7" t="str">
        <f>IFERROR(VLOOKUP(B48,'Master data'!$A$1:$F$1000,3,FALSE),"")</f>
        <v>GR</v>
      </c>
      <c r="G48" s="27" t="s">
        <v>1164</v>
      </c>
      <c r="H48" s="27" t="s">
        <v>1512</v>
      </c>
      <c r="I48" s="7" t="s">
        <v>1552</v>
      </c>
      <c r="J48" s="7" t="s">
        <v>1561</v>
      </c>
      <c r="K48" s="16" t="b">
        <v>0</v>
      </c>
      <c r="L48" s="16" t="b">
        <v>0</v>
      </c>
    </row>
    <row r="49">
      <c r="A49" s="108"/>
      <c r="B49" s="7" t="s">
        <v>653</v>
      </c>
      <c r="C49" s="7" t="str">
        <f>IFERROR(VLOOKUP(B49,'Master data'!$A$1:$F$1000,2,FALSE),"")</f>
        <v>P004-022</v>
      </c>
      <c r="D49" s="7" t="str">
        <f>IFERROR(VLOOKUP(B49,'Master data'!$A$1:$F$1000,6,FALSE),"")</f>
        <v>barang jadi &amp; bahan baku</v>
      </c>
      <c r="E49" s="7">
        <v>619.0</v>
      </c>
      <c r="F49" s="7" t="str">
        <f>IFERROR(VLOOKUP(B49,'Master data'!$A$1:$F$1000,3,FALSE),"")</f>
        <v>GR</v>
      </c>
      <c r="G49" s="27" t="s">
        <v>1164</v>
      </c>
      <c r="H49" s="29"/>
      <c r="I49" s="7" t="s">
        <v>1552</v>
      </c>
      <c r="J49" s="7" t="s">
        <v>1561</v>
      </c>
      <c r="K49" s="16" t="b">
        <v>0</v>
      </c>
      <c r="L49" s="16" t="b">
        <v>0</v>
      </c>
    </row>
    <row r="50">
      <c r="A50" s="27"/>
      <c r="B50" s="7" t="s">
        <v>211</v>
      </c>
      <c r="C50" s="7" t="str">
        <f>IFERROR(VLOOKUP(B50,'Master data'!$A$1:$F$1000,2,FALSE),"")</f>
        <v>B001-088</v>
      </c>
      <c r="D50" s="7" t="str">
        <f>IFERROR(VLOOKUP(B50,'Master data'!$A$1:$F$1000,6,FALSE),"")</f>
        <v>bahan baku</v>
      </c>
      <c r="E50" s="7">
        <f>4850+3230+1400</f>
        <v>9480</v>
      </c>
      <c r="F50" s="7" t="str">
        <f>IFERROR(VLOOKUP(B50,'Master data'!$A$1:$F$1000,3,FALSE),"")</f>
        <v>GR</v>
      </c>
      <c r="G50" s="27" t="s">
        <v>1475</v>
      </c>
      <c r="H50" s="27" t="s">
        <v>1290</v>
      </c>
      <c r="I50" s="7" t="s">
        <v>1556</v>
      </c>
      <c r="J50" s="7" t="s">
        <v>61</v>
      </c>
      <c r="K50" s="16" t="b">
        <v>0</v>
      </c>
      <c r="L50" s="16" t="b">
        <v>0</v>
      </c>
    </row>
    <row r="51">
      <c r="A51" s="27">
        <v>7.0</v>
      </c>
      <c r="B51" s="7" t="s">
        <v>1797</v>
      </c>
      <c r="C51" s="7" t="str">
        <f>IFERROR(VLOOKUP(B51,'Master data'!$A$1:$F$1000,2,FALSE),"")</f>
        <v>B001-165</v>
      </c>
      <c r="D51" s="7" t="str">
        <f>IFERROR(VLOOKUP(B51,'Master data'!$A$1:$F$1000,6,FALSE),"")</f>
        <v>bahan baku</v>
      </c>
      <c r="E51" s="7">
        <v>79.0</v>
      </c>
      <c r="F51" s="7" t="s">
        <v>20</v>
      </c>
      <c r="G51" s="27" t="s">
        <v>1455</v>
      </c>
      <c r="H51" s="27" t="s">
        <v>1417</v>
      </c>
      <c r="I51" s="7" t="s">
        <v>1548</v>
      </c>
      <c r="J51" s="7" t="s">
        <v>1561</v>
      </c>
      <c r="K51" s="16" t="b">
        <v>0</v>
      </c>
      <c r="L51" s="16" t="b">
        <v>0</v>
      </c>
    </row>
    <row r="52">
      <c r="A52" s="108"/>
      <c r="B52" s="7" t="s">
        <v>33</v>
      </c>
      <c r="C52" s="7" t="str">
        <f>IFERROR(VLOOKUP(B52,'Master data'!$A$1:$F$1000,2,FALSE),"")</f>
        <v>B001-008</v>
      </c>
      <c r="D52" s="7" t="str">
        <f>IFERROR(VLOOKUP(B52,'Master data'!$A$1:$F$1000,6,FALSE),"")</f>
        <v>bahan baku</v>
      </c>
      <c r="E52" s="7">
        <v>830.0</v>
      </c>
      <c r="F52" s="7" t="str">
        <f>IFERROR(VLOOKUP(B52,'Master data'!$A$1:$F$1000,3,FALSE),"")</f>
        <v>GR</v>
      </c>
      <c r="G52" s="27" t="s">
        <v>1855</v>
      </c>
      <c r="H52" s="29"/>
      <c r="I52" s="7" t="s">
        <v>1548</v>
      </c>
      <c r="J52" s="7" t="s">
        <v>1561</v>
      </c>
      <c r="K52" s="16" t="b">
        <v>0</v>
      </c>
      <c r="L52" s="16" t="b">
        <v>0</v>
      </c>
    </row>
    <row r="53">
      <c r="A53" s="108"/>
      <c r="B53" s="7" t="s">
        <v>129</v>
      </c>
      <c r="C53" s="7" t="str">
        <f>IFERROR(VLOOKUP(B53,'Master data'!$A$1:$F$1000,2,FALSE),"")</f>
        <v>B001-056</v>
      </c>
      <c r="D53" s="7" t="str">
        <f>IFERROR(VLOOKUP(B53,'Master data'!$A$1:$F$1000,6,FALSE),"")</f>
        <v>bahan baku</v>
      </c>
      <c r="E53" s="7">
        <v>8.0</v>
      </c>
      <c r="F53" s="7" t="str">
        <f>IFERROR(VLOOKUP(B53,'Master data'!$A$1:$F$1000,3,FALSE),"")</f>
        <v>ML</v>
      </c>
      <c r="G53" s="27" t="s">
        <v>1855</v>
      </c>
      <c r="H53" s="29"/>
      <c r="I53" s="7" t="s">
        <v>1548</v>
      </c>
      <c r="J53" s="7" t="s">
        <v>1561</v>
      </c>
      <c r="K53" s="16" t="b">
        <v>0</v>
      </c>
      <c r="L53" s="16" t="b">
        <v>0</v>
      </c>
    </row>
    <row r="54">
      <c r="A54" s="108"/>
      <c r="B54" s="7" t="s">
        <v>664</v>
      </c>
      <c r="C54" s="7" t="str">
        <f>IFERROR(VLOOKUP(B54,'Master data'!$A$1:$F$1000,2,FALSE),"")</f>
        <v>P004-025</v>
      </c>
      <c r="D54" s="7" t="str">
        <f>IFERROR(VLOOKUP(B54,'Master data'!$A$1:$F$1000,6,FALSE),"")</f>
        <v>barang jadi &amp; bahan baku</v>
      </c>
      <c r="E54" s="7">
        <v>500.0</v>
      </c>
      <c r="F54" s="7" t="s">
        <v>78</v>
      </c>
      <c r="G54" s="27" t="s">
        <v>1164</v>
      </c>
      <c r="H54" s="27" t="s">
        <v>1856</v>
      </c>
      <c r="I54" s="7" t="s">
        <v>1552</v>
      </c>
      <c r="J54" s="7" t="s">
        <v>1561</v>
      </c>
      <c r="K54" s="16" t="b">
        <v>0</v>
      </c>
      <c r="L54" s="16" t="b">
        <v>0</v>
      </c>
    </row>
    <row r="55">
      <c r="A55" s="108"/>
      <c r="B55" s="7" t="s">
        <v>653</v>
      </c>
      <c r="C55" s="7" t="str">
        <f>IFERROR(VLOOKUP(B55,'Master data'!$A$1:$F$1000,2,FALSE),"")</f>
        <v>P004-022</v>
      </c>
      <c r="D55" s="7" t="str">
        <f>IFERROR(VLOOKUP(B55,'Master data'!$A$1:$F$1000,6,FALSE),"")</f>
        <v>barang jadi &amp; bahan baku</v>
      </c>
      <c r="E55" s="7">
        <v>382.0</v>
      </c>
      <c r="F55" s="7" t="s">
        <v>78</v>
      </c>
      <c r="G55" s="27" t="s">
        <v>1164</v>
      </c>
      <c r="H55" s="29"/>
      <c r="I55" s="7" t="s">
        <v>1552</v>
      </c>
      <c r="J55" s="7" t="s">
        <v>1561</v>
      </c>
      <c r="K55" s="16" t="b">
        <v>0</v>
      </c>
      <c r="L55" s="16" t="b">
        <v>0</v>
      </c>
    </row>
    <row r="56">
      <c r="A56" s="108"/>
      <c r="B56" s="7" t="s">
        <v>657</v>
      </c>
      <c r="C56" s="7" t="str">
        <f>IFERROR(VLOOKUP(B56,'Master data'!$A$1:$F$1000,2,FALSE),"")</f>
        <v>P004-023</v>
      </c>
      <c r="D56" s="7" t="str">
        <f>IFERROR(VLOOKUP(B56,'Master data'!$A$1:$F$1000,6,FALSE),"")</f>
        <v>barang jadi &amp; bahan baku</v>
      </c>
      <c r="E56" s="7">
        <v>665.0</v>
      </c>
      <c r="F56" s="7" t="str">
        <f>IFERROR(VLOOKUP(B56,'Master data'!$A$1:$F$1000,3,FALSE),"")</f>
        <v>GR</v>
      </c>
      <c r="G56" s="27" t="s">
        <v>1164</v>
      </c>
      <c r="H56" s="29"/>
      <c r="I56" s="7" t="s">
        <v>1552</v>
      </c>
      <c r="J56" s="7" t="s">
        <v>1561</v>
      </c>
      <c r="K56" s="16" t="b">
        <v>0</v>
      </c>
      <c r="L56" s="16" t="b">
        <v>0</v>
      </c>
    </row>
    <row r="57" ht="15.75" customHeight="1">
      <c r="A57" s="27"/>
      <c r="B57" s="7" t="s">
        <v>211</v>
      </c>
      <c r="C57" s="7" t="str">
        <f>IFERROR(VLOOKUP(B57,'Master data'!$A$1:$F$1000,2,FALSE),"")</f>
        <v>B001-088</v>
      </c>
      <c r="D57" s="7" t="str">
        <f>IFERROR(VLOOKUP(B57,'Master data'!$A$1:$F$1000,6,FALSE),"")</f>
        <v>bahan baku</v>
      </c>
      <c r="E57" s="7">
        <v>1800.0</v>
      </c>
      <c r="F57" s="7" t="str">
        <f>IFERROR(VLOOKUP(B57,'Master data'!$A$1:$F$1000,3,FALSE),"")</f>
        <v>GR</v>
      </c>
      <c r="G57" s="27" t="s">
        <v>1475</v>
      </c>
      <c r="H57" s="27" t="s">
        <v>1567</v>
      </c>
      <c r="I57" s="7" t="s">
        <v>1556</v>
      </c>
      <c r="J57" s="7" t="s">
        <v>61</v>
      </c>
      <c r="K57" s="16" t="b">
        <v>0</v>
      </c>
      <c r="L57" s="16" t="b">
        <v>0</v>
      </c>
    </row>
    <row r="58" ht="15.75" customHeight="1">
      <c r="A58" s="27">
        <v>8.0</v>
      </c>
      <c r="B58" s="7" t="s">
        <v>653</v>
      </c>
      <c r="C58" s="7" t="str">
        <f>IFERROR(VLOOKUP(B58,'Master data'!$A$1:$F$1000,2,FALSE),"")</f>
        <v>P004-022</v>
      </c>
      <c r="D58" s="7" t="str">
        <f>IFERROR(VLOOKUP(B58,'Master data'!$A$1:$F$1000,6,FALSE),"")</f>
        <v>barang jadi &amp; bahan baku</v>
      </c>
      <c r="E58" s="7">
        <v>544.0</v>
      </c>
      <c r="F58" s="7" t="str">
        <f>IFERROR(VLOOKUP(B58,'Master data'!$A$1:$F$1000,3,FALSE),"")</f>
        <v>GR</v>
      </c>
      <c r="G58" s="27" t="s">
        <v>1164</v>
      </c>
      <c r="H58" s="27" t="s">
        <v>1854</v>
      </c>
      <c r="I58" s="7" t="s">
        <v>1552</v>
      </c>
      <c r="J58" s="7" t="s">
        <v>1561</v>
      </c>
      <c r="K58" s="16" t="b">
        <v>0</v>
      </c>
      <c r="L58" s="16" t="b">
        <v>0</v>
      </c>
    </row>
    <row r="59">
      <c r="A59" s="108"/>
      <c r="B59" s="7" t="s">
        <v>657</v>
      </c>
      <c r="C59" s="7" t="str">
        <f>IFERROR(VLOOKUP(B59,'Master data'!$A$1:$F$1000,2,FALSE),"")</f>
        <v>P004-023</v>
      </c>
      <c r="D59" s="7" t="str">
        <f>IFERROR(VLOOKUP(B59,'Master data'!$A$1:$F$1000,6,FALSE),"")</f>
        <v>barang jadi &amp; bahan baku</v>
      </c>
      <c r="E59" s="7">
        <v>166.0</v>
      </c>
      <c r="F59" s="7" t="str">
        <f>IFERROR(VLOOKUP(B59,'Master data'!$A$1:$F$1000,3,FALSE),"")</f>
        <v>GR</v>
      </c>
      <c r="G59" s="27" t="s">
        <v>1164</v>
      </c>
      <c r="H59" s="29"/>
      <c r="I59" s="7" t="s">
        <v>1552</v>
      </c>
      <c r="J59" s="7" t="s">
        <v>1561</v>
      </c>
      <c r="K59" s="16" t="b">
        <v>0</v>
      </c>
      <c r="L59" s="16" t="b">
        <v>0</v>
      </c>
    </row>
    <row r="60">
      <c r="A60" s="108"/>
      <c r="B60" s="7" t="s">
        <v>33</v>
      </c>
      <c r="C60" s="7" t="str">
        <f>IFERROR(VLOOKUP(B60,'Master data'!$A$1:$F$1000,2,FALSE),"")</f>
        <v>B001-008</v>
      </c>
      <c r="D60" s="7" t="str">
        <f>IFERROR(VLOOKUP(B60,'Master data'!$A$1:$F$1000,6,FALSE),"")</f>
        <v>bahan baku</v>
      </c>
      <c r="E60" s="7">
        <v>327.0</v>
      </c>
      <c r="F60" s="7" t="str">
        <f>IFERROR(VLOOKUP(B60,'Master data'!$A$1:$F$1000,3,FALSE),"")</f>
        <v>GR</v>
      </c>
      <c r="G60" s="27" t="s">
        <v>1855</v>
      </c>
      <c r="H60" s="27" t="s">
        <v>1225</v>
      </c>
      <c r="I60" s="7" t="s">
        <v>1548</v>
      </c>
      <c r="J60" s="7" t="s">
        <v>1561</v>
      </c>
      <c r="K60" s="16" t="b">
        <v>0</v>
      </c>
      <c r="L60" s="16" t="b">
        <v>0</v>
      </c>
    </row>
    <row r="61">
      <c r="A61" s="108"/>
      <c r="B61" s="7" t="s">
        <v>129</v>
      </c>
      <c r="C61" s="7" t="str">
        <f>IFERROR(VLOOKUP(B61,'Master data'!$A$1:$F$1000,2,FALSE),"")</f>
        <v>B001-056</v>
      </c>
      <c r="D61" s="7" t="str">
        <f>IFERROR(VLOOKUP(B61,'Master data'!$A$1:$F$1000,6,FALSE),"")</f>
        <v>bahan baku</v>
      </c>
      <c r="E61" s="7">
        <v>3.0</v>
      </c>
      <c r="F61" s="7" t="str">
        <f>IFERROR(VLOOKUP(B61,'Master data'!$A$1:$F$1000,3,FALSE),"")</f>
        <v>ML</v>
      </c>
      <c r="G61" s="27" t="s">
        <v>1855</v>
      </c>
      <c r="H61" s="29"/>
      <c r="I61" s="7" t="s">
        <v>1548</v>
      </c>
      <c r="J61" s="7" t="s">
        <v>1561</v>
      </c>
      <c r="K61" s="16" t="b">
        <v>0</v>
      </c>
      <c r="L61" s="16" t="b">
        <v>0</v>
      </c>
    </row>
    <row r="62">
      <c r="A62" s="108"/>
      <c r="B62" s="7" t="s">
        <v>211</v>
      </c>
      <c r="C62" s="7" t="str">
        <f>IFERROR(VLOOKUP(B62,'Master data'!$A$1:$F$1000,2,FALSE),"")</f>
        <v>B001-088</v>
      </c>
      <c r="D62" s="7" t="str">
        <f>IFERROR(VLOOKUP(B62,'Master data'!$A$1:$F$1000,6,FALSE),"")</f>
        <v>bahan baku</v>
      </c>
      <c r="E62" s="7">
        <v>1550.0</v>
      </c>
      <c r="F62" s="7" t="str">
        <f>IFERROR(VLOOKUP(B62,'Master data'!$A$1:$F$1000,3,FALSE),"")</f>
        <v>GR</v>
      </c>
      <c r="G62" s="27" t="s">
        <v>1475</v>
      </c>
      <c r="H62" s="27" t="s">
        <v>1567</v>
      </c>
      <c r="I62" s="7" t="s">
        <v>1556</v>
      </c>
      <c r="J62" s="7" t="s">
        <v>61</v>
      </c>
      <c r="K62" s="16" t="b">
        <v>0</v>
      </c>
      <c r="L62" s="16" t="b">
        <v>0</v>
      </c>
    </row>
    <row r="63">
      <c r="A63" s="108"/>
      <c r="B63" s="7" t="s">
        <v>28</v>
      </c>
      <c r="C63" s="7" t="str">
        <f>IFERROR(VLOOKUP(B63,'Master data'!$A$1:$F$1000,2,FALSE),"")</f>
        <v>B001-006</v>
      </c>
      <c r="D63" s="7" t="str">
        <f>IFERROR(VLOOKUP(B63,'Master data'!$A$1:$F$1000,6,FALSE),"")</f>
        <v>bahan baku</v>
      </c>
      <c r="E63" s="7">
        <v>19.0</v>
      </c>
      <c r="F63" s="7" t="str">
        <f>IFERROR(VLOOKUP(B63,'Master data'!$A$1:$F$1000,3,FALSE),"")</f>
        <v>GR</v>
      </c>
      <c r="G63" s="27" t="s">
        <v>1858</v>
      </c>
      <c r="H63" s="27" t="s">
        <v>1441</v>
      </c>
      <c r="I63" s="7" t="s">
        <v>1542</v>
      </c>
      <c r="J63" s="7" t="s">
        <v>1561</v>
      </c>
      <c r="K63" s="16" t="b">
        <v>0</v>
      </c>
      <c r="L63" s="16" t="b">
        <v>0</v>
      </c>
    </row>
    <row r="64">
      <c r="A64" s="108"/>
      <c r="B64" s="7" t="s">
        <v>1257</v>
      </c>
      <c r="C64" s="7" t="str">
        <f>IFERROR(VLOOKUP(B64,'Master data'!$A$1:$F$1000,2,FALSE),"")</f>
        <v>P004-043</v>
      </c>
      <c r="D64" s="7" t="str">
        <f>IFERROR(VLOOKUP(B64,'Master data'!$A$1:$F$1000,6,FALSE),"")</f>
        <v>barang jadi &amp; bahan baku</v>
      </c>
      <c r="E64" s="7">
        <v>63.0</v>
      </c>
      <c r="F64" s="7" t="str">
        <f>IFERROR(VLOOKUP(B64,'Master data'!$A$1:$F$1000,3,FALSE),"")</f>
        <v>PRS</v>
      </c>
      <c r="G64" s="27" t="s">
        <v>1164</v>
      </c>
      <c r="H64" s="29"/>
      <c r="I64" s="7" t="s">
        <v>1542</v>
      </c>
      <c r="J64" s="7" t="s">
        <v>1561</v>
      </c>
      <c r="K64" s="16" t="b">
        <v>0</v>
      </c>
      <c r="L64" s="16" t="b">
        <v>0</v>
      </c>
    </row>
    <row r="65">
      <c r="A65" s="108"/>
      <c r="B65" s="7" t="s">
        <v>132</v>
      </c>
      <c r="C65" s="7" t="str">
        <f>IFERROR(VLOOKUP(B65,'Master data'!$A$1:$F$1000,2,FALSE),"")</f>
        <v>B001-057</v>
      </c>
      <c r="D65" s="7" t="str">
        <f>IFERROR(VLOOKUP(B65,'Master data'!$A$1:$F$1000,6,FALSE),"")</f>
        <v>bahan baku</v>
      </c>
      <c r="E65" s="7">
        <v>188.0</v>
      </c>
      <c r="F65" s="7" t="str">
        <f>IFERROR(VLOOKUP(B65,'Master data'!$A$1:$F$1000,3,FALSE),"")</f>
        <v>GR</v>
      </c>
      <c r="G65" s="27" t="s">
        <v>1164</v>
      </c>
      <c r="H65" s="29"/>
      <c r="I65" s="7" t="s">
        <v>1542</v>
      </c>
      <c r="J65" s="7" t="s">
        <v>1561</v>
      </c>
      <c r="K65" s="16" t="b">
        <v>0</v>
      </c>
      <c r="L65" s="16" t="b">
        <v>0</v>
      </c>
    </row>
    <row r="66">
      <c r="A66" s="108"/>
      <c r="B66" s="7" t="s">
        <v>148</v>
      </c>
      <c r="C66" s="7" t="str">
        <f>IFERROR(VLOOKUP(B66,'Master data'!$A$1:$F$1000,2,FALSE),"")</f>
        <v>B001-064</v>
      </c>
      <c r="D66" s="7" t="str">
        <f>IFERROR(VLOOKUP(B66,'Master data'!$A$1:$F$1000,6,FALSE),"")</f>
        <v>bahan baku</v>
      </c>
      <c r="E66" s="7">
        <v>21.0</v>
      </c>
      <c r="F66" s="7" t="str">
        <f>IFERROR(VLOOKUP(B66,'Master data'!$A$1:$F$1000,3,FALSE),"")</f>
        <v>GR</v>
      </c>
      <c r="G66" s="27" t="s">
        <v>1164</v>
      </c>
      <c r="H66" s="29"/>
      <c r="I66" s="7" t="s">
        <v>1542</v>
      </c>
      <c r="J66" s="7" t="s">
        <v>1561</v>
      </c>
      <c r="K66" s="16" t="b">
        <v>0</v>
      </c>
      <c r="L66" s="16" t="b">
        <v>0</v>
      </c>
    </row>
    <row r="67">
      <c r="A67" s="108"/>
      <c r="B67" s="7" t="s">
        <v>629</v>
      </c>
      <c r="C67" s="7" t="str">
        <f>IFERROR(VLOOKUP(B67,'Master data'!$A$1:$F$1000,2,FALSE),"")</f>
        <v>P004-012</v>
      </c>
      <c r="D67" s="7" t="str">
        <f>IFERROR(VLOOKUP(B67,'Master data'!$A$1:$F$1000,6,FALSE),"")</f>
        <v>barang jadi &amp; bahan baku</v>
      </c>
      <c r="E67" s="7">
        <v>141.0</v>
      </c>
      <c r="F67" s="7" t="str">
        <f>IFERROR(VLOOKUP(B67,'Master data'!$A$1:$F$1000,3,FALSE),"")</f>
        <v>GR</v>
      </c>
      <c r="G67" s="27" t="s">
        <v>1874</v>
      </c>
      <c r="H67" s="29"/>
      <c r="I67" s="7" t="s">
        <v>1542</v>
      </c>
      <c r="J67" s="7" t="s">
        <v>1561</v>
      </c>
      <c r="K67" s="16" t="b">
        <v>0</v>
      </c>
      <c r="L67" s="16" t="b">
        <v>0</v>
      </c>
    </row>
    <row r="68">
      <c r="A68" s="108"/>
      <c r="B68" s="7" t="s">
        <v>50</v>
      </c>
      <c r="C68" s="7" t="str">
        <f>IFERROR(VLOOKUP(B68,'Master data'!$A$1:$F$1000,2,FALSE),"")</f>
        <v>B001-017</v>
      </c>
      <c r="D68" s="7" t="str">
        <f>IFERROR(VLOOKUP(B68,'Master data'!$A$1:$F$1000,6,FALSE),"")</f>
        <v>bahan baku</v>
      </c>
      <c r="E68" s="7">
        <v>52.0</v>
      </c>
      <c r="F68" s="7" t="str">
        <f>IFERROR(VLOOKUP(B68,'Master data'!$A$1:$F$1000,3,FALSE),"")</f>
        <v>GR</v>
      </c>
      <c r="G68" s="27" t="s">
        <v>1224</v>
      </c>
      <c r="H68" s="29"/>
      <c r="I68" s="7" t="s">
        <v>1542</v>
      </c>
      <c r="J68" s="7" t="s">
        <v>1561</v>
      </c>
      <c r="K68" s="16" t="b">
        <v>0</v>
      </c>
      <c r="L68" s="16" t="b">
        <v>0</v>
      </c>
    </row>
    <row r="69">
      <c r="A69" s="108"/>
      <c r="B69" s="7" t="s">
        <v>269</v>
      </c>
      <c r="C69" s="7" t="str">
        <f>IFERROR(VLOOKUP(B69,'Master data'!$A$1:$F$1000,2,FALSE),"")</f>
        <v>B001-119</v>
      </c>
      <c r="D69" s="7" t="str">
        <f>IFERROR(VLOOKUP(B69,'Master data'!$A$1:$F$1000,6,FALSE),"")</f>
        <v>bahan baku</v>
      </c>
      <c r="E69" s="7">
        <v>4.0</v>
      </c>
      <c r="F69" s="7" t="str">
        <f>IFERROR(VLOOKUP(B69,'Master data'!$A$1:$F$1000,3,FALSE),"")</f>
        <v>GR</v>
      </c>
      <c r="G69" s="27" t="s">
        <v>1858</v>
      </c>
      <c r="H69" s="29"/>
      <c r="I69" s="7" t="s">
        <v>1542</v>
      </c>
      <c r="J69" s="7" t="s">
        <v>61</v>
      </c>
      <c r="K69" s="16" t="b">
        <v>0</v>
      </c>
      <c r="L69" s="16" t="b">
        <v>0</v>
      </c>
    </row>
    <row r="70">
      <c r="A70" s="27">
        <v>9.0</v>
      </c>
      <c r="B70" s="7" t="s">
        <v>930</v>
      </c>
      <c r="C70" s="7" t="str">
        <f>IFERROR(VLOOKUP(B70,'Master data'!$A$1:$F$1000,2,FALSE),"")</f>
        <v>B001-166</v>
      </c>
      <c r="D70" s="7" t="str">
        <f>IFERROR(VLOOKUP(B70,'Master data'!$A$1:$F$1000,6,FALSE),"")</f>
        <v>bahan baku</v>
      </c>
      <c r="E70" s="7">
        <v>80.0</v>
      </c>
      <c r="F70" s="7" t="s">
        <v>20</v>
      </c>
      <c r="G70" s="27" t="s">
        <v>1813</v>
      </c>
      <c r="H70" s="27" t="s">
        <v>1225</v>
      </c>
      <c r="I70" s="7" t="s">
        <v>1548</v>
      </c>
      <c r="J70" s="7" t="s">
        <v>61</v>
      </c>
      <c r="K70" s="16" t="b">
        <v>0</v>
      </c>
      <c r="L70" s="16" t="b">
        <v>0</v>
      </c>
    </row>
    <row r="71">
      <c r="A71" s="108"/>
      <c r="B71" s="7" t="s">
        <v>33</v>
      </c>
      <c r="C71" s="7" t="str">
        <f>IFERROR(VLOOKUP(B71,'Master data'!$A$1:$F$1000,2,FALSE),"")</f>
        <v>B001-008</v>
      </c>
      <c r="D71" s="7" t="str">
        <f>IFERROR(VLOOKUP(B71,'Master data'!$A$1:$F$1000,6,FALSE),"")</f>
        <v>bahan baku</v>
      </c>
      <c r="E71" s="7">
        <v>381.0</v>
      </c>
      <c r="F71" s="7" t="str">
        <f>IFERROR(VLOOKUP(B71,'Master data'!$A$1:$F$1000,3,FALSE),"")</f>
        <v>GR</v>
      </c>
      <c r="G71" s="27" t="s">
        <v>1827</v>
      </c>
      <c r="H71" s="29"/>
      <c r="I71" s="7" t="s">
        <v>1548</v>
      </c>
      <c r="J71" s="7" t="s">
        <v>1561</v>
      </c>
      <c r="K71" s="16" t="b">
        <v>0</v>
      </c>
      <c r="L71" s="16" t="b">
        <v>0</v>
      </c>
    </row>
    <row r="72">
      <c r="A72" s="108"/>
      <c r="B72" s="7" t="s">
        <v>129</v>
      </c>
      <c r="C72" s="7" t="str">
        <f>IFERROR(VLOOKUP(B72,'Master data'!$A$1:$F$1000,2,FALSE),"")</f>
        <v>B001-056</v>
      </c>
      <c r="D72" s="7" t="str">
        <f>IFERROR(VLOOKUP(B72,'Master data'!$A$1:$F$1000,6,FALSE),"")</f>
        <v>bahan baku</v>
      </c>
      <c r="E72" s="7">
        <v>3.0</v>
      </c>
      <c r="F72" s="7" t="str">
        <f>IFERROR(VLOOKUP(B72,'Master data'!$A$1:$F$1000,3,FALSE),"")</f>
        <v>ML</v>
      </c>
      <c r="G72" s="27" t="s">
        <v>1827</v>
      </c>
      <c r="H72" s="29"/>
      <c r="I72" s="7" t="s">
        <v>1548</v>
      </c>
      <c r="J72" s="7" t="s">
        <v>1561</v>
      </c>
      <c r="K72" s="16" t="b">
        <v>0</v>
      </c>
      <c r="L72" s="16" t="b">
        <v>0</v>
      </c>
    </row>
    <row r="73">
      <c r="A73" s="108"/>
      <c r="B73" s="7" t="s">
        <v>664</v>
      </c>
      <c r="C73" s="7" t="str">
        <f>IFERROR(VLOOKUP(B73,'Master data'!$A$1:$F$1000,2,FALSE),"")</f>
        <v>P004-025</v>
      </c>
      <c r="D73" s="7" t="str">
        <f>IFERROR(VLOOKUP(B73,'Master data'!$A$1:$F$1000,6,FALSE),"")</f>
        <v>barang jadi &amp; bahan baku</v>
      </c>
      <c r="E73" s="7">
        <v>1135.0</v>
      </c>
      <c r="F73" s="7" t="s">
        <v>1876</v>
      </c>
      <c r="G73" s="27" t="s">
        <v>1164</v>
      </c>
      <c r="H73" s="27" t="s">
        <v>1856</v>
      </c>
      <c r="I73" s="7" t="s">
        <v>1552</v>
      </c>
      <c r="J73" s="7" t="s">
        <v>1561</v>
      </c>
      <c r="K73" s="16" t="b">
        <v>0</v>
      </c>
      <c r="L73" s="16" t="b">
        <v>0</v>
      </c>
    </row>
    <row r="74">
      <c r="A74" s="108"/>
      <c r="B74" s="7" t="s">
        <v>653</v>
      </c>
      <c r="C74" s="7" t="str">
        <f>IFERROR(VLOOKUP(B74,'Master data'!$A$1:$F$1000,2,FALSE),"")</f>
        <v>P004-022</v>
      </c>
      <c r="D74" s="7" t="str">
        <f>IFERROR(VLOOKUP(B74,'Master data'!$A$1:$F$1000,6,FALSE),"")</f>
        <v>barang jadi &amp; bahan baku</v>
      </c>
      <c r="E74" s="7">
        <v>123.0</v>
      </c>
      <c r="F74" s="7" t="str">
        <f>IFERROR(VLOOKUP(B74,'Master data'!$A$1:$F$1000,3,FALSE),"")</f>
        <v>GR</v>
      </c>
      <c r="G74" s="27" t="s">
        <v>1164</v>
      </c>
      <c r="H74" s="29"/>
      <c r="I74" s="7" t="s">
        <v>1552</v>
      </c>
      <c r="J74" s="7" t="s">
        <v>1561</v>
      </c>
      <c r="K74" s="16" t="b">
        <v>0</v>
      </c>
      <c r="L74" s="16" t="b">
        <v>0</v>
      </c>
    </row>
    <row r="75">
      <c r="A75" s="108"/>
      <c r="B75" s="7" t="s">
        <v>660</v>
      </c>
      <c r="C75" s="7" t="str">
        <f>IFERROR(VLOOKUP(B75,'Master data'!$A$1:$F$1000,2,FALSE),"")</f>
        <v>P004-024</v>
      </c>
      <c r="D75" s="7" t="str">
        <f>IFERROR(VLOOKUP(B75,'Master data'!$A$1:$F$1000,6,FALSE),"")</f>
        <v>barang jadi &amp; bahan baku</v>
      </c>
      <c r="E75" s="7">
        <v>124.0</v>
      </c>
      <c r="F75" s="7" t="str">
        <f>IFERROR(VLOOKUP(B75,'Master data'!$A$1:$F$1000,3,FALSE),"")</f>
        <v>ML</v>
      </c>
      <c r="G75" s="27" t="s">
        <v>1164</v>
      </c>
      <c r="H75" s="29"/>
      <c r="I75" s="7" t="s">
        <v>1552</v>
      </c>
      <c r="J75" s="7" t="s">
        <v>1561</v>
      </c>
      <c r="K75" s="16" t="b">
        <v>0</v>
      </c>
      <c r="L75" s="16" t="b">
        <v>0</v>
      </c>
    </row>
    <row r="76">
      <c r="A76" s="108"/>
      <c r="B76" s="7" t="s">
        <v>657</v>
      </c>
      <c r="C76" s="7" t="str">
        <f>IFERROR(VLOOKUP(B76,'Master data'!$A$1:$F$1000,2,FALSE),"")</f>
        <v>P004-023</v>
      </c>
      <c r="D76" s="7" t="str">
        <f>IFERROR(VLOOKUP(B76,'Master data'!$A$1:$F$1000,6,FALSE),"")</f>
        <v>barang jadi &amp; bahan baku</v>
      </c>
      <c r="E76" s="7">
        <v>383.0</v>
      </c>
      <c r="F76" s="7" t="str">
        <f>IFERROR(VLOOKUP(B76,'Master data'!$A$1:$F$1000,3,FALSE),"")</f>
        <v>GR</v>
      </c>
      <c r="G76" s="27" t="s">
        <v>1164</v>
      </c>
      <c r="H76" s="29"/>
      <c r="I76" s="7" t="s">
        <v>1552</v>
      </c>
      <c r="J76" s="7" t="s">
        <v>1561</v>
      </c>
      <c r="K76" s="16" t="b">
        <v>0</v>
      </c>
      <c r="L76" s="16" t="b">
        <v>0</v>
      </c>
    </row>
    <row r="77">
      <c r="A77" s="108"/>
      <c r="B77" s="7" t="s">
        <v>698</v>
      </c>
      <c r="C77" s="7" t="str">
        <f>IFERROR(VLOOKUP(B77,'Master data'!$A$1:$F$1000,2,FALSE),"")</f>
        <v>P004-038</v>
      </c>
      <c r="D77" s="7" t="str">
        <f>IFERROR(VLOOKUP(B77,'Master data'!$A$1:$F$1000,6,FALSE),"")</f>
        <v>barang jadi &amp; bahan baku</v>
      </c>
      <c r="E77" s="7">
        <v>2.0</v>
      </c>
      <c r="F77" s="7" t="str">
        <f>IFERROR(VLOOKUP(B77,'Master data'!$A$1:$F$1000,3,FALSE),"")</f>
        <v>PRS</v>
      </c>
      <c r="G77" s="27" t="s">
        <v>1377</v>
      </c>
      <c r="H77" s="27" t="s">
        <v>1384</v>
      </c>
      <c r="I77" s="7" t="s">
        <v>1542</v>
      </c>
      <c r="J77" s="7" t="s">
        <v>1561</v>
      </c>
      <c r="K77" s="16" t="b">
        <v>0</v>
      </c>
      <c r="L77" s="16" t="b">
        <v>0</v>
      </c>
    </row>
    <row r="78">
      <c r="A78" s="108"/>
      <c r="B78" s="7" t="s">
        <v>651</v>
      </c>
      <c r="C78" s="7" t="str">
        <f>IFERROR(VLOOKUP(B78,'Master data'!$A$1:$F$1000,2,FALSE),"")</f>
        <v>P004-021</v>
      </c>
      <c r="D78" s="7" t="str">
        <f>IFERROR(VLOOKUP(B78,'Master data'!$A$1:$F$1000,6,FALSE),"")</f>
        <v>barang jadi &amp; bahan baku</v>
      </c>
      <c r="E78" s="7">
        <v>1.0</v>
      </c>
      <c r="F78" s="7" t="str">
        <f>IFERROR(VLOOKUP(B78,'Master data'!$A$1:$F$1000,3,FALSE),"")</f>
        <v>PRS</v>
      </c>
      <c r="G78" s="27" t="s">
        <v>1877</v>
      </c>
      <c r="H78" s="29"/>
      <c r="I78" s="7" t="s">
        <v>1542</v>
      </c>
      <c r="J78" s="7" t="s">
        <v>1561</v>
      </c>
      <c r="K78" s="16" t="b">
        <v>0</v>
      </c>
      <c r="L78" s="16" t="b">
        <v>0</v>
      </c>
    </row>
    <row r="79">
      <c r="A79" s="108"/>
      <c r="B79" s="7" t="s">
        <v>50</v>
      </c>
      <c r="C79" s="7" t="str">
        <f>IFERROR(VLOOKUP(B79,'Master data'!$A$1:$F$1000,2,FALSE),"")</f>
        <v>B001-017</v>
      </c>
      <c r="D79" s="7" t="str">
        <f>IFERROR(VLOOKUP(B79,'Master data'!$A$1:$F$1000,6,FALSE),"")</f>
        <v>bahan baku</v>
      </c>
      <c r="E79" s="7">
        <v>24.0</v>
      </c>
      <c r="F79" s="7" t="str">
        <f>IFERROR(VLOOKUP(B79,'Master data'!$A$1:$F$1000,3,FALSE),"")</f>
        <v>GR</v>
      </c>
      <c r="G79" s="27" t="s">
        <v>1224</v>
      </c>
      <c r="H79" s="29"/>
      <c r="I79" s="7" t="s">
        <v>1542</v>
      </c>
      <c r="J79" s="7" t="s">
        <v>1561</v>
      </c>
      <c r="K79" s="16" t="b">
        <v>0</v>
      </c>
      <c r="L79" s="16" t="b">
        <v>0</v>
      </c>
    </row>
    <row r="80">
      <c r="A80" s="108"/>
      <c r="B80" s="7" t="s">
        <v>28</v>
      </c>
      <c r="C80" s="7" t="str">
        <f>IFERROR(VLOOKUP(B80,'Master data'!$A$1:$F$1000,2,FALSE),"")</f>
        <v>B001-006</v>
      </c>
      <c r="D80" s="7" t="str">
        <f>IFERROR(VLOOKUP(B80,'Master data'!$A$1:$F$1000,6,FALSE),"")</f>
        <v>bahan baku</v>
      </c>
      <c r="E80" s="7">
        <v>47.0</v>
      </c>
      <c r="F80" s="7" t="str">
        <f>IFERROR(VLOOKUP(B80,'Master data'!$A$1:$F$1000,3,FALSE),"")</f>
        <v>GR</v>
      </c>
      <c r="G80" s="27" t="s">
        <v>1858</v>
      </c>
      <c r="H80" s="29"/>
      <c r="I80" s="7" t="s">
        <v>1542</v>
      </c>
      <c r="J80" s="7" t="s">
        <v>61</v>
      </c>
      <c r="K80" s="16" t="b">
        <v>0</v>
      </c>
      <c r="L80" s="16" t="b">
        <v>0</v>
      </c>
    </row>
    <row r="81">
      <c r="A81" s="108"/>
      <c r="B81" s="7" t="s">
        <v>918</v>
      </c>
      <c r="C81" s="7" t="str">
        <f>IFERROR(VLOOKUP(B81,'Master data'!$A$1:$F$1000,2,FALSE),"")</f>
        <v>B001-162</v>
      </c>
      <c r="D81" s="7" t="str">
        <f>IFERROR(VLOOKUP(B81,'Master data'!$A$1:$F$1000,6,FALSE),"")</f>
        <v>bahan baku</v>
      </c>
      <c r="E81" s="7">
        <v>154.0</v>
      </c>
      <c r="F81" s="7" t="s">
        <v>20</v>
      </c>
      <c r="G81" s="27" t="s">
        <v>1224</v>
      </c>
      <c r="H81" s="29"/>
      <c r="I81" s="7" t="s">
        <v>1542</v>
      </c>
      <c r="J81" s="7" t="s">
        <v>1561</v>
      </c>
      <c r="K81" s="16" t="b">
        <v>0</v>
      </c>
      <c r="L81" s="16" t="b">
        <v>0</v>
      </c>
    </row>
    <row r="82">
      <c r="A82" s="108"/>
      <c r="B82" s="7" t="s">
        <v>211</v>
      </c>
      <c r="C82" s="7" t="str">
        <f>IFERROR(VLOOKUP(B82,'Master data'!$A$1:$F$1000,2,FALSE),"")</f>
        <v>B001-088</v>
      </c>
      <c r="D82" s="7" t="str">
        <f>IFERROR(VLOOKUP(B82,'Master data'!$A$1:$F$1000,6,FALSE),"")</f>
        <v>bahan baku</v>
      </c>
      <c r="E82" s="7">
        <v>1615.0</v>
      </c>
      <c r="F82" s="7" t="str">
        <f>IFERROR(VLOOKUP(B82,'Master data'!$A$1:$F$1000,3,FALSE),"")</f>
        <v>GR</v>
      </c>
      <c r="G82" s="27" t="s">
        <v>1475</v>
      </c>
      <c r="H82" s="27" t="s">
        <v>1567</v>
      </c>
      <c r="I82" s="7" t="s">
        <v>1556</v>
      </c>
      <c r="J82" s="7" t="s">
        <v>61</v>
      </c>
      <c r="K82" s="16" t="b">
        <v>0</v>
      </c>
      <c r="L82" s="16" t="b">
        <v>0</v>
      </c>
    </row>
    <row r="83">
      <c r="A83" s="27">
        <v>10.0</v>
      </c>
      <c r="B83" s="7" t="s">
        <v>211</v>
      </c>
      <c r="C83" s="7" t="str">
        <f>IFERROR(VLOOKUP(B83,'Master data'!$A$1:$F$1000,2,FALSE),"")</f>
        <v>B001-088</v>
      </c>
      <c r="D83" s="7" t="str">
        <f>IFERROR(VLOOKUP(B83,'Master data'!$A$1:$F$1000,6,FALSE),"")</f>
        <v>bahan baku</v>
      </c>
      <c r="E83" s="7">
        <v>2760.0</v>
      </c>
      <c r="F83" s="7" t="str">
        <f>IFERROR(VLOOKUP(B83,'Master data'!$A$1:$F$1000,3,FALSE),"")</f>
        <v>GR</v>
      </c>
      <c r="G83" s="27" t="s">
        <v>1475</v>
      </c>
      <c r="H83" s="29"/>
      <c r="I83" s="7" t="s">
        <v>1556</v>
      </c>
      <c r="J83" s="7" t="s">
        <v>61</v>
      </c>
      <c r="K83" s="16" t="b">
        <v>0</v>
      </c>
      <c r="L83" s="16" t="b">
        <v>0</v>
      </c>
    </row>
    <row r="84">
      <c r="A84" s="108"/>
      <c r="B84" s="7" t="s">
        <v>132</v>
      </c>
      <c r="C84" s="7" t="str">
        <f>IFERROR(VLOOKUP(B84,'Master data'!$A$1:$F$1000,2,FALSE),"")</f>
        <v>B001-057</v>
      </c>
      <c r="D84" s="7" t="str">
        <f>IFERROR(VLOOKUP(B84,'Master data'!$A$1:$F$1000,6,FALSE),"")</f>
        <v>bahan baku</v>
      </c>
      <c r="E84" s="7">
        <v>60.0</v>
      </c>
      <c r="F84" s="7" t="str">
        <f>IFERROR(VLOOKUP(B84,'Master data'!$A$1:$F$1000,3,FALSE),"")</f>
        <v>GR</v>
      </c>
      <c r="G84" s="27" t="s">
        <v>1164</v>
      </c>
      <c r="H84" s="27" t="s">
        <v>1441</v>
      </c>
      <c r="I84" s="7" t="s">
        <v>1542</v>
      </c>
      <c r="J84" s="7" t="s">
        <v>1561</v>
      </c>
      <c r="K84" s="16" t="b">
        <v>0</v>
      </c>
      <c r="L84" s="16" t="b">
        <v>0</v>
      </c>
    </row>
    <row r="85">
      <c r="A85" s="108"/>
      <c r="B85" s="7" t="s">
        <v>298</v>
      </c>
      <c r="C85" s="7" t="str">
        <f>IFERROR(VLOOKUP(B85,'Master data'!$A$1:$F$1000,2,FALSE),"")</f>
        <v>B001-125</v>
      </c>
      <c r="D85" s="7" t="str">
        <f>IFERROR(VLOOKUP(B85,'Master data'!$A$1:$F$1000,6,FALSE),"")</f>
        <v>bahan baku</v>
      </c>
      <c r="E85" s="7">
        <v>317.0</v>
      </c>
      <c r="F85" s="7" t="str">
        <f>IFERROR(VLOOKUP(B85,'Master data'!$A$1:$F$1000,3,FALSE),"")</f>
        <v>GR</v>
      </c>
      <c r="G85" s="27" t="s">
        <v>1224</v>
      </c>
      <c r="H85" s="29"/>
      <c r="I85" s="7" t="s">
        <v>1542</v>
      </c>
      <c r="J85" s="7" t="s">
        <v>1561</v>
      </c>
      <c r="K85" s="16" t="b">
        <v>0</v>
      </c>
      <c r="L85" s="16" t="b">
        <v>0</v>
      </c>
    </row>
    <row r="86">
      <c r="A86" s="108"/>
      <c r="B86" s="7" t="s">
        <v>28</v>
      </c>
      <c r="C86" s="7" t="str">
        <f>IFERROR(VLOOKUP(B86,'Master data'!$A$1:$F$1000,2,FALSE),"")</f>
        <v>B001-006</v>
      </c>
      <c r="D86" s="7" t="str">
        <f>IFERROR(VLOOKUP(B86,'Master data'!$A$1:$F$1000,6,FALSE),"")</f>
        <v>bahan baku</v>
      </c>
      <c r="E86" s="7">
        <v>19.0</v>
      </c>
      <c r="F86" s="7" t="str">
        <f>IFERROR(VLOOKUP(B86,'Master data'!$A$1:$F$1000,3,FALSE),"")</f>
        <v>GR</v>
      </c>
      <c r="G86" s="27" t="s">
        <v>1858</v>
      </c>
      <c r="H86" s="29"/>
      <c r="I86" s="7" t="s">
        <v>1542</v>
      </c>
      <c r="J86" s="7" t="s">
        <v>61</v>
      </c>
      <c r="K86" s="16" t="b">
        <v>0</v>
      </c>
      <c r="L86" s="16" t="b">
        <v>0</v>
      </c>
    </row>
    <row r="87">
      <c r="A87" s="108"/>
      <c r="B87" s="7" t="s">
        <v>657</v>
      </c>
      <c r="C87" s="7" t="str">
        <f>IFERROR(VLOOKUP(B87,'Master data'!$A$1:$F$1000,2,FALSE),"")</f>
        <v>P004-023</v>
      </c>
      <c r="D87" s="7" t="str">
        <f>IFERROR(VLOOKUP(B87,'Master data'!$A$1:$F$1000,6,FALSE),"")</f>
        <v>barang jadi &amp; bahan baku</v>
      </c>
      <c r="E87" s="7">
        <v>433.0</v>
      </c>
      <c r="F87" s="7" t="str">
        <f>IFERROR(VLOOKUP(B87,'Master data'!$A$1:$F$1000,3,FALSE),"")</f>
        <v>GR</v>
      </c>
      <c r="G87" s="27" t="s">
        <v>1164</v>
      </c>
      <c r="H87" s="27" t="s">
        <v>1512</v>
      </c>
      <c r="I87" s="7" t="s">
        <v>1552</v>
      </c>
      <c r="J87" s="7" t="s">
        <v>1561</v>
      </c>
      <c r="K87" s="16" t="b">
        <v>0</v>
      </c>
      <c r="L87" s="16" t="b">
        <v>0</v>
      </c>
    </row>
    <row r="88">
      <c r="A88" s="108"/>
      <c r="B88" s="7" t="s">
        <v>653</v>
      </c>
      <c r="C88" s="7" t="str">
        <f>IFERROR(VLOOKUP(B88,'Master data'!$A$1:$F$1000,2,FALSE),"")</f>
        <v>P004-022</v>
      </c>
      <c r="D88" s="7" t="str">
        <f>IFERROR(VLOOKUP(B88,'Master data'!$A$1:$F$1000,6,FALSE),"")</f>
        <v>barang jadi &amp; bahan baku</v>
      </c>
      <c r="E88" s="7">
        <v>1070.0</v>
      </c>
      <c r="F88" s="7" t="str">
        <f>IFERROR(VLOOKUP(B88,'Master data'!$A$1:$F$1000,3,FALSE),"")</f>
        <v>GR</v>
      </c>
      <c r="G88" s="27" t="s">
        <v>1164</v>
      </c>
      <c r="H88" s="29"/>
      <c r="I88" s="7" t="s">
        <v>1552</v>
      </c>
      <c r="J88" s="7" t="s">
        <v>1561</v>
      </c>
      <c r="K88" s="16" t="b">
        <v>0</v>
      </c>
      <c r="L88" s="16" t="b">
        <v>0</v>
      </c>
    </row>
    <row r="89">
      <c r="A89" s="108"/>
      <c r="B89" s="7" t="s">
        <v>698</v>
      </c>
      <c r="C89" s="7" t="str">
        <f>IFERROR(VLOOKUP(B89,'Master data'!$A$1:$F$1000,2,FALSE),"")</f>
        <v>P004-038</v>
      </c>
      <c r="D89" s="7" t="str">
        <f>IFERROR(VLOOKUP(B89,'Master data'!$A$1:$F$1000,6,FALSE),"")</f>
        <v>barang jadi &amp; bahan baku</v>
      </c>
      <c r="E89" s="7">
        <v>1.0</v>
      </c>
      <c r="F89" s="7" t="str">
        <f>IFERROR(VLOOKUP(B89,'Master data'!$A$1:$F$1000,3,FALSE),"")</f>
        <v>PRS</v>
      </c>
      <c r="G89" s="27" t="s">
        <v>1377</v>
      </c>
      <c r="H89" s="27" t="s">
        <v>1441</v>
      </c>
      <c r="I89" s="7" t="s">
        <v>1542</v>
      </c>
      <c r="J89" s="7" t="s">
        <v>1561</v>
      </c>
      <c r="K89" s="16" t="b">
        <v>0</v>
      </c>
      <c r="L89" s="16" t="b">
        <v>0</v>
      </c>
    </row>
    <row r="90">
      <c r="A90" s="27">
        <v>11.0</v>
      </c>
      <c r="B90" s="7" t="s">
        <v>1257</v>
      </c>
      <c r="C90" s="7" t="str">
        <f>IFERROR(VLOOKUP(B90,'Master data'!$A$1:$F$1000,2,FALSE),"")</f>
        <v>P004-043</v>
      </c>
      <c r="D90" s="7" t="str">
        <f>IFERROR(VLOOKUP(B90,'Master data'!$A$1:$F$1000,6,FALSE),"")</f>
        <v>barang jadi &amp; bahan baku</v>
      </c>
      <c r="E90" s="7">
        <v>16.0</v>
      </c>
      <c r="F90" s="7" t="s">
        <v>20</v>
      </c>
      <c r="G90" s="27" t="s">
        <v>1164</v>
      </c>
      <c r="H90" s="29"/>
      <c r="I90" s="7" t="s">
        <v>1542</v>
      </c>
      <c r="J90" s="7" t="s">
        <v>1561</v>
      </c>
      <c r="K90" s="16" t="b">
        <v>0</v>
      </c>
      <c r="L90" s="16" t="b">
        <v>0</v>
      </c>
    </row>
    <row r="91">
      <c r="A91" s="108"/>
      <c r="B91" s="7" t="s">
        <v>28</v>
      </c>
      <c r="C91" s="7" t="str">
        <f>IFERROR(VLOOKUP(B91,'Master data'!$A$1:$F$1000,2,FALSE),"")</f>
        <v>B001-006</v>
      </c>
      <c r="D91" s="7" t="str">
        <f>IFERROR(VLOOKUP(B91,'Master data'!$A$1:$F$1000,6,FALSE),"")</f>
        <v>bahan baku</v>
      </c>
      <c r="E91" s="7">
        <v>13.0</v>
      </c>
      <c r="F91" s="7" t="str">
        <f>IFERROR(VLOOKUP(B91,'Master data'!$A$1:$F$1000,3,FALSE),"")</f>
        <v>GR</v>
      </c>
      <c r="G91" s="27" t="s">
        <v>1858</v>
      </c>
      <c r="H91" s="29"/>
      <c r="I91" s="7" t="s">
        <v>1542</v>
      </c>
      <c r="J91" s="7" t="s">
        <v>61</v>
      </c>
      <c r="K91" s="16" t="b">
        <v>0</v>
      </c>
      <c r="L91" s="16" t="b">
        <v>0</v>
      </c>
    </row>
    <row r="92">
      <c r="A92" s="108"/>
      <c r="B92" s="7" t="s">
        <v>918</v>
      </c>
      <c r="C92" s="7" t="str">
        <f>IFERROR(VLOOKUP(B92,'Master data'!$A$1:$F$1000,2,FALSE),"")</f>
        <v>B001-162</v>
      </c>
      <c r="D92" s="7" t="str">
        <f>IFERROR(VLOOKUP(B92,'Master data'!$A$1:$F$1000,6,FALSE),"")</f>
        <v>bahan baku</v>
      </c>
      <c r="E92" s="7">
        <v>29.0</v>
      </c>
      <c r="F92" s="7" t="s">
        <v>20</v>
      </c>
      <c r="G92" s="27" t="s">
        <v>1224</v>
      </c>
      <c r="H92" s="29"/>
      <c r="I92" s="7" t="s">
        <v>1542</v>
      </c>
      <c r="J92" s="7" t="s">
        <v>1561</v>
      </c>
      <c r="K92" s="16" t="b">
        <v>0</v>
      </c>
      <c r="L92" s="16" t="b">
        <v>0</v>
      </c>
    </row>
    <row r="93">
      <c r="A93" s="108"/>
      <c r="B93" s="7" t="s">
        <v>54</v>
      </c>
      <c r="C93" s="7" t="str">
        <f>IFERROR(VLOOKUP(B93,'Master data'!$A$1:$F$1000,2,FALSE),"")</f>
        <v>B001-019</v>
      </c>
      <c r="D93" s="7" t="str">
        <f>IFERROR(VLOOKUP(B93,'Master data'!$A$1:$F$1000,6,FALSE),"")</f>
        <v>bahan baku</v>
      </c>
      <c r="E93" s="7">
        <v>21.0</v>
      </c>
      <c r="F93" s="7" t="str">
        <f>IFERROR(VLOOKUP(B93,'Master data'!$A$1:$F$1000,3,FALSE),"")</f>
        <v>GR</v>
      </c>
      <c r="G93" s="27" t="s">
        <v>1224</v>
      </c>
      <c r="H93" s="29"/>
      <c r="I93" s="7" t="s">
        <v>1542</v>
      </c>
      <c r="J93" s="7" t="s">
        <v>1561</v>
      </c>
      <c r="K93" s="16" t="b">
        <v>0</v>
      </c>
      <c r="L93" s="16" t="b">
        <v>0</v>
      </c>
    </row>
    <row r="94">
      <c r="A94" s="108"/>
      <c r="B94" s="7" t="s">
        <v>211</v>
      </c>
      <c r="C94" s="7" t="str">
        <f>IFERROR(VLOOKUP(B94,'Master data'!$A$1:$F$1000,2,FALSE),"")</f>
        <v>B001-088</v>
      </c>
      <c r="D94" s="7" t="str">
        <f>IFERROR(VLOOKUP(B94,'Master data'!$A$1:$F$1000,6,FALSE),"")</f>
        <v>bahan baku</v>
      </c>
      <c r="E94" s="7">
        <v>3945.0</v>
      </c>
      <c r="F94" s="7" t="str">
        <f>IFERROR(VLOOKUP(B94,'Master data'!$A$1:$F$1000,3,FALSE),"")</f>
        <v>GR</v>
      </c>
      <c r="G94" s="27" t="s">
        <v>1475</v>
      </c>
      <c r="H94" s="27" t="s">
        <v>1567</v>
      </c>
      <c r="I94" s="7" t="s">
        <v>1556</v>
      </c>
      <c r="J94" s="7" t="s">
        <v>61</v>
      </c>
      <c r="K94" s="16" t="b">
        <v>0</v>
      </c>
      <c r="L94" s="16" t="b">
        <v>0</v>
      </c>
    </row>
    <row r="95">
      <c r="A95" s="108"/>
      <c r="B95" s="7" t="s">
        <v>653</v>
      </c>
      <c r="C95" s="7" t="str">
        <f>IFERROR(VLOOKUP(B95,'Master data'!$A$1:$F$1000,2,FALSE),"")</f>
        <v>P004-022</v>
      </c>
      <c r="D95" s="7" t="str">
        <f>IFERROR(VLOOKUP(B95,'Master data'!$A$1:$F$1000,6,FALSE),"")</f>
        <v>barang jadi &amp; bahan baku</v>
      </c>
      <c r="E95" s="7">
        <v>158.0</v>
      </c>
      <c r="F95" s="7" t="str">
        <f>IFERROR(VLOOKUP(B95,'Master data'!$A$1:$F$1000,3,FALSE),"")</f>
        <v>GR</v>
      </c>
      <c r="G95" s="27" t="s">
        <v>1164</v>
      </c>
      <c r="H95" s="27" t="s">
        <v>1512</v>
      </c>
      <c r="I95" s="7" t="s">
        <v>1552</v>
      </c>
      <c r="J95" s="7" t="s">
        <v>1561</v>
      </c>
      <c r="K95" s="16" t="b">
        <v>0</v>
      </c>
      <c r="L95" s="16" t="b">
        <v>0</v>
      </c>
    </row>
    <row r="96">
      <c r="A96" s="27">
        <v>12.0</v>
      </c>
      <c r="B96" s="7" t="s">
        <v>28</v>
      </c>
      <c r="C96" s="7" t="str">
        <f>IFERROR(VLOOKUP(B96,'Master data'!$A$1:$F$1000,2,FALSE),"")</f>
        <v>B001-006</v>
      </c>
      <c r="D96" s="7" t="str">
        <f>IFERROR(VLOOKUP(B96,'Master data'!$A$1:$F$1000,6,FALSE),"")</f>
        <v>bahan baku</v>
      </c>
      <c r="E96" s="7">
        <v>39.0</v>
      </c>
      <c r="F96" s="7" t="str">
        <f>IFERROR(VLOOKUP(B96,'Master data'!$A$1:$F$1000,3,FALSE),"")</f>
        <v>GR</v>
      </c>
      <c r="G96" s="27" t="s">
        <v>1858</v>
      </c>
      <c r="H96" s="27" t="s">
        <v>1441</v>
      </c>
      <c r="I96" s="7" t="s">
        <v>1542</v>
      </c>
      <c r="J96" s="7" t="s">
        <v>61</v>
      </c>
      <c r="K96" s="16" t="b">
        <v>0</v>
      </c>
      <c r="L96" s="16" t="b">
        <v>0</v>
      </c>
    </row>
    <row r="97">
      <c r="A97" s="108"/>
      <c r="B97" s="7" t="s">
        <v>148</v>
      </c>
      <c r="C97" s="7" t="str">
        <f>IFERROR(VLOOKUP(B97,'Master data'!$A$1:$F$1000,2,FALSE),"")</f>
        <v>B001-064</v>
      </c>
      <c r="D97" s="7" t="str">
        <f>IFERROR(VLOOKUP(B97,'Master data'!$A$1:$F$1000,6,FALSE),"")</f>
        <v>bahan baku</v>
      </c>
      <c r="E97" s="7">
        <v>65.0</v>
      </c>
      <c r="F97" s="7" t="str">
        <f>IFERROR(VLOOKUP(B97,'Master data'!$A$1:$F$1000,3,FALSE),"")</f>
        <v>GR</v>
      </c>
      <c r="G97" s="27" t="s">
        <v>1224</v>
      </c>
      <c r="H97" s="29"/>
      <c r="I97" s="7" t="s">
        <v>1542</v>
      </c>
      <c r="J97" s="7" t="s">
        <v>1561</v>
      </c>
      <c r="K97" s="16" t="b">
        <v>0</v>
      </c>
      <c r="L97" s="16" t="b">
        <v>0</v>
      </c>
    </row>
    <row r="98">
      <c r="A98" s="108"/>
      <c r="B98" s="7" t="s">
        <v>698</v>
      </c>
      <c r="C98" s="7" t="str">
        <f>IFERROR(VLOOKUP(B98,'Master data'!$A$1:$F$1000,2,FALSE),"")</f>
        <v>P004-038</v>
      </c>
      <c r="D98" s="7" t="str">
        <f>IFERROR(VLOOKUP(B98,'Master data'!$A$1:$F$1000,6,FALSE),"")</f>
        <v>barang jadi &amp; bahan baku</v>
      </c>
      <c r="E98" s="7">
        <v>1.0</v>
      </c>
      <c r="F98" s="7" t="str">
        <f>IFERROR(VLOOKUP(B98,'Master data'!$A$1:$F$1000,3,FALSE),"")</f>
        <v>PRS</v>
      </c>
      <c r="G98" s="27" t="s">
        <v>1377</v>
      </c>
      <c r="H98" s="29"/>
      <c r="I98" s="7" t="s">
        <v>1542</v>
      </c>
      <c r="J98" s="7" t="s">
        <v>1561</v>
      </c>
      <c r="K98" s="16" t="b">
        <v>0</v>
      </c>
      <c r="L98" s="16" t="b">
        <v>0</v>
      </c>
    </row>
    <row r="99">
      <c r="A99" s="108"/>
      <c r="B99" s="7" t="s">
        <v>33</v>
      </c>
      <c r="C99" s="7" t="str">
        <f>IFERROR(VLOOKUP(B99,'Master data'!$A$1:$F$1000,2,FALSE),"")</f>
        <v>B001-008</v>
      </c>
      <c r="D99" s="7" t="str">
        <f>IFERROR(VLOOKUP(B99,'Master data'!$A$1:$F$1000,6,FALSE),"")</f>
        <v>bahan baku</v>
      </c>
      <c r="E99" s="7">
        <v>2282.0</v>
      </c>
      <c r="F99" s="7" t="str">
        <f>IFERROR(VLOOKUP(B99,'Master data'!$A$1:$F$1000,3,FALSE),"")</f>
        <v>GR</v>
      </c>
      <c r="G99" s="27" t="s">
        <v>1855</v>
      </c>
      <c r="H99" s="27" t="s">
        <v>1225</v>
      </c>
      <c r="I99" s="7" t="s">
        <v>1548</v>
      </c>
      <c r="J99" s="7" t="s">
        <v>1561</v>
      </c>
      <c r="K99" s="16" t="b">
        <v>0</v>
      </c>
      <c r="L99" s="16" t="b">
        <v>0</v>
      </c>
    </row>
    <row r="100">
      <c r="A100" s="108"/>
      <c r="B100" s="7" t="s">
        <v>129</v>
      </c>
      <c r="C100" s="7" t="str">
        <f>IFERROR(VLOOKUP(B100,'Master data'!$A$1:$F$1000,2,FALSE),"")</f>
        <v>B001-056</v>
      </c>
      <c r="D100" s="7" t="str">
        <f>IFERROR(VLOOKUP(B100,'Master data'!$A$1:$F$1000,6,FALSE),"")</f>
        <v>bahan baku</v>
      </c>
      <c r="E100" s="7">
        <v>22.0</v>
      </c>
      <c r="F100" s="7" t="str">
        <f>IFERROR(VLOOKUP(B100,'Master data'!$A$1:$F$1000,3,FALSE),"")</f>
        <v>ML</v>
      </c>
      <c r="G100" s="27" t="s">
        <v>1855</v>
      </c>
      <c r="H100" s="29"/>
      <c r="I100" s="7" t="s">
        <v>1548</v>
      </c>
      <c r="J100" s="7" t="s">
        <v>1561</v>
      </c>
      <c r="K100" s="16" t="b">
        <v>0</v>
      </c>
      <c r="L100" s="16" t="b">
        <v>0</v>
      </c>
    </row>
    <row r="101">
      <c r="A101" s="108"/>
      <c r="B101" s="7" t="s">
        <v>211</v>
      </c>
      <c r="C101" s="7" t="str">
        <f>IFERROR(VLOOKUP(B101,'Master data'!$A$1:$F$1000,2,FALSE),"")</f>
        <v>B001-088</v>
      </c>
      <c r="D101" s="7" t="str">
        <f>IFERROR(VLOOKUP(B101,'Master data'!$A$1:$F$1000,6,FALSE),"")</f>
        <v>bahan baku</v>
      </c>
      <c r="E101" s="7">
        <v>6275.0</v>
      </c>
      <c r="F101" s="7" t="str">
        <f>IFERROR(VLOOKUP(B101,'Master data'!$A$1:$F$1000,3,FALSE),"")</f>
        <v>GR</v>
      </c>
      <c r="G101" s="27" t="s">
        <v>1475</v>
      </c>
      <c r="H101" s="27" t="s">
        <v>1417</v>
      </c>
      <c r="I101" s="7" t="s">
        <v>1556</v>
      </c>
      <c r="J101" s="7" t="s">
        <v>61</v>
      </c>
      <c r="K101" s="16" t="b">
        <v>0</v>
      </c>
      <c r="L101" s="16" t="b">
        <v>0</v>
      </c>
    </row>
    <row r="102">
      <c r="A102" s="27">
        <v>13.0</v>
      </c>
      <c r="B102" s="7" t="s">
        <v>298</v>
      </c>
      <c r="C102" s="7" t="str">
        <f>IFERROR(VLOOKUP(B102,'Master data'!$A$1:$F$1000,2,FALSE),"")</f>
        <v>B001-125</v>
      </c>
      <c r="D102" s="7" t="str">
        <f>IFERROR(VLOOKUP(B102,'Master data'!$A$1:$F$1000,6,FALSE),"")</f>
        <v>bahan baku</v>
      </c>
      <c r="E102" s="7">
        <v>45.0</v>
      </c>
      <c r="F102" s="7" t="str">
        <f>IFERROR(VLOOKUP(B102,'Master data'!$A$1:$F$1000,3,FALSE),"")</f>
        <v>GR</v>
      </c>
      <c r="G102" s="27" t="s">
        <v>1224</v>
      </c>
      <c r="H102" s="27" t="s">
        <v>1441</v>
      </c>
      <c r="I102" s="7" t="s">
        <v>1542</v>
      </c>
      <c r="J102" s="7" t="s">
        <v>1561</v>
      </c>
      <c r="K102" s="16" t="b">
        <v>0</v>
      </c>
      <c r="L102" s="16" t="b">
        <v>0</v>
      </c>
    </row>
    <row r="103">
      <c r="A103" s="108"/>
      <c r="B103" s="7" t="s">
        <v>28</v>
      </c>
      <c r="C103" s="7" t="str">
        <f>IFERROR(VLOOKUP(B103,'Master data'!$A$1:$F$1000,2,FALSE),"")</f>
        <v>B001-006</v>
      </c>
      <c r="D103" s="7" t="str">
        <f>IFERROR(VLOOKUP(B103,'Master data'!$A$1:$F$1000,6,FALSE),"")</f>
        <v>bahan baku</v>
      </c>
      <c r="E103" s="7">
        <v>24.0</v>
      </c>
      <c r="F103" s="7" t="str">
        <f>IFERROR(VLOOKUP(B103,'Master data'!$A$1:$F$1000,3,FALSE),"")</f>
        <v>GR</v>
      </c>
      <c r="G103" s="27" t="s">
        <v>1858</v>
      </c>
      <c r="H103" s="29"/>
      <c r="I103" s="7" t="s">
        <v>1542</v>
      </c>
      <c r="J103" s="7" t="s">
        <v>61</v>
      </c>
      <c r="K103" s="16" t="b">
        <v>0</v>
      </c>
      <c r="L103" s="16" t="b">
        <v>0</v>
      </c>
    </row>
    <row r="104">
      <c r="A104" s="108"/>
      <c r="B104" s="7" t="s">
        <v>148</v>
      </c>
      <c r="C104" s="7" t="str">
        <f>IFERROR(VLOOKUP(B104,'Master data'!$A$1:$F$1000,2,FALSE),"")</f>
        <v>B001-064</v>
      </c>
      <c r="D104" s="7" t="str">
        <f>IFERROR(VLOOKUP(B104,'Master data'!$A$1:$F$1000,6,FALSE),"")</f>
        <v>bahan baku</v>
      </c>
      <c r="E104" s="7">
        <v>57.0</v>
      </c>
      <c r="F104" s="7" t="str">
        <f>IFERROR(VLOOKUP(B104,'Master data'!$A$1:$F$1000,3,FALSE),"")</f>
        <v>GR</v>
      </c>
      <c r="G104" s="27" t="s">
        <v>1858</v>
      </c>
      <c r="H104" s="29"/>
      <c r="I104" s="7" t="s">
        <v>1542</v>
      </c>
      <c r="J104" s="7" t="s">
        <v>61</v>
      </c>
      <c r="K104" s="16" t="b">
        <v>0</v>
      </c>
      <c r="L104" s="16" t="b">
        <v>0</v>
      </c>
    </row>
    <row r="105">
      <c r="A105" s="108"/>
      <c r="B105" s="7" t="s">
        <v>54</v>
      </c>
      <c r="C105" s="7" t="str">
        <f>IFERROR(VLOOKUP(B105,'Master data'!$A$1:$F$1000,2,FALSE),"")</f>
        <v>B001-019</v>
      </c>
      <c r="D105" s="7" t="str">
        <f>IFERROR(VLOOKUP(B105,'Master data'!$A$1:$F$1000,6,FALSE),"")</f>
        <v>bahan baku</v>
      </c>
      <c r="E105" s="7">
        <v>27.0</v>
      </c>
      <c r="F105" s="7" t="str">
        <f>IFERROR(VLOOKUP(B105,'Master data'!$A$1:$F$1000,3,FALSE),"")</f>
        <v>GR</v>
      </c>
      <c r="G105" s="27" t="s">
        <v>1224</v>
      </c>
      <c r="H105" s="29"/>
      <c r="I105" s="7" t="s">
        <v>1542</v>
      </c>
      <c r="J105" s="7" t="s">
        <v>1561</v>
      </c>
      <c r="K105" s="16" t="b">
        <v>0</v>
      </c>
      <c r="L105" s="16" t="b">
        <v>0</v>
      </c>
    </row>
    <row r="106">
      <c r="A106" s="108"/>
      <c r="B106" s="7" t="s">
        <v>211</v>
      </c>
      <c r="C106" s="7" t="str">
        <f>IFERROR(VLOOKUP(B106,'Master data'!$A$1:$F$1000,2,FALSE),"")</f>
        <v>B001-088</v>
      </c>
      <c r="D106" s="7" t="str">
        <f>IFERROR(VLOOKUP(B106,'Master data'!$A$1:$F$1000,6,FALSE),"")</f>
        <v>bahan baku</v>
      </c>
      <c r="E106" s="7">
        <v>4835.0</v>
      </c>
      <c r="F106" s="7" t="str">
        <f>IFERROR(VLOOKUP(B106,'Master data'!$A$1:$F$1000,3,FALSE),"")</f>
        <v>GR</v>
      </c>
      <c r="G106" s="27" t="s">
        <v>1475</v>
      </c>
      <c r="H106" s="27" t="s">
        <v>1567</v>
      </c>
      <c r="I106" s="7" t="s">
        <v>1556</v>
      </c>
      <c r="J106" s="7" t="s">
        <v>61</v>
      </c>
      <c r="K106" s="16" t="b">
        <v>0</v>
      </c>
      <c r="L106" s="16" t="b">
        <v>0</v>
      </c>
    </row>
    <row r="107">
      <c r="A107" s="108"/>
      <c r="B107" s="7" t="s">
        <v>33</v>
      </c>
      <c r="C107" s="7" t="str">
        <f>IFERROR(VLOOKUP(B107,'Master data'!$A$1:$F$1000,2,FALSE),"")</f>
        <v>B001-008</v>
      </c>
      <c r="D107" s="7" t="str">
        <f>IFERROR(VLOOKUP(B107,'Master data'!$A$1:$F$1000,6,FALSE),"")</f>
        <v>bahan baku</v>
      </c>
      <c r="E107" s="7">
        <v>804.0</v>
      </c>
      <c r="F107" s="7" t="str">
        <f>IFERROR(VLOOKUP(B107,'Master data'!$A$1:$F$1000,3,FALSE),"")</f>
        <v>GR</v>
      </c>
      <c r="G107" s="27" t="s">
        <v>1855</v>
      </c>
      <c r="H107" s="27" t="s">
        <v>1225</v>
      </c>
      <c r="I107" s="7" t="s">
        <v>1548</v>
      </c>
      <c r="J107" s="7" t="s">
        <v>1561</v>
      </c>
      <c r="K107" s="16" t="b">
        <v>0</v>
      </c>
      <c r="L107" s="16" t="b">
        <v>0</v>
      </c>
    </row>
    <row r="108">
      <c r="A108" s="108"/>
      <c r="B108" s="7" t="s">
        <v>129</v>
      </c>
      <c r="C108" s="7" t="str">
        <f>IFERROR(VLOOKUP(B108,'Master data'!$A$1:$F$1000,2,FALSE),"")</f>
        <v>B001-056</v>
      </c>
      <c r="D108" s="7" t="str">
        <f>IFERROR(VLOOKUP(B108,'Master data'!$A$1:$F$1000,6,FALSE),"")</f>
        <v>bahan baku</v>
      </c>
      <c r="E108" s="7">
        <v>8.0</v>
      </c>
      <c r="F108" s="7" t="str">
        <f>IFERROR(VLOOKUP(B108,'Master data'!$A$1:$F$1000,3,FALSE),"")</f>
        <v>ML</v>
      </c>
      <c r="G108" s="27" t="s">
        <v>1855</v>
      </c>
      <c r="H108" s="29"/>
      <c r="I108" s="7" t="s">
        <v>1548</v>
      </c>
      <c r="J108" s="7" t="s">
        <v>1561</v>
      </c>
      <c r="K108" s="16" t="b">
        <v>0</v>
      </c>
      <c r="L108" s="16" t="b">
        <v>0</v>
      </c>
    </row>
    <row r="109">
      <c r="A109" s="27">
        <v>14.0</v>
      </c>
      <c r="B109" s="7" t="s">
        <v>926</v>
      </c>
      <c r="C109" s="7" t="str">
        <f>IFERROR(VLOOKUP(B109,'Master data'!$A$1:$F$1000,2,FALSE),"")</f>
        <v>B001-165</v>
      </c>
      <c r="D109" s="7" t="str">
        <f>IFERROR(VLOOKUP(B109,'Master data'!$A$1:$F$1000,6,FALSE),"")</f>
        <v>bahan baku</v>
      </c>
      <c r="E109" s="7">
        <v>115.0</v>
      </c>
      <c r="F109" s="7" t="str">
        <f>IFERROR(VLOOKUP(B109,'Master data'!$A$1:$F$1000,3,FALSE),"")</f>
        <v>LBR</v>
      </c>
      <c r="G109" s="27" t="s">
        <v>1525</v>
      </c>
      <c r="H109" s="29"/>
      <c r="I109" s="7" t="s">
        <v>1548</v>
      </c>
      <c r="J109" s="7" t="s">
        <v>61</v>
      </c>
      <c r="K109" s="16" t="b">
        <v>0</v>
      </c>
      <c r="L109" s="16" t="b">
        <v>0</v>
      </c>
    </row>
    <row r="110">
      <c r="A110" s="108"/>
      <c r="B110" s="7" t="s">
        <v>211</v>
      </c>
      <c r="C110" s="7" t="str">
        <f>IFERROR(VLOOKUP(B110,'Master data'!$A$1:$F$1000,2,FALSE),"")</f>
        <v>B001-088</v>
      </c>
      <c r="D110" s="7" t="str">
        <f>IFERROR(VLOOKUP(B110,'Master data'!$A$1:$F$1000,6,FALSE),"")</f>
        <v>bahan baku</v>
      </c>
      <c r="E110" s="7">
        <v>1075.0</v>
      </c>
      <c r="F110" s="7" t="str">
        <f>IFERROR(VLOOKUP(B110,'Master data'!$A$1:$F$1000,3,FALSE),"")</f>
        <v>GR</v>
      </c>
      <c r="G110" s="27" t="s">
        <v>1475</v>
      </c>
      <c r="H110" s="27" t="s">
        <v>1290</v>
      </c>
      <c r="I110" s="7" t="s">
        <v>1556</v>
      </c>
      <c r="J110" s="7" t="s">
        <v>61</v>
      </c>
      <c r="K110" s="16" t="b">
        <v>0</v>
      </c>
      <c r="L110" s="16" t="b">
        <v>0</v>
      </c>
    </row>
    <row r="111">
      <c r="A111" s="108"/>
      <c r="B111" s="7" t="s">
        <v>698</v>
      </c>
      <c r="C111" s="7" t="str">
        <f>IFERROR(VLOOKUP(B111,'Master data'!$A$1:$F$1000,2,FALSE),"")</f>
        <v>P004-038</v>
      </c>
      <c r="D111" s="7" t="str">
        <f>IFERROR(VLOOKUP(B111,'Master data'!$A$1:$F$1000,6,FALSE),"")</f>
        <v>barang jadi &amp; bahan baku</v>
      </c>
      <c r="E111" s="7">
        <v>1.0</v>
      </c>
      <c r="F111" s="7" t="str">
        <f>IFERROR(VLOOKUP(B111,'Master data'!$A$1:$F$1000,3,FALSE),"")</f>
        <v>PRS</v>
      </c>
      <c r="G111" s="27" t="s">
        <v>1882</v>
      </c>
      <c r="H111" s="27" t="s">
        <v>1883</v>
      </c>
      <c r="I111" s="7" t="s">
        <v>1542</v>
      </c>
      <c r="J111" s="7" t="s">
        <v>1561</v>
      </c>
      <c r="K111" s="16" t="b">
        <v>0</v>
      </c>
      <c r="L111" s="16" t="b">
        <v>0</v>
      </c>
    </row>
    <row r="112">
      <c r="A112" s="108"/>
      <c r="B112" s="7" t="s">
        <v>298</v>
      </c>
      <c r="C112" s="7" t="str">
        <f>IFERROR(VLOOKUP(B112,'Master data'!$A$1:$F$1000,2,FALSE),"")</f>
        <v>B001-125</v>
      </c>
      <c r="D112" s="7" t="str">
        <f>IFERROR(VLOOKUP(B112,'Master data'!$A$1:$F$1000,6,FALSE),"")</f>
        <v>bahan baku</v>
      </c>
      <c r="E112" s="7">
        <v>92.0</v>
      </c>
      <c r="F112" s="7" t="str">
        <f>IFERROR(VLOOKUP(B112,'Master data'!$A$1:$F$1000,3,FALSE),"")</f>
        <v>GR</v>
      </c>
      <c r="G112" s="27" t="s">
        <v>1224</v>
      </c>
      <c r="H112" s="29"/>
      <c r="I112" s="7" t="s">
        <v>1542</v>
      </c>
      <c r="J112" s="7" t="s">
        <v>1561</v>
      </c>
      <c r="K112" s="16" t="b">
        <v>0</v>
      </c>
      <c r="L112" s="16" t="b">
        <v>0</v>
      </c>
    </row>
    <row r="113">
      <c r="A113" s="108"/>
      <c r="B113" s="7" t="s">
        <v>231</v>
      </c>
      <c r="C113" s="7" t="str">
        <f>IFERROR(VLOOKUP(B113,'Master data'!$A$1:$F$1000,2,FALSE),"")</f>
        <v>B001-104</v>
      </c>
      <c r="D113" s="7" t="str">
        <f>IFERROR(VLOOKUP(B113,'Master data'!$A$1:$F$1000,6,FALSE),"")</f>
        <v>bahan baku</v>
      </c>
      <c r="E113" s="7">
        <v>164.0</v>
      </c>
      <c r="F113" s="7" t="str">
        <f>IFERROR(VLOOKUP(B113,'Master data'!$A$1:$F$1000,3,FALSE),"")</f>
        <v>GR</v>
      </c>
      <c r="G113" s="27" t="s">
        <v>1164</v>
      </c>
      <c r="H113" s="29"/>
      <c r="I113" s="7" t="s">
        <v>1542</v>
      </c>
      <c r="J113" s="7" t="s">
        <v>1561</v>
      </c>
      <c r="K113" s="16" t="b">
        <v>0</v>
      </c>
      <c r="L113" s="16" t="b">
        <v>0</v>
      </c>
    </row>
    <row r="114">
      <c r="A114" s="108"/>
      <c r="B114" s="7" t="s">
        <v>52</v>
      </c>
      <c r="C114" s="7" t="str">
        <f>IFERROR(VLOOKUP(B114,'Master data'!$A$1:$F$1000,2,FALSE),"")</f>
        <v>B001-018</v>
      </c>
      <c r="D114" s="7" t="str">
        <f>IFERROR(VLOOKUP(B114,'Master data'!$A$1:$F$1000,6,FALSE),"")</f>
        <v>bahan baku</v>
      </c>
      <c r="E114" s="7">
        <v>138.0</v>
      </c>
      <c r="F114" s="7" t="str">
        <f>IFERROR(VLOOKUP(B114,'Master data'!$A$1:$F$1000,3,FALSE),"")</f>
        <v>GR</v>
      </c>
      <c r="G114" s="27" t="s">
        <v>1527</v>
      </c>
      <c r="H114" s="29"/>
      <c r="I114" s="7" t="s">
        <v>1542</v>
      </c>
      <c r="J114" s="7" t="s">
        <v>61</v>
      </c>
      <c r="K114" s="16" t="b">
        <v>0</v>
      </c>
      <c r="L114" s="16" t="b">
        <v>0</v>
      </c>
    </row>
    <row r="115">
      <c r="A115" s="108"/>
      <c r="B115" s="7" t="s">
        <v>28</v>
      </c>
      <c r="C115" s="7" t="str">
        <f>IFERROR(VLOOKUP(B115,'Master data'!$A$1:$F$1000,2,FALSE),"")</f>
        <v>B001-006</v>
      </c>
      <c r="D115" s="7" t="str">
        <f>IFERROR(VLOOKUP(B115,'Master data'!$A$1:$F$1000,6,FALSE),"")</f>
        <v>bahan baku</v>
      </c>
      <c r="E115" s="7">
        <v>21.0</v>
      </c>
      <c r="F115" s="7" t="str">
        <f>IFERROR(VLOOKUP(B115,'Master data'!$A$1:$F$1000,3,FALSE),"")</f>
        <v>GR</v>
      </c>
      <c r="G115" s="27" t="s">
        <v>1858</v>
      </c>
      <c r="H115" s="29"/>
      <c r="I115" s="7" t="s">
        <v>1542</v>
      </c>
      <c r="J115" s="7" t="s">
        <v>61</v>
      </c>
      <c r="K115" s="16" t="b">
        <v>0</v>
      </c>
      <c r="L115" s="16" t="b">
        <v>0</v>
      </c>
    </row>
    <row r="116">
      <c r="A116" s="27">
        <v>15.0</v>
      </c>
      <c r="B116" s="7" t="s">
        <v>54</v>
      </c>
      <c r="C116" s="7" t="str">
        <f>IFERROR(VLOOKUP(B116,'Master data'!$A$1:$F$1000,2,FALSE),"")</f>
        <v>B001-019</v>
      </c>
      <c r="D116" s="7" t="str">
        <f>IFERROR(VLOOKUP(B116,'Master data'!$A$1:$F$1000,6,FALSE),"")</f>
        <v>bahan baku</v>
      </c>
      <c r="E116" s="7">
        <v>100.0</v>
      </c>
      <c r="F116" s="7" t="str">
        <f>IFERROR(VLOOKUP(B116,'Master data'!$A$1:$F$1000,3,FALSE),"")</f>
        <v>GR</v>
      </c>
      <c r="G116" s="27" t="s">
        <v>1224</v>
      </c>
      <c r="H116" s="29"/>
      <c r="I116" s="7" t="s">
        <v>1542</v>
      </c>
      <c r="J116" s="7" t="s">
        <v>1561</v>
      </c>
      <c r="K116" s="16" t="b">
        <v>0</v>
      </c>
      <c r="L116" s="16" t="b">
        <v>0</v>
      </c>
    </row>
    <row r="117">
      <c r="A117" s="108"/>
      <c r="B117" s="7" t="s">
        <v>214</v>
      </c>
      <c r="C117" s="7" t="str">
        <f>IFERROR(VLOOKUP(B117,'Master data'!$A$1:$F$1000,2,FALSE),"")</f>
        <v>B001-091</v>
      </c>
      <c r="D117" s="7" t="str">
        <f>IFERROR(VLOOKUP(B117,'Master data'!$A$1:$F$1000,6,FALSE),"")</f>
        <v>bahan baku</v>
      </c>
      <c r="E117" s="7">
        <v>32.0</v>
      </c>
      <c r="F117" s="7" t="str">
        <f>IFERROR(VLOOKUP(B117,'Master data'!$A$1:$F$1000,3,FALSE),"")</f>
        <v>GR</v>
      </c>
      <c r="G117" s="27" t="s">
        <v>1224</v>
      </c>
      <c r="H117" s="29"/>
      <c r="I117" s="7" t="s">
        <v>1542</v>
      </c>
      <c r="J117" s="7" t="s">
        <v>1561</v>
      </c>
      <c r="K117" s="16" t="b">
        <v>0</v>
      </c>
      <c r="L117" s="16" t="b">
        <v>0</v>
      </c>
    </row>
    <row r="118">
      <c r="A118" s="108"/>
      <c r="B118" s="7" t="s">
        <v>298</v>
      </c>
      <c r="C118" s="7" t="str">
        <f>IFERROR(VLOOKUP(B118,'Master data'!$A$1:$F$1000,2,FALSE),"")</f>
        <v>B001-125</v>
      </c>
      <c r="D118" s="7" t="str">
        <f>IFERROR(VLOOKUP(B118,'Master data'!$A$1:$F$1000,6,FALSE),"")</f>
        <v>bahan baku</v>
      </c>
      <c r="E118" s="7">
        <v>146.0</v>
      </c>
      <c r="F118" s="7" t="str">
        <f>IFERROR(VLOOKUP(B118,'Master data'!$A$1:$F$1000,3,FALSE),"")</f>
        <v>GR</v>
      </c>
      <c r="G118" s="27" t="s">
        <v>1224</v>
      </c>
      <c r="H118" s="29"/>
      <c r="I118" s="7" t="s">
        <v>1542</v>
      </c>
      <c r="J118" s="7" t="s">
        <v>1561</v>
      </c>
      <c r="K118" s="16" t="b">
        <v>0</v>
      </c>
      <c r="L118" s="16" t="b">
        <v>0</v>
      </c>
    </row>
    <row r="119">
      <c r="A119" s="108"/>
      <c r="B119" s="7" t="s">
        <v>211</v>
      </c>
      <c r="C119" s="7" t="str">
        <f>IFERROR(VLOOKUP(B119,'Master data'!$A$1:$F$1000,2,FALSE),"")</f>
        <v>B001-088</v>
      </c>
      <c r="D119" s="7" t="str">
        <f>IFERROR(VLOOKUP(B119,'Master data'!$A$1:$F$1000,6,FALSE),"")</f>
        <v>bahan baku</v>
      </c>
      <c r="E119" s="7">
        <v>1490.0</v>
      </c>
      <c r="F119" s="7" t="str">
        <f>IFERROR(VLOOKUP(B119,'Master data'!$A$1:$F$1000,3,FALSE),"")</f>
        <v>GR</v>
      </c>
      <c r="G119" s="27" t="s">
        <v>1475</v>
      </c>
      <c r="H119" s="27" t="s">
        <v>1441</v>
      </c>
      <c r="I119" s="7" t="s">
        <v>1556</v>
      </c>
      <c r="J119" s="7" t="s">
        <v>61</v>
      </c>
      <c r="K119" s="16" t="b">
        <v>0</v>
      </c>
      <c r="L119" s="16" t="b">
        <v>0</v>
      </c>
    </row>
    <row r="120">
      <c r="A120" s="108"/>
      <c r="B120" s="7" t="s">
        <v>502</v>
      </c>
      <c r="C120" s="7" t="str">
        <f>IFERROR(VLOOKUP(B120,'Master data'!$A$1:$F$1000,2,FALSE),"")</f>
        <v>S001-002</v>
      </c>
      <c r="D120" s="7" t="str">
        <f>IFERROR(VLOOKUP(B120,'Master data'!$A$1:$F$1000,6,FALSE),"")</f>
        <v>barang jadi &amp; bahan baku</v>
      </c>
      <c r="E120" s="7">
        <v>4.0</v>
      </c>
      <c r="F120" s="7" t="s">
        <v>863</v>
      </c>
      <c r="G120" s="27" t="s">
        <v>1216</v>
      </c>
      <c r="H120" s="29"/>
      <c r="I120" s="7" t="s">
        <v>1548</v>
      </c>
      <c r="J120" s="7" t="s">
        <v>1561</v>
      </c>
      <c r="K120" s="16" t="b">
        <v>0</v>
      </c>
      <c r="L120" s="16" t="b">
        <v>0</v>
      </c>
    </row>
    <row r="121">
      <c r="A121" s="108"/>
      <c r="B121" s="7" t="s">
        <v>657</v>
      </c>
      <c r="C121" s="7" t="str">
        <f>IFERROR(VLOOKUP(B121,'Master data'!$A$1:$F$1000,2,FALSE),"")</f>
        <v>P004-023</v>
      </c>
      <c r="D121" s="7" t="str">
        <f>IFERROR(VLOOKUP(B121,'Master data'!$A$1:$F$1000,6,FALSE),"")</f>
        <v>barang jadi &amp; bahan baku</v>
      </c>
      <c r="E121" s="7">
        <v>946.0</v>
      </c>
      <c r="F121" s="7" t="s">
        <v>78</v>
      </c>
      <c r="G121" s="27" t="s">
        <v>1216</v>
      </c>
      <c r="H121" s="27" t="s">
        <v>1523</v>
      </c>
      <c r="I121" s="7" t="s">
        <v>1552</v>
      </c>
      <c r="J121" s="7" t="s">
        <v>1561</v>
      </c>
      <c r="K121" s="16" t="b">
        <v>0</v>
      </c>
      <c r="L121" s="16" t="b">
        <v>0</v>
      </c>
    </row>
    <row r="122">
      <c r="A122" s="108"/>
      <c r="B122" s="7" t="s">
        <v>653</v>
      </c>
      <c r="C122" s="7" t="str">
        <f>IFERROR(VLOOKUP(B122,'Master data'!$A$1:$F$1000,2,FALSE),"")</f>
        <v>P004-022</v>
      </c>
      <c r="D122" s="7" t="str">
        <f>IFERROR(VLOOKUP(B122,'Master data'!$A$1:$F$1000,6,FALSE),"")</f>
        <v>barang jadi &amp; bahan baku</v>
      </c>
      <c r="E122" s="7">
        <v>451.0</v>
      </c>
      <c r="F122" s="7" t="s">
        <v>78</v>
      </c>
      <c r="G122" s="27" t="s">
        <v>1216</v>
      </c>
      <c r="H122" s="29"/>
      <c r="I122" s="7" t="s">
        <v>1552</v>
      </c>
      <c r="J122" s="7" t="s">
        <v>1561</v>
      </c>
      <c r="K122" s="16" t="b">
        <v>0</v>
      </c>
      <c r="L122" s="16" t="b">
        <v>0</v>
      </c>
    </row>
    <row r="123">
      <c r="A123" s="27">
        <v>16.0</v>
      </c>
      <c r="B123" s="7" t="s">
        <v>648</v>
      </c>
      <c r="C123" s="7" t="str">
        <f>IFERROR(VLOOKUP(B123,'Master data'!$A$1:$F$1000,2,FALSE),"")</f>
        <v>P004-020</v>
      </c>
      <c r="D123" s="7" t="str">
        <f>IFERROR(VLOOKUP(B123,'Master data'!$A$1:$F$1000,6,FALSE),"")</f>
        <v>barang jadi &amp; bahan baku</v>
      </c>
      <c r="E123" s="7">
        <v>312.0</v>
      </c>
      <c r="F123" s="7" t="s">
        <v>20</v>
      </c>
      <c r="G123" s="27" t="s">
        <v>1164</v>
      </c>
      <c r="H123" s="27" t="s">
        <v>1856</v>
      </c>
      <c r="I123" s="7" t="s">
        <v>1552</v>
      </c>
      <c r="J123" s="7" t="s">
        <v>1561</v>
      </c>
      <c r="K123" s="16" t="b">
        <v>0</v>
      </c>
      <c r="L123" s="16" t="b">
        <v>0</v>
      </c>
    </row>
    <row r="124">
      <c r="A124" s="108"/>
      <c r="B124" s="7" t="s">
        <v>33</v>
      </c>
      <c r="C124" s="7" t="str">
        <f>IFERROR(VLOOKUP(B124,'Master data'!$A$1:$F$1000,2,FALSE),"")</f>
        <v>B001-008</v>
      </c>
      <c r="D124" s="7" t="str">
        <f>IFERROR(VLOOKUP(B124,'Master data'!$A$1:$F$1000,6,FALSE),"")</f>
        <v>bahan baku</v>
      </c>
      <c r="E124" s="7">
        <v>1987.0</v>
      </c>
      <c r="F124" s="7" t="str">
        <f>IFERROR(VLOOKUP(B124,'Master data'!$A$1:$F$1000,3,FALSE),"")</f>
        <v>GR</v>
      </c>
      <c r="G124" s="27" t="s">
        <v>1855</v>
      </c>
      <c r="H124" s="27" t="s">
        <v>1225</v>
      </c>
      <c r="I124" s="7" t="s">
        <v>1548</v>
      </c>
      <c r="J124" s="7" t="s">
        <v>1561</v>
      </c>
      <c r="K124" s="16" t="b">
        <v>0</v>
      </c>
      <c r="L124" s="16" t="b">
        <v>0</v>
      </c>
    </row>
    <row r="125">
      <c r="A125" s="108"/>
      <c r="B125" s="7" t="s">
        <v>129</v>
      </c>
      <c r="C125" s="7" t="str">
        <f>IFERROR(VLOOKUP(B125,'Master data'!$A$1:$F$1000,2,FALSE),"")</f>
        <v>B001-056</v>
      </c>
      <c r="D125" s="7" t="str">
        <f>IFERROR(VLOOKUP(B125,'Master data'!$A$1:$F$1000,6,FALSE),"")</f>
        <v>bahan baku</v>
      </c>
      <c r="E125" s="7">
        <v>19.0</v>
      </c>
      <c r="F125" s="7" t="str">
        <f>IFERROR(VLOOKUP(B125,'Master data'!$A$1:$F$1000,3,FALSE),"")</f>
        <v>ML</v>
      </c>
      <c r="G125" s="27" t="s">
        <v>1855</v>
      </c>
      <c r="H125" s="29"/>
      <c r="I125" s="7" t="s">
        <v>1548</v>
      </c>
      <c r="J125" s="7" t="s">
        <v>1561</v>
      </c>
      <c r="K125" s="16" t="b">
        <v>0</v>
      </c>
      <c r="L125" s="16" t="b">
        <v>0</v>
      </c>
    </row>
    <row r="126">
      <c r="A126" s="108"/>
      <c r="B126" s="7" t="s">
        <v>211</v>
      </c>
      <c r="C126" s="7" t="str">
        <f>IFERROR(VLOOKUP(B126,'Master data'!$A$1:$F$1000,2,FALSE),"")</f>
        <v>B001-088</v>
      </c>
      <c r="D126" s="7" t="str">
        <f>IFERROR(VLOOKUP(B126,'Master data'!$A$1:$F$1000,6,FALSE),"")</f>
        <v>bahan baku</v>
      </c>
      <c r="E126" s="7">
        <v>3435.0</v>
      </c>
      <c r="F126" s="7" t="str">
        <f>IFERROR(VLOOKUP(B126,'Master data'!$A$1:$F$1000,3,FALSE),"")</f>
        <v>GR</v>
      </c>
      <c r="G126" s="27" t="s">
        <v>1475</v>
      </c>
      <c r="H126" s="29"/>
      <c r="I126" s="7" t="s">
        <v>1556</v>
      </c>
      <c r="J126" s="7" t="s">
        <v>61</v>
      </c>
      <c r="K126" s="16" t="b">
        <v>0</v>
      </c>
      <c r="L126" s="16" t="b">
        <v>0</v>
      </c>
    </row>
    <row r="127">
      <c r="A127" s="108"/>
      <c r="B127" s="7" t="s">
        <v>28</v>
      </c>
      <c r="C127" s="7" t="str">
        <f>IFERROR(VLOOKUP(B127,'Master data'!$A$1:$F$1000,2,FALSE),"")</f>
        <v>B001-006</v>
      </c>
      <c r="D127" s="7" t="str">
        <f>IFERROR(VLOOKUP(B127,'Master data'!$A$1:$F$1000,6,FALSE),"")</f>
        <v>bahan baku</v>
      </c>
      <c r="E127" s="7">
        <v>32.0</v>
      </c>
      <c r="F127" s="7" t="str">
        <f>IFERROR(VLOOKUP(B127,'Master data'!$A$1:$F$1000,3,FALSE),"")</f>
        <v>GR</v>
      </c>
      <c r="G127" s="27" t="s">
        <v>1858</v>
      </c>
      <c r="H127" s="27" t="s">
        <v>1384</v>
      </c>
      <c r="I127" s="7" t="s">
        <v>1542</v>
      </c>
      <c r="J127" s="7" t="s">
        <v>1561</v>
      </c>
      <c r="K127" s="16" t="b">
        <v>0</v>
      </c>
      <c r="L127" s="16" t="b">
        <v>0</v>
      </c>
    </row>
    <row r="128">
      <c r="A128" s="108"/>
      <c r="B128" s="7" t="s">
        <v>653</v>
      </c>
      <c r="C128" s="7" t="str">
        <f>IFERROR(VLOOKUP(B128,'Master data'!$A$1:$F$1000,2,FALSE),"")</f>
        <v>P004-022</v>
      </c>
      <c r="D128" s="7" t="str">
        <f>IFERROR(VLOOKUP(B128,'Master data'!$A$1:$F$1000,6,FALSE),"")</f>
        <v>barang jadi &amp; bahan baku</v>
      </c>
      <c r="E128" s="7">
        <v>163.0</v>
      </c>
      <c r="F128" s="7" t="str">
        <f>IFERROR(VLOOKUP(B128,'Master data'!$A$1:$F$1000,3,FALSE),"")</f>
        <v>GR</v>
      </c>
      <c r="G128" s="27" t="s">
        <v>1164</v>
      </c>
      <c r="H128" s="27" t="s">
        <v>1856</v>
      </c>
      <c r="I128" s="7" t="s">
        <v>1552</v>
      </c>
      <c r="J128" s="7" t="s">
        <v>1561</v>
      </c>
      <c r="K128" s="16" t="b">
        <v>0</v>
      </c>
      <c r="L128" s="16" t="b">
        <v>0</v>
      </c>
    </row>
    <row r="129">
      <c r="A129" s="108"/>
      <c r="B129" s="16"/>
      <c r="C129" s="7" t="str">
        <f>IFERROR(VLOOKUP(B129,'Master data'!$A$1:$F$1000,2,FALSE),"")</f>
        <v/>
      </c>
      <c r="D129" s="7" t="str">
        <f>IFERROR(VLOOKUP(B129,'Master data'!$A$1:$F$1000,6,FALSE),"")</f>
        <v/>
      </c>
      <c r="F129" s="7" t="str">
        <f>IFERROR(VLOOKUP(B129,'Master data'!$A$1:$F$1000,3,FALSE),"")</f>
        <v/>
      </c>
      <c r="G129" s="29"/>
      <c r="H129" s="29"/>
      <c r="I129" s="16"/>
      <c r="J129" s="16"/>
      <c r="K129" s="16" t="b">
        <v>0</v>
      </c>
      <c r="L129" s="16" t="b">
        <v>0</v>
      </c>
    </row>
    <row r="130">
      <c r="A130" s="108"/>
      <c r="B130" s="16"/>
      <c r="C130" s="7" t="str">
        <f>IFERROR(VLOOKUP(B130,'Master data'!$A$1:$F$1000,2,FALSE),"")</f>
        <v/>
      </c>
      <c r="D130" s="7" t="str">
        <f>IFERROR(VLOOKUP(B130,'Master data'!$A$1:$F$1000,6,FALSE),"")</f>
        <v/>
      </c>
      <c r="F130" s="7" t="str">
        <f>IFERROR(VLOOKUP(B130,'Master data'!$A$1:$F$1000,3,FALSE),"")</f>
        <v/>
      </c>
      <c r="G130" s="29"/>
      <c r="H130" s="29"/>
      <c r="I130" s="16"/>
      <c r="J130" s="16"/>
      <c r="K130" s="16" t="b">
        <v>0</v>
      </c>
      <c r="L130" s="16" t="b">
        <v>0</v>
      </c>
    </row>
    <row r="131">
      <c r="A131" s="108"/>
      <c r="B131" s="16"/>
      <c r="C131" s="7" t="str">
        <f>IFERROR(VLOOKUP(B131,'Master data'!$A$1:$F$1000,2,FALSE),"")</f>
        <v/>
      </c>
      <c r="D131" s="7" t="str">
        <f>IFERROR(VLOOKUP(B131,'Master data'!$A$1:$F$1000,6,FALSE),"")</f>
        <v/>
      </c>
      <c r="F131" s="7" t="str">
        <f>IFERROR(VLOOKUP(B131,'Master data'!$A$1:$F$1000,3,FALSE),"")</f>
        <v/>
      </c>
      <c r="G131" s="29"/>
      <c r="H131" s="29"/>
      <c r="I131" s="16"/>
      <c r="J131" s="16"/>
      <c r="K131" s="16" t="b">
        <v>0</v>
      </c>
      <c r="L131" s="16" t="b">
        <v>0</v>
      </c>
    </row>
    <row r="132">
      <c r="A132" s="108"/>
      <c r="B132" s="16"/>
      <c r="C132" s="7" t="str">
        <f>IFERROR(VLOOKUP(B132,'Master data'!$A$1:$F$1000,2,FALSE),"")</f>
        <v/>
      </c>
      <c r="D132" s="7" t="str">
        <f>IFERROR(VLOOKUP(B132,'Master data'!$A$1:$F$1000,6,FALSE),"")</f>
        <v/>
      </c>
      <c r="F132" s="7" t="str">
        <f>IFERROR(VLOOKUP(B132,'Master data'!$A$1:$F$1000,3,FALSE),"")</f>
        <v/>
      </c>
      <c r="G132" s="29"/>
      <c r="H132" s="29"/>
      <c r="I132" s="16"/>
      <c r="J132" s="16"/>
      <c r="K132" s="16" t="b">
        <v>0</v>
      </c>
      <c r="L132" s="16" t="b">
        <v>0</v>
      </c>
    </row>
    <row r="133">
      <c r="A133" s="108"/>
      <c r="B133" s="16"/>
      <c r="C133" s="7" t="str">
        <f>IFERROR(VLOOKUP(B133,'Master data'!$A$1:$F$1000,2,FALSE),"")</f>
        <v/>
      </c>
      <c r="D133" s="7" t="str">
        <f>IFERROR(VLOOKUP(B133,'Master data'!$A$1:$F$1000,6,FALSE),"")</f>
        <v/>
      </c>
      <c r="F133" s="7" t="str">
        <f>IFERROR(VLOOKUP(B133,'Master data'!$A$1:$F$1000,3,FALSE),"")</f>
        <v/>
      </c>
      <c r="G133" s="29"/>
      <c r="H133" s="29"/>
      <c r="I133" s="16"/>
      <c r="J133" s="16"/>
      <c r="K133" s="16" t="b">
        <v>0</v>
      </c>
      <c r="L133" s="16" t="b">
        <v>0</v>
      </c>
    </row>
    <row r="134">
      <c r="A134" s="108"/>
      <c r="B134" s="16"/>
      <c r="C134" s="7" t="str">
        <f>IFERROR(VLOOKUP(B134,'Master data'!$A$1:$F$1000,2,FALSE),"")</f>
        <v/>
      </c>
      <c r="D134" s="7" t="str">
        <f>IFERROR(VLOOKUP(B134,'Master data'!$A$1:$F$1000,6,FALSE),"")</f>
        <v/>
      </c>
      <c r="F134" s="7" t="str">
        <f>IFERROR(VLOOKUP(B134,'Master data'!$A$1:$F$1000,3,FALSE),"")</f>
        <v/>
      </c>
      <c r="G134" s="29"/>
      <c r="H134" s="29"/>
      <c r="I134" s="16"/>
      <c r="J134" s="16"/>
      <c r="K134" s="16" t="b">
        <v>0</v>
      </c>
      <c r="L134" s="16" t="b">
        <v>0</v>
      </c>
    </row>
    <row r="135">
      <c r="A135" s="108"/>
      <c r="B135" s="16"/>
      <c r="C135" s="7" t="str">
        <f>IFERROR(VLOOKUP(B135,'Master data'!$A$1:$F$1000,2,FALSE),"")</f>
        <v/>
      </c>
      <c r="D135" s="7" t="str">
        <f>IFERROR(VLOOKUP(B135,'Master data'!$A$1:$F$1000,6,FALSE),"")</f>
        <v/>
      </c>
      <c r="F135" s="7" t="str">
        <f>IFERROR(VLOOKUP(B135,'Master data'!$A$1:$F$1000,3,FALSE),"")</f>
        <v/>
      </c>
      <c r="G135" s="29"/>
      <c r="H135" s="29"/>
      <c r="I135" s="16"/>
      <c r="J135" s="16"/>
      <c r="K135" s="16" t="b">
        <v>0</v>
      </c>
      <c r="L135" s="16" t="b">
        <v>0</v>
      </c>
    </row>
    <row r="136">
      <c r="A136" s="108"/>
      <c r="B136" s="16"/>
      <c r="C136" s="7" t="str">
        <f>IFERROR(VLOOKUP(B136,'Master data'!$A$1:$F$1000,2,FALSE),"")</f>
        <v/>
      </c>
      <c r="D136" s="7" t="str">
        <f>IFERROR(VLOOKUP(B136,'Master data'!$A$1:$F$1000,6,FALSE),"")</f>
        <v/>
      </c>
      <c r="F136" s="7" t="str">
        <f>IFERROR(VLOOKUP(B136,'Master data'!$A$1:$F$1000,3,FALSE),"")</f>
        <v/>
      </c>
      <c r="G136" s="29"/>
      <c r="H136" s="29"/>
      <c r="I136" s="16"/>
      <c r="J136" s="16"/>
      <c r="K136" s="16" t="b">
        <v>0</v>
      </c>
      <c r="L136" s="16" t="b">
        <v>0</v>
      </c>
    </row>
    <row r="137">
      <c r="A137" s="108"/>
      <c r="B137" s="16"/>
      <c r="C137" s="7" t="str">
        <f>IFERROR(VLOOKUP(B137,'Master data'!$A$1:$F$1000,2,FALSE),"")</f>
        <v/>
      </c>
      <c r="D137" s="7" t="str">
        <f>IFERROR(VLOOKUP(B137,'Master data'!$A$1:$F$1000,6,FALSE),"")</f>
        <v/>
      </c>
      <c r="F137" s="7" t="str">
        <f>IFERROR(VLOOKUP(B137,'Master data'!$A$1:$F$1000,3,FALSE),"")</f>
        <v/>
      </c>
      <c r="G137" s="29"/>
      <c r="H137" s="29"/>
      <c r="I137" s="16"/>
      <c r="J137" s="16"/>
      <c r="K137" s="16" t="b">
        <v>0</v>
      </c>
      <c r="L137" s="16" t="b">
        <v>0</v>
      </c>
    </row>
    <row r="138">
      <c r="A138" s="108"/>
      <c r="B138" s="16"/>
      <c r="C138" s="7" t="str">
        <f>IFERROR(VLOOKUP(B138,'Master data'!$A$1:$F$1000,2,FALSE),"")</f>
        <v/>
      </c>
      <c r="D138" s="7" t="str">
        <f>IFERROR(VLOOKUP(B138,'Master data'!$A$1:$F$1000,6,FALSE),"")</f>
        <v/>
      </c>
      <c r="F138" s="7" t="str">
        <f>IFERROR(VLOOKUP(B138,'Master data'!$A$1:$F$1000,3,FALSE),"")</f>
        <v/>
      </c>
      <c r="G138" s="29"/>
      <c r="H138" s="29"/>
      <c r="I138" s="16"/>
      <c r="J138" s="16"/>
      <c r="K138" s="16" t="b">
        <v>0</v>
      </c>
      <c r="L138" s="16" t="b">
        <v>0</v>
      </c>
    </row>
    <row r="139">
      <c r="A139" s="108"/>
      <c r="B139" s="16"/>
      <c r="C139" s="7" t="str">
        <f>IFERROR(VLOOKUP(B139,'Master data'!$A$1:$F$1000,2,FALSE),"")</f>
        <v/>
      </c>
      <c r="D139" s="7" t="str">
        <f>IFERROR(VLOOKUP(B139,'Master data'!$A$1:$F$1000,6,FALSE),"")</f>
        <v/>
      </c>
      <c r="F139" s="7" t="str">
        <f>IFERROR(VLOOKUP(B139,'Master data'!$A$1:$F$1000,3,FALSE),"")</f>
        <v/>
      </c>
      <c r="G139" s="29"/>
      <c r="H139" s="29"/>
      <c r="I139" s="16"/>
      <c r="J139" s="16"/>
      <c r="K139" s="16" t="b">
        <v>0</v>
      </c>
      <c r="L139" s="16" t="b">
        <v>0</v>
      </c>
    </row>
    <row r="140">
      <c r="A140" s="108"/>
      <c r="B140" s="16"/>
      <c r="C140" s="7" t="str">
        <f>IFERROR(VLOOKUP(B140,'Master data'!$A$1:$F$1000,2,FALSE),"")</f>
        <v/>
      </c>
      <c r="D140" s="7" t="str">
        <f>IFERROR(VLOOKUP(B140,'Master data'!$A$1:$F$1000,6,FALSE),"")</f>
        <v/>
      </c>
      <c r="F140" s="7" t="str">
        <f>IFERROR(VLOOKUP(B140,'Master data'!$A$1:$F$1000,3,FALSE),"")</f>
        <v/>
      </c>
      <c r="G140" s="29"/>
      <c r="H140" s="29"/>
      <c r="I140" s="16"/>
      <c r="J140" s="16"/>
      <c r="K140" s="16" t="b">
        <v>0</v>
      </c>
      <c r="L140" s="16" t="b">
        <v>0</v>
      </c>
    </row>
    <row r="141">
      <c r="A141" s="108"/>
      <c r="B141" s="16"/>
      <c r="C141" s="7" t="str">
        <f>IFERROR(VLOOKUP(B141,'Master data'!$A$1:$F$1000,2,FALSE),"")</f>
        <v/>
      </c>
      <c r="D141" s="7" t="str">
        <f>IFERROR(VLOOKUP(B141,'Master data'!$A$1:$F$1000,6,FALSE),"")</f>
        <v/>
      </c>
      <c r="F141" s="7" t="str">
        <f>IFERROR(VLOOKUP(B141,'Master data'!$A$1:$F$1000,3,FALSE),"")</f>
        <v/>
      </c>
      <c r="G141" s="29"/>
      <c r="H141" s="29"/>
      <c r="I141" s="16"/>
      <c r="J141" s="16"/>
      <c r="K141" s="16" t="b">
        <v>0</v>
      </c>
      <c r="L141" s="16" t="b">
        <v>0</v>
      </c>
    </row>
    <row r="142">
      <c r="A142" s="108"/>
      <c r="B142" s="16"/>
      <c r="C142" s="7" t="str">
        <f>IFERROR(VLOOKUP(B142,'Master data'!$A$1:$F$1000,2,FALSE),"")</f>
        <v/>
      </c>
      <c r="D142" s="7" t="str">
        <f>IFERROR(VLOOKUP(B142,'Master data'!$A$1:$F$1000,6,FALSE),"")</f>
        <v/>
      </c>
      <c r="F142" s="7" t="str">
        <f>IFERROR(VLOOKUP(B142,'Master data'!$A$1:$F$1000,3,FALSE),"")</f>
        <v/>
      </c>
      <c r="G142" s="29"/>
      <c r="H142" s="29"/>
      <c r="I142" s="16"/>
      <c r="J142" s="16"/>
      <c r="K142" s="16" t="b">
        <v>0</v>
      </c>
      <c r="L142" s="16" t="b">
        <v>0</v>
      </c>
    </row>
    <row r="143">
      <c r="A143" s="108"/>
      <c r="B143" s="16"/>
      <c r="C143" s="7" t="str">
        <f>IFERROR(VLOOKUP(B143,'Master data'!$A$1:$F$1000,2,FALSE),"")</f>
        <v/>
      </c>
      <c r="D143" s="7" t="str">
        <f>IFERROR(VLOOKUP(B143,'Master data'!$A$1:$F$1000,6,FALSE),"")</f>
        <v/>
      </c>
      <c r="F143" s="7" t="str">
        <f>IFERROR(VLOOKUP(B143,'Master data'!$A$1:$F$1000,3,FALSE),"")</f>
        <v/>
      </c>
      <c r="G143" s="29"/>
      <c r="H143" s="29"/>
      <c r="I143" s="16"/>
      <c r="J143" s="16"/>
      <c r="K143" s="16" t="b">
        <v>0</v>
      </c>
      <c r="L143" s="16" t="b">
        <v>0</v>
      </c>
    </row>
    <row r="144">
      <c r="A144" s="108"/>
      <c r="B144" s="16"/>
      <c r="C144" s="7" t="str">
        <f>IFERROR(VLOOKUP(B144,'Master data'!$A$1:$F$1000,2,FALSE),"")</f>
        <v/>
      </c>
      <c r="D144" s="7" t="str">
        <f>IFERROR(VLOOKUP(B144,'Master data'!$A$1:$F$1000,6,FALSE),"")</f>
        <v/>
      </c>
      <c r="F144" s="7" t="str">
        <f>IFERROR(VLOOKUP(B144,'Master data'!$A$1:$F$1000,3,FALSE),"")</f>
        <v/>
      </c>
      <c r="G144" s="29"/>
      <c r="H144" s="29"/>
      <c r="I144" s="16"/>
      <c r="J144" s="16"/>
      <c r="K144" s="16" t="b">
        <v>0</v>
      </c>
      <c r="L144" s="16" t="b">
        <v>0</v>
      </c>
    </row>
    <row r="145">
      <c r="A145" s="108"/>
      <c r="B145" s="16"/>
      <c r="C145" s="7" t="str">
        <f>IFERROR(VLOOKUP(B145,'Master data'!$A$1:$F$1000,2,FALSE),"")</f>
        <v/>
      </c>
      <c r="D145" s="7" t="str">
        <f>IFERROR(VLOOKUP(B145,'Master data'!$A$1:$F$1000,6,FALSE),"")</f>
        <v/>
      </c>
      <c r="F145" s="7" t="str">
        <f>IFERROR(VLOOKUP(B145,'Master data'!$A$1:$F$1000,3,FALSE),"")</f>
        <v/>
      </c>
      <c r="G145" s="29"/>
      <c r="H145" s="29"/>
      <c r="I145" s="16"/>
      <c r="J145" s="16"/>
      <c r="K145" s="16" t="b">
        <v>0</v>
      </c>
      <c r="L145" s="16" t="b">
        <v>0</v>
      </c>
    </row>
    <row r="146">
      <c r="A146" s="108"/>
      <c r="B146" s="16"/>
      <c r="C146" s="7" t="str">
        <f>IFERROR(VLOOKUP(B146,'Master data'!$A$1:$F$1000,2,FALSE),"")</f>
        <v/>
      </c>
      <c r="D146" s="7" t="str">
        <f>IFERROR(VLOOKUP(B146,'Master data'!$A$1:$F$1000,6,FALSE),"")</f>
        <v/>
      </c>
      <c r="F146" s="7" t="str">
        <f>IFERROR(VLOOKUP(B146,'Master data'!$A$1:$F$1000,3,FALSE),"")</f>
        <v/>
      </c>
      <c r="G146" s="29"/>
      <c r="H146" s="29"/>
      <c r="I146" s="16"/>
      <c r="J146" s="16"/>
      <c r="K146" s="16" t="b">
        <v>0</v>
      </c>
      <c r="L146" s="16" t="b">
        <v>0</v>
      </c>
    </row>
    <row r="147">
      <c r="A147" s="108"/>
      <c r="B147" s="16"/>
      <c r="C147" s="7" t="str">
        <f>IFERROR(VLOOKUP(B147,'Master data'!$A$1:$F$1000,2,FALSE),"")</f>
        <v/>
      </c>
      <c r="D147" s="7" t="str">
        <f>IFERROR(VLOOKUP(B147,'Master data'!$A$1:$F$1000,6,FALSE),"")</f>
        <v/>
      </c>
      <c r="F147" s="7" t="str">
        <f>IFERROR(VLOOKUP(B147,'Master data'!$A$1:$F$1000,3,FALSE),"")</f>
        <v/>
      </c>
      <c r="G147" s="29"/>
      <c r="H147" s="29"/>
      <c r="I147" s="16"/>
      <c r="J147" s="16"/>
      <c r="K147" s="16" t="b">
        <v>0</v>
      </c>
      <c r="L147" s="16" t="b">
        <v>0</v>
      </c>
    </row>
    <row r="148">
      <c r="A148" s="108"/>
      <c r="B148" s="16"/>
      <c r="C148" s="7" t="str">
        <f>IFERROR(VLOOKUP(B148,'Master data'!$A$1:$F$1000,2,FALSE),"")</f>
        <v/>
      </c>
      <c r="D148" s="7" t="str">
        <f>IFERROR(VLOOKUP(B148,'Master data'!$A$1:$F$1000,6,FALSE),"")</f>
        <v/>
      </c>
      <c r="F148" s="7" t="str">
        <f>IFERROR(VLOOKUP(B148,'Master data'!$A$1:$F$1000,3,FALSE),"")</f>
        <v/>
      </c>
      <c r="G148" s="29"/>
      <c r="H148" s="29"/>
      <c r="I148" s="16"/>
      <c r="J148" s="16"/>
      <c r="K148" s="16" t="b">
        <v>0</v>
      </c>
      <c r="L148" s="16" t="b">
        <v>0</v>
      </c>
    </row>
    <row r="149">
      <c r="A149" s="108"/>
      <c r="B149" s="16"/>
      <c r="C149" s="7" t="str">
        <f>IFERROR(VLOOKUP(B149,'Master data'!$A$1:$F$1000,2,FALSE),"")</f>
        <v/>
      </c>
      <c r="D149" s="7" t="str">
        <f>IFERROR(VLOOKUP(B149,'Master data'!$A$1:$F$1000,6,FALSE),"")</f>
        <v/>
      </c>
      <c r="F149" s="7" t="str">
        <f>IFERROR(VLOOKUP(B149,'Master data'!$A$1:$F$1000,3,FALSE),"")</f>
        <v/>
      </c>
      <c r="G149" s="29"/>
      <c r="H149" s="29"/>
      <c r="I149" s="16"/>
      <c r="J149" s="16"/>
      <c r="K149" s="16" t="b">
        <v>0</v>
      </c>
      <c r="L149" s="16" t="b">
        <v>0</v>
      </c>
    </row>
    <row r="150">
      <c r="A150" s="108"/>
      <c r="B150" s="16"/>
      <c r="C150" s="7" t="str">
        <f>IFERROR(VLOOKUP(B150,'Master data'!$A$1:$F$1000,2,FALSE),"")</f>
        <v/>
      </c>
      <c r="D150" s="7" t="str">
        <f>IFERROR(VLOOKUP(B150,'Master data'!$A$1:$F$1000,6,FALSE),"")</f>
        <v/>
      </c>
      <c r="F150" s="7" t="str">
        <f>IFERROR(VLOOKUP(B150,'Master data'!$A$1:$F$1000,3,FALSE),"")</f>
        <v/>
      </c>
      <c r="G150" s="29"/>
      <c r="H150" s="29"/>
      <c r="I150" s="16"/>
      <c r="J150" s="16"/>
      <c r="K150" s="16" t="b">
        <v>0</v>
      </c>
      <c r="L150" s="16" t="b">
        <v>0</v>
      </c>
    </row>
    <row r="151">
      <c r="A151" s="108"/>
      <c r="B151" s="16"/>
      <c r="C151" s="7" t="str">
        <f>IFERROR(VLOOKUP(B151,'Master data'!$A$1:$F$1000,2,FALSE),"")</f>
        <v/>
      </c>
      <c r="D151" s="7" t="str">
        <f>IFERROR(VLOOKUP(B151,'Master data'!$A$1:$F$1000,6,FALSE),"")</f>
        <v/>
      </c>
      <c r="F151" s="7" t="str">
        <f>IFERROR(VLOOKUP(B151,'Master data'!$A$1:$F$1000,3,FALSE),"")</f>
        <v/>
      </c>
      <c r="G151" s="29"/>
      <c r="H151" s="29"/>
      <c r="I151" s="16"/>
      <c r="J151" s="16"/>
      <c r="K151" s="16" t="b">
        <v>0</v>
      </c>
      <c r="L151" s="16" t="b">
        <v>0</v>
      </c>
    </row>
    <row r="152">
      <c r="A152" s="108"/>
      <c r="B152" s="16"/>
      <c r="C152" s="7" t="str">
        <f>IFERROR(VLOOKUP(B152,'Master data'!$A$1:$F$1000,2,FALSE),"")</f>
        <v/>
      </c>
      <c r="D152" s="7" t="str">
        <f>IFERROR(VLOOKUP(B152,'Master data'!$A$1:$F$1000,6,FALSE),"")</f>
        <v/>
      </c>
      <c r="F152" s="7" t="str">
        <f>IFERROR(VLOOKUP(B152,'Master data'!$A$1:$F$1000,3,FALSE),"")</f>
        <v/>
      </c>
      <c r="G152" s="29"/>
      <c r="H152" s="29"/>
      <c r="I152" s="16"/>
      <c r="J152" s="16"/>
      <c r="K152" s="16" t="b">
        <v>0</v>
      </c>
      <c r="L152" s="16" t="b">
        <v>0</v>
      </c>
    </row>
    <row r="153">
      <c r="A153" s="108"/>
      <c r="B153" s="16"/>
      <c r="C153" s="7" t="str">
        <f>IFERROR(VLOOKUP(B153,'Master data'!$A$1:$F$1000,2,FALSE),"")</f>
        <v/>
      </c>
      <c r="D153" s="7" t="str">
        <f>IFERROR(VLOOKUP(B153,'Master data'!$A$1:$F$1000,6,FALSE),"")</f>
        <v/>
      </c>
      <c r="F153" s="7" t="str">
        <f>IFERROR(VLOOKUP(B153,'Master data'!$A$1:$F$1000,3,FALSE),"")</f>
        <v/>
      </c>
      <c r="G153" s="29"/>
      <c r="H153" s="29"/>
      <c r="I153" s="16"/>
      <c r="J153" s="16"/>
      <c r="K153" s="16" t="b">
        <v>0</v>
      </c>
      <c r="L153" s="16" t="b">
        <v>0</v>
      </c>
    </row>
    <row r="154">
      <c r="A154" s="108"/>
      <c r="B154" s="16"/>
      <c r="C154" s="7" t="str">
        <f>IFERROR(VLOOKUP(B154,'Master data'!$A$1:$F$1000,2,FALSE),"")</f>
        <v/>
      </c>
      <c r="D154" s="7" t="str">
        <f>IFERROR(VLOOKUP(B154,'Master data'!$A$1:$F$1000,6,FALSE),"")</f>
        <v/>
      </c>
      <c r="F154" s="7" t="str">
        <f>IFERROR(VLOOKUP(B154,'Master data'!$A$1:$F$1000,3,FALSE),"")</f>
        <v/>
      </c>
      <c r="G154" s="29"/>
      <c r="H154" s="29"/>
      <c r="I154" s="16"/>
      <c r="J154" s="16"/>
      <c r="K154" s="16" t="b">
        <v>0</v>
      </c>
      <c r="L154" s="16" t="b">
        <v>0</v>
      </c>
    </row>
    <row r="155">
      <c r="A155" s="108"/>
      <c r="B155" s="16"/>
      <c r="C155" s="7" t="str">
        <f>IFERROR(VLOOKUP(B155,'Master data'!$A$1:$F$1000,2,FALSE),"")</f>
        <v/>
      </c>
      <c r="D155" s="7" t="str">
        <f>IFERROR(VLOOKUP(B155,'Master data'!$A$1:$F$1000,6,FALSE),"")</f>
        <v/>
      </c>
      <c r="F155" s="7" t="str">
        <f>IFERROR(VLOOKUP(B155,'Master data'!$A$1:$F$1000,3,FALSE),"")</f>
        <v/>
      </c>
      <c r="G155" s="29"/>
      <c r="H155" s="29"/>
      <c r="I155" s="16"/>
      <c r="J155" s="16"/>
      <c r="K155" s="16" t="b">
        <v>0</v>
      </c>
      <c r="L155" s="16" t="b">
        <v>0</v>
      </c>
    </row>
    <row r="156">
      <c r="A156" s="108"/>
      <c r="B156" s="16"/>
      <c r="C156" s="7" t="str">
        <f>IFERROR(VLOOKUP(B156,'Master data'!$A$1:$F$1000,2,FALSE),"")</f>
        <v/>
      </c>
      <c r="D156" s="7" t="str">
        <f>IFERROR(VLOOKUP(B156,'Master data'!$A$1:$F$1000,6,FALSE),"")</f>
        <v/>
      </c>
      <c r="F156" s="7" t="str">
        <f>IFERROR(VLOOKUP(B156,'Master data'!$A$1:$F$1000,3,FALSE),"")</f>
        <v/>
      </c>
      <c r="G156" s="29"/>
      <c r="H156" s="29"/>
      <c r="I156" s="16"/>
      <c r="J156" s="16"/>
      <c r="K156" s="16" t="b">
        <v>0</v>
      </c>
      <c r="L156" s="16" t="b">
        <v>0</v>
      </c>
    </row>
    <row r="157">
      <c r="A157" s="108"/>
      <c r="B157" s="16"/>
      <c r="C157" s="7" t="str">
        <f>IFERROR(VLOOKUP(B157,'Master data'!$A$1:$F$1000,2,FALSE),"")</f>
        <v/>
      </c>
      <c r="D157" s="7" t="str">
        <f>IFERROR(VLOOKUP(B157,'Master data'!$A$1:$F$1000,6,FALSE),"")</f>
        <v/>
      </c>
      <c r="F157" s="7" t="str">
        <f>IFERROR(VLOOKUP(B157,'Master data'!$A$1:$F$1000,3,FALSE),"")</f>
        <v/>
      </c>
      <c r="G157" s="29"/>
      <c r="H157" s="29"/>
      <c r="I157" s="16"/>
      <c r="J157" s="16"/>
      <c r="K157" s="16" t="b">
        <v>0</v>
      </c>
      <c r="L157" s="16" t="b">
        <v>0</v>
      </c>
    </row>
    <row r="158">
      <c r="A158" s="108"/>
      <c r="B158" s="16"/>
      <c r="C158" s="7" t="str">
        <f>IFERROR(VLOOKUP(B158,'Master data'!$A$1:$F$1000,2,FALSE),"")</f>
        <v/>
      </c>
      <c r="D158" s="7" t="str">
        <f>IFERROR(VLOOKUP(B158,'Master data'!$A$1:$F$1000,6,FALSE),"")</f>
        <v/>
      </c>
      <c r="F158" s="7" t="str">
        <f>IFERROR(VLOOKUP(B158,'Master data'!$A$1:$F$1000,3,FALSE),"")</f>
        <v/>
      </c>
      <c r="G158" s="29"/>
      <c r="H158" s="29"/>
      <c r="I158" s="16"/>
      <c r="J158" s="16"/>
      <c r="K158" s="16" t="b">
        <v>0</v>
      </c>
      <c r="L158" s="16" t="b">
        <v>0</v>
      </c>
    </row>
    <row r="159">
      <c r="A159" s="108"/>
      <c r="B159" s="16"/>
      <c r="C159" s="7" t="str">
        <f>IFERROR(VLOOKUP(B159,'Master data'!$A$1:$F$1000,2,FALSE),"")</f>
        <v/>
      </c>
      <c r="D159" s="7" t="str">
        <f>IFERROR(VLOOKUP(B159,'Master data'!$A$1:$F$1000,6,FALSE),"")</f>
        <v/>
      </c>
      <c r="F159" s="7" t="str">
        <f>IFERROR(VLOOKUP(B159,'Master data'!$A$1:$F$1000,3,FALSE),"")</f>
        <v/>
      </c>
      <c r="G159" s="29"/>
      <c r="H159" s="29"/>
      <c r="I159" s="16"/>
      <c r="J159" s="16"/>
      <c r="K159" s="16" t="b">
        <v>0</v>
      </c>
      <c r="L159" s="16" t="b">
        <v>0</v>
      </c>
    </row>
    <row r="160">
      <c r="A160" s="108"/>
      <c r="B160" s="16"/>
      <c r="C160" s="7" t="str">
        <f>IFERROR(VLOOKUP(B160,'Master data'!$A$1:$F$1000,2,FALSE),"")</f>
        <v/>
      </c>
      <c r="D160" s="7" t="str">
        <f>IFERROR(VLOOKUP(B160,'Master data'!$A$1:$F$1000,6,FALSE),"")</f>
        <v/>
      </c>
      <c r="F160" s="7" t="str">
        <f>IFERROR(VLOOKUP(B160,'Master data'!$A$1:$F$1000,3,FALSE),"")</f>
        <v/>
      </c>
      <c r="G160" s="29"/>
      <c r="H160" s="29"/>
      <c r="I160" s="16"/>
      <c r="J160" s="16"/>
      <c r="K160" s="16" t="b">
        <v>0</v>
      </c>
      <c r="L160" s="16" t="b">
        <v>0</v>
      </c>
    </row>
    <row r="161">
      <c r="A161" s="108"/>
      <c r="B161" s="16"/>
      <c r="C161" s="7" t="str">
        <f>IFERROR(VLOOKUP(B161,'Master data'!$A$1:$F$1000,2,FALSE),"")</f>
        <v/>
      </c>
      <c r="D161" s="7" t="str">
        <f>IFERROR(VLOOKUP(B161,'Master data'!$A$1:$F$1000,6,FALSE),"")</f>
        <v/>
      </c>
      <c r="F161" s="7" t="str">
        <f>IFERROR(VLOOKUP(B161,'Master data'!$A$1:$F$1000,3,FALSE),"")</f>
        <v/>
      </c>
      <c r="G161" s="29"/>
      <c r="H161" s="29"/>
      <c r="I161" s="16"/>
      <c r="J161" s="16"/>
      <c r="K161" s="16" t="b">
        <v>0</v>
      </c>
      <c r="L161" s="16" t="b">
        <v>0</v>
      </c>
    </row>
    <row r="162">
      <c r="A162" s="108"/>
      <c r="B162" s="16"/>
      <c r="C162" s="7" t="str">
        <f>IFERROR(VLOOKUP(B162,'Master data'!$A$1:$F$1000,2,FALSE),"")</f>
        <v/>
      </c>
      <c r="D162" s="7" t="str">
        <f>IFERROR(VLOOKUP(B162,'Master data'!$A$1:$F$1000,6,FALSE),"")</f>
        <v/>
      </c>
      <c r="F162" s="7" t="str">
        <f>IFERROR(VLOOKUP(B162,'Master data'!$A$1:$F$1000,3,FALSE),"")</f>
        <v/>
      </c>
      <c r="G162" s="29"/>
      <c r="H162" s="29"/>
      <c r="I162" s="16"/>
      <c r="J162" s="16"/>
      <c r="K162" s="16" t="b">
        <v>0</v>
      </c>
      <c r="L162" s="16" t="b">
        <v>0</v>
      </c>
    </row>
    <row r="163">
      <c r="A163" s="108"/>
      <c r="B163" s="16"/>
      <c r="C163" s="7" t="str">
        <f>IFERROR(VLOOKUP(B163,'Master data'!$A$1:$F$1000,2,FALSE),"")</f>
        <v/>
      </c>
      <c r="D163" s="7" t="str">
        <f>IFERROR(VLOOKUP(B163,'Master data'!$A$1:$F$1000,6,FALSE),"")</f>
        <v/>
      </c>
      <c r="F163" s="7" t="str">
        <f>IFERROR(VLOOKUP(B163,'Master data'!$A$1:$F$1000,3,FALSE),"")</f>
        <v/>
      </c>
      <c r="G163" s="29"/>
      <c r="H163" s="29"/>
      <c r="I163" s="16"/>
      <c r="J163" s="16"/>
      <c r="K163" s="16" t="b">
        <v>0</v>
      </c>
      <c r="L163" s="16" t="b">
        <v>0</v>
      </c>
    </row>
    <row r="164">
      <c r="A164" s="108"/>
      <c r="B164" s="16"/>
      <c r="C164" s="7" t="str">
        <f>IFERROR(VLOOKUP(B164,'Master data'!$A$1:$F$1000,2,FALSE),"")</f>
        <v/>
      </c>
      <c r="D164" s="7" t="str">
        <f>IFERROR(VLOOKUP(B164,'Master data'!$A$1:$F$1000,6,FALSE),"")</f>
        <v/>
      </c>
      <c r="F164" s="7" t="str">
        <f>IFERROR(VLOOKUP(B164,'Master data'!$A$1:$F$1000,3,FALSE),"")</f>
        <v/>
      </c>
      <c r="G164" s="29"/>
      <c r="H164" s="29"/>
      <c r="I164" s="16"/>
      <c r="J164" s="16"/>
      <c r="K164" s="16" t="b">
        <v>0</v>
      </c>
      <c r="L164" s="16" t="b">
        <v>0</v>
      </c>
    </row>
    <row r="165">
      <c r="A165" s="108"/>
      <c r="B165" s="16"/>
      <c r="C165" s="7" t="str">
        <f>IFERROR(VLOOKUP(B165,'Master data'!$A$1:$F$1000,2,FALSE),"")</f>
        <v/>
      </c>
      <c r="D165" s="7" t="str">
        <f>IFERROR(VLOOKUP(B165,'Master data'!$A$1:$F$1000,6,FALSE),"")</f>
        <v/>
      </c>
      <c r="F165" s="7" t="str">
        <f>IFERROR(VLOOKUP(B165,'Master data'!$A$1:$F$1000,3,FALSE),"")</f>
        <v/>
      </c>
      <c r="G165" s="29"/>
      <c r="H165" s="29"/>
      <c r="I165" s="16"/>
      <c r="J165" s="16"/>
      <c r="K165" s="16" t="b">
        <v>0</v>
      </c>
      <c r="L165" s="16" t="b">
        <v>0</v>
      </c>
    </row>
    <row r="166">
      <c r="A166" s="108"/>
      <c r="B166" s="16"/>
      <c r="C166" s="7" t="str">
        <f>IFERROR(VLOOKUP(B166,'Master data'!$A$1:$F$1000,2,FALSE),"")</f>
        <v/>
      </c>
      <c r="D166" s="7" t="str">
        <f>IFERROR(VLOOKUP(B166,'Master data'!$A$1:$F$1000,6,FALSE),"")</f>
        <v/>
      </c>
      <c r="F166" s="7" t="str">
        <f>IFERROR(VLOOKUP(B166,'Master data'!$A$1:$F$1000,3,FALSE),"")</f>
        <v/>
      </c>
      <c r="G166" s="29"/>
      <c r="H166" s="29"/>
      <c r="I166" s="16"/>
      <c r="J166" s="16"/>
      <c r="K166" s="16" t="b">
        <v>0</v>
      </c>
      <c r="L166" s="16" t="b">
        <v>0</v>
      </c>
    </row>
    <row r="167">
      <c r="A167" s="108"/>
      <c r="B167" s="16"/>
      <c r="C167" s="7" t="str">
        <f>IFERROR(VLOOKUP(B167,'Master data'!$A$1:$F$1000,2,FALSE),"")</f>
        <v/>
      </c>
      <c r="D167" s="7" t="str">
        <f>IFERROR(VLOOKUP(B167,'Master data'!$A$1:$F$1000,6,FALSE),"")</f>
        <v/>
      </c>
      <c r="F167" s="7" t="str">
        <f>IFERROR(VLOOKUP(B167,'Master data'!$A$1:$F$1000,3,FALSE),"")</f>
        <v/>
      </c>
      <c r="G167" s="29"/>
      <c r="H167" s="29"/>
      <c r="I167" s="16"/>
      <c r="J167" s="16"/>
      <c r="K167" s="16" t="b">
        <v>0</v>
      </c>
      <c r="L167" s="16" t="b">
        <v>0</v>
      </c>
    </row>
    <row r="168">
      <c r="A168" s="108"/>
      <c r="B168" s="16"/>
      <c r="C168" s="7" t="str">
        <f>IFERROR(VLOOKUP(B168,'Master data'!$A$1:$F$1000,2,FALSE),"")</f>
        <v/>
      </c>
      <c r="D168" s="7" t="str">
        <f>IFERROR(VLOOKUP(B168,'Master data'!$A$1:$F$1000,6,FALSE),"")</f>
        <v/>
      </c>
      <c r="F168" s="7" t="str">
        <f>IFERROR(VLOOKUP(B168,'Master data'!$A$1:$F$1000,3,FALSE),"")</f>
        <v/>
      </c>
      <c r="G168" s="29"/>
      <c r="H168" s="29"/>
      <c r="I168" s="16"/>
      <c r="J168" s="16"/>
      <c r="K168" s="16" t="b">
        <v>0</v>
      </c>
      <c r="L168" s="16" t="b">
        <v>0</v>
      </c>
    </row>
    <row r="169">
      <c r="A169" s="108"/>
      <c r="B169" s="16"/>
      <c r="C169" s="7" t="str">
        <f>IFERROR(VLOOKUP(B169,'Master data'!$A$1:$F$1000,2,FALSE),"")</f>
        <v/>
      </c>
      <c r="D169" s="7" t="str">
        <f>IFERROR(VLOOKUP(B169,'Master data'!$A$1:$F$1000,6,FALSE),"")</f>
        <v/>
      </c>
      <c r="F169" s="7" t="str">
        <f>IFERROR(VLOOKUP(B169,'Master data'!$A$1:$F$1000,3,FALSE),"")</f>
        <v/>
      </c>
      <c r="G169" s="29"/>
      <c r="H169" s="29"/>
      <c r="I169" s="16"/>
      <c r="J169" s="16"/>
      <c r="K169" s="16" t="b">
        <v>0</v>
      </c>
      <c r="L169" s="16" t="b">
        <v>0</v>
      </c>
    </row>
    <row r="170">
      <c r="A170" s="108"/>
      <c r="B170" s="16"/>
      <c r="C170" s="7" t="str">
        <f>IFERROR(VLOOKUP(B170,'Master data'!$A$1:$F$1000,2,FALSE),"")</f>
        <v/>
      </c>
      <c r="D170" s="7" t="str">
        <f>IFERROR(VLOOKUP(B170,'Master data'!$A$1:$F$1000,6,FALSE),"")</f>
        <v/>
      </c>
      <c r="F170" s="7" t="str">
        <f>IFERROR(VLOOKUP(B170,'Master data'!$A$1:$F$1000,3,FALSE),"")</f>
        <v/>
      </c>
      <c r="G170" s="29"/>
      <c r="H170" s="29"/>
      <c r="I170" s="16"/>
      <c r="J170" s="16"/>
      <c r="K170" s="16" t="b">
        <v>0</v>
      </c>
      <c r="L170" s="16" t="b">
        <v>0</v>
      </c>
    </row>
    <row r="171">
      <c r="A171" s="108"/>
      <c r="B171" s="16"/>
      <c r="C171" s="7" t="str">
        <f>IFERROR(VLOOKUP(B171,'Master data'!$A$1:$F$1000,2,FALSE),"")</f>
        <v/>
      </c>
      <c r="D171" s="7" t="str">
        <f>IFERROR(VLOOKUP(B171,'Master data'!$A$1:$F$1000,6,FALSE),"")</f>
        <v/>
      </c>
      <c r="F171" s="7" t="str">
        <f>IFERROR(VLOOKUP(B171,'Master data'!$A$1:$F$1000,3,FALSE),"")</f>
        <v/>
      </c>
      <c r="G171" s="29"/>
      <c r="H171" s="29"/>
      <c r="I171" s="16"/>
      <c r="J171" s="16"/>
      <c r="K171" s="16" t="b">
        <v>0</v>
      </c>
      <c r="L171" s="16" t="b">
        <v>0</v>
      </c>
    </row>
    <row r="172">
      <c r="A172" s="108"/>
      <c r="B172" s="16"/>
      <c r="C172" s="7" t="str">
        <f>IFERROR(VLOOKUP(B172,'Master data'!$A$1:$F$1000,2,FALSE),"")</f>
        <v/>
      </c>
      <c r="D172" s="7" t="str">
        <f>IFERROR(VLOOKUP(B172,'Master data'!$A$1:$F$1000,6,FALSE),"")</f>
        <v/>
      </c>
      <c r="F172" s="7" t="str">
        <f>IFERROR(VLOOKUP(B172,'Master data'!$A$1:$F$1000,3,FALSE),"")</f>
        <v/>
      </c>
      <c r="G172" s="29"/>
      <c r="H172" s="29"/>
      <c r="I172" s="16"/>
      <c r="J172" s="16"/>
      <c r="K172" s="16" t="b">
        <v>0</v>
      </c>
      <c r="L172" s="16" t="b">
        <v>0</v>
      </c>
    </row>
    <row r="173">
      <c r="A173" s="108"/>
      <c r="B173" s="16"/>
      <c r="C173" s="7" t="str">
        <f>IFERROR(VLOOKUP(B173,'Master data'!$A$1:$F$1000,2,FALSE),"")</f>
        <v/>
      </c>
      <c r="D173" s="7" t="str">
        <f>IFERROR(VLOOKUP(B173,'Master data'!$A$1:$F$1000,6,FALSE),"")</f>
        <v/>
      </c>
      <c r="F173" s="7" t="str">
        <f>IFERROR(VLOOKUP(B173,'Master data'!$A$1:$F$1000,3,FALSE),"")</f>
        <v/>
      </c>
      <c r="G173" s="29"/>
      <c r="H173" s="29"/>
      <c r="I173" s="16"/>
      <c r="J173" s="16"/>
      <c r="K173" s="16" t="b">
        <v>0</v>
      </c>
      <c r="L173" s="16" t="b">
        <v>0</v>
      </c>
    </row>
    <row r="174">
      <c r="A174" s="108"/>
      <c r="B174" s="16"/>
      <c r="C174" s="7" t="str">
        <f>IFERROR(VLOOKUP(B174,'Master data'!$A$1:$F$1000,2,FALSE),"")</f>
        <v/>
      </c>
      <c r="D174" s="7" t="str">
        <f>IFERROR(VLOOKUP(B174,'Master data'!$A$1:$F$1000,6,FALSE),"")</f>
        <v/>
      </c>
      <c r="F174" s="7" t="str">
        <f>IFERROR(VLOOKUP(B174,'Master data'!$A$1:$F$1000,3,FALSE),"")</f>
        <v/>
      </c>
      <c r="G174" s="29"/>
      <c r="H174" s="29"/>
      <c r="I174" s="16"/>
      <c r="J174" s="16"/>
      <c r="K174" s="16" t="b">
        <v>0</v>
      </c>
      <c r="L174" s="16" t="b">
        <v>0</v>
      </c>
    </row>
    <row r="175">
      <c r="A175" s="108"/>
      <c r="B175" s="16"/>
      <c r="C175" s="7" t="str">
        <f>IFERROR(VLOOKUP(B175,'Master data'!$A$1:$F$1000,2,FALSE),"")</f>
        <v/>
      </c>
      <c r="D175" s="7" t="str">
        <f>IFERROR(VLOOKUP(B175,'Master data'!$A$1:$F$1000,6,FALSE),"")</f>
        <v/>
      </c>
      <c r="F175" s="7" t="str">
        <f>IFERROR(VLOOKUP(B175,'Master data'!$A$1:$F$1000,3,FALSE),"")</f>
        <v/>
      </c>
      <c r="G175" s="29"/>
      <c r="H175" s="29"/>
      <c r="I175" s="16"/>
      <c r="J175" s="16"/>
      <c r="K175" s="16" t="b">
        <v>0</v>
      </c>
      <c r="L175" s="16" t="b">
        <v>0</v>
      </c>
    </row>
    <row r="176">
      <c r="A176" s="108"/>
      <c r="B176" s="16"/>
      <c r="C176" s="7" t="str">
        <f>IFERROR(VLOOKUP(B176,'Master data'!$A$1:$F$1000,2,FALSE),"")</f>
        <v/>
      </c>
      <c r="D176" s="7" t="str">
        <f>IFERROR(VLOOKUP(B176,'Master data'!$A$1:$F$1000,6,FALSE),"")</f>
        <v/>
      </c>
      <c r="F176" s="7" t="str">
        <f>IFERROR(VLOOKUP(B176,'Master data'!$A$1:$F$1000,3,FALSE),"")</f>
        <v/>
      </c>
      <c r="G176" s="29"/>
      <c r="H176" s="29"/>
      <c r="I176" s="16"/>
      <c r="J176" s="16"/>
      <c r="K176" s="16" t="b">
        <v>0</v>
      </c>
      <c r="L176" s="16" t="b">
        <v>0</v>
      </c>
    </row>
    <row r="177">
      <c r="A177" s="108"/>
      <c r="B177" s="16"/>
      <c r="C177" s="7" t="str">
        <f>IFERROR(VLOOKUP(B177,'Master data'!$A$1:$F$1000,2,FALSE),"")</f>
        <v/>
      </c>
      <c r="D177" s="7" t="str">
        <f>IFERROR(VLOOKUP(B177,'Master data'!$A$1:$F$1000,6,FALSE),"")</f>
        <v/>
      </c>
      <c r="F177" s="7" t="str">
        <f>IFERROR(VLOOKUP(B177,'Master data'!$A$1:$F$1000,3,FALSE),"")</f>
        <v/>
      </c>
      <c r="G177" s="29"/>
      <c r="H177" s="29"/>
      <c r="I177" s="16"/>
      <c r="J177" s="16"/>
      <c r="K177" s="16" t="b">
        <v>0</v>
      </c>
      <c r="L177" s="16" t="b">
        <v>0</v>
      </c>
    </row>
    <row r="178">
      <c r="A178" s="108"/>
      <c r="B178" s="16"/>
      <c r="C178" s="7" t="str">
        <f>IFERROR(VLOOKUP(B178,'Master data'!$A$1:$F$1000,2,FALSE),"")</f>
        <v/>
      </c>
      <c r="D178" s="7" t="str">
        <f>IFERROR(VLOOKUP(B178,'Master data'!$A$1:$F$1000,6,FALSE),"")</f>
        <v/>
      </c>
      <c r="F178" s="7" t="str">
        <f>IFERROR(VLOOKUP(B178,'Master data'!$A$1:$F$1000,3,FALSE),"")</f>
        <v/>
      </c>
      <c r="G178" s="29"/>
      <c r="H178" s="29"/>
      <c r="I178" s="16"/>
      <c r="J178" s="16"/>
      <c r="K178" s="16" t="b">
        <v>0</v>
      </c>
      <c r="L178" s="16" t="b">
        <v>0</v>
      </c>
    </row>
    <row r="179">
      <c r="A179" s="108"/>
      <c r="B179" s="16"/>
      <c r="C179" s="7" t="str">
        <f>IFERROR(VLOOKUP(B179,'Master data'!$A$1:$F$1000,2,FALSE),"")</f>
        <v/>
      </c>
      <c r="D179" s="7" t="str">
        <f>IFERROR(VLOOKUP(B179,'Master data'!$A$1:$F$1000,6,FALSE),"")</f>
        <v/>
      </c>
      <c r="F179" s="7" t="str">
        <f>IFERROR(VLOOKUP(B179,'Master data'!$A$1:$F$1000,3,FALSE),"")</f>
        <v/>
      </c>
      <c r="G179" s="29"/>
      <c r="H179" s="29"/>
      <c r="I179" s="16"/>
      <c r="J179" s="16"/>
      <c r="K179" s="16" t="b">
        <v>0</v>
      </c>
      <c r="L179" s="16" t="b">
        <v>0</v>
      </c>
    </row>
    <row r="180">
      <c r="A180" s="108"/>
      <c r="B180" s="16"/>
      <c r="C180" s="7" t="str">
        <f>IFERROR(VLOOKUP(B180,'Master data'!$A$1:$F$1000,2,FALSE),"")</f>
        <v/>
      </c>
      <c r="D180" s="7" t="str">
        <f>IFERROR(VLOOKUP(B180,'Master data'!$A$1:$F$1000,6,FALSE),"")</f>
        <v/>
      </c>
      <c r="F180" s="7" t="str">
        <f>IFERROR(VLOOKUP(B180,'Master data'!$A$1:$F$1000,3,FALSE),"")</f>
        <v/>
      </c>
      <c r="G180" s="29"/>
      <c r="H180" s="29"/>
      <c r="I180" s="16"/>
      <c r="J180" s="16"/>
      <c r="K180" s="16" t="b">
        <v>0</v>
      </c>
      <c r="L180" s="16" t="b">
        <v>0</v>
      </c>
    </row>
    <row r="181">
      <c r="A181" s="108"/>
      <c r="B181" s="16"/>
      <c r="C181" s="7" t="str">
        <f>IFERROR(VLOOKUP(B181,'Master data'!$A$1:$F$1000,2,FALSE),"")</f>
        <v/>
      </c>
      <c r="D181" s="7" t="str">
        <f>IFERROR(VLOOKUP(B181,'Master data'!$A$1:$F$1000,6,FALSE),"")</f>
        <v/>
      </c>
      <c r="F181" s="7" t="str">
        <f>IFERROR(VLOOKUP(B181,'Master data'!$A$1:$F$1000,3,FALSE),"")</f>
        <v/>
      </c>
      <c r="G181" s="29"/>
      <c r="H181" s="29"/>
      <c r="I181" s="16"/>
      <c r="J181" s="16"/>
      <c r="K181" s="16" t="b">
        <v>0</v>
      </c>
      <c r="L181" s="16" t="b">
        <v>0</v>
      </c>
    </row>
    <row r="182">
      <c r="A182" s="108"/>
      <c r="B182" s="16"/>
      <c r="C182" s="7" t="str">
        <f>IFERROR(VLOOKUP(B182,'Master data'!$A$1:$F$1000,2,FALSE),"")</f>
        <v/>
      </c>
      <c r="D182" s="7" t="str">
        <f>IFERROR(VLOOKUP(B182,'Master data'!$A$1:$F$1000,6,FALSE),"")</f>
        <v/>
      </c>
      <c r="F182" s="7" t="str">
        <f>IFERROR(VLOOKUP(B182,'Master data'!$A$1:$F$1000,3,FALSE),"")</f>
        <v/>
      </c>
      <c r="G182" s="29"/>
      <c r="H182" s="29"/>
      <c r="I182" s="16"/>
      <c r="J182" s="16"/>
      <c r="K182" s="16" t="b">
        <v>0</v>
      </c>
      <c r="L182" s="16" t="b">
        <v>0</v>
      </c>
    </row>
    <row r="183">
      <c r="A183" s="108"/>
      <c r="B183" s="16"/>
      <c r="C183" s="7" t="str">
        <f>IFERROR(VLOOKUP(B183,'Master data'!$A$1:$F$1000,2,FALSE),"")</f>
        <v/>
      </c>
      <c r="D183" s="7" t="str">
        <f>IFERROR(VLOOKUP(B183,'Master data'!$A$1:$F$1000,6,FALSE),"")</f>
        <v/>
      </c>
      <c r="F183" s="7" t="str">
        <f>IFERROR(VLOOKUP(B183,'Master data'!$A$1:$F$1000,3,FALSE),"")</f>
        <v/>
      </c>
      <c r="G183" s="29"/>
      <c r="H183" s="29"/>
      <c r="I183" s="16"/>
      <c r="J183" s="16"/>
      <c r="K183" s="16" t="b">
        <v>0</v>
      </c>
      <c r="L183" s="16" t="b">
        <v>0</v>
      </c>
    </row>
    <row r="184">
      <c r="A184" s="108"/>
      <c r="B184" s="16"/>
      <c r="C184" s="7" t="str">
        <f>IFERROR(VLOOKUP(B184,'Master data'!$A$1:$F$1000,2,FALSE),"")</f>
        <v/>
      </c>
      <c r="D184" s="7" t="str">
        <f>IFERROR(VLOOKUP(B184,'Master data'!$A$1:$F$1000,6,FALSE),"")</f>
        <v/>
      </c>
      <c r="F184" s="7" t="str">
        <f>IFERROR(VLOOKUP(B184,'Master data'!$A$1:$F$1000,3,FALSE),"")</f>
        <v/>
      </c>
      <c r="G184" s="29"/>
      <c r="H184" s="29"/>
      <c r="I184" s="16"/>
      <c r="J184" s="16"/>
      <c r="K184" s="16" t="b">
        <v>0</v>
      </c>
      <c r="L184" s="16" t="b">
        <v>0</v>
      </c>
    </row>
    <row r="185">
      <c r="A185" s="108"/>
      <c r="B185" s="16"/>
      <c r="C185" s="7" t="str">
        <f>IFERROR(VLOOKUP(B185,'Master data'!$A$1:$F$1000,2,FALSE),"")</f>
        <v/>
      </c>
      <c r="D185" s="7" t="str">
        <f>IFERROR(VLOOKUP(B185,'Master data'!$A$1:$F$1000,6,FALSE),"")</f>
        <v/>
      </c>
      <c r="F185" s="7" t="str">
        <f>IFERROR(VLOOKUP(B185,'Master data'!$A$1:$F$1000,3,FALSE),"")</f>
        <v/>
      </c>
      <c r="G185" s="29"/>
      <c r="H185" s="29"/>
      <c r="I185" s="16"/>
      <c r="J185" s="16"/>
      <c r="K185" s="16" t="b">
        <v>0</v>
      </c>
      <c r="L185" s="16" t="b">
        <v>0</v>
      </c>
    </row>
    <row r="186">
      <c r="A186" s="108"/>
      <c r="B186" s="16"/>
      <c r="C186" s="7" t="str">
        <f>IFERROR(VLOOKUP(B186,'Master data'!$A$1:$F$1000,2,FALSE),"")</f>
        <v/>
      </c>
      <c r="D186" s="7" t="str">
        <f>IFERROR(VLOOKUP(B186,'Master data'!$A$1:$F$1000,6,FALSE),"")</f>
        <v/>
      </c>
      <c r="F186" s="7" t="str">
        <f>IFERROR(VLOOKUP(B186,'Master data'!$A$1:$F$1000,3,FALSE),"")</f>
        <v/>
      </c>
      <c r="G186" s="29"/>
      <c r="H186" s="29"/>
      <c r="I186" s="16"/>
      <c r="J186" s="16"/>
      <c r="K186" s="16" t="b">
        <v>0</v>
      </c>
      <c r="L186" s="16" t="b">
        <v>0</v>
      </c>
    </row>
    <row r="187">
      <c r="A187" s="108"/>
      <c r="B187" s="16"/>
      <c r="C187" s="7" t="str">
        <f>IFERROR(VLOOKUP(B187,'Master data'!$A$1:$F$1000,2,FALSE),"")</f>
        <v/>
      </c>
      <c r="D187" s="7" t="str">
        <f>IFERROR(VLOOKUP(B187,'Master data'!$A$1:$F$1000,6,FALSE),"")</f>
        <v/>
      </c>
      <c r="F187" s="7" t="str">
        <f>IFERROR(VLOOKUP(B187,'Master data'!$A$1:$F$1000,3,FALSE),"")</f>
        <v/>
      </c>
      <c r="G187" s="29"/>
      <c r="H187" s="29"/>
      <c r="I187" s="16"/>
      <c r="J187" s="16"/>
      <c r="K187" s="16" t="b">
        <v>0</v>
      </c>
      <c r="L187" s="16" t="b">
        <v>0</v>
      </c>
    </row>
    <row r="188">
      <c r="A188" s="108"/>
      <c r="B188" s="16"/>
      <c r="C188" s="7" t="str">
        <f>IFERROR(VLOOKUP(B188,'Master data'!$A$1:$F$1000,2,FALSE),"")</f>
        <v/>
      </c>
      <c r="D188" s="7" t="str">
        <f>IFERROR(VLOOKUP(B188,'Master data'!$A$1:$F$1000,6,FALSE),"")</f>
        <v/>
      </c>
      <c r="F188" s="7" t="str">
        <f>IFERROR(VLOOKUP(B188,'Master data'!$A$1:$F$1000,3,FALSE),"")</f>
        <v/>
      </c>
      <c r="G188" s="29"/>
      <c r="H188" s="29"/>
      <c r="I188" s="16"/>
      <c r="J188" s="16"/>
      <c r="K188" s="16" t="b">
        <v>0</v>
      </c>
      <c r="L188" s="16" t="b">
        <v>0</v>
      </c>
    </row>
    <row r="189">
      <c r="A189" s="108"/>
      <c r="B189" s="16"/>
      <c r="C189" s="7" t="str">
        <f>IFERROR(VLOOKUP(B189,'Master data'!$A$1:$F$1000,2,FALSE),"")</f>
        <v/>
      </c>
      <c r="D189" s="7" t="str">
        <f>IFERROR(VLOOKUP(B189,'Master data'!$A$1:$F$1000,6,FALSE),"")</f>
        <v/>
      </c>
      <c r="F189" s="7" t="str">
        <f>IFERROR(VLOOKUP(B189,'Master data'!$A$1:$F$1000,3,FALSE),"")</f>
        <v/>
      </c>
      <c r="G189" s="29"/>
      <c r="H189" s="29"/>
      <c r="I189" s="16"/>
      <c r="J189" s="16"/>
      <c r="K189" s="16" t="b">
        <v>0</v>
      </c>
      <c r="L189" s="16" t="b">
        <v>0</v>
      </c>
    </row>
    <row r="190">
      <c r="A190" s="108"/>
      <c r="B190" s="16"/>
      <c r="C190" s="7" t="str">
        <f>IFERROR(VLOOKUP(B190,'Master data'!$A$1:$F$1000,2,FALSE),"")</f>
        <v/>
      </c>
      <c r="D190" s="7" t="str">
        <f>IFERROR(VLOOKUP(B190,'Master data'!$A$1:$F$1000,6,FALSE),"")</f>
        <v/>
      </c>
      <c r="F190" s="7" t="str">
        <f>IFERROR(VLOOKUP(B190,'Master data'!$A$1:$F$1000,3,FALSE),"")</f>
        <v/>
      </c>
      <c r="G190" s="29"/>
      <c r="H190" s="29"/>
      <c r="I190" s="16"/>
      <c r="J190" s="16"/>
      <c r="K190" s="16" t="b">
        <v>0</v>
      </c>
      <c r="L190" s="16" t="b">
        <v>0</v>
      </c>
    </row>
    <row r="191">
      <c r="A191" s="108"/>
      <c r="B191" s="16"/>
      <c r="C191" s="7" t="str">
        <f>IFERROR(VLOOKUP(B191,'Master data'!$A$1:$F$1000,2,FALSE),"")</f>
        <v/>
      </c>
      <c r="D191" s="7" t="str">
        <f>IFERROR(VLOOKUP(B191,'Master data'!$A$1:$F$1000,6,FALSE),"")</f>
        <v/>
      </c>
      <c r="F191" s="7" t="str">
        <f>IFERROR(VLOOKUP(B191,'Master data'!$A$1:$F$1000,3,FALSE),"")</f>
        <v/>
      </c>
      <c r="G191" s="29"/>
      <c r="H191" s="29"/>
      <c r="I191" s="16"/>
      <c r="J191" s="16"/>
      <c r="K191" s="16" t="b">
        <v>0</v>
      </c>
      <c r="L191" s="16" t="b">
        <v>0</v>
      </c>
    </row>
    <row r="192">
      <c r="A192" s="108"/>
      <c r="B192" s="16"/>
      <c r="C192" s="7" t="str">
        <f>IFERROR(VLOOKUP(B192,'Master data'!$A$1:$F$1000,2,FALSE),"")</f>
        <v/>
      </c>
      <c r="D192" s="7" t="str">
        <f>IFERROR(VLOOKUP(B192,'Master data'!$A$1:$F$1000,6,FALSE),"")</f>
        <v/>
      </c>
      <c r="F192" s="7" t="str">
        <f>IFERROR(VLOOKUP(B192,'Master data'!$A$1:$F$1000,3,FALSE),"")</f>
        <v/>
      </c>
      <c r="G192" s="29"/>
      <c r="H192" s="29"/>
      <c r="I192" s="16"/>
      <c r="J192" s="16"/>
      <c r="K192" s="16" t="b">
        <v>0</v>
      </c>
      <c r="L192" s="16" t="b">
        <v>0</v>
      </c>
    </row>
    <row r="193">
      <c r="A193" s="108"/>
      <c r="B193" s="16"/>
      <c r="C193" s="7" t="str">
        <f>IFERROR(VLOOKUP(B193,'Master data'!$A$1:$F$1000,2,FALSE),"")</f>
        <v/>
      </c>
      <c r="D193" s="7" t="str">
        <f>IFERROR(VLOOKUP(B193,'Master data'!$A$1:$F$1000,6,FALSE),"")</f>
        <v/>
      </c>
      <c r="F193" s="7" t="str">
        <f>IFERROR(VLOOKUP(B193,'Master data'!$A$1:$F$1000,3,FALSE),"")</f>
        <v/>
      </c>
      <c r="G193" s="29"/>
      <c r="H193" s="29"/>
      <c r="I193" s="16"/>
      <c r="J193" s="16"/>
      <c r="K193" s="16" t="b">
        <v>0</v>
      </c>
      <c r="L193" s="16" t="b">
        <v>0</v>
      </c>
    </row>
    <row r="194">
      <c r="A194" s="108"/>
      <c r="B194" s="16"/>
      <c r="C194" s="7" t="str">
        <f>IFERROR(VLOOKUP(B194,'Master data'!$A$1:$F$1000,2,FALSE),"")</f>
        <v/>
      </c>
      <c r="D194" s="7" t="str">
        <f>IFERROR(VLOOKUP(B194,'Master data'!$A$1:$F$1000,6,FALSE),"")</f>
        <v/>
      </c>
      <c r="F194" s="7" t="str">
        <f>IFERROR(VLOOKUP(B194,'Master data'!$A$1:$F$1000,3,FALSE),"")</f>
        <v/>
      </c>
      <c r="G194" s="29"/>
      <c r="H194" s="29"/>
      <c r="I194" s="16"/>
      <c r="J194" s="16"/>
      <c r="K194" s="16" t="b">
        <v>0</v>
      </c>
      <c r="L194" s="16" t="b">
        <v>0</v>
      </c>
    </row>
    <row r="195">
      <c r="A195" s="108"/>
      <c r="B195" s="16"/>
      <c r="C195" s="7" t="str">
        <f>IFERROR(VLOOKUP(B195,'Master data'!$A$1:$F$1000,2,FALSE),"")</f>
        <v/>
      </c>
      <c r="D195" s="7" t="str">
        <f>IFERROR(VLOOKUP(B195,'Master data'!$A$1:$F$1000,6,FALSE),"")</f>
        <v/>
      </c>
      <c r="F195" s="7" t="str">
        <f>IFERROR(VLOOKUP(B195,'Master data'!$A$1:$F$1000,3,FALSE),"")</f>
        <v/>
      </c>
      <c r="G195" s="29"/>
      <c r="H195" s="29"/>
      <c r="I195" s="16"/>
      <c r="J195" s="16"/>
      <c r="K195" s="16" t="b">
        <v>0</v>
      </c>
      <c r="L195" s="16" t="b">
        <v>0</v>
      </c>
    </row>
    <row r="196">
      <c r="A196" s="108"/>
      <c r="B196" s="16"/>
      <c r="C196" s="7" t="str">
        <f>IFERROR(VLOOKUP(B196,'Master data'!$A$1:$F$1000,2,FALSE),"")</f>
        <v/>
      </c>
      <c r="D196" s="7" t="str">
        <f>IFERROR(VLOOKUP(B196,'Master data'!$A$1:$F$1000,6,FALSE),"")</f>
        <v/>
      </c>
      <c r="F196" s="7" t="str">
        <f>IFERROR(VLOOKUP(B196,'Master data'!$A$1:$F$1000,3,FALSE),"")</f>
        <v/>
      </c>
      <c r="G196" s="29"/>
      <c r="H196" s="29"/>
      <c r="I196" s="16"/>
      <c r="J196" s="16"/>
      <c r="K196" s="16" t="b">
        <v>0</v>
      </c>
      <c r="L196" s="16" t="b">
        <v>0</v>
      </c>
    </row>
    <row r="197">
      <c r="A197" s="108"/>
      <c r="B197" s="16"/>
      <c r="C197" s="7" t="str">
        <f>IFERROR(VLOOKUP(B197,'Master data'!$A$1:$F$1000,2,FALSE),"")</f>
        <v/>
      </c>
      <c r="D197" s="7" t="str">
        <f>IFERROR(VLOOKUP(B197,'Master data'!$A$1:$F$1000,6,FALSE),"")</f>
        <v/>
      </c>
      <c r="F197" s="7" t="str">
        <f>IFERROR(VLOOKUP(B197,'Master data'!$A$1:$F$1000,3,FALSE),"")</f>
        <v/>
      </c>
      <c r="G197" s="29"/>
      <c r="H197" s="29"/>
      <c r="I197" s="16"/>
      <c r="J197" s="16"/>
      <c r="K197" s="16" t="b">
        <v>0</v>
      </c>
      <c r="L197" s="16" t="b">
        <v>0</v>
      </c>
    </row>
    <row r="198">
      <c r="A198" s="108"/>
      <c r="B198" s="16"/>
      <c r="C198" s="7" t="str">
        <f>IFERROR(VLOOKUP(B198,'Master data'!$A$1:$F$1000,2,FALSE),"")</f>
        <v/>
      </c>
      <c r="D198" s="7" t="str">
        <f>IFERROR(VLOOKUP(B198,'Master data'!$A$1:$F$1000,6,FALSE),"")</f>
        <v/>
      </c>
      <c r="F198" s="7" t="str">
        <f>IFERROR(VLOOKUP(B198,'Master data'!$A$1:$F$1000,3,FALSE),"")</f>
        <v/>
      </c>
      <c r="G198" s="29"/>
      <c r="H198" s="29"/>
      <c r="I198" s="16"/>
      <c r="J198" s="16"/>
      <c r="K198" s="16" t="b">
        <v>0</v>
      </c>
      <c r="L198" s="16" t="b">
        <v>0</v>
      </c>
    </row>
    <row r="199">
      <c r="A199" s="108"/>
      <c r="B199" s="16"/>
      <c r="C199" s="7" t="str">
        <f>IFERROR(VLOOKUP(B199,'Master data'!$A$1:$F$1000,2,FALSE),"")</f>
        <v/>
      </c>
      <c r="D199" s="7" t="str">
        <f>IFERROR(VLOOKUP(B199,'Master data'!$A$1:$F$1000,6,FALSE),"")</f>
        <v/>
      </c>
      <c r="F199" s="7" t="str">
        <f>IFERROR(VLOOKUP(B199,'Master data'!$A$1:$F$1000,3,FALSE),"")</f>
        <v/>
      </c>
      <c r="G199" s="29"/>
      <c r="H199" s="29"/>
      <c r="I199" s="16"/>
      <c r="J199" s="16"/>
      <c r="K199" s="16" t="b">
        <v>0</v>
      </c>
      <c r="L199" s="16" t="b">
        <v>0</v>
      </c>
    </row>
    <row r="200">
      <c r="A200" s="108"/>
      <c r="B200" s="16"/>
      <c r="C200" s="7" t="str">
        <f>IFERROR(VLOOKUP(B200,'Master data'!$A$1:$F$1000,2,FALSE),"")</f>
        <v/>
      </c>
      <c r="D200" s="7" t="str">
        <f>IFERROR(VLOOKUP(B200,'Master data'!$A$1:$F$1000,6,FALSE),"")</f>
        <v/>
      </c>
      <c r="F200" s="7" t="str">
        <f>IFERROR(VLOOKUP(B200,'Master data'!$A$1:$F$1000,3,FALSE),"")</f>
        <v/>
      </c>
      <c r="G200" s="29"/>
      <c r="H200" s="29"/>
      <c r="I200" s="16"/>
      <c r="J200" s="16"/>
      <c r="K200" s="16" t="b">
        <v>0</v>
      </c>
      <c r="L200" s="16" t="b">
        <v>0</v>
      </c>
    </row>
    <row r="201">
      <c r="A201" s="108"/>
      <c r="B201" s="16"/>
      <c r="C201" s="7" t="str">
        <f>IFERROR(VLOOKUP(B201,'Master data'!$A$1:$F$1000,2,FALSE),"")</f>
        <v/>
      </c>
      <c r="D201" s="7" t="str">
        <f>IFERROR(VLOOKUP(B201,'Master data'!$A$1:$F$1000,6,FALSE),"")</f>
        <v/>
      </c>
      <c r="F201" s="7" t="str">
        <f>IFERROR(VLOOKUP(B201,'Master data'!$A$1:$F$1000,3,FALSE),"")</f>
        <v/>
      </c>
      <c r="G201" s="29"/>
      <c r="H201" s="29"/>
      <c r="I201" s="16"/>
      <c r="J201" s="16"/>
      <c r="K201" s="16" t="b">
        <v>0</v>
      </c>
      <c r="L201" s="16" t="b">
        <v>0</v>
      </c>
    </row>
    <row r="202">
      <c r="A202" s="108"/>
      <c r="B202" s="16"/>
      <c r="C202" s="7" t="str">
        <f>IFERROR(VLOOKUP(B202,'Master data'!$A$1:$F$1000,2,FALSE),"")</f>
        <v/>
      </c>
      <c r="D202" s="7" t="str">
        <f>IFERROR(VLOOKUP(B202,'Master data'!$A$1:$F$1000,6,FALSE),"")</f>
        <v/>
      </c>
      <c r="F202" s="7" t="str">
        <f>IFERROR(VLOOKUP(B202,'Master data'!$A$1:$F$1000,3,FALSE),"")</f>
        <v/>
      </c>
      <c r="G202" s="29"/>
      <c r="H202" s="29"/>
      <c r="I202" s="16"/>
      <c r="J202" s="16"/>
      <c r="K202" s="16" t="b">
        <v>0</v>
      </c>
      <c r="L202" s="16" t="b">
        <v>0</v>
      </c>
    </row>
    <row r="203">
      <c r="A203" s="108"/>
      <c r="B203" s="16"/>
      <c r="C203" s="7" t="str">
        <f>IFERROR(VLOOKUP(B203,'Master data'!$A$1:$F$1000,2,FALSE),"")</f>
        <v/>
      </c>
      <c r="D203" s="7" t="str">
        <f>IFERROR(VLOOKUP(B203,'Master data'!$A$1:$F$1000,6,FALSE),"")</f>
        <v/>
      </c>
      <c r="F203" s="7" t="str">
        <f>IFERROR(VLOOKUP(B203,'Master data'!$A$1:$F$1000,3,FALSE),"")</f>
        <v/>
      </c>
      <c r="G203" s="29"/>
      <c r="H203" s="29"/>
      <c r="I203" s="16"/>
      <c r="J203" s="16"/>
      <c r="K203" s="16" t="b">
        <v>0</v>
      </c>
      <c r="L203" s="16" t="b">
        <v>0</v>
      </c>
    </row>
    <row r="204">
      <c r="A204" s="108"/>
      <c r="B204" s="16"/>
      <c r="C204" s="7" t="str">
        <f>IFERROR(VLOOKUP(B204,'Master data'!$A$1:$F$1000,2,FALSE),"")</f>
        <v/>
      </c>
      <c r="D204" s="7" t="str">
        <f>IFERROR(VLOOKUP(B204,'Master data'!$A$1:$F$1000,6,FALSE),"")</f>
        <v/>
      </c>
      <c r="F204" s="7" t="str">
        <f>IFERROR(VLOOKUP(B204,'Master data'!$A$1:$F$1000,3,FALSE),"")</f>
        <v/>
      </c>
      <c r="G204" s="29"/>
      <c r="H204" s="29"/>
      <c r="I204" s="16"/>
      <c r="J204" s="16"/>
      <c r="K204" s="16" t="b">
        <v>0</v>
      </c>
      <c r="L204" s="16" t="b">
        <v>0</v>
      </c>
    </row>
    <row r="205">
      <c r="A205" s="108"/>
      <c r="B205" s="16"/>
      <c r="C205" s="7" t="str">
        <f>IFERROR(VLOOKUP(B205,'Master data'!$A$1:$F$1000,2,FALSE),"")</f>
        <v/>
      </c>
      <c r="D205" s="7" t="str">
        <f>IFERROR(VLOOKUP(B205,'Master data'!$A$1:$F$1000,6,FALSE),"")</f>
        <v/>
      </c>
      <c r="F205" s="7" t="str">
        <f>IFERROR(VLOOKUP(B205,'Master data'!$A$1:$F$1000,3,FALSE),"")</f>
        <v/>
      </c>
      <c r="G205" s="29"/>
      <c r="H205" s="29"/>
      <c r="I205" s="16"/>
      <c r="J205" s="16"/>
      <c r="K205" s="16" t="b">
        <v>0</v>
      </c>
      <c r="L205" s="16" t="b">
        <v>0</v>
      </c>
    </row>
    <row r="206">
      <c r="A206" s="108"/>
      <c r="B206" s="16"/>
      <c r="C206" s="7" t="str">
        <f>IFERROR(VLOOKUP(B206,'Master data'!$A$1:$F$1000,2,FALSE),"")</f>
        <v/>
      </c>
      <c r="D206" s="7" t="str">
        <f>IFERROR(VLOOKUP(B206,'Master data'!$A$1:$F$1000,6,FALSE),"")</f>
        <v/>
      </c>
      <c r="F206" s="7" t="str">
        <f>IFERROR(VLOOKUP(B206,'Master data'!$A$1:$F$1000,3,FALSE),"")</f>
        <v/>
      </c>
      <c r="G206" s="29"/>
      <c r="H206" s="29"/>
      <c r="I206" s="16"/>
      <c r="J206" s="16"/>
      <c r="K206" s="16" t="b">
        <v>0</v>
      </c>
      <c r="L206" s="16" t="b">
        <v>0</v>
      </c>
    </row>
    <row r="207">
      <c r="A207" s="108"/>
      <c r="B207" s="16"/>
      <c r="C207" s="7" t="str">
        <f>IFERROR(VLOOKUP(B207,'Master data'!$A$1:$F$1000,2,FALSE),"")</f>
        <v/>
      </c>
      <c r="D207" s="7" t="str">
        <f>IFERROR(VLOOKUP(B207,'Master data'!$A$1:$F$1000,6,FALSE),"")</f>
        <v/>
      </c>
      <c r="F207" s="7" t="str">
        <f>IFERROR(VLOOKUP(B207,'Master data'!$A$1:$F$1000,3,FALSE),"")</f>
        <v/>
      </c>
      <c r="G207" s="29"/>
      <c r="H207" s="29"/>
      <c r="I207" s="16"/>
      <c r="J207" s="16"/>
      <c r="K207" s="16" t="b">
        <v>0</v>
      </c>
      <c r="L207" s="16" t="b">
        <v>0</v>
      </c>
    </row>
    <row r="208">
      <c r="A208" s="108"/>
      <c r="B208" s="16"/>
      <c r="C208" s="7" t="str">
        <f>IFERROR(VLOOKUP(B208,'Master data'!$A$1:$F$1000,2,FALSE),"")</f>
        <v/>
      </c>
      <c r="D208" s="7" t="str">
        <f>IFERROR(VLOOKUP(B208,'Master data'!$A$1:$F$1000,6,FALSE),"")</f>
        <v/>
      </c>
      <c r="F208" s="7" t="str">
        <f>IFERROR(VLOOKUP(B208,'Master data'!$A$1:$F$1000,3,FALSE),"")</f>
        <v/>
      </c>
      <c r="G208" s="29"/>
      <c r="H208" s="29"/>
      <c r="I208" s="16"/>
      <c r="J208" s="16"/>
      <c r="K208" s="16" t="b">
        <v>0</v>
      </c>
      <c r="L208" s="16" t="b">
        <v>0</v>
      </c>
    </row>
    <row r="209">
      <c r="A209" s="108"/>
      <c r="B209" s="16"/>
      <c r="C209" s="7" t="str">
        <f>IFERROR(VLOOKUP(B209,'Master data'!$A$1:$F$1000,2,FALSE),"")</f>
        <v/>
      </c>
      <c r="D209" s="7" t="str">
        <f>IFERROR(VLOOKUP(B209,'Master data'!$A$1:$F$1000,6,FALSE),"")</f>
        <v/>
      </c>
      <c r="F209" s="7" t="str">
        <f>IFERROR(VLOOKUP(B209,'Master data'!$A$1:$F$1000,3,FALSE),"")</f>
        <v/>
      </c>
      <c r="G209" s="29"/>
      <c r="H209" s="29"/>
      <c r="I209" s="16"/>
      <c r="J209" s="16"/>
      <c r="K209" s="16" t="b">
        <v>0</v>
      </c>
      <c r="L209" s="16" t="b">
        <v>0</v>
      </c>
    </row>
    <row r="210">
      <c r="A210" s="108"/>
      <c r="B210" s="16"/>
      <c r="C210" s="7" t="str">
        <f>IFERROR(VLOOKUP(B210,'Master data'!$A$1:$F$1000,2,FALSE),"")</f>
        <v/>
      </c>
      <c r="D210" s="7" t="str">
        <f>IFERROR(VLOOKUP(B210,'Master data'!$A$1:$F$1000,6,FALSE),"")</f>
        <v/>
      </c>
      <c r="F210" s="7" t="str">
        <f>IFERROR(VLOOKUP(B210,'Master data'!$A$1:$F$1000,3,FALSE),"")</f>
        <v/>
      </c>
      <c r="G210" s="29"/>
      <c r="H210" s="29"/>
      <c r="I210" s="16"/>
      <c r="J210" s="16"/>
      <c r="K210" s="16" t="b">
        <v>0</v>
      </c>
      <c r="L210" s="16" t="b">
        <v>0</v>
      </c>
    </row>
    <row r="211">
      <c r="A211" s="108"/>
      <c r="B211" s="16"/>
      <c r="C211" s="7" t="str">
        <f>IFERROR(VLOOKUP(B211,'Master data'!$A$1:$F$1000,2,FALSE),"")</f>
        <v/>
      </c>
      <c r="D211" s="7" t="str">
        <f>IFERROR(VLOOKUP(B211,'Master data'!$A$1:$F$1000,6,FALSE),"")</f>
        <v/>
      </c>
      <c r="F211" s="7" t="str">
        <f>IFERROR(VLOOKUP(B211,'Master data'!$A$1:$F$1000,3,FALSE),"")</f>
        <v/>
      </c>
      <c r="G211" s="29"/>
      <c r="H211" s="29"/>
      <c r="I211" s="16"/>
      <c r="J211" s="16"/>
      <c r="K211" s="16" t="b">
        <v>0</v>
      </c>
      <c r="L211" s="16" t="b">
        <v>0</v>
      </c>
    </row>
    <row r="212">
      <c r="A212" s="108"/>
      <c r="B212" s="16"/>
      <c r="C212" s="7" t="str">
        <f>IFERROR(VLOOKUP(B212,'Master data'!$A$1:$F$1000,2,FALSE),"")</f>
        <v/>
      </c>
      <c r="D212" s="7" t="str">
        <f>IFERROR(VLOOKUP(B212,'Master data'!$A$1:$F$1000,6,FALSE),"")</f>
        <v/>
      </c>
      <c r="F212" s="7" t="str">
        <f>IFERROR(VLOOKUP(B212,'Master data'!$A$1:$F$1000,3,FALSE),"")</f>
        <v/>
      </c>
      <c r="G212" s="29"/>
      <c r="H212" s="29"/>
      <c r="I212" s="16"/>
      <c r="J212" s="16"/>
      <c r="K212" s="16" t="b">
        <v>0</v>
      </c>
      <c r="L212" s="16" t="b">
        <v>0</v>
      </c>
    </row>
    <row r="213">
      <c r="A213" s="108"/>
      <c r="B213" s="16"/>
      <c r="C213" s="7" t="str">
        <f>IFERROR(VLOOKUP(B213,'Master data'!$A$1:$F$1000,2,FALSE),"")</f>
        <v/>
      </c>
      <c r="D213" s="7" t="str">
        <f>IFERROR(VLOOKUP(B213,'Master data'!$A$1:$F$1000,6,FALSE),"")</f>
        <v/>
      </c>
      <c r="F213" s="7" t="str">
        <f>IFERROR(VLOOKUP(B213,'Master data'!$A$1:$F$1000,3,FALSE),"")</f>
        <v/>
      </c>
      <c r="G213" s="29"/>
      <c r="H213" s="29"/>
      <c r="I213" s="16"/>
      <c r="J213" s="16"/>
      <c r="K213" s="16" t="b">
        <v>0</v>
      </c>
      <c r="L213" s="16" t="b">
        <v>0</v>
      </c>
    </row>
    <row r="214">
      <c r="A214" s="108"/>
      <c r="B214" s="16"/>
      <c r="C214" s="7" t="str">
        <f>IFERROR(VLOOKUP(B214,'Master data'!$A$1:$F$1000,2,FALSE),"")</f>
        <v/>
      </c>
      <c r="D214" s="7" t="str">
        <f>IFERROR(VLOOKUP(B214,'Master data'!$A$1:$F$1000,6,FALSE),"")</f>
        <v/>
      </c>
      <c r="F214" s="7" t="str">
        <f>IFERROR(VLOOKUP(B214,'Master data'!$A$1:$F$1000,3,FALSE),"")</f>
        <v/>
      </c>
      <c r="G214" s="29"/>
      <c r="H214" s="29"/>
      <c r="I214" s="16"/>
      <c r="J214" s="16"/>
      <c r="K214" s="16" t="b">
        <v>0</v>
      </c>
      <c r="L214" s="16" t="b">
        <v>0</v>
      </c>
    </row>
    <row r="215">
      <c r="A215" s="108"/>
      <c r="B215" s="16"/>
      <c r="C215" s="7" t="str">
        <f>IFERROR(VLOOKUP(B215,'Master data'!$A$1:$F$1000,2,FALSE),"")</f>
        <v/>
      </c>
      <c r="D215" s="7" t="str">
        <f>IFERROR(VLOOKUP(B215,'Master data'!$A$1:$F$1000,6,FALSE),"")</f>
        <v/>
      </c>
      <c r="F215" s="7" t="str">
        <f>IFERROR(VLOOKUP(B215,'Master data'!$A$1:$F$1000,3,FALSE),"")</f>
        <v/>
      </c>
      <c r="G215" s="29"/>
      <c r="H215" s="29"/>
      <c r="I215" s="16"/>
      <c r="J215" s="16"/>
      <c r="K215" s="16" t="b">
        <v>0</v>
      </c>
      <c r="L215" s="16" t="b">
        <v>0</v>
      </c>
    </row>
    <row r="216">
      <c r="A216" s="108"/>
      <c r="B216" s="16"/>
      <c r="C216" s="7" t="str">
        <f>IFERROR(VLOOKUP(B216,'Master data'!$A$1:$F$1000,2,FALSE),"")</f>
        <v/>
      </c>
      <c r="D216" s="7" t="str">
        <f>IFERROR(VLOOKUP(B216,'Master data'!$A$1:$F$1000,6,FALSE),"")</f>
        <v/>
      </c>
      <c r="F216" s="7" t="str">
        <f>IFERROR(VLOOKUP(B216,'Master data'!$A$1:$F$1000,3,FALSE),"")</f>
        <v/>
      </c>
      <c r="G216" s="29"/>
      <c r="H216" s="29"/>
      <c r="I216" s="16"/>
      <c r="J216" s="16"/>
      <c r="K216" s="16" t="b">
        <v>0</v>
      </c>
      <c r="L216" s="16" t="b">
        <v>0</v>
      </c>
    </row>
    <row r="217">
      <c r="A217" s="108"/>
      <c r="B217" s="16"/>
      <c r="C217" s="7" t="str">
        <f>IFERROR(VLOOKUP(B217,'Master data'!$A$1:$F$1000,2,FALSE),"")</f>
        <v/>
      </c>
      <c r="D217" s="7" t="str">
        <f>IFERROR(VLOOKUP(B217,'Master data'!$A$1:$F$1000,6,FALSE),"")</f>
        <v/>
      </c>
      <c r="F217" s="7" t="str">
        <f>IFERROR(VLOOKUP(B217,'Master data'!$A$1:$F$1000,3,FALSE),"")</f>
        <v/>
      </c>
      <c r="G217" s="29"/>
      <c r="H217" s="29"/>
      <c r="I217" s="16"/>
      <c r="J217" s="16"/>
      <c r="K217" s="16" t="b">
        <v>0</v>
      </c>
      <c r="L217" s="16" t="b">
        <v>0</v>
      </c>
    </row>
    <row r="218">
      <c r="A218" s="108"/>
      <c r="B218" s="16"/>
      <c r="C218" s="7" t="str">
        <f>IFERROR(VLOOKUP(B218,'Master data'!$A$1:$F$1000,2,FALSE),"")</f>
        <v/>
      </c>
      <c r="D218" s="7" t="str">
        <f>IFERROR(VLOOKUP(B218,'Master data'!$A$1:$F$1000,6,FALSE),"")</f>
        <v/>
      </c>
      <c r="F218" s="7" t="str">
        <f>IFERROR(VLOOKUP(B218,'Master data'!$A$1:$F$1000,3,FALSE),"")</f>
        <v/>
      </c>
      <c r="G218" s="29"/>
      <c r="H218" s="29"/>
      <c r="I218" s="16"/>
      <c r="J218" s="16"/>
      <c r="K218" s="16" t="b">
        <v>0</v>
      </c>
      <c r="L218" s="16" t="b">
        <v>0</v>
      </c>
    </row>
    <row r="219">
      <c r="A219" s="108"/>
      <c r="B219" s="16"/>
      <c r="C219" s="7" t="str">
        <f>IFERROR(VLOOKUP(B219,'Master data'!$A$1:$F$1000,2,FALSE),"")</f>
        <v/>
      </c>
      <c r="D219" s="7" t="str">
        <f>IFERROR(VLOOKUP(B219,'Master data'!$A$1:$F$1000,6,FALSE),"")</f>
        <v/>
      </c>
      <c r="F219" s="7" t="str">
        <f>IFERROR(VLOOKUP(B219,'Master data'!$A$1:$F$1000,3,FALSE),"")</f>
        <v/>
      </c>
      <c r="G219" s="29"/>
      <c r="H219" s="29"/>
      <c r="I219" s="16"/>
      <c r="J219" s="16"/>
      <c r="K219" s="16" t="b">
        <v>0</v>
      </c>
      <c r="L219" s="16" t="b">
        <v>0</v>
      </c>
    </row>
    <row r="220">
      <c r="A220" s="108"/>
      <c r="B220" s="16"/>
      <c r="C220" s="7" t="str">
        <f>IFERROR(VLOOKUP(B220,'Master data'!$A$1:$F$1000,2,FALSE),"")</f>
        <v/>
      </c>
      <c r="D220" s="7" t="str">
        <f>IFERROR(VLOOKUP(B220,'Master data'!$A$1:$F$1000,6,FALSE),"")</f>
        <v/>
      </c>
      <c r="F220" s="7" t="str">
        <f>IFERROR(VLOOKUP(B220,'Master data'!$A$1:$F$1000,3,FALSE),"")</f>
        <v/>
      </c>
      <c r="G220" s="29"/>
      <c r="H220" s="29"/>
      <c r="I220" s="16"/>
      <c r="J220" s="16"/>
      <c r="K220" s="16" t="b">
        <v>0</v>
      </c>
      <c r="L220" s="16" t="b">
        <v>0</v>
      </c>
    </row>
    <row r="221">
      <c r="A221" s="108"/>
      <c r="B221" s="16"/>
      <c r="C221" s="7" t="str">
        <f>IFERROR(VLOOKUP(B221,'Master data'!$A$1:$F$1000,2,FALSE),"")</f>
        <v/>
      </c>
      <c r="D221" s="7" t="str">
        <f>IFERROR(VLOOKUP(B221,'Master data'!$A$1:$F$1000,6,FALSE),"")</f>
        <v/>
      </c>
      <c r="F221" s="7" t="str">
        <f>IFERROR(VLOOKUP(B221,'Master data'!$A$1:$F$1000,3,FALSE),"")</f>
        <v/>
      </c>
      <c r="G221" s="29"/>
      <c r="H221" s="29"/>
      <c r="I221" s="16"/>
      <c r="J221" s="16"/>
      <c r="K221" s="16" t="b">
        <v>0</v>
      </c>
      <c r="L221" s="16" t="b">
        <v>0</v>
      </c>
    </row>
    <row r="222">
      <c r="A222" s="108"/>
      <c r="B222" s="16"/>
      <c r="C222" s="7" t="str">
        <f>IFERROR(VLOOKUP(B222,'Master data'!$A$1:$F$1000,2,FALSE),"")</f>
        <v/>
      </c>
      <c r="D222" s="7" t="str">
        <f>IFERROR(VLOOKUP(B222,'Master data'!$A$1:$F$1000,6,FALSE),"")</f>
        <v/>
      </c>
      <c r="F222" s="7" t="str">
        <f>IFERROR(VLOOKUP(B222,'Master data'!$A$1:$F$1000,3,FALSE),"")</f>
        <v/>
      </c>
      <c r="G222" s="29"/>
      <c r="H222" s="29"/>
      <c r="I222" s="16"/>
      <c r="J222" s="16"/>
      <c r="K222" s="16" t="b">
        <v>0</v>
      </c>
      <c r="L222" s="16" t="b">
        <v>0</v>
      </c>
    </row>
    <row r="223">
      <c r="A223" s="108"/>
      <c r="B223" s="16"/>
      <c r="C223" s="7" t="str">
        <f>IFERROR(VLOOKUP(B223,'Master data'!$A$1:$F$1000,2,FALSE),"")</f>
        <v/>
      </c>
      <c r="D223" s="7" t="str">
        <f>IFERROR(VLOOKUP(B223,'Master data'!$A$1:$F$1000,6,FALSE),"")</f>
        <v/>
      </c>
      <c r="F223" s="7" t="str">
        <f>IFERROR(VLOOKUP(B223,'Master data'!$A$1:$F$1000,3,FALSE),"")</f>
        <v/>
      </c>
      <c r="G223" s="29"/>
      <c r="H223" s="29"/>
      <c r="I223" s="16"/>
      <c r="J223" s="16"/>
      <c r="K223" s="16" t="b">
        <v>0</v>
      </c>
      <c r="L223" s="16" t="b">
        <v>0</v>
      </c>
    </row>
    <row r="224">
      <c r="A224" s="108"/>
      <c r="B224" s="16"/>
      <c r="C224" s="7" t="str">
        <f>IFERROR(VLOOKUP(B224,'Master data'!$A$1:$F$1000,2,FALSE),"")</f>
        <v/>
      </c>
      <c r="D224" s="7" t="str">
        <f>IFERROR(VLOOKUP(B224,'Master data'!$A$1:$F$1000,6,FALSE),"")</f>
        <v/>
      </c>
      <c r="F224" s="7" t="str">
        <f>IFERROR(VLOOKUP(B224,'Master data'!$A$1:$F$1000,3,FALSE),"")</f>
        <v/>
      </c>
      <c r="G224" s="29"/>
      <c r="H224" s="29"/>
      <c r="I224" s="16"/>
      <c r="J224" s="16"/>
      <c r="K224" s="16" t="b">
        <v>0</v>
      </c>
      <c r="L224" s="16" t="b">
        <v>0</v>
      </c>
    </row>
    <row r="225">
      <c r="A225" s="108"/>
      <c r="B225" s="16"/>
      <c r="C225" s="7" t="str">
        <f>IFERROR(VLOOKUP(B225,'Master data'!$A$1:$F$1000,2,FALSE),"")</f>
        <v/>
      </c>
      <c r="D225" s="7" t="str">
        <f>IFERROR(VLOOKUP(B225,'Master data'!$A$1:$F$1000,6,FALSE),"")</f>
        <v/>
      </c>
      <c r="F225" s="7" t="str">
        <f>IFERROR(VLOOKUP(B225,'Master data'!$A$1:$F$1000,3,FALSE),"")</f>
        <v/>
      </c>
      <c r="G225" s="29"/>
      <c r="H225" s="29"/>
      <c r="I225" s="16"/>
      <c r="J225" s="16"/>
      <c r="K225" s="16" t="b">
        <v>0</v>
      </c>
      <c r="L225" s="16" t="b">
        <v>0</v>
      </c>
    </row>
    <row r="226">
      <c r="A226" s="108"/>
      <c r="B226" s="16"/>
      <c r="C226" s="7" t="str">
        <f>IFERROR(VLOOKUP(B226,'Master data'!$A$1:$F$1000,2,FALSE),"")</f>
        <v/>
      </c>
      <c r="D226" s="7" t="str">
        <f>IFERROR(VLOOKUP(B226,'Master data'!$A$1:$F$1000,6,FALSE),"")</f>
        <v/>
      </c>
      <c r="F226" s="7" t="str">
        <f>IFERROR(VLOOKUP(B226,'Master data'!$A$1:$F$1000,3,FALSE),"")</f>
        <v/>
      </c>
      <c r="G226" s="29"/>
      <c r="H226" s="29"/>
      <c r="I226" s="16"/>
      <c r="J226" s="16"/>
      <c r="K226" s="16" t="b">
        <v>0</v>
      </c>
      <c r="L226" s="16" t="b">
        <v>0</v>
      </c>
    </row>
    <row r="227">
      <c r="A227" s="108"/>
      <c r="B227" s="16"/>
      <c r="C227" s="7" t="str">
        <f>IFERROR(VLOOKUP(B227,'Master data'!$A$1:$F$1000,2,FALSE),"")</f>
        <v/>
      </c>
      <c r="D227" s="7" t="str">
        <f>IFERROR(VLOOKUP(B227,'Master data'!$A$1:$F$1000,6,FALSE),"")</f>
        <v/>
      </c>
      <c r="F227" s="7" t="str">
        <f>IFERROR(VLOOKUP(B227,'Master data'!$A$1:$F$1000,3,FALSE),"")</f>
        <v/>
      </c>
      <c r="G227" s="29"/>
      <c r="H227" s="29"/>
      <c r="I227" s="16"/>
      <c r="J227" s="16"/>
      <c r="K227" s="16" t="b">
        <v>0</v>
      </c>
      <c r="L227" s="16" t="b">
        <v>0</v>
      </c>
    </row>
    <row r="228">
      <c r="A228" s="108"/>
      <c r="B228" s="16"/>
      <c r="C228" s="7" t="str">
        <f>IFERROR(VLOOKUP(B228,'Master data'!$A$1:$F$1000,2,FALSE),"")</f>
        <v/>
      </c>
      <c r="D228" s="7" t="str">
        <f>IFERROR(VLOOKUP(B228,'Master data'!$A$1:$F$1000,6,FALSE),"")</f>
        <v/>
      </c>
      <c r="F228" s="7" t="str">
        <f>IFERROR(VLOOKUP(B228,'Master data'!$A$1:$F$1000,3,FALSE),"")</f>
        <v/>
      </c>
      <c r="G228" s="29"/>
      <c r="H228" s="29"/>
      <c r="I228" s="16"/>
      <c r="J228" s="16"/>
      <c r="K228" s="16" t="b">
        <v>0</v>
      </c>
      <c r="L228" s="16" t="b">
        <v>0</v>
      </c>
    </row>
    <row r="229">
      <c r="A229" s="108"/>
      <c r="B229" s="16"/>
      <c r="C229" s="7" t="str">
        <f>IFERROR(VLOOKUP(B229,'Master data'!$A$1:$F$1000,2,FALSE),"")</f>
        <v/>
      </c>
      <c r="D229" s="7" t="str">
        <f>IFERROR(VLOOKUP(B229,'Master data'!$A$1:$F$1000,6,FALSE),"")</f>
        <v/>
      </c>
      <c r="F229" s="7" t="str">
        <f>IFERROR(VLOOKUP(B229,'Master data'!$A$1:$F$1000,3,FALSE),"")</f>
        <v/>
      </c>
      <c r="G229" s="29"/>
      <c r="H229" s="29"/>
      <c r="I229" s="16"/>
      <c r="J229" s="16"/>
      <c r="K229" s="16" t="b">
        <v>0</v>
      </c>
      <c r="L229" s="16" t="b">
        <v>0</v>
      </c>
    </row>
    <row r="230">
      <c r="A230" s="108"/>
      <c r="B230" s="16"/>
      <c r="C230" s="7" t="str">
        <f>IFERROR(VLOOKUP(B230,'Master data'!$A$1:$F$1000,2,FALSE),"")</f>
        <v/>
      </c>
      <c r="D230" s="7" t="str">
        <f>IFERROR(VLOOKUP(B230,'Master data'!$A$1:$F$1000,6,FALSE),"")</f>
        <v/>
      </c>
      <c r="F230" s="7" t="str">
        <f>IFERROR(VLOOKUP(B230,'Master data'!$A$1:$F$1000,3,FALSE),"")</f>
        <v/>
      </c>
      <c r="G230" s="29"/>
      <c r="H230" s="29"/>
      <c r="I230" s="16"/>
      <c r="J230" s="16"/>
      <c r="K230" s="16" t="b">
        <v>0</v>
      </c>
      <c r="L230" s="16" t="b">
        <v>0</v>
      </c>
    </row>
    <row r="231">
      <c r="A231" s="108"/>
      <c r="B231" s="16"/>
      <c r="C231" s="7" t="str">
        <f>IFERROR(VLOOKUP(B231,'Master data'!$A$1:$F$1000,2,FALSE),"")</f>
        <v/>
      </c>
      <c r="D231" s="7" t="str">
        <f>IFERROR(VLOOKUP(B231,'Master data'!$A$1:$F$1000,6,FALSE),"")</f>
        <v/>
      </c>
      <c r="F231" s="7" t="str">
        <f>IFERROR(VLOOKUP(B231,'Master data'!$A$1:$F$1000,3,FALSE),"")</f>
        <v/>
      </c>
      <c r="G231" s="29"/>
      <c r="H231" s="29"/>
      <c r="I231" s="16"/>
      <c r="J231" s="16"/>
      <c r="K231" s="16" t="b">
        <v>0</v>
      </c>
      <c r="L231" s="16" t="b">
        <v>0</v>
      </c>
    </row>
    <row r="232">
      <c r="A232" s="108"/>
      <c r="B232" s="16"/>
      <c r="C232" s="7" t="str">
        <f>IFERROR(VLOOKUP(B232,'Master data'!$A$1:$F$1000,2,FALSE),"")</f>
        <v/>
      </c>
      <c r="D232" s="7" t="str">
        <f>IFERROR(VLOOKUP(B232,'Master data'!$A$1:$F$1000,6,FALSE),"")</f>
        <v/>
      </c>
      <c r="F232" s="7" t="str">
        <f>IFERROR(VLOOKUP(B232,'Master data'!$A$1:$F$1000,3,FALSE),"")</f>
        <v/>
      </c>
      <c r="G232" s="29"/>
      <c r="H232" s="29"/>
      <c r="I232" s="16"/>
      <c r="J232" s="16"/>
      <c r="K232" s="16" t="b">
        <v>0</v>
      </c>
      <c r="L232" s="16" t="b">
        <v>0</v>
      </c>
    </row>
    <row r="233">
      <c r="A233" s="108"/>
      <c r="B233" s="16"/>
      <c r="C233" s="7" t="str">
        <f>IFERROR(VLOOKUP(B233,'Master data'!$A$1:$F$1000,2,FALSE),"")</f>
        <v/>
      </c>
      <c r="D233" s="7" t="str">
        <f>IFERROR(VLOOKUP(B233,'Master data'!$A$1:$F$1000,6,FALSE),"")</f>
        <v/>
      </c>
      <c r="F233" s="7" t="str">
        <f>IFERROR(VLOOKUP(B233,'Master data'!$A$1:$F$1000,3,FALSE),"")</f>
        <v/>
      </c>
      <c r="G233" s="29"/>
      <c r="H233" s="29"/>
      <c r="I233" s="16"/>
      <c r="J233" s="16"/>
      <c r="K233" s="16" t="b">
        <v>0</v>
      </c>
      <c r="L233" s="16" t="b">
        <v>0</v>
      </c>
    </row>
    <row r="234">
      <c r="A234" s="108"/>
      <c r="B234" s="16"/>
      <c r="C234" s="7" t="str">
        <f>IFERROR(VLOOKUP(B234,'Master data'!$A$1:$F$1000,2,FALSE),"")</f>
        <v/>
      </c>
      <c r="D234" s="7" t="str">
        <f>IFERROR(VLOOKUP(B234,'Master data'!$A$1:$F$1000,6,FALSE),"")</f>
        <v/>
      </c>
      <c r="F234" s="7" t="str">
        <f>IFERROR(VLOOKUP(B234,'Master data'!$A$1:$F$1000,3,FALSE),"")</f>
        <v/>
      </c>
      <c r="G234" s="29"/>
      <c r="H234" s="29"/>
      <c r="I234" s="16"/>
      <c r="J234" s="16"/>
      <c r="K234" s="16" t="b">
        <v>0</v>
      </c>
      <c r="L234" s="16" t="b">
        <v>0</v>
      </c>
    </row>
    <row r="235">
      <c r="A235" s="108"/>
      <c r="B235" s="16"/>
      <c r="C235" s="7" t="str">
        <f>IFERROR(VLOOKUP(B235,'Master data'!$A$1:$F$1000,2,FALSE),"")</f>
        <v/>
      </c>
      <c r="D235" s="7" t="str">
        <f>IFERROR(VLOOKUP(B235,'Master data'!$A$1:$F$1000,6,FALSE),"")</f>
        <v/>
      </c>
      <c r="F235" s="7" t="str">
        <f>IFERROR(VLOOKUP(B235,'Master data'!$A$1:$F$1000,3,FALSE),"")</f>
        <v/>
      </c>
      <c r="G235" s="29"/>
      <c r="H235" s="29"/>
      <c r="I235" s="16"/>
      <c r="J235" s="16"/>
      <c r="K235" s="16" t="b">
        <v>0</v>
      </c>
      <c r="L235" s="16" t="b">
        <v>0</v>
      </c>
    </row>
    <row r="236">
      <c r="A236" s="108"/>
      <c r="B236" s="16"/>
      <c r="C236" s="7" t="str">
        <f>IFERROR(VLOOKUP(B236,'Master data'!$A$1:$F$1000,2,FALSE),"")</f>
        <v/>
      </c>
      <c r="D236" s="7" t="str">
        <f>IFERROR(VLOOKUP(B236,'Master data'!$A$1:$F$1000,6,FALSE),"")</f>
        <v/>
      </c>
      <c r="F236" s="7" t="str">
        <f>IFERROR(VLOOKUP(B236,'Master data'!$A$1:$F$1000,3,FALSE),"")</f>
        <v/>
      </c>
      <c r="G236" s="29"/>
      <c r="H236" s="29"/>
      <c r="I236" s="16"/>
      <c r="J236" s="16"/>
      <c r="K236" s="16" t="b">
        <v>0</v>
      </c>
      <c r="L236" s="16" t="b">
        <v>0</v>
      </c>
    </row>
    <row r="237">
      <c r="A237" s="108"/>
      <c r="B237" s="16"/>
      <c r="C237" s="7" t="str">
        <f>IFERROR(VLOOKUP(B237,'Master data'!$A$1:$F$1000,2,FALSE),"")</f>
        <v/>
      </c>
      <c r="D237" s="7" t="str">
        <f>IFERROR(VLOOKUP(B237,'Master data'!$A$1:$F$1000,6,FALSE),"")</f>
        <v/>
      </c>
      <c r="F237" s="7" t="str">
        <f>IFERROR(VLOOKUP(B237,'Master data'!$A$1:$F$1000,3,FALSE),"")</f>
        <v/>
      </c>
      <c r="G237" s="29"/>
      <c r="H237" s="29"/>
      <c r="I237" s="16"/>
      <c r="J237" s="16"/>
      <c r="K237" s="16" t="b">
        <v>0</v>
      </c>
      <c r="L237" s="16" t="b">
        <v>0</v>
      </c>
    </row>
    <row r="238">
      <c r="A238" s="108"/>
      <c r="B238" s="16"/>
      <c r="C238" s="7" t="str">
        <f>IFERROR(VLOOKUP(B238,'Master data'!$A$1:$F$1000,2,FALSE),"")</f>
        <v/>
      </c>
      <c r="D238" s="7" t="str">
        <f>IFERROR(VLOOKUP(B238,'Master data'!$A$1:$F$1000,6,FALSE),"")</f>
        <v/>
      </c>
      <c r="F238" s="7" t="str">
        <f>IFERROR(VLOOKUP(B238,'Master data'!$A$1:$F$1000,3,FALSE),"")</f>
        <v/>
      </c>
      <c r="G238" s="29"/>
      <c r="H238" s="29"/>
      <c r="I238" s="16"/>
      <c r="J238" s="16"/>
      <c r="K238" s="16" t="b">
        <v>0</v>
      </c>
      <c r="L238" s="16" t="b">
        <v>0</v>
      </c>
    </row>
    <row r="239">
      <c r="A239" s="108"/>
      <c r="B239" s="16"/>
      <c r="C239" s="7" t="str">
        <f>IFERROR(VLOOKUP(B239,'Master data'!$A$1:$F$1000,2,FALSE),"")</f>
        <v/>
      </c>
      <c r="D239" s="7" t="str">
        <f>IFERROR(VLOOKUP(B239,'Master data'!$A$1:$F$1000,6,FALSE),"")</f>
        <v/>
      </c>
      <c r="F239" s="7" t="str">
        <f>IFERROR(VLOOKUP(B239,'Master data'!$A$1:$F$1000,3,FALSE),"")</f>
        <v/>
      </c>
      <c r="G239" s="29"/>
      <c r="H239" s="29"/>
      <c r="I239" s="16"/>
      <c r="J239" s="16"/>
      <c r="K239" s="16" t="b">
        <v>0</v>
      </c>
      <c r="L239" s="16" t="b">
        <v>0</v>
      </c>
    </row>
    <row r="240">
      <c r="A240" s="108"/>
      <c r="B240" s="16"/>
      <c r="C240" s="7" t="str">
        <f>IFERROR(VLOOKUP(B240,'Master data'!$A$1:$F$1000,2,FALSE),"")</f>
        <v/>
      </c>
      <c r="D240" s="7" t="str">
        <f>IFERROR(VLOOKUP(B240,'Master data'!$A$1:$F$1000,6,FALSE),"")</f>
        <v/>
      </c>
      <c r="F240" s="7" t="str">
        <f>IFERROR(VLOOKUP(B240,'Master data'!$A$1:$F$1000,3,FALSE),"")</f>
        <v/>
      </c>
      <c r="G240" s="29"/>
      <c r="H240" s="29"/>
      <c r="I240" s="16"/>
      <c r="J240" s="16"/>
      <c r="K240" s="16" t="b">
        <v>0</v>
      </c>
      <c r="L240" s="16" t="b">
        <v>0</v>
      </c>
    </row>
    <row r="241">
      <c r="A241" s="108"/>
      <c r="B241" s="16"/>
      <c r="C241" s="7" t="str">
        <f>IFERROR(VLOOKUP(B241,'Master data'!$A$1:$F$1000,2,FALSE),"")</f>
        <v/>
      </c>
      <c r="D241" s="7" t="str">
        <f>IFERROR(VLOOKUP(B241,'Master data'!$A$1:$F$1000,6,FALSE),"")</f>
        <v/>
      </c>
      <c r="F241" s="7" t="str">
        <f>IFERROR(VLOOKUP(B241,'Master data'!$A$1:$F$1000,3,FALSE),"")</f>
        <v/>
      </c>
      <c r="G241" s="29"/>
      <c r="H241" s="29"/>
      <c r="I241" s="16"/>
      <c r="J241" s="16"/>
      <c r="K241" s="16" t="b">
        <v>0</v>
      </c>
      <c r="L241" s="16" t="b">
        <v>0</v>
      </c>
    </row>
    <row r="242">
      <c r="A242" s="108"/>
      <c r="B242" s="16"/>
      <c r="C242" s="7" t="str">
        <f>IFERROR(VLOOKUP(B242,'Master data'!$A$1:$F$1000,2,FALSE),"")</f>
        <v/>
      </c>
      <c r="D242" s="7" t="str">
        <f>IFERROR(VLOOKUP(B242,'Master data'!$A$1:$F$1000,6,FALSE),"")</f>
        <v/>
      </c>
      <c r="F242" s="7" t="str">
        <f>IFERROR(VLOOKUP(B242,'Master data'!$A$1:$F$1000,3,FALSE),"")</f>
        <v/>
      </c>
      <c r="G242" s="29"/>
      <c r="H242" s="29"/>
      <c r="I242" s="16"/>
      <c r="J242" s="16"/>
      <c r="K242" s="16" t="b">
        <v>0</v>
      </c>
      <c r="L242" s="16" t="b">
        <v>0</v>
      </c>
    </row>
    <row r="243">
      <c r="A243" s="108"/>
      <c r="B243" s="16"/>
      <c r="C243" s="7" t="str">
        <f>IFERROR(VLOOKUP(B243,'Master data'!$A$1:$F$1000,2,FALSE),"")</f>
        <v/>
      </c>
      <c r="D243" s="7" t="str">
        <f>IFERROR(VLOOKUP(B243,'Master data'!$A$1:$F$1000,6,FALSE),"")</f>
        <v/>
      </c>
      <c r="F243" s="7" t="str">
        <f>IFERROR(VLOOKUP(B243,'Master data'!$A$1:$F$1000,3,FALSE),"")</f>
        <v/>
      </c>
      <c r="G243" s="29"/>
      <c r="H243" s="29"/>
      <c r="I243" s="16"/>
      <c r="J243" s="16"/>
      <c r="K243" s="16" t="b">
        <v>0</v>
      </c>
      <c r="L243" s="16" t="b">
        <v>0</v>
      </c>
    </row>
    <row r="244">
      <c r="A244" s="108"/>
      <c r="B244" s="16"/>
      <c r="C244" s="7" t="str">
        <f>IFERROR(VLOOKUP(B244,'Master data'!$A$1:$F$1000,2,FALSE),"")</f>
        <v/>
      </c>
      <c r="D244" s="7" t="str">
        <f>IFERROR(VLOOKUP(B244,'Master data'!$A$1:$F$1000,6,FALSE),"")</f>
        <v/>
      </c>
      <c r="F244" s="7" t="str">
        <f>IFERROR(VLOOKUP(B244,'Master data'!$A$1:$F$1000,3,FALSE),"")</f>
        <v/>
      </c>
      <c r="G244" s="29"/>
      <c r="H244" s="29"/>
      <c r="I244" s="16"/>
      <c r="J244" s="16"/>
      <c r="K244" s="16" t="b">
        <v>0</v>
      </c>
      <c r="L244" s="16" t="b">
        <v>0</v>
      </c>
    </row>
    <row r="245">
      <c r="A245" s="108"/>
      <c r="B245" s="16"/>
      <c r="C245" s="7" t="str">
        <f>IFERROR(VLOOKUP(B245,'Master data'!$A$1:$F$1000,2,FALSE),"")</f>
        <v/>
      </c>
      <c r="D245" s="7" t="str">
        <f>IFERROR(VLOOKUP(B245,'Master data'!$A$1:$F$1000,6,FALSE),"")</f>
        <v/>
      </c>
      <c r="F245" s="7" t="str">
        <f>IFERROR(VLOOKUP(B245,'Master data'!$A$1:$F$1000,3,FALSE),"")</f>
        <v/>
      </c>
      <c r="G245" s="29"/>
      <c r="H245" s="29"/>
      <c r="I245" s="16"/>
      <c r="J245" s="16"/>
      <c r="K245" s="16" t="b">
        <v>0</v>
      </c>
      <c r="L245" s="16" t="b">
        <v>0</v>
      </c>
    </row>
    <row r="246">
      <c r="A246" s="108"/>
      <c r="B246" s="16"/>
      <c r="C246" s="7" t="str">
        <f>IFERROR(VLOOKUP(B246,'Master data'!$A$1:$F$1000,2,FALSE),"")</f>
        <v/>
      </c>
      <c r="D246" s="7" t="str">
        <f>IFERROR(VLOOKUP(B246,'Master data'!$A$1:$F$1000,6,FALSE),"")</f>
        <v/>
      </c>
      <c r="F246" s="7" t="str">
        <f>IFERROR(VLOOKUP(B246,'Master data'!$A$1:$F$1000,3,FALSE),"")</f>
        <v/>
      </c>
      <c r="G246" s="29"/>
      <c r="H246" s="29"/>
      <c r="I246" s="16"/>
      <c r="J246" s="16"/>
      <c r="K246" s="16" t="b">
        <v>0</v>
      </c>
      <c r="L246" s="16" t="b">
        <v>0</v>
      </c>
    </row>
    <row r="247">
      <c r="A247" s="108"/>
      <c r="B247" s="16"/>
      <c r="C247" s="7" t="str">
        <f>IFERROR(VLOOKUP(B247,'Master data'!$A$1:$F$1000,2,FALSE),"")</f>
        <v/>
      </c>
      <c r="D247" s="7" t="str">
        <f>IFERROR(VLOOKUP(B247,'Master data'!$A$1:$F$1000,6,FALSE),"")</f>
        <v/>
      </c>
      <c r="F247" s="7" t="str">
        <f>IFERROR(VLOOKUP(B247,'Master data'!$A$1:$F$1000,3,FALSE),"")</f>
        <v/>
      </c>
      <c r="G247" s="29"/>
      <c r="H247" s="29"/>
      <c r="I247" s="16"/>
      <c r="J247" s="16"/>
      <c r="K247" s="16" t="b">
        <v>0</v>
      </c>
      <c r="L247" s="16" t="b">
        <v>0</v>
      </c>
    </row>
    <row r="248">
      <c r="A248" s="108"/>
      <c r="B248" s="16"/>
      <c r="C248" s="7" t="str">
        <f>IFERROR(VLOOKUP(B248,'Master data'!$A$1:$F$1000,2,FALSE),"")</f>
        <v/>
      </c>
      <c r="D248" s="7" t="str">
        <f>IFERROR(VLOOKUP(B248,'Master data'!$A$1:$F$1000,6,FALSE),"")</f>
        <v/>
      </c>
      <c r="F248" s="7" t="str">
        <f>IFERROR(VLOOKUP(B248,'Master data'!$A$1:$F$1000,3,FALSE),"")</f>
        <v/>
      </c>
      <c r="G248" s="29"/>
      <c r="H248" s="29"/>
      <c r="I248" s="16"/>
      <c r="J248" s="16"/>
      <c r="K248" s="16" t="b">
        <v>0</v>
      </c>
      <c r="L248" s="16" t="b">
        <v>0</v>
      </c>
    </row>
    <row r="249">
      <c r="A249" s="108"/>
      <c r="B249" s="16"/>
      <c r="C249" s="7" t="str">
        <f>IFERROR(VLOOKUP(B249,'Master data'!$A$1:$F$1000,2,FALSE),"")</f>
        <v/>
      </c>
      <c r="D249" s="7" t="str">
        <f>IFERROR(VLOOKUP(B249,'Master data'!$A$1:$F$1000,6,FALSE),"")</f>
        <v/>
      </c>
      <c r="F249" s="7" t="str">
        <f>IFERROR(VLOOKUP(B249,'Master data'!$A$1:$F$1000,3,FALSE),"")</f>
        <v/>
      </c>
      <c r="G249" s="29"/>
      <c r="H249" s="29"/>
      <c r="I249" s="16"/>
      <c r="J249" s="16"/>
      <c r="K249" s="16" t="b">
        <v>0</v>
      </c>
      <c r="L249" s="16" t="b">
        <v>0</v>
      </c>
    </row>
    <row r="250">
      <c r="A250" s="108"/>
      <c r="B250" s="16"/>
      <c r="C250" s="7" t="str">
        <f>IFERROR(VLOOKUP(B250,'Master data'!$A$1:$F$1000,2,FALSE),"")</f>
        <v/>
      </c>
      <c r="D250" s="7" t="str">
        <f>IFERROR(VLOOKUP(B250,'Master data'!$A$1:$F$1000,6,FALSE),"")</f>
        <v/>
      </c>
      <c r="F250" s="7" t="str">
        <f>IFERROR(VLOOKUP(B250,'Master data'!$A$1:$F$1000,3,FALSE),"")</f>
        <v/>
      </c>
      <c r="G250" s="29"/>
      <c r="H250" s="29"/>
      <c r="I250" s="16"/>
      <c r="J250" s="16"/>
      <c r="K250" s="16" t="b">
        <v>0</v>
      </c>
      <c r="L250" s="16" t="b">
        <v>0</v>
      </c>
    </row>
    <row r="251">
      <c r="A251" s="108"/>
      <c r="B251" s="16"/>
      <c r="C251" s="7" t="str">
        <f>IFERROR(VLOOKUP(B251,'Master data'!$A$1:$F$1000,2,FALSE),"")</f>
        <v/>
      </c>
      <c r="D251" s="7" t="str">
        <f>IFERROR(VLOOKUP(B251,'Master data'!$A$1:$F$1000,6,FALSE),"")</f>
        <v/>
      </c>
      <c r="F251" s="7" t="str">
        <f>IFERROR(VLOOKUP(B251,'Master data'!$A$1:$F$1000,3,FALSE),"")</f>
        <v/>
      </c>
      <c r="G251" s="29"/>
      <c r="H251" s="29"/>
      <c r="I251" s="16"/>
      <c r="J251" s="16"/>
      <c r="K251" s="16" t="b">
        <v>0</v>
      </c>
      <c r="L251" s="16" t="b">
        <v>0</v>
      </c>
    </row>
    <row r="252">
      <c r="A252" s="108"/>
      <c r="B252" s="16"/>
      <c r="C252" s="7" t="str">
        <f>IFERROR(VLOOKUP(B252,'Master data'!$A$1:$F$1000,2,FALSE),"")</f>
        <v/>
      </c>
      <c r="D252" s="7" t="str">
        <f>IFERROR(VLOOKUP(B252,'Master data'!$A$1:$F$1000,6,FALSE),"")</f>
        <v/>
      </c>
      <c r="F252" s="7" t="str">
        <f>IFERROR(VLOOKUP(B252,'Master data'!$A$1:$F$1000,3,FALSE),"")</f>
        <v/>
      </c>
      <c r="G252" s="29"/>
      <c r="H252" s="29"/>
      <c r="I252" s="16"/>
      <c r="J252" s="16"/>
      <c r="K252" s="16" t="b">
        <v>0</v>
      </c>
      <c r="L252" s="16" t="b">
        <v>0</v>
      </c>
    </row>
    <row r="253">
      <c r="A253" s="108"/>
      <c r="B253" s="16"/>
      <c r="C253" s="7" t="str">
        <f>IFERROR(VLOOKUP(B253,'Master data'!$A$1:$F$1000,2,FALSE),"")</f>
        <v/>
      </c>
      <c r="D253" s="7" t="str">
        <f>IFERROR(VLOOKUP(B253,'Master data'!$A$1:$F$1000,6,FALSE),"")</f>
        <v/>
      </c>
      <c r="F253" s="7" t="str">
        <f>IFERROR(VLOOKUP(B253,'Master data'!$A$1:$F$1000,3,FALSE),"")</f>
        <v/>
      </c>
      <c r="G253" s="29"/>
      <c r="H253" s="29"/>
      <c r="I253" s="16"/>
      <c r="J253" s="16"/>
      <c r="K253" s="16" t="b">
        <v>0</v>
      </c>
      <c r="L253" s="16" t="b">
        <v>0</v>
      </c>
    </row>
    <row r="254">
      <c r="A254" s="108"/>
      <c r="B254" s="16"/>
      <c r="C254" s="7" t="str">
        <f>IFERROR(VLOOKUP(B254,'Master data'!$A$1:$F$1000,2,FALSE),"")</f>
        <v/>
      </c>
      <c r="D254" s="7" t="str">
        <f>IFERROR(VLOOKUP(B254,'Master data'!$A$1:$F$1000,6,FALSE),"")</f>
        <v/>
      </c>
      <c r="F254" s="7" t="str">
        <f>IFERROR(VLOOKUP(B254,'Master data'!$A$1:$F$1000,3,FALSE),"")</f>
        <v/>
      </c>
      <c r="G254" s="29"/>
      <c r="H254" s="29"/>
      <c r="I254" s="16"/>
      <c r="J254" s="16"/>
      <c r="K254" s="16" t="b">
        <v>0</v>
      </c>
      <c r="L254" s="16" t="b">
        <v>0</v>
      </c>
    </row>
    <row r="255">
      <c r="A255" s="108"/>
      <c r="B255" s="16"/>
      <c r="C255" s="7" t="str">
        <f>IFERROR(VLOOKUP(B255,'Master data'!$A$1:$F$1000,2,FALSE),"")</f>
        <v/>
      </c>
      <c r="D255" s="7" t="str">
        <f>IFERROR(VLOOKUP(B255,'Master data'!$A$1:$F$1000,6,FALSE),"")</f>
        <v/>
      </c>
      <c r="F255" s="7" t="str">
        <f>IFERROR(VLOOKUP(B255,'Master data'!$A$1:$F$1000,3,FALSE),"")</f>
        <v/>
      </c>
      <c r="G255" s="29"/>
      <c r="H255" s="29"/>
      <c r="I255" s="16"/>
      <c r="J255" s="16"/>
      <c r="K255" s="16" t="b">
        <v>0</v>
      </c>
      <c r="L255" s="16" t="b">
        <v>0</v>
      </c>
    </row>
    <row r="256">
      <c r="A256" s="108"/>
      <c r="B256" s="16"/>
      <c r="C256" s="7" t="str">
        <f>IFERROR(VLOOKUP(B256,'Master data'!$A$1:$F$1000,2,FALSE),"")</f>
        <v/>
      </c>
      <c r="D256" s="7" t="str">
        <f>IFERROR(VLOOKUP(B256,'Master data'!$A$1:$F$1000,6,FALSE),"")</f>
        <v/>
      </c>
      <c r="F256" s="7" t="str">
        <f>IFERROR(VLOOKUP(B256,'Master data'!$A$1:$F$1000,3,FALSE),"")</f>
        <v/>
      </c>
      <c r="G256" s="29"/>
      <c r="H256" s="29"/>
      <c r="I256" s="16"/>
      <c r="J256" s="16"/>
      <c r="K256" s="16" t="b">
        <v>0</v>
      </c>
      <c r="L256" s="16" t="b">
        <v>0</v>
      </c>
    </row>
    <row r="257">
      <c r="A257" s="108"/>
      <c r="B257" s="16"/>
      <c r="C257" s="7" t="str">
        <f>IFERROR(VLOOKUP(B257,'Master data'!$A$1:$F$1000,2,FALSE),"")</f>
        <v/>
      </c>
      <c r="D257" s="7" t="str">
        <f>IFERROR(VLOOKUP(B257,'Master data'!$A$1:$F$1000,6,FALSE),"")</f>
        <v/>
      </c>
      <c r="F257" s="7" t="str">
        <f>IFERROR(VLOOKUP(B257,'Master data'!$A$1:$F$1000,3,FALSE),"")</f>
        <v/>
      </c>
      <c r="G257" s="29"/>
      <c r="H257" s="29"/>
      <c r="I257" s="16"/>
      <c r="J257" s="16"/>
      <c r="K257" s="16" t="b">
        <v>0</v>
      </c>
      <c r="L257" s="16" t="b">
        <v>0</v>
      </c>
    </row>
    <row r="258">
      <c r="A258" s="108"/>
      <c r="B258" s="16"/>
      <c r="C258" s="7" t="str">
        <f>IFERROR(VLOOKUP(B258,'Master data'!$A$1:$F$1000,2,FALSE),"")</f>
        <v/>
      </c>
      <c r="D258" s="7" t="str">
        <f>IFERROR(VLOOKUP(B258,'Master data'!$A$1:$F$1000,6,FALSE),"")</f>
        <v/>
      </c>
      <c r="F258" s="7" t="str">
        <f>IFERROR(VLOOKUP(B258,'Master data'!$A$1:$F$1000,3,FALSE),"")</f>
        <v/>
      </c>
      <c r="G258" s="29"/>
      <c r="H258" s="29"/>
      <c r="I258" s="16"/>
      <c r="J258" s="16"/>
      <c r="K258" s="16" t="b">
        <v>0</v>
      </c>
      <c r="L258" s="16" t="b">
        <v>0</v>
      </c>
    </row>
    <row r="259">
      <c r="A259" s="108"/>
      <c r="B259" s="16"/>
      <c r="C259" s="7" t="str">
        <f>IFERROR(VLOOKUP(B259,'Master data'!$A$1:$F$1000,2,FALSE),"")</f>
        <v/>
      </c>
      <c r="D259" s="7" t="str">
        <f>IFERROR(VLOOKUP(B259,'Master data'!$A$1:$F$1000,6,FALSE),"")</f>
        <v/>
      </c>
      <c r="F259" s="7" t="str">
        <f>IFERROR(VLOOKUP(B259,'Master data'!$A$1:$F$1000,3,FALSE),"")</f>
        <v/>
      </c>
      <c r="G259" s="29"/>
      <c r="H259" s="29"/>
      <c r="I259" s="16"/>
      <c r="J259" s="16"/>
      <c r="K259" s="16" t="b">
        <v>0</v>
      </c>
      <c r="L259" s="16" t="b">
        <v>0</v>
      </c>
    </row>
    <row r="260">
      <c r="A260" s="108"/>
      <c r="B260" s="16"/>
      <c r="C260" s="7" t="str">
        <f>IFERROR(VLOOKUP(B260,'Master data'!$A$1:$F$1000,2,FALSE),"")</f>
        <v/>
      </c>
      <c r="D260" s="7" t="str">
        <f>IFERROR(VLOOKUP(B260,'Master data'!$A$1:$F$1000,6,FALSE),"")</f>
        <v/>
      </c>
      <c r="F260" s="7" t="str">
        <f>IFERROR(VLOOKUP(B260,'Master data'!$A$1:$F$1000,3,FALSE),"")</f>
        <v/>
      </c>
      <c r="G260" s="29"/>
      <c r="H260" s="29"/>
      <c r="I260" s="16"/>
      <c r="J260" s="16"/>
      <c r="K260" s="16" t="b">
        <v>0</v>
      </c>
      <c r="L260" s="16" t="b">
        <v>0</v>
      </c>
    </row>
    <row r="261">
      <c r="A261" s="108"/>
      <c r="B261" s="16"/>
      <c r="C261" s="7" t="str">
        <f>IFERROR(VLOOKUP(B261,'Master data'!$A$1:$F$1000,2,FALSE),"")</f>
        <v/>
      </c>
      <c r="D261" s="7" t="str">
        <f>IFERROR(VLOOKUP(B261,'Master data'!$A$1:$F$1000,6,FALSE),"")</f>
        <v/>
      </c>
      <c r="F261" s="7" t="str">
        <f>IFERROR(VLOOKUP(B261,'Master data'!$A$1:$F$1000,3,FALSE),"")</f>
        <v/>
      </c>
      <c r="G261" s="29"/>
      <c r="H261" s="29"/>
      <c r="I261" s="16"/>
      <c r="J261" s="16"/>
      <c r="K261" s="16" t="b">
        <v>0</v>
      </c>
      <c r="L261" s="16" t="b">
        <v>0</v>
      </c>
    </row>
    <row r="262">
      <c r="A262" s="108"/>
      <c r="B262" s="16"/>
      <c r="C262" s="7" t="str">
        <f>IFERROR(VLOOKUP(B262,'Master data'!$A$1:$F$1000,2,FALSE),"")</f>
        <v/>
      </c>
      <c r="D262" s="7" t="str">
        <f>IFERROR(VLOOKUP(B262,'Master data'!$A$1:$F$1000,6,FALSE),"")</f>
        <v/>
      </c>
      <c r="F262" s="7" t="str">
        <f>IFERROR(VLOOKUP(B262,'Master data'!$A$1:$F$1000,3,FALSE),"")</f>
        <v/>
      </c>
      <c r="G262" s="29"/>
      <c r="H262" s="29"/>
      <c r="I262" s="16"/>
      <c r="J262" s="16"/>
      <c r="K262" s="16" t="b">
        <v>0</v>
      </c>
      <c r="L262" s="16" t="b">
        <v>0</v>
      </c>
    </row>
    <row r="263">
      <c r="A263" s="108"/>
      <c r="B263" s="16"/>
      <c r="C263" s="7" t="str">
        <f>IFERROR(VLOOKUP(B263,'Master data'!$A$1:$F$1000,2,FALSE),"")</f>
        <v/>
      </c>
      <c r="D263" s="7" t="str">
        <f>IFERROR(VLOOKUP(B263,'Master data'!$A$1:$F$1000,6,FALSE),"")</f>
        <v/>
      </c>
      <c r="F263" s="7" t="str">
        <f>IFERROR(VLOOKUP(B263,'Master data'!$A$1:$F$1000,3,FALSE),"")</f>
        <v/>
      </c>
      <c r="G263" s="29"/>
      <c r="H263" s="29"/>
      <c r="I263" s="16"/>
      <c r="J263" s="16"/>
      <c r="K263" s="16" t="b">
        <v>0</v>
      </c>
      <c r="L263" s="16" t="b">
        <v>0</v>
      </c>
    </row>
    <row r="264">
      <c r="A264" s="108"/>
      <c r="B264" s="16"/>
      <c r="C264" s="7" t="str">
        <f>IFERROR(VLOOKUP(B264,'Master data'!$A$1:$F$1000,2,FALSE),"")</f>
        <v/>
      </c>
      <c r="D264" s="7" t="str">
        <f>IFERROR(VLOOKUP(B264,'Master data'!$A$1:$F$1000,6,FALSE),"")</f>
        <v/>
      </c>
      <c r="F264" s="7" t="str">
        <f>IFERROR(VLOOKUP(B264,'Master data'!$A$1:$F$1000,3,FALSE),"")</f>
        <v/>
      </c>
      <c r="G264" s="29"/>
      <c r="H264" s="29"/>
      <c r="I264" s="16"/>
      <c r="J264" s="16"/>
      <c r="K264" s="16" t="b">
        <v>0</v>
      </c>
      <c r="L264" s="16" t="b">
        <v>0</v>
      </c>
    </row>
    <row r="265">
      <c r="A265" s="108"/>
      <c r="B265" s="16"/>
      <c r="C265" s="7" t="str">
        <f>IFERROR(VLOOKUP(B265,'Master data'!$A$1:$F$1000,2,FALSE),"")</f>
        <v/>
      </c>
      <c r="D265" s="7" t="str">
        <f>IFERROR(VLOOKUP(B265,'Master data'!$A$1:$F$1000,6,FALSE),"")</f>
        <v/>
      </c>
      <c r="F265" s="7" t="str">
        <f>IFERROR(VLOOKUP(B265,'Master data'!$A$1:$F$1000,3,FALSE),"")</f>
        <v/>
      </c>
      <c r="G265" s="29"/>
      <c r="H265" s="29"/>
      <c r="I265" s="16"/>
      <c r="J265" s="16"/>
      <c r="K265" s="16" t="b">
        <v>0</v>
      </c>
      <c r="L265" s="16" t="b">
        <v>0</v>
      </c>
    </row>
    <row r="266">
      <c r="A266" s="108"/>
      <c r="B266" s="16"/>
      <c r="C266" s="7" t="str">
        <f>IFERROR(VLOOKUP(B266,'Master data'!$A$1:$F$1000,2,FALSE),"")</f>
        <v/>
      </c>
      <c r="D266" s="7" t="str">
        <f>IFERROR(VLOOKUP(B266,'Master data'!$A$1:$F$1000,6,FALSE),"")</f>
        <v/>
      </c>
      <c r="F266" s="7" t="str">
        <f>IFERROR(VLOOKUP(B266,'Master data'!$A$1:$F$1000,3,FALSE),"")</f>
        <v/>
      </c>
      <c r="G266" s="29"/>
      <c r="H266" s="29"/>
      <c r="I266" s="16"/>
      <c r="J266" s="16"/>
      <c r="K266" s="16" t="b">
        <v>0</v>
      </c>
      <c r="L266" s="16" t="b">
        <v>0</v>
      </c>
    </row>
    <row r="267">
      <c r="A267" s="108"/>
      <c r="B267" s="16"/>
      <c r="C267" s="7" t="str">
        <f>IFERROR(VLOOKUP(B267,'Master data'!$A$1:$F$1000,2,FALSE),"")</f>
        <v/>
      </c>
      <c r="D267" s="7" t="str">
        <f>IFERROR(VLOOKUP(B267,'Master data'!$A$1:$F$1000,6,FALSE),"")</f>
        <v/>
      </c>
      <c r="F267" s="7" t="str">
        <f>IFERROR(VLOOKUP(B267,'Master data'!$A$1:$F$1000,3,FALSE),"")</f>
        <v/>
      </c>
      <c r="G267" s="29"/>
      <c r="H267" s="29"/>
      <c r="I267" s="16"/>
      <c r="J267" s="16"/>
      <c r="K267" s="16" t="b">
        <v>0</v>
      </c>
      <c r="L267" s="16" t="b">
        <v>0</v>
      </c>
    </row>
    <row r="268">
      <c r="A268" s="108"/>
      <c r="B268" s="16"/>
      <c r="C268" s="7" t="str">
        <f>IFERROR(VLOOKUP(B268,'Master data'!$A$1:$F$1000,2,FALSE),"")</f>
        <v/>
      </c>
      <c r="D268" s="7" t="str">
        <f>IFERROR(VLOOKUP(B268,'Master data'!$A$1:$F$1000,6,FALSE),"")</f>
        <v/>
      </c>
      <c r="F268" s="7" t="str">
        <f>IFERROR(VLOOKUP(B268,'Master data'!$A$1:$F$1000,3,FALSE),"")</f>
        <v/>
      </c>
      <c r="G268" s="29"/>
      <c r="H268" s="29"/>
      <c r="I268" s="16"/>
      <c r="J268" s="16"/>
      <c r="K268" s="16" t="b">
        <v>0</v>
      </c>
      <c r="L268" s="16" t="b">
        <v>0</v>
      </c>
    </row>
    <row r="269">
      <c r="A269" s="108"/>
      <c r="B269" s="16"/>
      <c r="C269" s="7" t="str">
        <f>IFERROR(VLOOKUP(B269,'Master data'!$A$1:$F$1000,2,FALSE),"")</f>
        <v/>
      </c>
      <c r="D269" s="7" t="str">
        <f>IFERROR(VLOOKUP(B269,'Master data'!$A$1:$F$1000,6,FALSE),"")</f>
        <v/>
      </c>
      <c r="F269" s="7" t="str">
        <f>IFERROR(VLOOKUP(B269,'Master data'!$A$1:$F$1000,3,FALSE),"")</f>
        <v/>
      </c>
      <c r="G269" s="29"/>
      <c r="H269" s="29"/>
      <c r="I269" s="16"/>
      <c r="J269" s="16"/>
      <c r="K269" s="16" t="b">
        <v>0</v>
      </c>
      <c r="L269" s="16" t="b">
        <v>0</v>
      </c>
    </row>
    <row r="270">
      <c r="A270" s="108"/>
      <c r="B270" s="16"/>
      <c r="C270" s="7" t="str">
        <f>IFERROR(VLOOKUP(B270,'Master data'!$A$1:$F$1000,2,FALSE),"")</f>
        <v/>
      </c>
      <c r="D270" s="7" t="str">
        <f>IFERROR(VLOOKUP(B270,'Master data'!$A$1:$F$1000,6,FALSE),"")</f>
        <v/>
      </c>
      <c r="F270" s="7" t="str">
        <f>IFERROR(VLOOKUP(B270,'Master data'!$A$1:$F$1000,3,FALSE),"")</f>
        <v/>
      </c>
      <c r="G270" s="29"/>
      <c r="H270" s="29"/>
      <c r="I270" s="16"/>
      <c r="J270" s="16"/>
      <c r="K270" s="16" t="b">
        <v>0</v>
      </c>
      <c r="L270" s="16" t="b">
        <v>0</v>
      </c>
    </row>
    <row r="271">
      <c r="A271" s="108"/>
      <c r="B271" s="16"/>
      <c r="C271" s="7" t="str">
        <f>IFERROR(VLOOKUP(B271,'Master data'!$A$1:$F$1000,2,FALSE),"")</f>
        <v/>
      </c>
      <c r="D271" s="7" t="str">
        <f>IFERROR(VLOOKUP(B271,'Master data'!$A$1:$F$1000,6,FALSE),"")</f>
        <v/>
      </c>
      <c r="F271" s="7" t="str">
        <f>IFERROR(VLOOKUP(B271,'Master data'!$A$1:$F$1000,3,FALSE),"")</f>
        <v/>
      </c>
      <c r="G271" s="29"/>
      <c r="H271" s="29"/>
      <c r="I271" s="16"/>
      <c r="J271" s="16"/>
      <c r="K271" s="16" t="b">
        <v>0</v>
      </c>
      <c r="L271" s="16" t="b">
        <v>0</v>
      </c>
    </row>
    <row r="272">
      <c r="A272" s="108"/>
      <c r="B272" s="16"/>
      <c r="C272" s="7" t="str">
        <f>IFERROR(VLOOKUP(B272,'Master data'!$A$1:$F$1000,2,FALSE),"")</f>
        <v/>
      </c>
      <c r="D272" s="7" t="str">
        <f>IFERROR(VLOOKUP(B272,'Master data'!$A$1:$F$1000,6,FALSE),"")</f>
        <v/>
      </c>
      <c r="F272" s="7" t="str">
        <f>IFERROR(VLOOKUP(B272,'Master data'!$A$1:$F$1000,3,FALSE),"")</f>
        <v/>
      </c>
      <c r="G272" s="29"/>
      <c r="H272" s="29"/>
      <c r="I272" s="16"/>
      <c r="J272" s="16"/>
      <c r="K272" s="16" t="b">
        <v>0</v>
      </c>
      <c r="L272" s="16" t="b">
        <v>0</v>
      </c>
    </row>
    <row r="273">
      <c r="A273" s="108"/>
      <c r="B273" s="16"/>
      <c r="C273" s="7" t="str">
        <f>IFERROR(VLOOKUP(B273,'Master data'!$A$1:$F$1000,2,FALSE),"")</f>
        <v/>
      </c>
      <c r="D273" s="7" t="str">
        <f>IFERROR(VLOOKUP(B273,'Master data'!$A$1:$F$1000,6,FALSE),"")</f>
        <v/>
      </c>
      <c r="F273" s="7" t="str">
        <f>IFERROR(VLOOKUP(B273,'Master data'!$A$1:$F$1000,3,FALSE),"")</f>
        <v/>
      </c>
      <c r="G273" s="29"/>
      <c r="H273" s="29"/>
      <c r="I273" s="16"/>
      <c r="J273" s="16"/>
      <c r="K273" s="16" t="b">
        <v>0</v>
      </c>
      <c r="L273" s="16" t="b">
        <v>0</v>
      </c>
    </row>
    <row r="274">
      <c r="A274" s="108"/>
      <c r="B274" s="16"/>
      <c r="C274" s="7" t="str">
        <f>IFERROR(VLOOKUP(B274,'Master data'!$A$1:$F$1000,2,FALSE),"")</f>
        <v/>
      </c>
      <c r="D274" s="7" t="str">
        <f>IFERROR(VLOOKUP(B274,'Master data'!$A$1:$F$1000,6,FALSE),"")</f>
        <v/>
      </c>
      <c r="F274" s="7" t="str">
        <f>IFERROR(VLOOKUP(B274,'Master data'!$A$1:$F$1000,3,FALSE),"")</f>
        <v/>
      </c>
      <c r="G274" s="29"/>
      <c r="H274" s="29"/>
      <c r="I274" s="16"/>
      <c r="J274" s="16"/>
      <c r="K274" s="16" t="b">
        <v>0</v>
      </c>
      <c r="L274" s="16" t="b">
        <v>0</v>
      </c>
    </row>
    <row r="275">
      <c r="A275" s="108"/>
      <c r="B275" s="16"/>
      <c r="C275" s="7" t="str">
        <f>IFERROR(VLOOKUP(B275,'Master data'!$A$1:$F$1000,2,FALSE),"")</f>
        <v/>
      </c>
      <c r="D275" s="7" t="str">
        <f>IFERROR(VLOOKUP(B275,'Master data'!$A$1:$F$1000,6,FALSE),"")</f>
        <v/>
      </c>
      <c r="F275" s="7" t="str">
        <f>IFERROR(VLOOKUP(B275,'Master data'!$A$1:$F$1000,3,FALSE),"")</f>
        <v/>
      </c>
      <c r="G275" s="29"/>
      <c r="H275" s="29"/>
      <c r="I275" s="16"/>
      <c r="J275" s="16"/>
      <c r="K275" s="16" t="b">
        <v>0</v>
      </c>
      <c r="L275" s="16" t="b">
        <v>0</v>
      </c>
    </row>
    <row r="276">
      <c r="A276" s="108"/>
      <c r="B276" s="16"/>
      <c r="C276" s="7" t="str">
        <f>IFERROR(VLOOKUP(B276,'Master data'!$A$1:$F$1000,2,FALSE),"")</f>
        <v/>
      </c>
      <c r="D276" s="7" t="str">
        <f>IFERROR(VLOOKUP(B276,'Master data'!$A$1:$F$1000,6,FALSE),"")</f>
        <v/>
      </c>
      <c r="F276" s="7" t="str">
        <f>IFERROR(VLOOKUP(B276,'Master data'!$A$1:$F$1000,3,FALSE),"")</f>
        <v/>
      </c>
      <c r="G276" s="29"/>
      <c r="H276" s="29"/>
      <c r="I276" s="16"/>
      <c r="J276" s="16"/>
      <c r="K276" s="16" t="b">
        <v>0</v>
      </c>
      <c r="L276" s="16" t="b">
        <v>0</v>
      </c>
    </row>
    <row r="277">
      <c r="A277" s="108"/>
      <c r="B277" s="16"/>
      <c r="C277" s="7" t="str">
        <f>IFERROR(VLOOKUP(B277,'Master data'!$A$1:$F$1000,2,FALSE),"")</f>
        <v/>
      </c>
      <c r="D277" s="7" t="str">
        <f>IFERROR(VLOOKUP(B277,'Master data'!$A$1:$F$1000,6,FALSE),"")</f>
        <v/>
      </c>
      <c r="F277" s="7" t="str">
        <f>IFERROR(VLOOKUP(B277,'Master data'!$A$1:$F$1000,3,FALSE),"")</f>
        <v/>
      </c>
      <c r="G277" s="29"/>
      <c r="H277" s="29"/>
      <c r="I277" s="16"/>
      <c r="J277" s="16"/>
      <c r="K277" s="16" t="b">
        <v>0</v>
      </c>
      <c r="L277" s="16" t="b">
        <v>0</v>
      </c>
    </row>
    <row r="278">
      <c r="A278" s="108"/>
      <c r="B278" s="16"/>
      <c r="C278" s="7" t="str">
        <f>IFERROR(VLOOKUP(B278,'Master data'!$A$1:$F$1000,2,FALSE),"")</f>
        <v/>
      </c>
      <c r="D278" s="7" t="str">
        <f>IFERROR(VLOOKUP(B278,'Master data'!$A$1:$F$1000,6,FALSE),"")</f>
        <v/>
      </c>
      <c r="F278" s="7" t="str">
        <f>IFERROR(VLOOKUP(B278,'Master data'!$A$1:$F$1000,3,FALSE),"")</f>
        <v/>
      </c>
      <c r="G278" s="29"/>
      <c r="H278" s="29"/>
      <c r="I278" s="16"/>
      <c r="J278" s="16"/>
      <c r="K278" s="16" t="b">
        <v>0</v>
      </c>
      <c r="L278" s="16" t="b">
        <v>0</v>
      </c>
    </row>
    <row r="279">
      <c r="A279" s="108"/>
      <c r="B279" s="16"/>
      <c r="C279" s="7" t="str">
        <f>IFERROR(VLOOKUP(B279,'Master data'!$A$1:$F$1000,2,FALSE),"")</f>
        <v/>
      </c>
      <c r="D279" s="7" t="str">
        <f>IFERROR(VLOOKUP(B279,'Master data'!$A$1:$F$1000,6,FALSE),"")</f>
        <v/>
      </c>
      <c r="F279" s="7" t="str">
        <f>IFERROR(VLOOKUP(B279,'Master data'!$A$1:$F$1000,3,FALSE),"")</f>
        <v/>
      </c>
      <c r="G279" s="29"/>
      <c r="H279" s="29"/>
      <c r="I279" s="16"/>
      <c r="J279" s="16"/>
      <c r="K279" s="16" t="b">
        <v>0</v>
      </c>
      <c r="L279" s="16" t="b">
        <v>0</v>
      </c>
    </row>
    <row r="280">
      <c r="A280" s="108"/>
      <c r="B280" s="16"/>
      <c r="C280" s="7" t="str">
        <f>IFERROR(VLOOKUP(B280,'Master data'!$A$1:$F$1000,2,FALSE),"")</f>
        <v/>
      </c>
      <c r="D280" s="7" t="str">
        <f>IFERROR(VLOOKUP(B280,'Master data'!$A$1:$F$1000,6,FALSE),"")</f>
        <v/>
      </c>
      <c r="F280" s="7" t="str">
        <f>IFERROR(VLOOKUP(B280,'Master data'!$A$1:$F$1000,3,FALSE),"")</f>
        <v/>
      </c>
      <c r="G280" s="29"/>
      <c r="H280" s="29"/>
      <c r="I280" s="16"/>
      <c r="J280" s="16"/>
      <c r="K280" s="16" t="b">
        <v>0</v>
      </c>
      <c r="L280" s="16" t="b">
        <v>0</v>
      </c>
    </row>
    <row r="281">
      <c r="A281" s="108"/>
      <c r="B281" s="16"/>
      <c r="C281" s="7" t="str">
        <f>IFERROR(VLOOKUP(B281,'Master data'!$A$1:$F$1000,2,FALSE),"")</f>
        <v/>
      </c>
      <c r="D281" s="7" t="str">
        <f>IFERROR(VLOOKUP(B281,'Master data'!$A$1:$F$1000,6,FALSE),"")</f>
        <v/>
      </c>
      <c r="F281" s="7" t="str">
        <f>IFERROR(VLOOKUP(B281,'Master data'!$A$1:$F$1000,3,FALSE),"")</f>
        <v/>
      </c>
      <c r="G281" s="29"/>
      <c r="H281" s="29"/>
      <c r="I281" s="16"/>
      <c r="J281" s="16"/>
      <c r="K281" s="16" t="b">
        <v>0</v>
      </c>
      <c r="L281" s="16" t="b">
        <v>0</v>
      </c>
    </row>
    <row r="282">
      <c r="A282" s="108"/>
      <c r="B282" s="16"/>
      <c r="C282" s="7" t="str">
        <f>IFERROR(VLOOKUP(B282,'Master data'!$A$1:$F$1000,2,FALSE),"")</f>
        <v/>
      </c>
      <c r="D282" s="7" t="str">
        <f>IFERROR(VLOOKUP(B282,'Master data'!$A$1:$F$1000,6,FALSE),"")</f>
        <v/>
      </c>
      <c r="F282" s="7" t="str">
        <f>IFERROR(VLOOKUP(B282,'Master data'!$A$1:$F$1000,3,FALSE),"")</f>
        <v/>
      </c>
      <c r="G282" s="29"/>
      <c r="H282" s="29"/>
      <c r="I282" s="16"/>
      <c r="J282" s="16"/>
      <c r="K282" s="16" t="b">
        <v>0</v>
      </c>
      <c r="L282" s="16" t="b">
        <v>0</v>
      </c>
    </row>
    <row r="283">
      <c r="A283" s="108"/>
      <c r="B283" s="16"/>
      <c r="C283" s="7" t="str">
        <f>IFERROR(VLOOKUP(B283,'Master data'!$A$1:$F$1000,2,FALSE),"")</f>
        <v/>
      </c>
      <c r="D283" s="7" t="str">
        <f>IFERROR(VLOOKUP(B283,'Master data'!$A$1:$F$1000,6,FALSE),"")</f>
        <v/>
      </c>
      <c r="F283" s="7" t="str">
        <f>IFERROR(VLOOKUP(B283,'Master data'!$A$1:$F$1000,3,FALSE),"")</f>
        <v/>
      </c>
      <c r="G283" s="29"/>
      <c r="H283" s="29"/>
      <c r="I283" s="16"/>
      <c r="J283" s="16"/>
      <c r="K283" s="16" t="b">
        <v>0</v>
      </c>
      <c r="L283" s="16" t="b">
        <v>0</v>
      </c>
    </row>
    <row r="284">
      <c r="A284" s="108"/>
      <c r="B284" s="16"/>
      <c r="C284" s="7" t="str">
        <f>IFERROR(VLOOKUP(B284,'Master data'!$A$1:$F$1000,2,FALSE),"")</f>
        <v/>
      </c>
      <c r="D284" s="7" t="str">
        <f>IFERROR(VLOOKUP(B284,'Master data'!$A$1:$F$1000,6,FALSE),"")</f>
        <v/>
      </c>
      <c r="F284" s="7" t="str">
        <f>IFERROR(VLOOKUP(B284,'Master data'!$A$1:$F$1000,3,FALSE),"")</f>
        <v/>
      </c>
      <c r="G284" s="29"/>
      <c r="H284" s="29"/>
      <c r="I284" s="16"/>
      <c r="J284" s="16"/>
      <c r="K284" s="16" t="b">
        <v>0</v>
      </c>
      <c r="L284" s="16" t="b">
        <v>0</v>
      </c>
    </row>
    <row r="285">
      <c r="A285" s="108"/>
      <c r="B285" s="16"/>
      <c r="C285" s="7" t="str">
        <f>IFERROR(VLOOKUP(B285,'Master data'!$A$1:$F$1000,2,FALSE),"")</f>
        <v/>
      </c>
      <c r="D285" s="7" t="str">
        <f>IFERROR(VLOOKUP(B285,'Master data'!$A$1:$F$1000,6,FALSE),"")</f>
        <v/>
      </c>
      <c r="F285" s="7" t="str">
        <f>IFERROR(VLOOKUP(B285,'Master data'!$A$1:$F$1000,3,FALSE),"")</f>
        <v/>
      </c>
      <c r="G285" s="29"/>
      <c r="H285" s="29"/>
      <c r="I285" s="16"/>
      <c r="J285" s="16"/>
      <c r="K285" s="16" t="b">
        <v>0</v>
      </c>
      <c r="L285" s="16" t="b">
        <v>0</v>
      </c>
    </row>
    <row r="286">
      <c r="A286" s="108"/>
      <c r="B286" s="16"/>
      <c r="C286" s="7" t="str">
        <f>IFERROR(VLOOKUP(B286,'Master data'!$A$1:$F$1000,2,FALSE),"")</f>
        <v/>
      </c>
      <c r="D286" s="7" t="str">
        <f>IFERROR(VLOOKUP(B286,'Master data'!$A$1:$F$1000,6,FALSE),"")</f>
        <v/>
      </c>
      <c r="F286" s="7" t="str">
        <f>IFERROR(VLOOKUP(B286,'Master data'!$A$1:$F$1000,3,FALSE),"")</f>
        <v/>
      </c>
      <c r="G286" s="29"/>
      <c r="H286" s="29"/>
      <c r="I286" s="16"/>
      <c r="J286" s="16"/>
      <c r="K286" s="16" t="b">
        <v>0</v>
      </c>
      <c r="L286" s="16" t="b">
        <v>0</v>
      </c>
    </row>
    <row r="287">
      <c r="A287" s="108"/>
      <c r="B287" s="16"/>
      <c r="C287" s="7" t="str">
        <f>IFERROR(VLOOKUP(B287,'Master data'!$A$1:$F$1000,2,FALSE),"")</f>
        <v/>
      </c>
      <c r="D287" s="7" t="str">
        <f>IFERROR(VLOOKUP(B287,'Master data'!$A$1:$F$1000,6,FALSE),"")</f>
        <v/>
      </c>
      <c r="F287" s="7" t="str">
        <f>IFERROR(VLOOKUP(B287,'Master data'!$A$1:$F$1000,3,FALSE),"")</f>
        <v/>
      </c>
      <c r="G287" s="29"/>
      <c r="H287" s="29"/>
      <c r="I287" s="16"/>
      <c r="J287" s="16"/>
      <c r="K287" s="16" t="b">
        <v>0</v>
      </c>
      <c r="L287" s="16" t="b">
        <v>0</v>
      </c>
    </row>
    <row r="288">
      <c r="A288" s="108"/>
      <c r="B288" s="16"/>
      <c r="C288" s="7" t="str">
        <f>IFERROR(VLOOKUP(B288,'Master data'!$A$1:$F$1000,2,FALSE),"")</f>
        <v/>
      </c>
      <c r="D288" s="7" t="str">
        <f>IFERROR(VLOOKUP(B288,'Master data'!$A$1:$F$1000,6,FALSE),"")</f>
        <v/>
      </c>
      <c r="F288" s="7" t="str">
        <f>IFERROR(VLOOKUP(B288,'Master data'!$A$1:$F$1000,3,FALSE),"")</f>
        <v/>
      </c>
      <c r="G288" s="29"/>
      <c r="H288" s="29"/>
      <c r="I288" s="16"/>
      <c r="J288" s="16"/>
      <c r="K288" s="16" t="b">
        <v>0</v>
      </c>
      <c r="L288" s="16" t="b">
        <v>0</v>
      </c>
    </row>
    <row r="289">
      <c r="A289" s="108"/>
      <c r="B289" s="16"/>
      <c r="C289" s="7" t="str">
        <f>IFERROR(VLOOKUP(B289,'Master data'!$A$1:$F$1000,2,FALSE),"")</f>
        <v/>
      </c>
      <c r="D289" s="7" t="str">
        <f>IFERROR(VLOOKUP(B289,'Master data'!$A$1:$F$1000,6,FALSE),"")</f>
        <v/>
      </c>
      <c r="F289" s="7" t="str">
        <f>IFERROR(VLOOKUP(B289,'Master data'!$A$1:$F$1000,3,FALSE),"")</f>
        <v/>
      </c>
      <c r="G289" s="29"/>
      <c r="H289" s="29"/>
      <c r="I289" s="16"/>
      <c r="J289" s="16"/>
      <c r="K289" s="16" t="b">
        <v>0</v>
      </c>
      <c r="L289" s="16" t="b">
        <v>0</v>
      </c>
    </row>
    <row r="290">
      <c r="A290" s="108"/>
      <c r="B290" s="16"/>
      <c r="C290" s="7" t="str">
        <f>IFERROR(VLOOKUP(B290,'Master data'!$A$1:$F$1000,2,FALSE),"")</f>
        <v/>
      </c>
      <c r="D290" s="7" t="str">
        <f>IFERROR(VLOOKUP(B290,'Master data'!$A$1:$F$1000,6,FALSE),"")</f>
        <v/>
      </c>
      <c r="F290" s="7" t="str">
        <f>IFERROR(VLOOKUP(B290,'Master data'!$A$1:$F$1000,3,FALSE),"")</f>
        <v/>
      </c>
      <c r="G290" s="29"/>
      <c r="H290" s="29"/>
      <c r="I290" s="16"/>
      <c r="J290" s="16"/>
      <c r="K290" s="16" t="b">
        <v>0</v>
      </c>
      <c r="L290" s="16" t="b">
        <v>0</v>
      </c>
    </row>
    <row r="291">
      <c r="A291" s="108"/>
      <c r="B291" s="16"/>
      <c r="C291" s="7" t="str">
        <f>IFERROR(VLOOKUP(B291,'Master data'!$A$1:$F$1000,2,FALSE),"")</f>
        <v/>
      </c>
      <c r="D291" s="7" t="str">
        <f>IFERROR(VLOOKUP(B291,'Master data'!$A$1:$F$1000,6,FALSE),"")</f>
        <v/>
      </c>
      <c r="F291" s="7" t="str">
        <f>IFERROR(VLOOKUP(B291,'Master data'!$A$1:$F$1000,3,FALSE),"")</f>
        <v/>
      </c>
      <c r="G291" s="29"/>
      <c r="H291" s="29"/>
      <c r="I291" s="16"/>
      <c r="J291" s="16"/>
      <c r="K291" s="16" t="b">
        <v>0</v>
      </c>
      <c r="L291" s="16" t="b">
        <v>0</v>
      </c>
    </row>
    <row r="292">
      <c r="A292" s="108"/>
      <c r="B292" s="16"/>
      <c r="C292" s="7" t="str">
        <f>IFERROR(VLOOKUP(B292,'Master data'!$A$1:$F$1000,2,FALSE),"")</f>
        <v/>
      </c>
      <c r="D292" s="7" t="str">
        <f>IFERROR(VLOOKUP(B292,'Master data'!$A$1:$F$1000,6,FALSE),"")</f>
        <v/>
      </c>
      <c r="F292" s="7" t="str">
        <f>IFERROR(VLOOKUP(B292,'Master data'!$A$1:$F$1000,3,FALSE),"")</f>
        <v/>
      </c>
      <c r="G292" s="29"/>
      <c r="H292" s="29"/>
      <c r="I292" s="16"/>
      <c r="J292" s="16"/>
      <c r="K292" s="16" t="b">
        <v>0</v>
      </c>
      <c r="L292" s="16" t="b">
        <v>0</v>
      </c>
    </row>
    <row r="293">
      <c r="A293" s="108"/>
      <c r="B293" s="16"/>
      <c r="C293" s="7" t="str">
        <f>IFERROR(VLOOKUP(B293,'Master data'!$A$1:$F$1000,2,FALSE),"")</f>
        <v/>
      </c>
      <c r="D293" s="7" t="str">
        <f>IFERROR(VLOOKUP(B293,'Master data'!$A$1:$F$1000,6,FALSE),"")</f>
        <v/>
      </c>
      <c r="F293" s="7" t="str">
        <f>IFERROR(VLOOKUP(B293,'Master data'!$A$1:$F$1000,3,FALSE),"")</f>
        <v/>
      </c>
      <c r="G293" s="29"/>
      <c r="H293" s="29"/>
      <c r="I293" s="16"/>
      <c r="J293" s="16"/>
      <c r="K293" s="16" t="b">
        <v>0</v>
      </c>
      <c r="L293" s="16" t="b">
        <v>0</v>
      </c>
    </row>
    <row r="294">
      <c r="A294" s="108"/>
      <c r="B294" s="16"/>
      <c r="C294" s="7" t="str">
        <f>IFERROR(VLOOKUP(B294,'Master data'!$A$1:$F$1000,2,FALSE),"")</f>
        <v/>
      </c>
      <c r="D294" s="7" t="str">
        <f>IFERROR(VLOOKUP(B294,'Master data'!$A$1:$F$1000,6,FALSE),"")</f>
        <v/>
      </c>
      <c r="F294" s="7" t="str">
        <f>IFERROR(VLOOKUP(B294,'Master data'!$A$1:$F$1000,3,FALSE),"")</f>
        <v/>
      </c>
      <c r="G294" s="29"/>
      <c r="H294" s="29"/>
      <c r="I294" s="16"/>
      <c r="J294" s="16"/>
      <c r="K294" s="16" t="b">
        <v>0</v>
      </c>
      <c r="L294" s="16" t="b">
        <v>0</v>
      </c>
    </row>
    <row r="295">
      <c r="A295" s="108"/>
      <c r="B295" s="16"/>
      <c r="C295" s="7" t="str">
        <f>IFERROR(VLOOKUP(B295,'Master data'!$A$1:$F$1000,2,FALSE),"")</f>
        <v/>
      </c>
      <c r="D295" s="7" t="str">
        <f>IFERROR(VLOOKUP(B295,'Master data'!$A$1:$F$1000,6,FALSE),"")</f>
        <v/>
      </c>
      <c r="F295" s="7" t="str">
        <f>IFERROR(VLOOKUP(B295,'Master data'!$A$1:$F$1000,3,FALSE),"")</f>
        <v/>
      </c>
      <c r="G295" s="29"/>
      <c r="H295" s="29"/>
      <c r="I295" s="16"/>
      <c r="J295" s="16"/>
      <c r="K295" s="16" t="b">
        <v>0</v>
      </c>
      <c r="L295" s="16" t="b">
        <v>0</v>
      </c>
    </row>
    <row r="296">
      <c r="A296" s="108"/>
      <c r="B296" s="16"/>
      <c r="C296" s="7" t="str">
        <f>IFERROR(VLOOKUP(B296,'Master data'!$A$1:$F$1000,2,FALSE),"")</f>
        <v/>
      </c>
      <c r="D296" s="7" t="str">
        <f>IFERROR(VLOOKUP(B296,'Master data'!$A$1:$F$1000,6,FALSE),"")</f>
        <v/>
      </c>
      <c r="F296" s="7" t="str">
        <f>IFERROR(VLOOKUP(B296,'Master data'!$A$1:$F$1000,3,FALSE),"")</f>
        <v/>
      </c>
      <c r="G296" s="29"/>
      <c r="H296" s="29"/>
      <c r="I296" s="16"/>
      <c r="J296" s="16"/>
      <c r="K296" s="16" t="b">
        <v>0</v>
      </c>
      <c r="L296" s="16" t="b">
        <v>0</v>
      </c>
    </row>
    <row r="297">
      <c r="A297" s="108"/>
      <c r="B297" s="16"/>
      <c r="C297" s="7" t="str">
        <f>IFERROR(VLOOKUP(B297,'Master data'!$A$1:$F$1000,2,FALSE),"")</f>
        <v/>
      </c>
      <c r="D297" s="7" t="str">
        <f>IFERROR(VLOOKUP(B297,'Master data'!$A$1:$F$1000,6,FALSE),"")</f>
        <v/>
      </c>
      <c r="F297" s="7" t="str">
        <f>IFERROR(VLOOKUP(B297,'Master data'!$A$1:$F$1000,3,FALSE),"")</f>
        <v/>
      </c>
      <c r="G297" s="29"/>
      <c r="H297" s="29"/>
      <c r="I297" s="16"/>
      <c r="J297" s="16"/>
      <c r="K297" s="16" t="b">
        <v>0</v>
      </c>
      <c r="L297" s="16" t="b">
        <v>0</v>
      </c>
    </row>
    <row r="298">
      <c r="A298" s="108"/>
      <c r="B298" s="16"/>
      <c r="C298" s="7" t="str">
        <f>IFERROR(VLOOKUP(B298,'Master data'!$A$1:$F$1000,2,FALSE),"")</f>
        <v/>
      </c>
      <c r="D298" s="7" t="str">
        <f>IFERROR(VLOOKUP(B298,'Master data'!$A$1:$F$1000,6,FALSE),"")</f>
        <v/>
      </c>
      <c r="F298" s="7" t="str">
        <f>IFERROR(VLOOKUP(B298,'Master data'!$A$1:$F$1000,3,FALSE),"")</f>
        <v/>
      </c>
      <c r="G298" s="29"/>
      <c r="H298" s="29"/>
      <c r="I298" s="16"/>
      <c r="J298" s="16"/>
      <c r="K298" s="16" t="b">
        <v>0</v>
      </c>
      <c r="L298" s="16" t="b">
        <v>0</v>
      </c>
    </row>
    <row r="299">
      <c r="A299" s="108"/>
      <c r="B299" s="16"/>
      <c r="C299" s="7" t="str">
        <f>IFERROR(VLOOKUP(B299,'Master data'!$A$1:$F$1000,2,FALSE),"")</f>
        <v/>
      </c>
      <c r="D299" s="7" t="str">
        <f>IFERROR(VLOOKUP(B299,'Master data'!$A$1:$F$1000,6,FALSE),"")</f>
        <v/>
      </c>
      <c r="F299" s="7" t="str">
        <f>IFERROR(VLOOKUP(B299,'Master data'!$A$1:$F$1000,3,FALSE),"")</f>
        <v/>
      </c>
      <c r="G299" s="29"/>
      <c r="H299" s="29"/>
      <c r="I299" s="16"/>
      <c r="J299" s="16"/>
      <c r="K299" s="16" t="b">
        <v>0</v>
      </c>
      <c r="L299" s="16" t="b">
        <v>0</v>
      </c>
    </row>
    <row r="300">
      <c r="A300" s="108"/>
      <c r="B300" s="16"/>
      <c r="C300" s="7" t="str">
        <f>IFERROR(VLOOKUP(B300,'Master data'!$A$1:$F$1000,2,FALSE),"")</f>
        <v/>
      </c>
      <c r="D300" s="7" t="str">
        <f>IFERROR(VLOOKUP(B300,'Master data'!$A$1:$F$1000,6,FALSE),"")</f>
        <v/>
      </c>
      <c r="F300" s="7" t="str">
        <f>IFERROR(VLOOKUP(B300,'Master data'!$A$1:$F$1000,3,FALSE),"")</f>
        <v/>
      </c>
      <c r="G300" s="29"/>
      <c r="H300" s="29"/>
      <c r="I300" s="16"/>
      <c r="J300" s="16"/>
      <c r="K300" s="16" t="b">
        <v>0</v>
      </c>
      <c r="L300" s="16" t="b">
        <v>0</v>
      </c>
    </row>
    <row r="301">
      <c r="A301" s="108"/>
      <c r="B301" s="16"/>
      <c r="C301" s="7" t="str">
        <f>IFERROR(VLOOKUP(B301,'Master data'!$A$1:$F$1000,2,FALSE),"")</f>
        <v/>
      </c>
      <c r="D301" s="7" t="str">
        <f>IFERROR(VLOOKUP(B301,'Master data'!$A$1:$F$1000,6,FALSE),"")</f>
        <v/>
      </c>
      <c r="F301" s="7" t="str">
        <f>IFERROR(VLOOKUP(B301,'Master data'!$A$1:$F$1000,3,FALSE),"")</f>
        <v/>
      </c>
      <c r="G301" s="29"/>
      <c r="H301" s="29"/>
      <c r="I301" s="16"/>
      <c r="J301" s="16"/>
      <c r="K301" s="16" t="b">
        <v>0</v>
      </c>
      <c r="L301" s="16" t="b">
        <v>0</v>
      </c>
    </row>
    <row r="302">
      <c r="A302" s="108"/>
      <c r="B302" s="16"/>
      <c r="C302" s="7" t="str">
        <f>IFERROR(VLOOKUP(B302,'Master data'!$A$1:$F$1000,2,FALSE),"")</f>
        <v/>
      </c>
      <c r="D302" s="7" t="str">
        <f>IFERROR(VLOOKUP(B302,'Master data'!$A$1:$F$1000,6,FALSE),"")</f>
        <v/>
      </c>
      <c r="F302" s="7" t="str">
        <f>IFERROR(VLOOKUP(B302,'Master data'!$A$1:$F$1000,3,FALSE),"")</f>
        <v/>
      </c>
      <c r="G302" s="29"/>
      <c r="H302" s="29"/>
      <c r="I302" s="16"/>
      <c r="J302" s="16"/>
      <c r="K302" s="16" t="b">
        <v>0</v>
      </c>
      <c r="L302" s="16" t="b">
        <v>0</v>
      </c>
    </row>
    <row r="303">
      <c r="A303" s="108"/>
      <c r="B303" s="16"/>
      <c r="C303" s="7" t="str">
        <f>IFERROR(VLOOKUP(B303,'Master data'!$A$1:$F$1000,2,FALSE),"")</f>
        <v/>
      </c>
      <c r="D303" s="7" t="str">
        <f>IFERROR(VLOOKUP(B303,'Master data'!$A$1:$F$1000,6,FALSE),"")</f>
        <v/>
      </c>
      <c r="F303" s="7" t="str">
        <f>IFERROR(VLOOKUP(B303,'Master data'!$A$1:$F$1000,3,FALSE),"")</f>
        <v/>
      </c>
      <c r="G303" s="29"/>
      <c r="H303" s="29"/>
      <c r="I303" s="16"/>
      <c r="J303" s="16"/>
      <c r="K303" s="16" t="b">
        <v>0</v>
      </c>
      <c r="L303" s="16" t="b">
        <v>0</v>
      </c>
    </row>
    <row r="304">
      <c r="A304" s="108"/>
      <c r="B304" s="16"/>
      <c r="C304" s="7" t="str">
        <f>IFERROR(VLOOKUP(B304,'Master data'!$A$1:$F$1000,2,FALSE),"")</f>
        <v/>
      </c>
      <c r="D304" s="7" t="str">
        <f>IFERROR(VLOOKUP(B304,'Master data'!$A$1:$F$1000,6,FALSE),"")</f>
        <v/>
      </c>
      <c r="F304" s="7" t="str">
        <f>IFERROR(VLOOKUP(B304,'Master data'!$A$1:$F$1000,3,FALSE),"")</f>
        <v/>
      </c>
      <c r="G304" s="29"/>
      <c r="H304" s="29"/>
      <c r="I304" s="16"/>
      <c r="J304" s="16"/>
      <c r="K304" s="16" t="b">
        <v>0</v>
      </c>
      <c r="L304" s="16" t="b">
        <v>0</v>
      </c>
    </row>
    <row r="305">
      <c r="A305" s="108"/>
      <c r="B305" s="16"/>
      <c r="C305" s="7" t="str">
        <f>IFERROR(VLOOKUP(B305,'Master data'!$A$1:$F$1000,2,FALSE),"")</f>
        <v/>
      </c>
      <c r="D305" s="7" t="str">
        <f>IFERROR(VLOOKUP(B305,'Master data'!$A$1:$F$1000,6,FALSE),"")</f>
        <v/>
      </c>
      <c r="F305" s="7" t="str">
        <f>IFERROR(VLOOKUP(B305,'Master data'!$A$1:$F$1000,3,FALSE),"")</f>
        <v/>
      </c>
      <c r="G305" s="29"/>
      <c r="H305" s="29"/>
      <c r="I305" s="16"/>
      <c r="J305" s="16"/>
      <c r="K305" s="16" t="b">
        <v>0</v>
      </c>
      <c r="L305" s="16" t="b">
        <v>0</v>
      </c>
    </row>
    <row r="306">
      <c r="A306" s="108"/>
      <c r="B306" s="16"/>
      <c r="C306" s="7" t="str">
        <f>IFERROR(VLOOKUP(B306,'Master data'!$A$1:$F$1000,2,FALSE),"")</f>
        <v/>
      </c>
      <c r="D306" s="7" t="str">
        <f>IFERROR(VLOOKUP(B306,'Master data'!$A$1:$F$1000,6,FALSE),"")</f>
        <v/>
      </c>
      <c r="F306" s="7" t="str">
        <f>IFERROR(VLOOKUP(B306,'Master data'!$A$1:$F$1000,3,FALSE),"")</f>
        <v/>
      </c>
      <c r="G306" s="29"/>
      <c r="H306" s="29"/>
      <c r="I306" s="16"/>
      <c r="J306" s="16"/>
      <c r="K306" s="16" t="b">
        <v>0</v>
      </c>
      <c r="L306" s="16" t="b">
        <v>0</v>
      </c>
    </row>
    <row r="307">
      <c r="A307" s="108"/>
      <c r="B307" s="16"/>
      <c r="C307" s="7" t="str">
        <f>IFERROR(VLOOKUP(B307,'Master data'!$A$1:$F$1000,2,FALSE),"")</f>
        <v/>
      </c>
      <c r="D307" s="7" t="str">
        <f>IFERROR(VLOOKUP(B307,'Master data'!$A$1:$F$1000,6,FALSE),"")</f>
        <v/>
      </c>
      <c r="F307" s="7" t="str">
        <f>IFERROR(VLOOKUP(B307,'Master data'!$A$1:$F$1000,3,FALSE),"")</f>
        <v/>
      </c>
      <c r="G307" s="29"/>
      <c r="H307" s="29"/>
      <c r="I307" s="16"/>
      <c r="J307" s="16"/>
      <c r="K307" s="16" t="b">
        <v>0</v>
      </c>
      <c r="L307" s="16" t="b">
        <v>0</v>
      </c>
    </row>
    <row r="308">
      <c r="A308" s="108"/>
      <c r="B308" s="16"/>
      <c r="C308" s="7" t="str">
        <f>IFERROR(VLOOKUP(B308,'Master data'!$A$1:$F$1000,2,FALSE),"")</f>
        <v/>
      </c>
      <c r="D308" s="7" t="str">
        <f>IFERROR(VLOOKUP(B308,'Master data'!$A$1:$F$1000,6,FALSE),"")</f>
        <v/>
      </c>
      <c r="F308" s="7" t="str">
        <f>IFERROR(VLOOKUP(B308,'Master data'!$A$1:$F$1000,3,FALSE),"")</f>
        <v/>
      </c>
      <c r="G308" s="29"/>
      <c r="H308" s="29"/>
      <c r="I308" s="16"/>
      <c r="J308" s="16"/>
      <c r="K308" s="16" t="b">
        <v>0</v>
      </c>
      <c r="L308" s="16" t="b">
        <v>0</v>
      </c>
    </row>
    <row r="309">
      <c r="A309" s="108"/>
      <c r="B309" s="16"/>
      <c r="C309" s="7" t="str">
        <f>IFERROR(VLOOKUP(B309,'Master data'!$A$1:$F$1000,2,FALSE),"")</f>
        <v/>
      </c>
      <c r="D309" s="7" t="str">
        <f>IFERROR(VLOOKUP(B309,'Master data'!$A$1:$F$1000,6,FALSE),"")</f>
        <v/>
      </c>
      <c r="F309" s="7" t="str">
        <f>IFERROR(VLOOKUP(B309,'Master data'!$A$1:$F$1000,3,FALSE),"")</f>
        <v/>
      </c>
      <c r="G309" s="29"/>
      <c r="H309" s="29"/>
      <c r="I309" s="16"/>
      <c r="J309" s="16"/>
      <c r="K309" s="16" t="b">
        <v>0</v>
      </c>
      <c r="L309" s="16" t="b">
        <v>0</v>
      </c>
    </row>
    <row r="310">
      <c r="A310" s="108"/>
      <c r="B310" s="16"/>
      <c r="C310" s="7" t="str">
        <f>IFERROR(VLOOKUP(B310,'Master data'!$A$1:$F$1000,2,FALSE),"")</f>
        <v/>
      </c>
      <c r="D310" s="7" t="str">
        <f>IFERROR(VLOOKUP(B310,'Master data'!$A$1:$F$1000,6,FALSE),"")</f>
        <v/>
      </c>
      <c r="F310" s="7" t="str">
        <f>IFERROR(VLOOKUP(B310,'Master data'!$A$1:$F$1000,3,FALSE),"")</f>
        <v/>
      </c>
      <c r="G310" s="29"/>
      <c r="H310" s="29"/>
      <c r="I310" s="16"/>
      <c r="J310" s="16"/>
      <c r="K310" s="16" t="b">
        <v>0</v>
      </c>
      <c r="L310" s="16" t="b">
        <v>0</v>
      </c>
    </row>
    <row r="311">
      <c r="A311" s="108"/>
      <c r="B311" s="16"/>
      <c r="C311" s="7" t="str">
        <f>IFERROR(VLOOKUP(B311,'Master data'!$A$1:$F$1000,2,FALSE),"")</f>
        <v/>
      </c>
      <c r="D311" s="7" t="str">
        <f>IFERROR(VLOOKUP(B311,'Master data'!$A$1:$F$1000,6,FALSE),"")</f>
        <v/>
      </c>
      <c r="F311" s="7" t="str">
        <f>IFERROR(VLOOKUP(B311,'Master data'!$A$1:$F$1000,3,FALSE),"")</f>
        <v/>
      </c>
      <c r="G311" s="29"/>
      <c r="H311" s="29"/>
      <c r="I311" s="16"/>
      <c r="J311" s="16"/>
      <c r="K311" s="16" t="b">
        <v>0</v>
      </c>
      <c r="L311" s="16" t="b">
        <v>0</v>
      </c>
    </row>
    <row r="312">
      <c r="A312" s="108"/>
      <c r="B312" s="16"/>
      <c r="C312" s="7" t="str">
        <f>IFERROR(VLOOKUP(B312,'Master data'!$A$1:$F$1000,2,FALSE),"")</f>
        <v/>
      </c>
      <c r="D312" s="7" t="str">
        <f>IFERROR(VLOOKUP(B312,'Master data'!$A$1:$F$1000,6,FALSE),"")</f>
        <v/>
      </c>
      <c r="F312" s="7" t="str">
        <f>IFERROR(VLOOKUP(B312,'Master data'!$A$1:$F$1000,3,FALSE),"")</f>
        <v/>
      </c>
      <c r="G312" s="29"/>
      <c r="H312" s="29"/>
      <c r="I312" s="16"/>
      <c r="J312" s="16"/>
      <c r="K312" s="16" t="b">
        <v>0</v>
      </c>
      <c r="L312" s="16" t="b">
        <v>0</v>
      </c>
    </row>
    <row r="313">
      <c r="A313" s="108"/>
      <c r="B313" s="16"/>
      <c r="C313" s="7" t="str">
        <f>IFERROR(VLOOKUP(B313,'Master data'!$A$1:$F$1000,2,FALSE),"")</f>
        <v/>
      </c>
      <c r="D313" s="7" t="str">
        <f>IFERROR(VLOOKUP(B313,'Master data'!$A$1:$F$1000,6,FALSE),"")</f>
        <v/>
      </c>
      <c r="F313" s="7" t="str">
        <f>IFERROR(VLOOKUP(B313,'Master data'!$A$1:$F$1000,3,FALSE),"")</f>
        <v/>
      </c>
      <c r="G313" s="29"/>
      <c r="H313" s="29"/>
      <c r="I313" s="16"/>
      <c r="J313" s="16"/>
      <c r="K313" s="16" t="b">
        <v>0</v>
      </c>
      <c r="L313" s="16" t="b">
        <v>0</v>
      </c>
    </row>
    <row r="314">
      <c r="A314" s="108"/>
      <c r="B314" s="16"/>
      <c r="C314" s="7" t="str">
        <f>IFERROR(VLOOKUP(B314,'Master data'!$A$1:$F$1000,2,FALSE),"")</f>
        <v/>
      </c>
      <c r="D314" s="7" t="str">
        <f>IFERROR(VLOOKUP(B314,'Master data'!$A$1:$F$1000,6,FALSE),"")</f>
        <v/>
      </c>
      <c r="F314" s="7" t="str">
        <f>IFERROR(VLOOKUP(B314,'Master data'!$A$1:$F$1000,3,FALSE),"")</f>
        <v/>
      </c>
      <c r="G314" s="29"/>
      <c r="H314" s="29"/>
      <c r="I314" s="16"/>
      <c r="J314" s="16"/>
      <c r="K314" s="16" t="b">
        <v>0</v>
      </c>
      <c r="L314" s="16" t="b">
        <v>0</v>
      </c>
    </row>
    <row r="315">
      <c r="A315" s="108"/>
      <c r="B315" s="16"/>
      <c r="C315" s="7" t="str">
        <f>IFERROR(VLOOKUP(B315,'Master data'!$A$1:$F$1000,2,FALSE),"")</f>
        <v/>
      </c>
      <c r="D315" s="7" t="str">
        <f>IFERROR(VLOOKUP(B315,'Master data'!$A$1:$F$1000,6,FALSE),"")</f>
        <v/>
      </c>
      <c r="F315" s="7" t="str">
        <f>IFERROR(VLOOKUP(B315,'Master data'!$A$1:$F$1000,3,FALSE),"")</f>
        <v/>
      </c>
      <c r="G315" s="29"/>
      <c r="H315" s="29"/>
      <c r="I315" s="16"/>
      <c r="J315" s="16"/>
      <c r="K315" s="16" t="b">
        <v>0</v>
      </c>
      <c r="L315" s="16" t="b">
        <v>0</v>
      </c>
    </row>
    <row r="316">
      <c r="A316" s="108"/>
      <c r="B316" s="16"/>
      <c r="C316" s="7" t="str">
        <f>IFERROR(VLOOKUP(B316,'Master data'!$A$1:$F$1000,2,FALSE),"")</f>
        <v/>
      </c>
      <c r="D316" s="7" t="str">
        <f>IFERROR(VLOOKUP(B316,'Master data'!$A$1:$F$1000,6,FALSE),"")</f>
        <v/>
      </c>
      <c r="F316" s="7" t="str">
        <f>IFERROR(VLOOKUP(B316,'Master data'!$A$1:$F$1000,3,FALSE),"")</f>
        <v/>
      </c>
      <c r="G316" s="29"/>
      <c r="H316" s="29"/>
      <c r="I316" s="16"/>
      <c r="J316" s="16"/>
      <c r="K316" s="16" t="b">
        <v>0</v>
      </c>
      <c r="L316" s="16" t="b">
        <v>0</v>
      </c>
    </row>
    <row r="317">
      <c r="A317" s="108"/>
      <c r="B317" s="16"/>
      <c r="C317" s="7" t="str">
        <f>IFERROR(VLOOKUP(B317,'Master data'!$A$1:$F$1000,2,FALSE),"")</f>
        <v/>
      </c>
      <c r="D317" s="7" t="str">
        <f>IFERROR(VLOOKUP(B317,'Master data'!$A$1:$F$1000,6,FALSE),"")</f>
        <v/>
      </c>
      <c r="F317" s="7" t="str">
        <f>IFERROR(VLOOKUP(B317,'Master data'!$A$1:$F$1000,3,FALSE),"")</f>
        <v/>
      </c>
      <c r="G317" s="29"/>
      <c r="H317" s="29"/>
      <c r="I317" s="16"/>
      <c r="J317" s="16"/>
      <c r="K317" s="16" t="b">
        <v>0</v>
      </c>
      <c r="L317" s="16" t="b">
        <v>0</v>
      </c>
    </row>
    <row r="318">
      <c r="A318" s="108"/>
      <c r="B318" s="16"/>
      <c r="C318" s="7" t="str">
        <f>IFERROR(VLOOKUP(B318,'Master data'!$A$1:$F$1000,2,FALSE),"")</f>
        <v/>
      </c>
      <c r="D318" s="7" t="str">
        <f>IFERROR(VLOOKUP(B318,'Master data'!$A$1:$F$1000,6,FALSE),"")</f>
        <v/>
      </c>
      <c r="F318" s="7" t="str">
        <f>IFERROR(VLOOKUP(B318,'Master data'!$A$1:$F$1000,3,FALSE),"")</f>
        <v/>
      </c>
      <c r="G318" s="29"/>
      <c r="H318" s="29"/>
      <c r="I318" s="16"/>
      <c r="J318" s="16"/>
      <c r="K318" s="16" t="b">
        <v>0</v>
      </c>
      <c r="L318" s="16" t="b">
        <v>0</v>
      </c>
    </row>
    <row r="319">
      <c r="A319" s="108"/>
      <c r="B319" s="16"/>
      <c r="C319" s="7" t="str">
        <f>IFERROR(VLOOKUP(B319,'Master data'!$A$1:$F$1000,2,FALSE),"")</f>
        <v/>
      </c>
      <c r="D319" s="7" t="str">
        <f>IFERROR(VLOOKUP(B319,'Master data'!$A$1:$F$1000,6,FALSE),"")</f>
        <v/>
      </c>
      <c r="F319" s="7" t="str">
        <f>IFERROR(VLOOKUP(B319,'Master data'!$A$1:$F$1000,3,FALSE),"")</f>
        <v/>
      </c>
      <c r="G319" s="29"/>
      <c r="H319" s="29"/>
      <c r="I319" s="16"/>
      <c r="J319" s="16"/>
      <c r="K319" s="16" t="b">
        <v>0</v>
      </c>
      <c r="L319" s="16" t="b">
        <v>0</v>
      </c>
    </row>
    <row r="320">
      <c r="A320" s="108"/>
      <c r="B320" s="16"/>
      <c r="C320" s="7" t="str">
        <f>IFERROR(VLOOKUP(B320,'Master data'!$A$1:$F$1000,2,FALSE),"")</f>
        <v/>
      </c>
      <c r="D320" s="7" t="str">
        <f>IFERROR(VLOOKUP(B320,'Master data'!$A$1:$F$1000,6,FALSE),"")</f>
        <v/>
      </c>
      <c r="F320" s="7" t="str">
        <f>IFERROR(VLOOKUP(B320,'Master data'!$A$1:$F$1000,3,FALSE),"")</f>
        <v/>
      </c>
      <c r="G320" s="29"/>
      <c r="H320" s="29"/>
      <c r="I320" s="16"/>
      <c r="J320" s="16"/>
      <c r="K320" s="16" t="b">
        <v>0</v>
      </c>
      <c r="L320" s="16" t="b">
        <v>0</v>
      </c>
    </row>
    <row r="321">
      <c r="A321" s="108"/>
      <c r="B321" s="16"/>
      <c r="C321" s="7" t="str">
        <f>IFERROR(VLOOKUP(B321,'Master data'!$A$1:$F$1000,2,FALSE),"")</f>
        <v/>
      </c>
      <c r="D321" s="7" t="str">
        <f>IFERROR(VLOOKUP(B321,'Master data'!$A$1:$F$1000,6,FALSE),"")</f>
        <v/>
      </c>
      <c r="F321" s="7" t="str">
        <f>IFERROR(VLOOKUP(B321,'Master data'!$A$1:$F$1000,3,FALSE),"")</f>
        <v/>
      </c>
      <c r="G321" s="29"/>
      <c r="H321" s="29"/>
      <c r="I321" s="16"/>
      <c r="J321" s="16"/>
      <c r="K321" s="16" t="b">
        <v>0</v>
      </c>
      <c r="L321" s="16" t="b">
        <v>0</v>
      </c>
    </row>
    <row r="322">
      <c r="A322" s="108"/>
      <c r="B322" s="16"/>
      <c r="C322" s="7" t="str">
        <f>IFERROR(VLOOKUP(B322,'Master data'!$A$1:$F$1000,2,FALSE),"")</f>
        <v/>
      </c>
      <c r="D322" s="7" t="str">
        <f>IFERROR(VLOOKUP(B322,'Master data'!$A$1:$F$1000,6,FALSE),"")</f>
        <v/>
      </c>
      <c r="F322" s="7" t="str">
        <f>IFERROR(VLOOKUP(B322,'Master data'!$A$1:$F$1000,3,FALSE),"")</f>
        <v/>
      </c>
      <c r="G322" s="29"/>
      <c r="H322" s="29"/>
      <c r="I322" s="16"/>
      <c r="J322" s="16"/>
      <c r="K322" s="16" t="b">
        <v>0</v>
      </c>
      <c r="L322" s="16" t="b">
        <v>0</v>
      </c>
    </row>
    <row r="323">
      <c r="A323" s="108"/>
      <c r="B323" s="16"/>
      <c r="C323" s="7" t="str">
        <f>IFERROR(VLOOKUP(B323,'Master data'!$A$1:$F$1000,2,FALSE),"")</f>
        <v/>
      </c>
      <c r="D323" s="7" t="str">
        <f>IFERROR(VLOOKUP(B323,'Master data'!$A$1:$F$1000,6,FALSE),"")</f>
        <v/>
      </c>
      <c r="F323" s="7" t="str">
        <f>IFERROR(VLOOKUP(B323,'Master data'!$A$1:$F$1000,3,FALSE),"")</f>
        <v/>
      </c>
      <c r="G323" s="29"/>
      <c r="H323" s="29"/>
      <c r="I323" s="16"/>
      <c r="J323" s="16"/>
      <c r="K323" s="16" t="b">
        <v>0</v>
      </c>
      <c r="L323" s="16" t="b">
        <v>0</v>
      </c>
    </row>
    <row r="324">
      <c r="A324" s="108"/>
      <c r="B324" s="16"/>
      <c r="C324" s="7" t="str">
        <f>IFERROR(VLOOKUP(B324,'Master data'!$A$1:$F$1000,2,FALSE),"")</f>
        <v/>
      </c>
      <c r="D324" s="7" t="str">
        <f>IFERROR(VLOOKUP(B324,'Master data'!$A$1:$F$1000,6,FALSE),"")</f>
        <v/>
      </c>
      <c r="F324" s="7" t="str">
        <f>IFERROR(VLOOKUP(B324,'Master data'!$A$1:$F$1000,3,FALSE),"")</f>
        <v/>
      </c>
      <c r="G324" s="29"/>
      <c r="H324" s="29"/>
      <c r="I324" s="16"/>
      <c r="J324" s="16"/>
      <c r="K324" s="16" t="b">
        <v>0</v>
      </c>
      <c r="L324" s="16" t="b">
        <v>0</v>
      </c>
    </row>
    <row r="325">
      <c r="A325" s="108"/>
      <c r="B325" s="16"/>
      <c r="C325" s="7" t="str">
        <f>IFERROR(VLOOKUP(B325,'Master data'!$A$1:$F$1000,2,FALSE),"")</f>
        <v/>
      </c>
      <c r="D325" s="7" t="str">
        <f>IFERROR(VLOOKUP(B325,'Master data'!$A$1:$F$1000,6,FALSE),"")</f>
        <v/>
      </c>
      <c r="F325" s="7" t="str">
        <f>IFERROR(VLOOKUP(B325,'Master data'!$A$1:$F$1000,3,FALSE),"")</f>
        <v/>
      </c>
      <c r="G325" s="29"/>
      <c r="H325" s="29"/>
      <c r="I325" s="16"/>
      <c r="J325" s="16"/>
      <c r="K325" s="16" t="b">
        <v>0</v>
      </c>
      <c r="L325" s="16" t="b">
        <v>0</v>
      </c>
    </row>
    <row r="326">
      <c r="A326" s="108"/>
      <c r="B326" s="16"/>
      <c r="C326" s="7" t="str">
        <f>IFERROR(VLOOKUP(B326,'Master data'!$A$1:$F$1000,2,FALSE),"")</f>
        <v/>
      </c>
      <c r="D326" s="7" t="str">
        <f>IFERROR(VLOOKUP(B326,'Master data'!$A$1:$F$1000,6,FALSE),"")</f>
        <v/>
      </c>
      <c r="F326" s="7" t="str">
        <f>IFERROR(VLOOKUP(B326,'Master data'!$A$1:$F$1000,3,FALSE),"")</f>
        <v/>
      </c>
      <c r="G326" s="29"/>
      <c r="H326" s="29"/>
      <c r="I326" s="16"/>
      <c r="J326" s="16"/>
      <c r="K326" s="16" t="b">
        <v>0</v>
      </c>
      <c r="L326" s="16" t="b">
        <v>0</v>
      </c>
    </row>
    <row r="327">
      <c r="A327" s="108"/>
      <c r="B327" s="16"/>
      <c r="C327" s="7" t="str">
        <f>IFERROR(VLOOKUP(B327,'Master data'!$A$1:$F$1000,2,FALSE),"")</f>
        <v/>
      </c>
      <c r="D327" s="7" t="str">
        <f>IFERROR(VLOOKUP(B327,'Master data'!$A$1:$F$1000,6,FALSE),"")</f>
        <v/>
      </c>
      <c r="F327" s="7" t="str">
        <f>IFERROR(VLOOKUP(B327,'Master data'!$A$1:$F$1000,3,FALSE),"")</f>
        <v/>
      </c>
      <c r="G327" s="29"/>
      <c r="H327" s="29"/>
      <c r="I327" s="16"/>
      <c r="J327" s="16"/>
      <c r="K327" s="16" t="b">
        <v>0</v>
      </c>
      <c r="L327" s="16" t="b">
        <v>0</v>
      </c>
    </row>
    <row r="328">
      <c r="A328" s="108"/>
      <c r="B328" s="16"/>
      <c r="C328" s="7" t="str">
        <f>IFERROR(VLOOKUP(B328,'Master data'!$A$1:$F$1000,2,FALSE),"")</f>
        <v/>
      </c>
      <c r="D328" s="7" t="str">
        <f>IFERROR(VLOOKUP(B328,'Master data'!$A$1:$F$1000,6,FALSE),"")</f>
        <v/>
      </c>
      <c r="F328" s="7" t="str">
        <f>IFERROR(VLOOKUP(B328,'Master data'!$A$1:$F$1000,3,FALSE),"")</f>
        <v/>
      </c>
      <c r="G328" s="29"/>
      <c r="H328" s="29"/>
      <c r="I328" s="16"/>
      <c r="J328" s="16"/>
      <c r="K328" s="16" t="b">
        <v>0</v>
      </c>
      <c r="L328" s="16" t="b">
        <v>0</v>
      </c>
    </row>
    <row r="329">
      <c r="A329" s="108"/>
      <c r="B329" s="16"/>
      <c r="C329" s="7" t="str">
        <f>IFERROR(VLOOKUP(B329,'Master data'!$A$1:$F$1000,2,FALSE),"")</f>
        <v/>
      </c>
      <c r="D329" s="7" t="str">
        <f>IFERROR(VLOOKUP(B329,'Master data'!$A$1:$F$1000,6,FALSE),"")</f>
        <v/>
      </c>
      <c r="F329" s="7" t="str">
        <f>IFERROR(VLOOKUP(B329,'Master data'!$A$1:$F$1000,3,FALSE),"")</f>
        <v/>
      </c>
      <c r="G329" s="29"/>
      <c r="H329" s="29"/>
      <c r="I329" s="16"/>
      <c r="J329" s="16"/>
      <c r="K329" s="16" t="b">
        <v>0</v>
      </c>
      <c r="L329" s="16" t="b">
        <v>0</v>
      </c>
    </row>
    <row r="330">
      <c r="A330" s="108"/>
      <c r="B330" s="16"/>
      <c r="C330" s="7" t="str">
        <f>IFERROR(VLOOKUP(B330,'Master data'!$A$1:$F$1000,2,FALSE),"")</f>
        <v/>
      </c>
      <c r="D330" s="7" t="str">
        <f>IFERROR(VLOOKUP(B330,'Master data'!$A$1:$F$1000,6,FALSE),"")</f>
        <v/>
      </c>
      <c r="F330" s="7" t="str">
        <f>IFERROR(VLOOKUP(B330,'Master data'!$A$1:$F$1000,3,FALSE),"")</f>
        <v/>
      </c>
      <c r="G330" s="29"/>
      <c r="H330" s="29"/>
      <c r="I330" s="16"/>
      <c r="J330" s="16"/>
      <c r="K330" s="16" t="b">
        <v>0</v>
      </c>
      <c r="L330" s="16" t="b">
        <v>0</v>
      </c>
    </row>
    <row r="331">
      <c r="A331" s="108"/>
      <c r="B331" s="16"/>
      <c r="C331" s="7" t="str">
        <f>IFERROR(VLOOKUP(B331,'Master data'!$A$1:$F$1000,2,FALSE),"")</f>
        <v/>
      </c>
      <c r="D331" s="7" t="str">
        <f>IFERROR(VLOOKUP(B331,'Master data'!$A$1:$F$1000,6,FALSE),"")</f>
        <v/>
      </c>
      <c r="F331" s="7" t="str">
        <f>IFERROR(VLOOKUP(B331,'Master data'!$A$1:$F$1000,3,FALSE),"")</f>
        <v/>
      </c>
      <c r="G331" s="29"/>
      <c r="H331" s="29"/>
      <c r="I331" s="16"/>
      <c r="J331" s="16"/>
      <c r="K331" s="16" t="b">
        <v>0</v>
      </c>
      <c r="L331" s="16" t="b">
        <v>0</v>
      </c>
    </row>
    <row r="332">
      <c r="A332" s="108"/>
      <c r="B332" s="16"/>
      <c r="C332" s="7" t="str">
        <f>IFERROR(VLOOKUP(B332,'Master data'!$A$1:$F$1000,2,FALSE),"")</f>
        <v/>
      </c>
      <c r="D332" s="7" t="str">
        <f>IFERROR(VLOOKUP(B332,'Master data'!$A$1:$F$1000,6,FALSE),"")</f>
        <v/>
      </c>
      <c r="F332" s="7" t="str">
        <f>IFERROR(VLOOKUP(B332,'Master data'!$A$1:$F$1000,3,FALSE),"")</f>
        <v/>
      </c>
      <c r="G332" s="29"/>
      <c r="H332" s="29"/>
      <c r="I332" s="16"/>
      <c r="J332" s="16"/>
      <c r="K332" s="16" t="b">
        <v>0</v>
      </c>
      <c r="L332" s="16" t="b">
        <v>0</v>
      </c>
    </row>
    <row r="333">
      <c r="A333" s="108"/>
      <c r="B333" s="16"/>
      <c r="C333" s="7" t="str">
        <f>IFERROR(VLOOKUP(B333,'Master data'!$A$1:$F$1000,2,FALSE),"")</f>
        <v/>
      </c>
      <c r="D333" s="7" t="str">
        <f>IFERROR(VLOOKUP(B333,'Master data'!$A$1:$F$1000,6,FALSE),"")</f>
        <v/>
      </c>
      <c r="F333" s="7" t="str">
        <f>IFERROR(VLOOKUP(B333,'Master data'!$A$1:$F$1000,3,FALSE),"")</f>
        <v/>
      </c>
      <c r="G333" s="29"/>
      <c r="H333" s="29"/>
      <c r="I333" s="16"/>
      <c r="J333" s="16"/>
      <c r="K333" s="16" t="b">
        <v>0</v>
      </c>
      <c r="L333" s="16" t="b">
        <v>0</v>
      </c>
    </row>
    <row r="334">
      <c r="A334" s="108"/>
      <c r="B334" s="16"/>
      <c r="C334" s="7" t="str">
        <f>IFERROR(VLOOKUP(B334,'Master data'!$A$1:$F$1000,2,FALSE),"")</f>
        <v/>
      </c>
      <c r="D334" s="7" t="str">
        <f>IFERROR(VLOOKUP(B334,'Master data'!$A$1:$F$1000,6,FALSE),"")</f>
        <v/>
      </c>
      <c r="F334" s="7" t="str">
        <f>IFERROR(VLOOKUP(B334,'Master data'!$A$1:$F$1000,3,FALSE),"")</f>
        <v/>
      </c>
      <c r="G334" s="29"/>
      <c r="H334" s="29"/>
      <c r="I334" s="16"/>
      <c r="J334" s="16"/>
      <c r="K334" s="16" t="b">
        <v>0</v>
      </c>
      <c r="L334" s="16" t="b">
        <v>0</v>
      </c>
    </row>
    <row r="335">
      <c r="A335" s="108"/>
      <c r="B335" s="16"/>
      <c r="C335" s="7" t="str">
        <f>IFERROR(VLOOKUP(B335,'Master data'!$A$1:$F$1000,2,FALSE),"")</f>
        <v/>
      </c>
      <c r="D335" s="7" t="str">
        <f>IFERROR(VLOOKUP(B335,'Master data'!$A$1:$F$1000,6,FALSE),"")</f>
        <v/>
      </c>
      <c r="F335" s="7" t="str">
        <f>IFERROR(VLOOKUP(B335,'Master data'!$A$1:$F$1000,3,FALSE),"")</f>
        <v/>
      </c>
      <c r="G335" s="29"/>
      <c r="H335" s="29"/>
      <c r="I335" s="16"/>
      <c r="J335" s="16"/>
      <c r="K335" s="16" t="b">
        <v>0</v>
      </c>
      <c r="L335" s="16" t="b">
        <v>0</v>
      </c>
    </row>
    <row r="336">
      <c r="A336" s="108"/>
      <c r="B336" s="16"/>
      <c r="C336" s="7" t="str">
        <f>IFERROR(VLOOKUP(B336,'Master data'!$A$1:$F$1000,2,FALSE),"")</f>
        <v/>
      </c>
      <c r="D336" s="7" t="str">
        <f>IFERROR(VLOOKUP(B336,'Master data'!$A$1:$F$1000,6,FALSE),"")</f>
        <v/>
      </c>
      <c r="F336" s="7" t="str">
        <f>IFERROR(VLOOKUP(B336,'Master data'!$A$1:$F$1000,3,FALSE),"")</f>
        <v/>
      </c>
      <c r="G336" s="29"/>
      <c r="H336" s="29"/>
      <c r="I336" s="16"/>
      <c r="J336" s="16"/>
      <c r="K336" s="16" t="b">
        <v>0</v>
      </c>
      <c r="L336" s="16" t="b">
        <v>0</v>
      </c>
    </row>
    <row r="337">
      <c r="A337" s="108"/>
      <c r="B337" s="16"/>
      <c r="C337" s="7" t="str">
        <f>IFERROR(VLOOKUP(B337,'Master data'!$A$1:$F$1000,2,FALSE),"")</f>
        <v/>
      </c>
      <c r="D337" s="7" t="str">
        <f>IFERROR(VLOOKUP(B337,'Master data'!$A$1:$F$1000,6,FALSE),"")</f>
        <v/>
      </c>
      <c r="F337" s="7" t="str">
        <f>IFERROR(VLOOKUP(B337,'Master data'!$A$1:$F$1000,3,FALSE),"")</f>
        <v/>
      </c>
      <c r="G337" s="29"/>
      <c r="H337" s="29"/>
      <c r="I337" s="16"/>
      <c r="J337" s="16"/>
      <c r="K337" s="16" t="b">
        <v>0</v>
      </c>
      <c r="L337" s="16" t="b">
        <v>0</v>
      </c>
    </row>
    <row r="338">
      <c r="A338" s="108"/>
      <c r="B338" s="16"/>
      <c r="C338" s="7" t="str">
        <f>IFERROR(VLOOKUP(B338,'Master data'!$A$1:$F$1000,2,FALSE),"")</f>
        <v/>
      </c>
      <c r="D338" s="7" t="str">
        <f>IFERROR(VLOOKUP(B338,'Master data'!$A$1:$F$1000,6,FALSE),"")</f>
        <v/>
      </c>
      <c r="F338" s="7" t="str">
        <f>IFERROR(VLOOKUP(B338,'Master data'!$A$1:$F$1000,3,FALSE),"")</f>
        <v/>
      </c>
      <c r="G338" s="29"/>
      <c r="H338" s="29"/>
      <c r="I338" s="16"/>
      <c r="J338" s="16"/>
      <c r="K338" s="16" t="b">
        <v>0</v>
      </c>
      <c r="L338" s="16" t="b">
        <v>0</v>
      </c>
    </row>
    <row r="339">
      <c r="A339" s="108"/>
      <c r="B339" s="16"/>
      <c r="C339" s="7" t="str">
        <f>IFERROR(VLOOKUP(B339,'Master data'!$A$1:$F$1000,2,FALSE),"")</f>
        <v/>
      </c>
      <c r="D339" s="7" t="str">
        <f>IFERROR(VLOOKUP(B339,'Master data'!$A$1:$F$1000,6,FALSE),"")</f>
        <v/>
      </c>
      <c r="F339" s="7" t="str">
        <f>IFERROR(VLOOKUP(B339,'Master data'!$A$1:$F$1000,3,FALSE),"")</f>
        <v/>
      </c>
      <c r="G339" s="29"/>
      <c r="H339" s="29"/>
      <c r="I339" s="16"/>
      <c r="J339" s="16"/>
      <c r="K339" s="16" t="b">
        <v>0</v>
      </c>
      <c r="L339" s="16" t="b">
        <v>0</v>
      </c>
    </row>
    <row r="340">
      <c r="A340" s="108"/>
      <c r="B340" s="16"/>
      <c r="C340" s="7" t="str">
        <f>IFERROR(VLOOKUP(B340,'Master data'!$A$1:$F$1000,2,FALSE),"")</f>
        <v/>
      </c>
      <c r="D340" s="7" t="str">
        <f>IFERROR(VLOOKUP(B340,'Master data'!$A$1:$F$1000,6,FALSE),"")</f>
        <v/>
      </c>
      <c r="F340" s="7" t="str">
        <f>IFERROR(VLOOKUP(B340,'Master data'!$A$1:$F$1000,3,FALSE),"")</f>
        <v/>
      </c>
      <c r="G340" s="29"/>
      <c r="H340" s="29"/>
      <c r="I340" s="16"/>
      <c r="J340" s="16"/>
      <c r="K340" s="16" t="b">
        <v>0</v>
      </c>
      <c r="L340" s="16" t="b">
        <v>0</v>
      </c>
    </row>
    <row r="341">
      <c r="A341" s="108"/>
      <c r="B341" s="16"/>
      <c r="C341" s="7" t="str">
        <f>IFERROR(VLOOKUP(B341,'Master data'!$A$1:$F$1000,2,FALSE),"")</f>
        <v/>
      </c>
      <c r="D341" s="7" t="str">
        <f>IFERROR(VLOOKUP(B341,'Master data'!$A$1:$F$1000,6,FALSE),"")</f>
        <v/>
      </c>
      <c r="F341" s="7" t="str">
        <f>IFERROR(VLOOKUP(B341,'Master data'!$A$1:$F$1000,3,FALSE),"")</f>
        <v/>
      </c>
      <c r="G341" s="29"/>
      <c r="H341" s="29"/>
      <c r="I341" s="16"/>
      <c r="J341" s="16"/>
      <c r="K341" s="16" t="b">
        <v>0</v>
      </c>
      <c r="L341" s="16" t="b">
        <v>0</v>
      </c>
    </row>
    <row r="342">
      <c r="A342" s="108"/>
      <c r="B342" s="16"/>
      <c r="C342" s="7" t="str">
        <f>IFERROR(VLOOKUP(B342,'Master data'!$A$1:$F$1000,2,FALSE),"")</f>
        <v/>
      </c>
      <c r="D342" s="7" t="str">
        <f>IFERROR(VLOOKUP(B342,'Master data'!$A$1:$F$1000,6,FALSE),"")</f>
        <v/>
      </c>
      <c r="F342" s="7" t="str">
        <f>IFERROR(VLOOKUP(B342,'Master data'!$A$1:$F$1000,3,FALSE),"")</f>
        <v/>
      </c>
      <c r="G342" s="29"/>
      <c r="H342" s="29"/>
      <c r="I342" s="16"/>
      <c r="J342" s="16"/>
      <c r="K342" s="16" t="b">
        <v>0</v>
      </c>
      <c r="L342" s="16" t="b">
        <v>0</v>
      </c>
    </row>
    <row r="343">
      <c r="A343" s="108"/>
      <c r="B343" s="16"/>
      <c r="C343" s="7" t="str">
        <f>IFERROR(VLOOKUP(B343,'Master data'!$A$1:$F$1000,2,FALSE),"")</f>
        <v/>
      </c>
      <c r="D343" s="7" t="str">
        <f>IFERROR(VLOOKUP(B343,'Master data'!$A$1:$F$1000,6,FALSE),"")</f>
        <v/>
      </c>
      <c r="F343" s="7" t="str">
        <f>IFERROR(VLOOKUP(B343,'Master data'!$A$1:$F$1000,3,FALSE),"")</f>
        <v/>
      </c>
      <c r="G343" s="29"/>
      <c r="H343" s="29"/>
      <c r="I343" s="16"/>
      <c r="J343" s="16"/>
      <c r="K343" s="16" t="b">
        <v>0</v>
      </c>
      <c r="L343" s="16" t="b">
        <v>0</v>
      </c>
    </row>
    <row r="344">
      <c r="A344" s="108"/>
      <c r="B344" s="16"/>
      <c r="C344" s="7" t="str">
        <f>IFERROR(VLOOKUP(B344,'Master data'!$A$1:$F$1000,2,FALSE),"")</f>
        <v/>
      </c>
      <c r="D344" s="7" t="str">
        <f>IFERROR(VLOOKUP(B344,'Master data'!$A$1:$F$1000,6,FALSE),"")</f>
        <v/>
      </c>
      <c r="F344" s="7" t="str">
        <f>IFERROR(VLOOKUP(B344,'Master data'!$A$1:$F$1000,3,FALSE),"")</f>
        <v/>
      </c>
      <c r="G344" s="29"/>
      <c r="H344" s="29"/>
      <c r="I344" s="16"/>
      <c r="J344" s="16"/>
      <c r="K344" s="16" t="b">
        <v>0</v>
      </c>
      <c r="L344" s="16" t="b">
        <v>0</v>
      </c>
    </row>
    <row r="345">
      <c r="A345" s="108"/>
      <c r="B345" s="16"/>
      <c r="C345" s="7" t="str">
        <f>IFERROR(VLOOKUP(B345,'Master data'!$A$1:$F$1000,2,FALSE),"")</f>
        <v/>
      </c>
      <c r="D345" s="7" t="str">
        <f>IFERROR(VLOOKUP(B345,'Master data'!$A$1:$F$1000,6,FALSE),"")</f>
        <v/>
      </c>
      <c r="F345" s="7" t="str">
        <f>IFERROR(VLOOKUP(B345,'Master data'!$A$1:$F$1000,3,FALSE),"")</f>
        <v/>
      </c>
      <c r="G345" s="29"/>
      <c r="H345" s="29"/>
      <c r="I345" s="16"/>
      <c r="J345" s="16"/>
      <c r="K345" s="16" t="b">
        <v>0</v>
      </c>
      <c r="L345" s="16" t="b">
        <v>0</v>
      </c>
    </row>
    <row r="346">
      <c r="A346" s="108"/>
      <c r="B346" s="16"/>
      <c r="C346" s="7" t="str">
        <f>IFERROR(VLOOKUP(B346,'Master data'!$A$1:$F$1000,2,FALSE),"")</f>
        <v/>
      </c>
      <c r="D346" s="7" t="str">
        <f>IFERROR(VLOOKUP(B346,'Master data'!$A$1:$F$1000,6,FALSE),"")</f>
        <v/>
      </c>
      <c r="F346" s="7" t="str">
        <f>IFERROR(VLOOKUP(B346,'Master data'!$A$1:$F$1000,3,FALSE),"")</f>
        <v/>
      </c>
      <c r="G346" s="29"/>
      <c r="H346" s="29"/>
      <c r="I346" s="16"/>
      <c r="J346" s="16"/>
      <c r="K346" s="16" t="b">
        <v>0</v>
      </c>
      <c r="L346" s="16" t="b">
        <v>0</v>
      </c>
    </row>
    <row r="347">
      <c r="A347" s="108"/>
      <c r="B347" s="16"/>
      <c r="C347" s="7" t="str">
        <f>IFERROR(VLOOKUP(B347,'Master data'!$A$1:$F$1000,2,FALSE),"")</f>
        <v/>
      </c>
      <c r="D347" s="7" t="str">
        <f>IFERROR(VLOOKUP(B347,'Master data'!$A$1:$F$1000,6,FALSE),"")</f>
        <v/>
      </c>
      <c r="F347" s="7" t="str">
        <f>IFERROR(VLOOKUP(B347,'Master data'!$A$1:$F$1000,3,FALSE),"")</f>
        <v/>
      </c>
      <c r="G347" s="29"/>
      <c r="H347" s="29"/>
      <c r="I347" s="16"/>
      <c r="J347" s="16"/>
      <c r="K347" s="16" t="b">
        <v>0</v>
      </c>
      <c r="L347" s="16" t="b">
        <v>0</v>
      </c>
    </row>
    <row r="348">
      <c r="A348" s="108"/>
      <c r="B348" s="16"/>
      <c r="C348" s="7" t="str">
        <f>IFERROR(VLOOKUP(B348,'Master data'!$A$1:$F$1000,2,FALSE),"")</f>
        <v/>
      </c>
      <c r="D348" s="7" t="str">
        <f>IFERROR(VLOOKUP(B348,'Master data'!$A$1:$F$1000,6,FALSE),"")</f>
        <v/>
      </c>
      <c r="F348" s="7" t="str">
        <f>IFERROR(VLOOKUP(B348,'Master data'!$A$1:$F$1000,3,FALSE),"")</f>
        <v/>
      </c>
      <c r="G348" s="29"/>
      <c r="H348" s="29"/>
      <c r="I348" s="16"/>
      <c r="J348" s="16"/>
      <c r="K348" s="16" t="b">
        <v>0</v>
      </c>
      <c r="L348" s="16" t="b">
        <v>0</v>
      </c>
    </row>
    <row r="349">
      <c r="A349" s="108"/>
      <c r="B349" s="16"/>
      <c r="C349" s="7" t="str">
        <f>IFERROR(VLOOKUP(B349,'Master data'!$A$1:$F$1000,2,FALSE),"")</f>
        <v/>
      </c>
      <c r="D349" s="7" t="str">
        <f>IFERROR(VLOOKUP(B349,'Master data'!$A$1:$F$1000,6,FALSE),"")</f>
        <v/>
      </c>
      <c r="F349" s="7" t="str">
        <f>IFERROR(VLOOKUP(B349,'Master data'!$A$1:$F$1000,3,FALSE),"")</f>
        <v/>
      </c>
      <c r="G349" s="29"/>
      <c r="H349" s="29"/>
      <c r="I349" s="16"/>
      <c r="J349" s="16"/>
      <c r="K349" s="16" t="b">
        <v>0</v>
      </c>
      <c r="L349" s="16" t="b">
        <v>0</v>
      </c>
    </row>
    <row r="350">
      <c r="A350" s="108"/>
      <c r="B350" s="16"/>
      <c r="C350" s="7" t="str">
        <f>IFERROR(VLOOKUP(B350,'Master data'!$A$1:$F$1000,2,FALSE),"")</f>
        <v/>
      </c>
      <c r="D350" s="7" t="str">
        <f>IFERROR(VLOOKUP(B350,'Master data'!$A$1:$F$1000,6,FALSE),"")</f>
        <v/>
      </c>
      <c r="F350" s="7" t="str">
        <f>IFERROR(VLOOKUP(B350,'Master data'!$A$1:$F$1000,3,FALSE),"")</f>
        <v/>
      </c>
      <c r="G350" s="29"/>
      <c r="H350" s="29"/>
      <c r="I350" s="16"/>
      <c r="J350" s="16"/>
      <c r="K350" s="16" t="b">
        <v>0</v>
      </c>
      <c r="L350" s="16" t="b">
        <v>0</v>
      </c>
    </row>
    <row r="351">
      <c r="A351" s="108"/>
      <c r="B351" s="16"/>
      <c r="C351" s="7" t="str">
        <f>IFERROR(VLOOKUP(B351,'Master data'!$A$1:$F$1000,2,FALSE),"")</f>
        <v/>
      </c>
      <c r="D351" s="7" t="str">
        <f>IFERROR(VLOOKUP(B351,'Master data'!$A$1:$F$1000,6,FALSE),"")</f>
        <v/>
      </c>
      <c r="F351" s="7" t="str">
        <f>IFERROR(VLOOKUP(B351,'Master data'!$A$1:$F$1000,3,FALSE),"")</f>
        <v/>
      </c>
      <c r="G351" s="29"/>
      <c r="H351" s="29"/>
      <c r="I351" s="16"/>
      <c r="J351" s="16"/>
      <c r="K351" s="16" t="b">
        <v>0</v>
      </c>
      <c r="L351" s="16" t="b">
        <v>0</v>
      </c>
    </row>
    <row r="352">
      <c r="A352" s="108"/>
      <c r="B352" s="16"/>
      <c r="C352" s="7" t="str">
        <f>IFERROR(VLOOKUP(B352,'Master data'!$A$1:$F$1000,2,FALSE),"")</f>
        <v/>
      </c>
      <c r="D352" s="7" t="str">
        <f>IFERROR(VLOOKUP(B352,'Master data'!$A$1:$F$1000,6,FALSE),"")</f>
        <v/>
      </c>
      <c r="F352" s="7" t="str">
        <f>IFERROR(VLOOKUP(B352,'Master data'!$A$1:$F$1000,3,FALSE),"")</f>
        <v/>
      </c>
      <c r="G352" s="29"/>
      <c r="H352" s="29"/>
      <c r="I352" s="16"/>
      <c r="J352" s="16"/>
      <c r="K352" s="16" t="b">
        <v>0</v>
      </c>
      <c r="L352" s="16" t="b">
        <v>0</v>
      </c>
    </row>
    <row r="353">
      <c r="A353" s="108"/>
      <c r="B353" s="16"/>
      <c r="C353" s="7" t="str">
        <f>IFERROR(VLOOKUP(B353,'Master data'!$A$1:$F$1000,2,FALSE),"")</f>
        <v/>
      </c>
      <c r="D353" s="7" t="str">
        <f>IFERROR(VLOOKUP(B353,'Master data'!$A$1:$F$1000,6,FALSE),"")</f>
        <v/>
      </c>
      <c r="F353" s="7" t="str">
        <f>IFERROR(VLOOKUP(B353,'Master data'!$A$1:$F$1000,3,FALSE),"")</f>
        <v/>
      </c>
      <c r="G353" s="29"/>
      <c r="H353" s="29"/>
      <c r="I353" s="16"/>
      <c r="J353" s="16"/>
      <c r="K353" s="16" t="b">
        <v>0</v>
      </c>
      <c r="L353" s="16" t="b">
        <v>0</v>
      </c>
    </row>
    <row r="354">
      <c r="A354" s="108"/>
      <c r="B354" s="16"/>
      <c r="C354" s="7" t="str">
        <f>IFERROR(VLOOKUP(B354,'Master data'!$A$1:$F$1000,2,FALSE),"")</f>
        <v/>
      </c>
      <c r="D354" s="7" t="str">
        <f>IFERROR(VLOOKUP(B354,'Master data'!$A$1:$F$1000,6,FALSE),"")</f>
        <v/>
      </c>
      <c r="F354" s="7" t="str">
        <f>IFERROR(VLOOKUP(B354,'Master data'!$A$1:$F$1000,3,FALSE),"")</f>
        <v/>
      </c>
      <c r="G354" s="29"/>
      <c r="H354" s="29"/>
      <c r="I354" s="16"/>
      <c r="J354" s="16"/>
      <c r="K354" s="16" t="b">
        <v>0</v>
      </c>
      <c r="L354" s="16" t="b">
        <v>0</v>
      </c>
    </row>
    <row r="355">
      <c r="A355" s="108"/>
      <c r="B355" s="16"/>
      <c r="C355" s="7" t="str">
        <f>IFERROR(VLOOKUP(B355,'Master data'!$A$1:$F$1000,2,FALSE),"")</f>
        <v/>
      </c>
      <c r="D355" s="7" t="str">
        <f>IFERROR(VLOOKUP(B355,'Master data'!$A$1:$F$1000,6,FALSE),"")</f>
        <v/>
      </c>
      <c r="F355" s="7" t="str">
        <f>IFERROR(VLOOKUP(B355,'Master data'!$A$1:$F$1000,3,FALSE),"")</f>
        <v/>
      </c>
      <c r="G355" s="29"/>
      <c r="H355" s="29"/>
      <c r="I355" s="16"/>
      <c r="J355" s="16"/>
      <c r="K355" s="16" t="b">
        <v>0</v>
      </c>
      <c r="L355" s="16" t="b">
        <v>0</v>
      </c>
    </row>
    <row r="356">
      <c r="A356" s="108"/>
      <c r="B356" s="16"/>
      <c r="C356" s="7" t="str">
        <f>IFERROR(VLOOKUP(B356,'Master data'!$A$1:$F$1000,2,FALSE),"")</f>
        <v/>
      </c>
      <c r="D356" s="7" t="str">
        <f>IFERROR(VLOOKUP(B356,'Master data'!$A$1:$F$1000,6,FALSE),"")</f>
        <v/>
      </c>
      <c r="F356" s="7" t="str">
        <f>IFERROR(VLOOKUP(B356,'Master data'!$A$1:$F$1000,3,FALSE),"")</f>
        <v/>
      </c>
      <c r="G356" s="29"/>
      <c r="H356" s="29"/>
      <c r="I356" s="16"/>
      <c r="J356" s="16"/>
      <c r="K356" s="16" t="b">
        <v>0</v>
      </c>
      <c r="L356" s="16" t="b">
        <v>0</v>
      </c>
    </row>
    <row r="357">
      <c r="A357" s="108"/>
      <c r="B357" s="16"/>
      <c r="C357" s="7" t="str">
        <f>IFERROR(VLOOKUP(B357,'Master data'!$A$1:$F$1000,2,FALSE),"")</f>
        <v/>
      </c>
      <c r="D357" s="7" t="str">
        <f>IFERROR(VLOOKUP(B357,'Master data'!$A$1:$F$1000,6,FALSE),"")</f>
        <v/>
      </c>
      <c r="F357" s="7" t="str">
        <f>IFERROR(VLOOKUP(B357,'Master data'!$A$1:$F$1000,3,FALSE),"")</f>
        <v/>
      </c>
      <c r="G357" s="29"/>
      <c r="H357" s="29"/>
      <c r="I357" s="16"/>
      <c r="J357" s="16"/>
      <c r="K357" s="16" t="b">
        <v>0</v>
      </c>
      <c r="L357" s="16" t="b">
        <v>0</v>
      </c>
    </row>
    <row r="358">
      <c r="A358" s="108"/>
      <c r="B358" s="16"/>
      <c r="C358" s="7" t="str">
        <f>IFERROR(VLOOKUP(B358,'Master data'!$A$1:$F$1000,2,FALSE),"")</f>
        <v/>
      </c>
      <c r="D358" s="7" t="str">
        <f>IFERROR(VLOOKUP(B358,'Master data'!$A$1:$F$1000,6,FALSE),"")</f>
        <v/>
      </c>
      <c r="F358" s="7" t="str">
        <f>IFERROR(VLOOKUP(B358,'Master data'!$A$1:$F$1000,3,FALSE),"")</f>
        <v/>
      </c>
      <c r="G358" s="29"/>
      <c r="H358" s="29"/>
      <c r="I358" s="16"/>
      <c r="J358" s="16"/>
      <c r="K358" s="16" t="b">
        <v>0</v>
      </c>
      <c r="L358" s="16" t="b">
        <v>0</v>
      </c>
    </row>
    <row r="359">
      <c r="A359" s="108"/>
      <c r="B359" s="16"/>
      <c r="C359" s="7" t="str">
        <f>IFERROR(VLOOKUP(B359,'Master data'!$A$1:$F$1000,2,FALSE),"")</f>
        <v/>
      </c>
      <c r="D359" s="7" t="str">
        <f>IFERROR(VLOOKUP(B359,'Master data'!$A$1:$F$1000,6,FALSE),"")</f>
        <v/>
      </c>
      <c r="F359" s="7" t="str">
        <f>IFERROR(VLOOKUP(B359,'Master data'!$A$1:$F$1000,3,FALSE),"")</f>
        <v/>
      </c>
      <c r="G359" s="29"/>
      <c r="H359" s="29"/>
      <c r="I359" s="16"/>
      <c r="J359" s="16"/>
      <c r="K359" s="16" t="b">
        <v>0</v>
      </c>
      <c r="L359" s="16" t="b">
        <v>0</v>
      </c>
    </row>
    <row r="360">
      <c r="A360" s="108"/>
      <c r="B360" s="16"/>
      <c r="C360" s="7" t="str">
        <f>IFERROR(VLOOKUP(B360,'Master data'!$A$1:$F$1000,2,FALSE),"")</f>
        <v/>
      </c>
      <c r="D360" s="7" t="str">
        <f>IFERROR(VLOOKUP(B360,'Master data'!$A$1:$F$1000,6,FALSE),"")</f>
        <v/>
      </c>
      <c r="F360" s="7" t="str">
        <f>IFERROR(VLOOKUP(B360,'Master data'!$A$1:$F$1000,3,FALSE),"")</f>
        <v/>
      </c>
      <c r="G360" s="29"/>
      <c r="H360" s="29"/>
      <c r="I360" s="16"/>
      <c r="J360" s="16"/>
      <c r="K360" s="16" t="b">
        <v>0</v>
      </c>
      <c r="L360" s="16" t="b">
        <v>0</v>
      </c>
    </row>
    <row r="361">
      <c r="A361" s="108"/>
      <c r="B361" s="16"/>
      <c r="C361" s="7" t="str">
        <f>IFERROR(VLOOKUP(B361,'Master data'!$A$1:$F$1000,2,FALSE),"")</f>
        <v/>
      </c>
      <c r="D361" s="7" t="str">
        <f>IFERROR(VLOOKUP(B361,'Master data'!$A$1:$F$1000,6,FALSE),"")</f>
        <v/>
      </c>
      <c r="F361" s="7" t="str">
        <f>IFERROR(VLOOKUP(B361,'Master data'!$A$1:$F$1000,3,FALSE),"")</f>
        <v/>
      </c>
      <c r="G361" s="29"/>
      <c r="H361" s="29"/>
      <c r="I361" s="16"/>
      <c r="J361" s="16"/>
      <c r="K361" s="16" t="b">
        <v>0</v>
      </c>
      <c r="L361" s="16" t="b">
        <v>0</v>
      </c>
    </row>
    <row r="362">
      <c r="A362" s="108"/>
      <c r="B362" s="16"/>
      <c r="C362" s="7" t="str">
        <f>IFERROR(VLOOKUP(B362,'Master data'!$A$1:$F$1000,2,FALSE),"")</f>
        <v/>
      </c>
      <c r="D362" s="7" t="str">
        <f>IFERROR(VLOOKUP(B362,'Master data'!$A$1:$F$1000,6,FALSE),"")</f>
        <v/>
      </c>
      <c r="F362" s="7" t="str">
        <f>IFERROR(VLOOKUP(B362,'Master data'!$A$1:$F$1000,3,FALSE),"")</f>
        <v/>
      </c>
      <c r="G362" s="29"/>
      <c r="H362" s="29"/>
      <c r="I362" s="16"/>
      <c r="J362" s="16"/>
      <c r="K362" s="16" t="b">
        <v>0</v>
      </c>
      <c r="L362" s="16" t="b">
        <v>0</v>
      </c>
    </row>
    <row r="363">
      <c r="A363" s="108"/>
      <c r="B363" s="16"/>
      <c r="C363" s="7" t="str">
        <f>IFERROR(VLOOKUP(B363,'Master data'!$A$1:$F$1000,2,FALSE),"")</f>
        <v/>
      </c>
      <c r="D363" s="7" t="str">
        <f>IFERROR(VLOOKUP(B363,'Master data'!$A$1:$F$1000,6,FALSE),"")</f>
        <v/>
      </c>
      <c r="F363" s="7" t="str">
        <f>IFERROR(VLOOKUP(B363,'Master data'!$A$1:$F$1000,3,FALSE),"")</f>
        <v/>
      </c>
      <c r="G363" s="29"/>
      <c r="H363" s="29"/>
      <c r="I363" s="16"/>
      <c r="J363" s="16"/>
      <c r="K363" s="16" t="b">
        <v>0</v>
      </c>
      <c r="L363" s="16" t="b">
        <v>0</v>
      </c>
    </row>
    <row r="364">
      <c r="A364" s="108"/>
      <c r="B364" s="16"/>
      <c r="C364" s="7" t="str">
        <f>IFERROR(VLOOKUP(B364,'Master data'!$A$1:$F$1000,2,FALSE),"")</f>
        <v/>
      </c>
      <c r="D364" s="7" t="str">
        <f>IFERROR(VLOOKUP(B364,'Master data'!$A$1:$F$1000,6,FALSE),"")</f>
        <v/>
      </c>
      <c r="F364" s="7" t="str">
        <f>IFERROR(VLOOKUP(B364,'Master data'!$A$1:$F$1000,3,FALSE),"")</f>
        <v/>
      </c>
      <c r="G364" s="29"/>
      <c r="H364" s="29"/>
      <c r="I364" s="16"/>
      <c r="J364" s="16"/>
      <c r="K364" s="16" t="b">
        <v>0</v>
      </c>
      <c r="L364" s="16" t="b">
        <v>0</v>
      </c>
    </row>
    <row r="365">
      <c r="A365" s="108"/>
      <c r="B365" s="16"/>
      <c r="C365" s="7" t="str">
        <f>IFERROR(VLOOKUP(B365,'Master data'!$A$1:$F$1000,2,FALSE),"")</f>
        <v/>
      </c>
      <c r="D365" s="7" t="str">
        <f>IFERROR(VLOOKUP(B365,'Master data'!$A$1:$F$1000,6,FALSE),"")</f>
        <v/>
      </c>
      <c r="F365" s="7" t="str">
        <f>IFERROR(VLOOKUP(B365,'Master data'!$A$1:$F$1000,3,FALSE),"")</f>
        <v/>
      </c>
      <c r="G365" s="29"/>
      <c r="H365" s="29"/>
      <c r="I365" s="16"/>
      <c r="J365" s="16"/>
      <c r="K365" s="16" t="b">
        <v>0</v>
      </c>
      <c r="L365" s="16" t="b">
        <v>0</v>
      </c>
    </row>
    <row r="366">
      <c r="A366" s="108"/>
      <c r="B366" s="16"/>
      <c r="C366" s="7" t="str">
        <f>IFERROR(VLOOKUP(B366,'Master data'!$A$1:$F$1000,2,FALSE),"")</f>
        <v/>
      </c>
      <c r="D366" s="7" t="str">
        <f>IFERROR(VLOOKUP(B366,'Master data'!$A$1:$F$1000,6,FALSE),"")</f>
        <v/>
      </c>
      <c r="F366" s="7" t="str">
        <f>IFERROR(VLOOKUP(B366,'Master data'!$A$1:$F$1000,3,FALSE),"")</f>
        <v/>
      </c>
      <c r="G366" s="29"/>
      <c r="H366" s="29"/>
      <c r="I366" s="16"/>
      <c r="J366" s="16"/>
      <c r="K366" s="16" t="b">
        <v>0</v>
      </c>
      <c r="L366" s="16" t="b">
        <v>0</v>
      </c>
    </row>
    <row r="367">
      <c r="A367" s="108"/>
      <c r="B367" s="16"/>
      <c r="C367" s="7" t="str">
        <f>IFERROR(VLOOKUP(B367,'Master data'!$A$1:$F$1000,2,FALSE),"")</f>
        <v/>
      </c>
      <c r="D367" s="7" t="str">
        <f>IFERROR(VLOOKUP(B367,'Master data'!$A$1:$F$1000,6,FALSE),"")</f>
        <v/>
      </c>
      <c r="F367" s="7" t="str">
        <f>IFERROR(VLOOKUP(B367,'Master data'!$A$1:$F$1000,3,FALSE),"")</f>
        <v/>
      </c>
      <c r="G367" s="29"/>
      <c r="H367" s="29"/>
      <c r="I367" s="16"/>
      <c r="J367" s="16"/>
      <c r="K367" s="16" t="b">
        <v>0</v>
      </c>
      <c r="L367" s="16" t="b">
        <v>0</v>
      </c>
    </row>
    <row r="368">
      <c r="A368" s="108"/>
      <c r="B368" s="16"/>
      <c r="C368" s="7" t="str">
        <f>IFERROR(VLOOKUP(B368,'Master data'!$A$1:$F$1000,2,FALSE),"")</f>
        <v/>
      </c>
      <c r="D368" s="7" t="str">
        <f>IFERROR(VLOOKUP(B368,'Master data'!$A$1:$F$1000,6,FALSE),"")</f>
        <v/>
      </c>
      <c r="F368" s="7" t="str">
        <f>IFERROR(VLOOKUP(B368,'Master data'!$A$1:$F$1000,3,FALSE),"")</f>
        <v/>
      </c>
      <c r="G368" s="29"/>
      <c r="H368" s="29"/>
      <c r="I368" s="16"/>
      <c r="J368" s="16"/>
      <c r="K368" s="16" t="b">
        <v>0</v>
      </c>
      <c r="L368" s="16" t="b">
        <v>0</v>
      </c>
    </row>
    <row r="369">
      <c r="A369" s="108"/>
      <c r="B369" s="16"/>
      <c r="C369" s="7" t="str">
        <f>IFERROR(VLOOKUP(B369,'Master data'!$A$1:$F$1000,2,FALSE),"")</f>
        <v/>
      </c>
      <c r="D369" s="7" t="str">
        <f>IFERROR(VLOOKUP(B369,'Master data'!$A$1:$F$1000,6,FALSE),"")</f>
        <v/>
      </c>
      <c r="F369" s="7" t="str">
        <f>IFERROR(VLOOKUP(B369,'Master data'!$A$1:$F$1000,3,FALSE),"")</f>
        <v/>
      </c>
      <c r="G369" s="29"/>
      <c r="H369" s="29"/>
      <c r="I369" s="16"/>
      <c r="J369" s="16"/>
      <c r="K369" s="16" t="b">
        <v>0</v>
      </c>
      <c r="L369" s="16" t="b">
        <v>0</v>
      </c>
    </row>
    <row r="370">
      <c r="A370" s="108"/>
      <c r="B370" s="16"/>
      <c r="C370" s="7" t="str">
        <f>IFERROR(VLOOKUP(B370,'Master data'!$A$1:$F$1000,2,FALSE),"")</f>
        <v/>
      </c>
      <c r="D370" s="7" t="str">
        <f>IFERROR(VLOOKUP(B370,'Master data'!$A$1:$F$1000,6,FALSE),"")</f>
        <v/>
      </c>
      <c r="F370" s="7" t="str">
        <f>IFERROR(VLOOKUP(B370,'Master data'!$A$1:$F$1000,3,FALSE),"")</f>
        <v/>
      </c>
      <c r="G370" s="29"/>
      <c r="H370" s="29"/>
      <c r="I370" s="16"/>
      <c r="J370" s="16"/>
      <c r="K370" s="16" t="b">
        <v>0</v>
      </c>
      <c r="L370" s="16" t="b">
        <v>0</v>
      </c>
    </row>
    <row r="371">
      <c r="A371" s="108"/>
      <c r="B371" s="16"/>
      <c r="C371" s="7" t="str">
        <f>IFERROR(VLOOKUP(B371,'Master data'!$A$1:$F$1000,2,FALSE),"")</f>
        <v/>
      </c>
      <c r="D371" s="7" t="str">
        <f>IFERROR(VLOOKUP(B371,'Master data'!$A$1:$F$1000,6,FALSE),"")</f>
        <v/>
      </c>
      <c r="F371" s="7" t="str">
        <f>IFERROR(VLOOKUP(B371,'Master data'!$A$1:$F$1000,3,FALSE),"")</f>
        <v/>
      </c>
      <c r="G371" s="29"/>
      <c r="H371" s="29"/>
      <c r="I371" s="16"/>
      <c r="J371" s="16"/>
      <c r="K371" s="16" t="b">
        <v>0</v>
      </c>
      <c r="L371" s="16" t="b">
        <v>0</v>
      </c>
    </row>
    <row r="372">
      <c r="A372" s="108"/>
      <c r="B372" s="16"/>
      <c r="C372" s="7" t="str">
        <f>IFERROR(VLOOKUP(B372,'Master data'!$A$1:$F$1000,2,FALSE),"")</f>
        <v/>
      </c>
      <c r="D372" s="7" t="str">
        <f>IFERROR(VLOOKUP(B372,'Master data'!$A$1:$F$1000,6,FALSE),"")</f>
        <v/>
      </c>
      <c r="F372" s="7" t="str">
        <f>IFERROR(VLOOKUP(B372,'Master data'!$A$1:$F$1000,3,FALSE),"")</f>
        <v/>
      </c>
      <c r="G372" s="29"/>
      <c r="H372" s="29"/>
      <c r="I372" s="16"/>
      <c r="J372" s="16"/>
      <c r="K372" s="16" t="b">
        <v>0</v>
      </c>
      <c r="L372" s="16" t="b">
        <v>0</v>
      </c>
    </row>
    <row r="373">
      <c r="A373" s="108"/>
      <c r="B373" s="16"/>
      <c r="C373" s="7" t="str">
        <f>IFERROR(VLOOKUP(B373,'Master data'!$A$1:$F$1000,2,FALSE),"")</f>
        <v/>
      </c>
      <c r="D373" s="7" t="str">
        <f>IFERROR(VLOOKUP(B373,'Master data'!$A$1:$F$1000,6,FALSE),"")</f>
        <v/>
      </c>
      <c r="F373" s="7" t="str">
        <f>IFERROR(VLOOKUP(B373,'Master data'!$A$1:$F$1000,3,FALSE),"")</f>
        <v/>
      </c>
      <c r="G373" s="29"/>
      <c r="H373" s="29"/>
      <c r="I373" s="16"/>
      <c r="J373" s="16"/>
      <c r="K373" s="16" t="b">
        <v>0</v>
      </c>
      <c r="L373" s="16" t="b">
        <v>0</v>
      </c>
    </row>
    <row r="374">
      <c r="A374" s="108"/>
      <c r="B374" s="16"/>
      <c r="C374" s="7" t="str">
        <f>IFERROR(VLOOKUP(B374,'Master data'!$A$1:$F$1000,2,FALSE),"")</f>
        <v/>
      </c>
      <c r="D374" s="7" t="str">
        <f>IFERROR(VLOOKUP(B374,'Master data'!$A$1:$F$1000,6,FALSE),"")</f>
        <v/>
      </c>
      <c r="F374" s="7" t="str">
        <f>IFERROR(VLOOKUP(B374,'Master data'!$A$1:$F$1000,3,FALSE),"")</f>
        <v/>
      </c>
      <c r="G374" s="29"/>
      <c r="H374" s="29"/>
      <c r="I374" s="16"/>
      <c r="J374" s="16"/>
      <c r="K374" s="16" t="b">
        <v>0</v>
      </c>
      <c r="L374" s="16" t="b">
        <v>0</v>
      </c>
    </row>
    <row r="375">
      <c r="A375" s="108"/>
      <c r="B375" s="16"/>
      <c r="C375" s="7" t="str">
        <f>IFERROR(VLOOKUP(B375,'Master data'!$A$1:$F$1000,2,FALSE),"")</f>
        <v/>
      </c>
      <c r="D375" s="7" t="str">
        <f>IFERROR(VLOOKUP(B375,'Master data'!$A$1:$F$1000,6,FALSE),"")</f>
        <v/>
      </c>
      <c r="F375" s="7" t="str">
        <f>IFERROR(VLOOKUP(B375,'Master data'!$A$1:$F$1000,3,FALSE),"")</f>
        <v/>
      </c>
      <c r="G375" s="29"/>
      <c r="H375" s="29"/>
      <c r="I375" s="16"/>
      <c r="J375" s="16"/>
      <c r="K375" s="16" t="b">
        <v>0</v>
      </c>
      <c r="L375" s="16" t="b">
        <v>0</v>
      </c>
    </row>
    <row r="376">
      <c r="A376" s="108"/>
      <c r="B376" s="16"/>
      <c r="C376" s="7" t="str">
        <f>IFERROR(VLOOKUP(B376,'Master data'!$A$1:$F$1000,2,FALSE),"")</f>
        <v/>
      </c>
      <c r="D376" s="7" t="str">
        <f>IFERROR(VLOOKUP(B376,'Master data'!$A$1:$F$1000,6,FALSE),"")</f>
        <v/>
      </c>
      <c r="F376" s="7" t="str">
        <f>IFERROR(VLOOKUP(B376,'Master data'!$A$1:$F$1000,3,FALSE),"")</f>
        <v/>
      </c>
      <c r="G376" s="29"/>
      <c r="H376" s="29"/>
      <c r="I376" s="16"/>
      <c r="J376" s="16"/>
      <c r="K376" s="16" t="b">
        <v>0</v>
      </c>
      <c r="L376" s="16" t="b">
        <v>0</v>
      </c>
    </row>
    <row r="377">
      <c r="A377" s="108"/>
      <c r="B377" s="16"/>
      <c r="C377" s="7" t="str">
        <f>IFERROR(VLOOKUP(B377,'Master data'!$A$1:$F$1000,2,FALSE),"")</f>
        <v/>
      </c>
      <c r="D377" s="7" t="str">
        <f>IFERROR(VLOOKUP(B377,'Master data'!$A$1:$F$1000,6,FALSE),"")</f>
        <v/>
      </c>
      <c r="F377" s="7" t="str">
        <f>IFERROR(VLOOKUP(B377,'Master data'!$A$1:$F$1000,3,FALSE),"")</f>
        <v/>
      </c>
      <c r="G377" s="29"/>
      <c r="H377" s="29"/>
      <c r="I377" s="16"/>
      <c r="J377" s="16"/>
      <c r="K377" s="16" t="b">
        <v>0</v>
      </c>
      <c r="L377" s="16" t="b">
        <v>0</v>
      </c>
    </row>
    <row r="378">
      <c r="A378" s="108"/>
      <c r="B378" s="16"/>
      <c r="C378" s="7" t="str">
        <f>IFERROR(VLOOKUP(B378,'Master data'!$A$1:$F$1000,2,FALSE),"")</f>
        <v/>
      </c>
      <c r="D378" s="7" t="str">
        <f>IFERROR(VLOOKUP(B378,'Master data'!$A$1:$F$1000,6,FALSE),"")</f>
        <v/>
      </c>
      <c r="F378" s="7" t="str">
        <f>IFERROR(VLOOKUP(B378,'Master data'!$A$1:$F$1000,3,FALSE),"")</f>
        <v/>
      </c>
      <c r="G378" s="29"/>
      <c r="H378" s="29"/>
      <c r="I378" s="16"/>
      <c r="J378" s="16"/>
      <c r="K378" s="16" t="b">
        <v>0</v>
      </c>
      <c r="L378" s="16" t="b">
        <v>0</v>
      </c>
    </row>
    <row r="379">
      <c r="A379" s="108"/>
      <c r="B379" s="16"/>
      <c r="C379" s="7" t="str">
        <f>IFERROR(VLOOKUP(B379,'Master data'!$A$1:$F$1000,2,FALSE),"")</f>
        <v/>
      </c>
      <c r="D379" s="7" t="str">
        <f>IFERROR(VLOOKUP(B379,'Master data'!$A$1:$F$1000,6,FALSE),"")</f>
        <v/>
      </c>
      <c r="F379" s="7" t="str">
        <f>IFERROR(VLOOKUP(B379,'Master data'!$A$1:$F$1000,3,FALSE),"")</f>
        <v/>
      </c>
      <c r="G379" s="29"/>
      <c r="H379" s="29"/>
      <c r="I379" s="16"/>
      <c r="J379" s="16"/>
      <c r="K379" s="16" t="b">
        <v>0</v>
      </c>
      <c r="L379" s="16" t="b">
        <v>0</v>
      </c>
    </row>
    <row r="380">
      <c r="A380" s="108"/>
      <c r="B380" s="16"/>
      <c r="C380" s="7" t="str">
        <f>IFERROR(VLOOKUP(B380,'Master data'!$A$1:$F$1000,2,FALSE),"")</f>
        <v/>
      </c>
      <c r="D380" s="7" t="str">
        <f>IFERROR(VLOOKUP(B380,'Master data'!$A$1:$F$1000,6,FALSE),"")</f>
        <v/>
      </c>
      <c r="F380" s="7" t="str">
        <f>IFERROR(VLOOKUP(B380,'Master data'!$A$1:$F$1000,3,FALSE),"")</f>
        <v/>
      </c>
      <c r="G380" s="29"/>
      <c r="H380" s="29"/>
      <c r="I380" s="16"/>
      <c r="J380" s="16"/>
      <c r="K380" s="16" t="b">
        <v>0</v>
      </c>
      <c r="L380" s="16" t="b">
        <v>0</v>
      </c>
    </row>
    <row r="381">
      <c r="A381" s="108"/>
      <c r="B381" s="16"/>
      <c r="C381" s="7" t="str">
        <f>IFERROR(VLOOKUP(B381,'Master data'!$A$1:$F$1000,2,FALSE),"")</f>
        <v/>
      </c>
      <c r="D381" s="7" t="str">
        <f>IFERROR(VLOOKUP(B381,'Master data'!$A$1:$F$1000,6,FALSE),"")</f>
        <v/>
      </c>
      <c r="F381" s="7" t="str">
        <f>IFERROR(VLOOKUP(B381,'Master data'!$A$1:$F$1000,3,FALSE),"")</f>
        <v/>
      </c>
      <c r="G381" s="29"/>
      <c r="H381" s="29"/>
      <c r="I381" s="16"/>
      <c r="J381" s="16"/>
      <c r="K381" s="16" t="b">
        <v>0</v>
      </c>
      <c r="L381" s="16" t="b">
        <v>0</v>
      </c>
    </row>
    <row r="382">
      <c r="A382" s="108"/>
      <c r="B382" s="16"/>
      <c r="C382" s="7" t="str">
        <f>IFERROR(VLOOKUP(B382,'Master data'!$A$1:$F$1000,2,FALSE),"")</f>
        <v/>
      </c>
      <c r="D382" s="7" t="str">
        <f>IFERROR(VLOOKUP(B382,'Master data'!$A$1:$F$1000,6,FALSE),"")</f>
        <v/>
      </c>
      <c r="F382" s="7" t="str">
        <f>IFERROR(VLOOKUP(B382,'Master data'!$A$1:$F$1000,3,FALSE),"")</f>
        <v/>
      </c>
      <c r="G382" s="29"/>
      <c r="H382" s="29"/>
      <c r="I382" s="16"/>
      <c r="J382" s="16"/>
      <c r="K382" s="16" t="b">
        <v>0</v>
      </c>
      <c r="L382" s="16" t="b">
        <v>0</v>
      </c>
    </row>
    <row r="383">
      <c r="A383" s="108"/>
      <c r="B383" s="16"/>
      <c r="C383" s="7" t="str">
        <f>IFERROR(VLOOKUP(B383,'Master data'!$A$1:$F$1000,2,FALSE),"")</f>
        <v/>
      </c>
      <c r="D383" s="7" t="str">
        <f>IFERROR(VLOOKUP(B383,'Master data'!$A$1:$F$1000,6,FALSE),"")</f>
        <v/>
      </c>
      <c r="F383" s="7" t="str">
        <f>IFERROR(VLOOKUP(B383,'Master data'!$A$1:$F$1000,3,FALSE),"")</f>
        <v/>
      </c>
      <c r="G383" s="29"/>
      <c r="H383" s="29"/>
      <c r="I383" s="16"/>
      <c r="J383" s="16"/>
      <c r="K383" s="16" t="b">
        <v>0</v>
      </c>
      <c r="L383" s="16" t="b">
        <v>0</v>
      </c>
    </row>
    <row r="384">
      <c r="A384" s="108"/>
      <c r="B384" s="16"/>
      <c r="C384" s="7" t="str">
        <f>IFERROR(VLOOKUP(B384,'Master data'!$A$1:$F$1000,2,FALSE),"")</f>
        <v/>
      </c>
      <c r="D384" s="7" t="str">
        <f>IFERROR(VLOOKUP(B384,'Master data'!$A$1:$F$1000,6,FALSE),"")</f>
        <v/>
      </c>
      <c r="F384" s="7" t="str">
        <f>IFERROR(VLOOKUP(B384,'Master data'!$A$1:$F$1000,3,FALSE),"")</f>
        <v/>
      </c>
      <c r="G384" s="29"/>
      <c r="H384" s="29"/>
      <c r="I384" s="16"/>
      <c r="J384" s="16"/>
      <c r="K384" s="16" t="b">
        <v>0</v>
      </c>
      <c r="L384" s="16" t="b">
        <v>0</v>
      </c>
    </row>
    <row r="385">
      <c r="A385" s="108"/>
      <c r="B385" s="16"/>
      <c r="C385" s="7" t="str">
        <f>IFERROR(VLOOKUP(B385,'Master data'!$A$1:$F$1000,2,FALSE),"")</f>
        <v/>
      </c>
      <c r="D385" s="7" t="str">
        <f>IFERROR(VLOOKUP(B385,'Master data'!$A$1:$F$1000,6,FALSE),"")</f>
        <v/>
      </c>
      <c r="F385" s="7" t="str">
        <f>IFERROR(VLOOKUP(B385,'Master data'!$A$1:$F$1000,3,FALSE),"")</f>
        <v/>
      </c>
      <c r="G385" s="29"/>
      <c r="H385" s="29"/>
      <c r="I385" s="16"/>
      <c r="J385" s="16"/>
      <c r="K385" s="16" t="b">
        <v>0</v>
      </c>
      <c r="L385" s="16" t="b">
        <v>0</v>
      </c>
    </row>
    <row r="386">
      <c r="A386" s="108"/>
      <c r="B386" s="16"/>
      <c r="C386" s="7" t="str">
        <f>IFERROR(VLOOKUP(B386,'Master data'!$A$1:$F$1000,2,FALSE),"")</f>
        <v/>
      </c>
      <c r="D386" s="7" t="str">
        <f>IFERROR(VLOOKUP(B386,'Master data'!$A$1:$F$1000,6,FALSE),"")</f>
        <v/>
      </c>
      <c r="F386" s="7" t="str">
        <f>IFERROR(VLOOKUP(B386,'Master data'!$A$1:$F$1000,3,FALSE),"")</f>
        <v/>
      </c>
      <c r="G386" s="29"/>
      <c r="H386" s="29"/>
      <c r="I386" s="16"/>
      <c r="J386" s="16"/>
      <c r="K386" s="16" t="b">
        <v>0</v>
      </c>
      <c r="L386" s="16" t="b">
        <v>0</v>
      </c>
    </row>
    <row r="387">
      <c r="A387" s="108"/>
      <c r="B387" s="16"/>
      <c r="C387" s="7" t="str">
        <f>IFERROR(VLOOKUP(B387,'Master data'!$A$1:$F$1000,2,FALSE),"")</f>
        <v/>
      </c>
      <c r="D387" s="7" t="str">
        <f>IFERROR(VLOOKUP(B387,'Master data'!$A$1:$F$1000,6,FALSE),"")</f>
        <v/>
      </c>
      <c r="F387" s="7" t="str">
        <f>IFERROR(VLOOKUP(B387,'Master data'!$A$1:$F$1000,3,FALSE),"")</f>
        <v/>
      </c>
      <c r="G387" s="29"/>
      <c r="H387" s="29"/>
      <c r="I387" s="16"/>
      <c r="J387" s="16"/>
      <c r="K387" s="16" t="b">
        <v>0</v>
      </c>
      <c r="L387" s="16" t="b">
        <v>0</v>
      </c>
    </row>
    <row r="388">
      <c r="A388" s="108"/>
      <c r="B388" s="16"/>
      <c r="C388" s="7" t="str">
        <f>IFERROR(VLOOKUP(B388,'Master data'!$A$1:$F$1000,2,FALSE),"")</f>
        <v/>
      </c>
      <c r="D388" s="7" t="str">
        <f>IFERROR(VLOOKUP(B388,'Master data'!$A$1:$F$1000,6,FALSE),"")</f>
        <v/>
      </c>
      <c r="F388" s="7" t="str">
        <f>IFERROR(VLOOKUP(B388,'Master data'!$A$1:$F$1000,3,FALSE),"")</f>
        <v/>
      </c>
      <c r="G388" s="29"/>
      <c r="H388" s="29"/>
      <c r="I388" s="16"/>
      <c r="J388" s="16"/>
      <c r="K388" s="16" t="b">
        <v>0</v>
      </c>
      <c r="L388" s="16" t="b">
        <v>0</v>
      </c>
    </row>
    <row r="389">
      <c r="A389" s="108"/>
      <c r="B389" s="16"/>
      <c r="C389" s="7" t="str">
        <f>IFERROR(VLOOKUP(B389,'Master data'!$A$1:$F$1000,2,FALSE),"")</f>
        <v/>
      </c>
      <c r="D389" s="7" t="str">
        <f>IFERROR(VLOOKUP(B389,'Master data'!$A$1:$F$1000,6,FALSE),"")</f>
        <v/>
      </c>
      <c r="F389" s="7" t="str">
        <f>IFERROR(VLOOKUP(B389,'Master data'!$A$1:$F$1000,3,FALSE),"")</f>
        <v/>
      </c>
      <c r="G389" s="29"/>
      <c r="H389" s="29"/>
      <c r="I389" s="16"/>
      <c r="J389" s="16"/>
      <c r="K389" s="16" t="b">
        <v>0</v>
      </c>
      <c r="L389" s="16" t="b">
        <v>0</v>
      </c>
    </row>
    <row r="390">
      <c r="A390" s="108"/>
      <c r="B390" s="16"/>
      <c r="C390" s="7" t="str">
        <f>IFERROR(VLOOKUP(B390,'Master data'!$A$1:$F$1000,2,FALSE),"")</f>
        <v/>
      </c>
      <c r="D390" s="7" t="str">
        <f>IFERROR(VLOOKUP(B390,'Master data'!$A$1:$F$1000,6,FALSE),"")</f>
        <v/>
      </c>
      <c r="F390" s="7" t="str">
        <f>IFERROR(VLOOKUP(B390,'Master data'!$A$1:$F$1000,3,FALSE),"")</f>
        <v/>
      </c>
      <c r="G390" s="29"/>
      <c r="H390" s="29"/>
      <c r="I390" s="16"/>
      <c r="J390" s="16"/>
      <c r="K390" s="16" t="b">
        <v>0</v>
      </c>
      <c r="L390" s="16" t="b">
        <v>0</v>
      </c>
    </row>
    <row r="391">
      <c r="A391" s="108"/>
      <c r="B391" s="16"/>
      <c r="C391" s="7" t="str">
        <f>IFERROR(VLOOKUP(B391,'Master data'!$A$1:$F$1000,2,FALSE),"")</f>
        <v/>
      </c>
      <c r="D391" s="7" t="str">
        <f>IFERROR(VLOOKUP(B391,'Master data'!$A$1:$F$1000,6,FALSE),"")</f>
        <v/>
      </c>
      <c r="F391" s="7" t="str">
        <f>IFERROR(VLOOKUP(B391,'Master data'!$A$1:$F$1000,3,FALSE),"")</f>
        <v/>
      </c>
      <c r="G391" s="29"/>
      <c r="H391" s="29"/>
      <c r="I391" s="16"/>
      <c r="J391" s="16"/>
      <c r="K391" s="16" t="b">
        <v>0</v>
      </c>
      <c r="L391" s="16" t="b">
        <v>0</v>
      </c>
    </row>
    <row r="392">
      <c r="A392" s="108"/>
      <c r="B392" s="16"/>
      <c r="C392" s="7" t="str">
        <f>IFERROR(VLOOKUP(B392,'Master data'!$A$1:$F$1000,2,FALSE),"")</f>
        <v/>
      </c>
      <c r="D392" s="7" t="str">
        <f>IFERROR(VLOOKUP(B392,'Master data'!$A$1:$F$1000,6,FALSE),"")</f>
        <v/>
      </c>
      <c r="F392" s="7" t="str">
        <f>IFERROR(VLOOKUP(B392,'Master data'!$A$1:$F$1000,3,FALSE),"")</f>
        <v/>
      </c>
      <c r="G392" s="29"/>
      <c r="H392" s="29"/>
      <c r="I392" s="16"/>
      <c r="J392" s="16"/>
      <c r="K392" s="16" t="b">
        <v>0</v>
      </c>
      <c r="L392" s="16" t="b">
        <v>0</v>
      </c>
    </row>
    <row r="393">
      <c r="A393" s="108"/>
      <c r="B393" s="16"/>
      <c r="C393" s="7" t="str">
        <f>IFERROR(VLOOKUP(B393,'Master data'!$A$1:$F$1000,2,FALSE),"")</f>
        <v/>
      </c>
      <c r="D393" s="7" t="str">
        <f>IFERROR(VLOOKUP(B393,'Master data'!$A$1:$F$1000,6,FALSE),"")</f>
        <v/>
      </c>
      <c r="F393" s="7" t="str">
        <f>IFERROR(VLOOKUP(B393,'Master data'!$A$1:$F$1000,3,FALSE),"")</f>
        <v/>
      </c>
      <c r="G393" s="29"/>
      <c r="H393" s="29"/>
      <c r="I393" s="16"/>
      <c r="J393" s="16"/>
      <c r="K393" s="16" t="b">
        <v>0</v>
      </c>
      <c r="L393" s="16" t="b">
        <v>0</v>
      </c>
    </row>
    <row r="394">
      <c r="A394" s="108"/>
      <c r="B394" s="16"/>
      <c r="C394" s="7" t="str">
        <f>IFERROR(VLOOKUP(B394,'Master data'!$A$1:$F$1000,2,FALSE),"")</f>
        <v/>
      </c>
      <c r="D394" s="7" t="str">
        <f>IFERROR(VLOOKUP(B394,'Master data'!$A$1:$F$1000,6,FALSE),"")</f>
        <v/>
      </c>
      <c r="F394" s="7" t="str">
        <f>IFERROR(VLOOKUP(B394,'Master data'!$A$1:$F$1000,3,FALSE),"")</f>
        <v/>
      </c>
      <c r="G394" s="29"/>
      <c r="H394" s="29"/>
      <c r="I394" s="16"/>
      <c r="J394" s="16"/>
      <c r="K394" s="16" t="b">
        <v>0</v>
      </c>
      <c r="L394" s="16" t="b">
        <v>0</v>
      </c>
    </row>
    <row r="395">
      <c r="A395" s="108"/>
      <c r="B395" s="16"/>
      <c r="C395" s="7" t="str">
        <f>IFERROR(VLOOKUP(B395,'Master data'!$A$1:$F$1000,2,FALSE),"")</f>
        <v/>
      </c>
      <c r="D395" s="7" t="str">
        <f>IFERROR(VLOOKUP(B395,'Master data'!$A$1:$F$1000,6,FALSE),"")</f>
        <v/>
      </c>
      <c r="F395" s="7" t="str">
        <f>IFERROR(VLOOKUP(B395,'Master data'!$A$1:$F$1000,3,FALSE),"")</f>
        <v/>
      </c>
      <c r="G395" s="29"/>
      <c r="H395" s="29"/>
      <c r="I395" s="16"/>
      <c r="J395" s="16"/>
      <c r="K395" s="16" t="b">
        <v>0</v>
      </c>
      <c r="L395" s="16" t="b">
        <v>0</v>
      </c>
    </row>
    <row r="396">
      <c r="A396" s="108"/>
      <c r="B396" s="16"/>
      <c r="C396" s="7" t="str">
        <f>IFERROR(VLOOKUP(B396,'Master data'!$A$1:$F$1000,2,FALSE),"")</f>
        <v/>
      </c>
      <c r="D396" s="7" t="str">
        <f>IFERROR(VLOOKUP(B396,'Master data'!$A$1:$F$1000,6,FALSE),"")</f>
        <v/>
      </c>
      <c r="F396" s="7" t="str">
        <f>IFERROR(VLOOKUP(B396,'Master data'!$A$1:$F$1000,3,FALSE),"")</f>
        <v/>
      </c>
      <c r="G396" s="29"/>
      <c r="H396" s="29"/>
      <c r="I396" s="16"/>
      <c r="J396" s="16"/>
      <c r="K396" s="16" t="b">
        <v>0</v>
      </c>
      <c r="L396" s="16" t="b">
        <v>0</v>
      </c>
    </row>
    <row r="397">
      <c r="A397" s="108"/>
      <c r="B397" s="16"/>
      <c r="C397" s="7" t="str">
        <f>IFERROR(VLOOKUP(B397,'Master data'!$A$1:$F$1000,2,FALSE),"")</f>
        <v/>
      </c>
      <c r="D397" s="7" t="str">
        <f>IFERROR(VLOOKUP(B397,'Master data'!$A$1:$F$1000,6,FALSE),"")</f>
        <v/>
      </c>
      <c r="F397" s="7" t="str">
        <f>IFERROR(VLOOKUP(B397,'Master data'!$A$1:$F$1000,3,FALSE),"")</f>
        <v/>
      </c>
      <c r="G397" s="29"/>
      <c r="H397" s="29"/>
      <c r="I397" s="16"/>
      <c r="J397" s="16"/>
      <c r="K397" s="16" t="b">
        <v>0</v>
      </c>
      <c r="L397" s="16" t="b">
        <v>0</v>
      </c>
    </row>
    <row r="398">
      <c r="A398" s="108"/>
      <c r="B398" s="16"/>
      <c r="C398" s="7" t="str">
        <f>IFERROR(VLOOKUP(B398,'Master data'!$A$1:$F$1000,2,FALSE),"")</f>
        <v/>
      </c>
      <c r="D398" s="7" t="str">
        <f>IFERROR(VLOOKUP(B398,'Master data'!$A$1:$F$1000,6,FALSE),"")</f>
        <v/>
      </c>
      <c r="F398" s="7" t="str">
        <f>IFERROR(VLOOKUP(B398,'Master data'!$A$1:$F$1000,3,FALSE),"")</f>
        <v/>
      </c>
      <c r="G398" s="29"/>
      <c r="H398" s="29"/>
      <c r="I398" s="16"/>
      <c r="J398" s="16"/>
      <c r="K398" s="16" t="b">
        <v>0</v>
      </c>
      <c r="L398" s="16" t="b">
        <v>0</v>
      </c>
    </row>
    <row r="399">
      <c r="A399" s="108"/>
      <c r="B399" s="16"/>
      <c r="C399" s="7" t="str">
        <f>IFERROR(VLOOKUP(B399,'Master data'!$A$1:$F$1000,2,FALSE),"")</f>
        <v/>
      </c>
      <c r="D399" s="7" t="str">
        <f>IFERROR(VLOOKUP(B399,'Master data'!$A$1:$F$1000,6,FALSE),"")</f>
        <v/>
      </c>
      <c r="F399" s="7" t="str">
        <f>IFERROR(VLOOKUP(B399,'Master data'!$A$1:$F$1000,3,FALSE),"")</f>
        <v/>
      </c>
      <c r="G399" s="29"/>
      <c r="H399" s="29"/>
      <c r="I399" s="16"/>
      <c r="J399" s="16"/>
      <c r="K399" s="16" t="b">
        <v>0</v>
      </c>
      <c r="L399" s="16" t="b">
        <v>0</v>
      </c>
    </row>
    <row r="400">
      <c r="A400" s="108"/>
      <c r="B400" s="16"/>
      <c r="C400" s="7" t="str">
        <f>IFERROR(VLOOKUP(B400,'Master data'!$A$1:$F$1000,2,FALSE),"")</f>
        <v/>
      </c>
      <c r="D400" s="7" t="str">
        <f>IFERROR(VLOOKUP(B400,'Master data'!$A$1:$F$1000,6,FALSE),"")</f>
        <v/>
      </c>
      <c r="F400" s="7" t="str">
        <f>IFERROR(VLOOKUP(B400,'Master data'!$A$1:$F$1000,3,FALSE),"")</f>
        <v/>
      </c>
      <c r="G400" s="29"/>
      <c r="H400" s="29"/>
      <c r="I400" s="16"/>
      <c r="J400" s="16"/>
      <c r="K400" s="16" t="b">
        <v>0</v>
      </c>
      <c r="L400" s="16" t="b">
        <v>0</v>
      </c>
    </row>
    <row r="401">
      <c r="A401" s="108"/>
      <c r="B401" s="16"/>
      <c r="C401" s="7" t="str">
        <f>IFERROR(VLOOKUP(B401,'Master data'!$A$1:$F$1000,2,FALSE),"")</f>
        <v/>
      </c>
      <c r="D401" s="7" t="str">
        <f>IFERROR(VLOOKUP(B401,'Master data'!$A$1:$F$1000,6,FALSE),"")</f>
        <v/>
      </c>
      <c r="F401" s="7" t="str">
        <f>IFERROR(VLOOKUP(B401,'Master data'!$A$1:$F$1000,3,FALSE),"")</f>
        <v/>
      </c>
      <c r="G401" s="29"/>
      <c r="H401" s="29"/>
      <c r="I401" s="16"/>
      <c r="J401" s="16"/>
      <c r="K401" s="16" t="b">
        <v>0</v>
      </c>
      <c r="L401" s="16" t="b">
        <v>0</v>
      </c>
    </row>
    <row r="402">
      <c r="A402" s="108"/>
      <c r="B402" s="16"/>
      <c r="C402" s="7" t="str">
        <f>IFERROR(VLOOKUP(B402,'Master data'!$A$1:$F$1000,2,FALSE),"")</f>
        <v/>
      </c>
      <c r="D402" s="7" t="str">
        <f>IFERROR(VLOOKUP(B402,'Master data'!$A$1:$F$1000,6,FALSE),"")</f>
        <v/>
      </c>
      <c r="F402" s="7" t="str">
        <f>IFERROR(VLOOKUP(B402,'Master data'!$A$1:$F$1000,3,FALSE),"")</f>
        <v/>
      </c>
      <c r="G402" s="29"/>
      <c r="H402" s="29"/>
      <c r="I402" s="16"/>
      <c r="J402" s="16"/>
      <c r="K402" s="16" t="b">
        <v>0</v>
      </c>
      <c r="L402" s="16" t="b">
        <v>0</v>
      </c>
    </row>
    <row r="403">
      <c r="A403" s="108"/>
      <c r="B403" s="16"/>
      <c r="C403" s="7" t="str">
        <f>IFERROR(VLOOKUP(B403,'Master data'!$A$1:$F$1000,2,FALSE),"")</f>
        <v/>
      </c>
      <c r="D403" s="7" t="str">
        <f>IFERROR(VLOOKUP(B403,'Master data'!$A$1:$F$1000,6,FALSE),"")</f>
        <v/>
      </c>
      <c r="F403" s="7" t="str">
        <f>IFERROR(VLOOKUP(B403,'Master data'!$A$1:$F$1000,3,FALSE),"")</f>
        <v/>
      </c>
      <c r="G403" s="29"/>
      <c r="H403" s="29"/>
      <c r="I403" s="16"/>
      <c r="J403" s="16"/>
      <c r="K403" s="16" t="b">
        <v>0</v>
      </c>
      <c r="L403" s="16" t="b">
        <v>0</v>
      </c>
    </row>
    <row r="404">
      <c r="A404" s="108"/>
      <c r="B404" s="16"/>
      <c r="C404" s="7" t="str">
        <f>IFERROR(VLOOKUP(B404,'Master data'!$A$1:$F$1000,2,FALSE),"")</f>
        <v/>
      </c>
      <c r="D404" s="7" t="str">
        <f>IFERROR(VLOOKUP(B404,'Master data'!$A$1:$F$1000,6,FALSE),"")</f>
        <v/>
      </c>
      <c r="F404" s="7" t="str">
        <f>IFERROR(VLOOKUP(B404,'Master data'!$A$1:$F$1000,3,FALSE),"")</f>
        <v/>
      </c>
      <c r="G404" s="29"/>
      <c r="H404" s="29"/>
      <c r="I404" s="16"/>
      <c r="J404" s="16"/>
      <c r="K404" s="16" t="b">
        <v>0</v>
      </c>
      <c r="L404" s="16" t="b">
        <v>0</v>
      </c>
    </row>
    <row r="405">
      <c r="A405" s="108"/>
      <c r="B405" s="16"/>
      <c r="C405" s="7" t="str">
        <f>IFERROR(VLOOKUP(B405,'Master data'!$A$1:$F$1000,2,FALSE),"")</f>
        <v/>
      </c>
      <c r="D405" s="7" t="str">
        <f>IFERROR(VLOOKUP(B405,'Master data'!$A$1:$F$1000,6,FALSE),"")</f>
        <v/>
      </c>
      <c r="F405" s="7" t="str">
        <f>IFERROR(VLOOKUP(B405,'Master data'!$A$1:$F$1000,3,FALSE),"")</f>
        <v/>
      </c>
      <c r="G405" s="29"/>
      <c r="H405" s="29"/>
      <c r="I405" s="16"/>
      <c r="J405" s="16"/>
      <c r="K405" s="16" t="b">
        <v>0</v>
      </c>
      <c r="L405" s="16" t="b">
        <v>0</v>
      </c>
    </row>
    <row r="406">
      <c r="A406" s="108"/>
      <c r="B406" s="16"/>
      <c r="C406" s="7" t="str">
        <f>IFERROR(VLOOKUP(B406,'Master data'!$A$1:$F$1000,2,FALSE),"")</f>
        <v/>
      </c>
      <c r="D406" s="7" t="str">
        <f>IFERROR(VLOOKUP(B406,'Master data'!$A$1:$F$1000,6,FALSE),"")</f>
        <v/>
      </c>
      <c r="F406" s="7" t="str">
        <f>IFERROR(VLOOKUP(B406,'Master data'!$A$1:$F$1000,3,FALSE),"")</f>
        <v/>
      </c>
      <c r="G406" s="29"/>
      <c r="H406" s="29"/>
      <c r="I406" s="16"/>
      <c r="J406" s="16"/>
      <c r="K406" s="16" t="b">
        <v>0</v>
      </c>
      <c r="L406" s="16" t="b">
        <v>0</v>
      </c>
    </row>
    <row r="407">
      <c r="A407" s="108"/>
      <c r="B407" s="16"/>
      <c r="C407" s="7" t="str">
        <f>IFERROR(VLOOKUP(B407,'Master data'!$A$1:$F$1000,2,FALSE),"")</f>
        <v/>
      </c>
      <c r="D407" s="7" t="str">
        <f>IFERROR(VLOOKUP(B407,'Master data'!$A$1:$F$1000,6,FALSE),"")</f>
        <v/>
      </c>
      <c r="F407" s="7" t="str">
        <f>IFERROR(VLOOKUP(B407,'Master data'!$A$1:$F$1000,3,FALSE),"")</f>
        <v/>
      </c>
      <c r="G407" s="29"/>
      <c r="H407" s="29"/>
      <c r="I407" s="16"/>
      <c r="J407" s="16"/>
      <c r="K407" s="16" t="b">
        <v>0</v>
      </c>
      <c r="L407" s="16" t="b">
        <v>0</v>
      </c>
    </row>
    <row r="408">
      <c r="A408" s="108"/>
      <c r="B408" s="16"/>
      <c r="C408" s="7" t="str">
        <f>IFERROR(VLOOKUP(B408,'Master data'!$A$1:$F$1000,2,FALSE),"")</f>
        <v/>
      </c>
      <c r="D408" s="7" t="str">
        <f>IFERROR(VLOOKUP(B408,'Master data'!$A$1:$F$1000,6,FALSE),"")</f>
        <v/>
      </c>
      <c r="F408" s="7" t="str">
        <f>IFERROR(VLOOKUP(B408,'Master data'!$A$1:$F$1000,3,FALSE),"")</f>
        <v/>
      </c>
      <c r="G408" s="29"/>
      <c r="H408" s="29"/>
      <c r="I408" s="16"/>
      <c r="J408" s="16"/>
      <c r="K408" s="16" t="b">
        <v>0</v>
      </c>
      <c r="L408" s="16" t="b">
        <v>0</v>
      </c>
    </row>
    <row r="409">
      <c r="A409" s="108"/>
      <c r="B409" s="16"/>
      <c r="C409" s="7" t="str">
        <f>IFERROR(VLOOKUP(B409,'Master data'!$A$1:$F$1000,2,FALSE),"")</f>
        <v/>
      </c>
      <c r="D409" s="7" t="str">
        <f>IFERROR(VLOOKUP(B409,'Master data'!$A$1:$F$1000,6,FALSE),"")</f>
        <v/>
      </c>
      <c r="F409" s="7" t="str">
        <f>IFERROR(VLOOKUP(B409,'Master data'!$A$1:$F$1000,3,FALSE),"")</f>
        <v/>
      </c>
      <c r="G409" s="29"/>
      <c r="H409" s="29"/>
      <c r="I409" s="16"/>
      <c r="J409" s="16"/>
      <c r="K409" s="16" t="b">
        <v>0</v>
      </c>
      <c r="L409" s="16" t="b">
        <v>0</v>
      </c>
    </row>
    <row r="410">
      <c r="A410" s="108"/>
      <c r="B410" s="16"/>
      <c r="C410" s="7" t="str">
        <f>IFERROR(VLOOKUP(B410,'Master data'!$A$1:$F$1000,2,FALSE),"")</f>
        <v/>
      </c>
      <c r="D410" s="7" t="str">
        <f>IFERROR(VLOOKUP(B410,'Master data'!$A$1:$F$1000,6,FALSE),"")</f>
        <v/>
      </c>
      <c r="F410" s="7" t="str">
        <f>IFERROR(VLOOKUP(B410,'Master data'!$A$1:$F$1000,3,FALSE),"")</f>
        <v/>
      </c>
      <c r="G410" s="29"/>
      <c r="H410" s="29"/>
      <c r="I410" s="16"/>
      <c r="J410" s="16"/>
      <c r="K410" s="16" t="b">
        <v>0</v>
      </c>
      <c r="L410" s="16" t="b">
        <v>0</v>
      </c>
    </row>
    <row r="411">
      <c r="A411" s="108"/>
      <c r="B411" s="16"/>
      <c r="C411" s="7" t="str">
        <f>IFERROR(VLOOKUP(B411,'Master data'!$A$1:$F$1000,2,FALSE),"")</f>
        <v/>
      </c>
      <c r="D411" s="7" t="str">
        <f>IFERROR(VLOOKUP(B411,'Master data'!$A$1:$F$1000,6,FALSE),"")</f>
        <v/>
      </c>
      <c r="F411" s="7" t="str">
        <f>IFERROR(VLOOKUP(B411,'Master data'!$A$1:$F$1000,3,FALSE),"")</f>
        <v/>
      </c>
      <c r="G411" s="29"/>
      <c r="H411" s="29"/>
      <c r="I411" s="16"/>
      <c r="J411" s="16"/>
      <c r="K411" s="16" t="b">
        <v>0</v>
      </c>
      <c r="L411" s="16" t="b">
        <v>0</v>
      </c>
    </row>
    <row r="412">
      <c r="A412" s="108"/>
      <c r="B412" s="16"/>
      <c r="C412" s="7" t="str">
        <f>IFERROR(VLOOKUP(B412,'Master data'!$A$1:$F$1000,2,FALSE),"")</f>
        <v/>
      </c>
      <c r="D412" s="7" t="str">
        <f>IFERROR(VLOOKUP(B412,'Master data'!$A$1:$F$1000,6,FALSE),"")</f>
        <v/>
      </c>
      <c r="F412" s="7" t="str">
        <f>IFERROR(VLOOKUP(B412,'Master data'!$A$1:$F$1000,3,FALSE),"")</f>
        <v/>
      </c>
      <c r="G412" s="29"/>
      <c r="H412" s="29"/>
      <c r="I412" s="16"/>
      <c r="J412" s="16"/>
      <c r="K412" s="16" t="b">
        <v>0</v>
      </c>
      <c r="L412" s="16" t="b">
        <v>0</v>
      </c>
    </row>
    <row r="413">
      <c r="A413" s="108"/>
      <c r="B413" s="16"/>
      <c r="C413" s="7" t="str">
        <f>IFERROR(VLOOKUP(B413,'Master data'!$A$1:$F$1000,2,FALSE),"")</f>
        <v/>
      </c>
      <c r="D413" s="7" t="str">
        <f>IFERROR(VLOOKUP(B413,'Master data'!$A$1:$F$1000,6,FALSE),"")</f>
        <v/>
      </c>
      <c r="F413" s="7" t="str">
        <f>IFERROR(VLOOKUP(B413,'Master data'!$A$1:$F$1000,3,FALSE),"")</f>
        <v/>
      </c>
      <c r="G413" s="29"/>
      <c r="H413" s="29"/>
      <c r="I413" s="16"/>
      <c r="J413" s="16"/>
      <c r="K413" s="16" t="b">
        <v>0</v>
      </c>
      <c r="L413" s="16" t="b">
        <v>0</v>
      </c>
    </row>
    <row r="414">
      <c r="A414" s="108"/>
      <c r="B414" s="16"/>
      <c r="C414" s="7" t="str">
        <f>IFERROR(VLOOKUP(B414,'Master data'!$A$1:$F$1000,2,FALSE),"")</f>
        <v/>
      </c>
      <c r="D414" s="7" t="str">
        <f>IFERROR(VLOOKUP(B414,'Master data'!$A$1:$F$1000,6,FALSE),"")</f>
        <v/>
      </c>
      <c r="F414" s="7" t="str">
        <f>IFERROR(VLOOKUP(B414,'Master data'!$A$1:$F$1000,3,FALSE),"")</f>
        <v/>
      </c>
      <c r="G414" s="29"/>
      <c r="H414" s="29"/>
      <c r="I414" s="16"/>
      <c r="J414" s="16"/>
      <c r="K414" s="16" t="b">
        <v>0</v>
      </c>
      <c r="L414" s="16" t="b">
        <v>0</v>
      </c>
    </row>
    <row r="415">
      <c r="A415" s="108"/>
      <c r="B415" s="16"/>
      <c r="C415" s="7" t="str">
        <f>IFERROR(VLOOKUP(B415,'Master data'!$A$1:$F$1000,2,FALSE),"")</f>
        <v/>
      </c>
      <c r="D415" s="7" t="str">
        <f>IFERROR(VLOOKUP(B415,'Master data'!$A$1:$F$1000,6,FALSE),"")</f>
        <v/>
      </c>
      <c r="F415" s="7" t="str">
        <f>IFERROR(VLOOKUP(B415,'Master data'!$A$1:$F$1000,3,FALSE),"")</f>
        <v/>
      </c>
      <c r="G415" s="29"/>
      <c r="H415" s="29"/>
      <c r="I415" s="16"/>
      <c r="J415" s="16"/>
      <c r="K415" s="16" t="b">
        <v>0</v>
      </c>
      <c r="L415" s="16" t="b">
        <v>0</v>
      </c>
    </row>
    <row r="416">
      <c r="A416" s="108"/>
      <c r="B416" s="16"/>
      <c r="C416" s="7" t="str">
        <f>IFERROR(VLOOKUP(B416,'Master data'!$A$1:$F$1000,2,FALSE),"")</f>
        <v/>
      </c>
      <c r="D416" s="7" t="str">
        <f>IFERROR(VLOOKUP(B416,'Master data'!$A$1:$F$1000,6,FALSE),"")</f>
        <v/>
      </c>
      <c r="F416" s="7" t="str">
        <f>IFERROR(VLOOKUP(B416,'Master data'!$A$1:$F$1000,3,FALSE),"")</f>
        <v/>
      </c>
      <c r="G416" s="29"/>
      <c r="H416" s="29"/>
      <c r="I416" s="16"/>
      <c r="J416" s="16"/>
      <c r="K416" s="16" t="b">
        <v>0</v>
      </c>
      <c r="L416" s="16" t="b">
        <v>0</v>
      </c>
    </row>
    <row r="417">
      <c r="A417" s="108"/>
      <c r="B417" s="16"/>
      <c r="C417" s="7" t="str">
        <f>IFERROR(VLOOKUP(B417,'Master data'!$A$1:$F$1000,2,FALSE),"")</f>
        <v/>
      </c>
      <c r="D417" s="7" t="str">
        <f>IFERROR(VLOOKUP(B417,'Master data'!$A$1:$F$1000,6,FALSE),"")</f>
        <v/>
      </c>
      <c r="F417" s="7" t="str">
        <f>IFERROR(VLOOKUP(B417,'Master data'!$A$1:$F$1000,3,FALSE),"")</f>
        <v/>
      </c>
      <c r="G417" s="29"/>
      <c r="H417" s="29"/>
      <c r="I417" s="16"/>
      <c r="J417" s="16"/>
      <c r="K417" s="16" t="b">
        <v>0</v>
      </c>
      <c r="L417" s="16" t="b">
        <v>0</v>
      </c>
    </row>
    <row r="418">
      <c r="A418" s="108"/>
      <c r="B418" s="16"/>
      <c r="C418" s="7" t="str">
        <f>IFERROR(VLOOKUP(B418,'Master data'!$A$1:$F$1000,2,FALSE),"")</f>
        <v/>
      </c>
      <c r="D418" s="7" t="str">
        <f>IFERROR(VLOOKUP(B418,'Master data'!$A$1:$F$1000,6,FALSE),"")</f>
        <v/>
      </c>
      <c r="F418" s="7" t="str">
        <f>IFERROR(VLOOKUP(B418,'Master data'!$A$1:$F$1000,3,FALSE),"")</f>
        <v/>
      </c>
      <c r="G418" s="29"/>
      <c r="H418" s="29"/>
      <c r="I418" s="16"/>
      <c r="J418" s="16"/>
      <c r="K418" s="16" t="b">
        <v>0</v>
      </c>
      <c r="L418" s="16" t="b">
        <v>0</v>
      </c>
    </row>
    <row r="419">
      <c r="A419" s="108"/>
      <c r="B419" s="16"/>
      <c r="C419" s="7" t="str">
        <f>IFERROR(VLOOKUP(B419,'Master data'!$A$1:$F$1000,2,FALSE),"")</f>
        <v/>
      </c>
      <c r="D419" s="7" t="str">
        <f>IFERROR(VLOOKUP(B419,'Master data'!$A$1:$F$1000,6,FALSE),"")</f>
        <v/>
      </c>
      <c r="F419" s="7" t="str">
        <f>IFERROR(VLOOKUP(B419,'Master data'!$A$1:$F$1000,3,FALSE),"")</f>
        <v/>
      </c>
      <c r="G419" s="29"/>
      <c r="H419" s="29"/>
      <c r="I419" s="16"/>
      <c r="J419" s="16"/>
      <c r="K419" s="16" t="b">
        <v>0</v>
      </c>
      <c r="L419" s="16" t="b">
        <v>0</v>
      </c>
    </row>
    <row r="420">
      <c r="A420" s="108"/>
      <c r="B420" s="16"/>
      <c r="C420" s="7" t="str">
        <f>IFERROR(VLOOKUP(B420,'Master data'!$A$1:$F$1000,2,FALSE),"")</f>
        <v/>
      </c>
      <c r="D420" s="7" t="str">
        <f>IFERROR(VLOOKUP(B420,'Master data'!$A$1:$F$1000,6,FALSE),"")</f>
        <v/>
      </c>
      <c r="F420" s="7" t="str">
        <f>IFERROR(VLOOKUP(B420,'Master data'!$A$1:$F$1000,3,FALSE),"")</f>
        <v/>
      </c>
      <c r="G420" s="29"/>
      <c r="H420" s="29"/>
      <c r="I420" s="16"/>
      <c r="J420" s="16"/>
      <c r="K420" s="16" t="b">
        <v>0</v>
      </c>
      <c r="L420" s="16" t="b">
        <v>0</v>
      </c>
    </row>
    <row r="421">
      <c r="A421" s="108"/>
      <c r="B421" s="16"/>
      <c r="C421" s="7" t="str">
        <f>IFERROR(VLOOKUP(B421,'Master data'!$A$1:$F$1000,2,FALSE),"")</f>
        <v/>
      </c>
      <c r="D421" s="7" t="str">
        <f>IFERROR(VLOOKUP(B421,'Master data'!$A$1:$F$1000,6,FALSE),"")</f>
        <v/>
      </c>
      <c r="F421" s="7" t="str">
        <f>IFERROR(VLOOKUP(B421,'Master data'!$A$1:$F$1000,3,FALSE),"")</f>
        <v/>
      </c>
      <c r="G421" s="29"/>
      <c r="H421" s="29"/>
      <c r="I421" s="16"/>
      <c r="J421" s="16"/>
      <c r="K421" s="16" t="b">
        <v>0</v>
      </c>
      <c r="L421" s="16" t="b">
        <v>0</v>
      </c>
    </row>
    <row r="422">
      <c r="A422" s="108"/>
      <c r="B422" s="16"/>
      <c r="C422" s="7" t="str">
        <f>IFERROR(VLOOKUP(B422,'Master data'!$A$1:$F$1000,2,FALSE),"")</f>
        <v/>
      </c>
      <c r="D422" s="7" t="str">
        <f>IFERROR(VLOOKUP(B422,'Master data'!$A$1:$F$1000,6,FALSE),"")</f>
        <v/>
      </c>
      <c r="F422" s="7" t="str">
        <f>IFERROR(VLOOKUP(B422,'Master data'!$A$1:$F$1000,3,FALSE),"")</f>
        <v/>
      </c>
      <c r="G422" s="29"/>
      <c r="H422" s="29"/>
      <c r="I422" s="16"/>
      <c r="J422" s="16"/>
      <c r="K422" s="16" t="b">
        <v>0</v>
      </c>
      <c r="L422" s="16" t="b">
        <v>0</v>
      </c>
    </row>
    <row r="423">
      <c r="A423" s="108"/>
      <c r="B423" s="16"/>
      <c r="C423" s="7" t="str">
        <f>IFERROR(VLOOKUP(B423,'Master data'!$A$1:$F$1000,2,FALSE),"")</f>
        <v/>
      </c>
      <c r="D423" s="7" t="str">
        <f>IFERROR(VLOOKUP(B423,'Master data'!$A$1:$F$1000,6,FALSE),"")</f>
        <v/>
      </c>
      <c r="F423" s="7" t="str">
        <f>IFERROR(VLOOKUP(B423,'Master data'!$A$1:$F$1000,3,FALSE),"")</f>
        <v/>
      </c>
      <c r="G423" s="29"/>
      <c r="H423" s="29"/>
      <c r="I423" s="16"/>
      <c r="J423" s="16"/>
      <c r="K423" s="16" t="b">
        <v>0</v>
      </c>
      <c r="L423" s="16" t="b">
        <v>0</v>
      </c>
    </row>
    <row r="424">
      <c r="A424" s="108"/>
      <c r="B424" s="16"/>
      <c r="C424" s="7" t="str">
        <f>IFERROR(VLOOKUP(B424,'Master data'!$A$1:$F$1000,2,FALSE),"")</f>
        <v/>
      </c>
      <c r="D424" s="7" t="str">
        <f>IFERROR(VLOOKUP(B424,'Master data'!$A$1:$F$1000,6,FALSE),"")</f>
        <v/>
      </c>
      <c r="F424" s="7" t="str">
        <f>IFERROR(VLOOKUP(B424,'Master data'!$A$1:$F$1000,3,FALSE),"")</f>
        <v/>
      </c>
      <c r="G424" s="29"/>
      <c r="H424" s="29"/>
      <c r="I424" s="16"/>
      <c r="J424" s="16"/>
      <c r="K424" s="16" t="b">
        <v>0</v>
      </c>
      <c r="L424" s="16" t="b">
        <v>0</v>
      </c>
    </row>
    <row r="425">
      <c r="A425" s="108"/>
      <c r="B425" s="16"/>
      <c r="C425" s="7" t="str">
        <f>IFERROR(VLOOKUP(B425,'Master data'!$A$1:$F$1000,2,FALSE),"")</f>
        <v/>
      </c>
      <c r="D425" s="7" t="str">
        <f>IFERROR(VLOOKUP(B425,'Master data'!$A$1:$F$1000,6,FALSE),"")</f>
        <v/>
      </c>
      <c r="F425" s="7" t="str">
        <f>IFERROR(VLOOKUP(B425,'Master data'!$A$1:$F$1000,3,FALSE),"")</f>
        <v/>
      </c>
      <c r="G425" s="29"/>
      <c r="H425" s="29"/>
      <c r="I425" s="16"/>
      <c r="J425" s="16"/>
      <c r="K425" s="16" t="b">
        <v>0</v>
      </c>
      <c r="L425" s="16" t="b">
        <v>0</v>
      </c>
    </row>
    <row r="426">
      <c r="A426" s="108"/>
      <c r="B426" s="16"/>
      <c r="C426" s="7" t="str">
        <f>IFERROR(VLOOKUP(B426,'Master data'!$A$1:$F$1000,2,FALSE),"")</f>
        <v/>
      </c>
      <c r="D426" s="7" t="str">
        <f>IFERROR(VLOOKUP(B426,'Master data'!$A$1:$F$1000,6,FALSE),"")</f>
        <v/>
      </c>
      <c r="F426" s="7" t="str">
        <f>IFERROR(VLOOKUP(B426,'Master data'!$A$1:$F$1000,3,FALSE),"")</f>
        <v/>
      </c>
      <c r="G426" s="29"/>
      <c r="H426" s="29"/>
      <c r="I426" s="16"/>
      <c r="J426" s="16"/>
      <c r="K426" s="16" t="b">
        <v>0</v>
      </c>
      <c r="L426" s="16" t="b">
        <v>0</v>
      </c>
    </row>
    <row r="427">
      <c r="A427" s="108"/>
      <c r="B427" s="16"/>
      <c r="C427" s="7" t="str">
        <f>IFERROR(VLOOKUP(B427,'Master data'!$A$1:$F$1000,2,FALSE),"")</f>
        <v/>
      </c>
      <c r="D427" s="7" t="str">
        <f>IFERROR(VLOOKUP(B427,'Master data'!$A$1:$F$1000,6,FALSE),"")</f>
        <v/>
      </c>
      <c r="F427" s="7" t="str">
        <f>IFERROR(VLOOKUP(B427,'Master data'!$A$1:$F$1000,3,FALSE),"")</f>
        <v/>
      </c>
      <c r="G427" s="29"/>
      <c r="H427" s="29"/>
      <c r="I427" s="16"/>
      <c r="J427" s="16"/>
      <c r="K427" s="16" t="b">
        <v>0</v>
      </c>
      <c r="L427" s="16" t="b">
        <v>0</v>
      </c>
    </row>
    <row r="428">
      <c r="A428" s="108"/>
      <c r="B428" s="16"/>
      <c r="C428" s="7" t="str">
        <f>IFERROR(VLOOKUP(B428,'Master data'!$A$1:$F$1000,2,FALSE),"")</f>
        <v/>
      </c>
      <c r="D428" s="7" t="str">
        <f>IFERROR(VLOOKUP(B428,'Master data'!$A$1:$F$1000,6,FALSE),"")</f>
        <v/>
      </c>
      <c r="F428" s="7" t="str">
        <f>IFERROR(VLOOKUP(B428,'Master data'!$A$1:$F$1000,3,FALSE),"")</f>
        <v/>
      </c>
      <c r="G428" s="29"/>
      <c r="H428" s="29"/>
      <c r="I428" s="16"/>
      <c r="J428" s="16"/>
      <c r="K428" s="16" t="b">
        <v>0</v>
      </c>
      <c r="L428" s="16" t="b">
        <v>0</v>
      </c>
    </row>
    <row r="429">
      <c r="A429" s="108"/>
      <c r="B429" s="16"/>
      <c r="C429" s="7" t="str">
        <f>IFERROR(VLOOKUP(B429,'Master data'!$A$1:$F$1000,2,FALSE),"")</f>
        <v/>
      </c>
      <c r="D429" s="7" t="str">
        <f>IFERROR(VLOOKUP(B429,'Master data'!$A$1:$F$1000,6,FALSE),"")</f>
        <v/>
      </c>
      <c r="F429" s="7" t="str">
        <f>IFERROR(VLOOKUP(B429,'Master data'!$A$1:$F$1000,3,FALSE),"")</f>
        <v/>
      </c>
      <c r="G429" s="29"/>
      <c r="H429" s="29"/>
      <c r="I429" s="16"/>
      <c r="J429" s="16"/>
      <c r="K429" s="16" t="b">
        <v>0</v>
      </c>
      <c r="L429" s="16" t="b">
        <v>0</v>
      </c>
    </row>
    <row r="430">
      <c r="A430" s="108"/>
      <c r="B430" s="16"/>
      <c r="C430" s="7" t="str">
        <f>IFERROR(VLOOKUP(B430,'Master data'!$A$1:$F$1000,2,FALSE),"")</f>
        <v/>
      </c>
      <c r="D430" s="7" t="str">
        <f>IFERROR(VLOOKUP(B430,'Master data'!$A$1:$F$1000,6,FALSE),"")</f>
        <v/>
      </c>
      <c r="F430" s="7" t="str">
        <f>IFERROR(VLOOKUP(B430,'Master data'!$A$1:$F$1000,3,FALSE),"")</f>
        <v/>
      </c>
      <c r="G430" s="29"/>
      <c r="H430" s="29"/>
      <c r="I430" s="16"/>
      <c r="J430" s="16"/>
      <c r="K430" s="16" t="b">
        <v>0</v>
      </c>
      <c r="L430" s="16" t="b">
        <v>0</v>
      </c>
    </row>
    <row r="431">
      <c r="A431" s="108"/>
      <c r="B431" s="16"/>
      <c r="C431" s="7" t="str">
        <f>IFERROR(VLOOKUP(B431,'Master data'!$A$1:$F$1000,2,FALSE),"")</f>
        <v/>
      </c>
      <c r="D431" s="7" t="str">
        <f>IFERROR(VLOOKUP(B431,'Master data'!$A$1:$F$1000,6,FALSE),"")</f>
        <v/>
      </c>
      <c r="F431" s="7" t="str">
        <f>IFERROR(VLOOKUP(B431,'Master data'!$A$1:$F$1000,3,FALSE),"")</f>
        <v/>
      </c>
      <c r="G431" s="29"/>
      <c r="H431" s="29"/>
      <c r="I431" s="16"/>
      <c r="J431" s="16"/>
      <c r="K431" s="16" t="b">
        <v>0</v>
      </c>
      <c r="L431" s="16" t="b">
        <v>0</v>
      </c>
    </row>
    <row r="432">
      <c r="A432" s="108"/>
      <c r="B432" s="16"/>
      <c r="C432" s="7" t="str">
        <f>IFERROR(VLOOKUP(B432,'Master data'!$A$1:$F$1000,2,FALSE),"")</f>
        <v/>
      </c>
      <c r="D432" s="7" t="str">
        <f>IFERROR(VLOOKUP(B432,'Master data'!$A$1:$F$1000,6,FALSE),"")</f>
        <v/>
      </c>
      <c r="F432" s="7" t="str">
        <f>IFERROR(VLOOKUP(B432,'Master data'!$A$1:$F$1000,3,FALSE),"")</f>
        <v/>
      </c>
      <c r="G432" s="29"/>
      <c r="H432" s="29"/>
      <c r="I432" s="16"/>
      <c r="J432" s="16"/>
      <c r="K432" s="16" t="b">
        <v>0</v>
      </c>
      <c r="L432" s="16" t="b">
        <v>0</v>
      </c>
    </row>
    <row r="433">
      <c r="A433" s="108"/>
      <c r="B433" s="16"/>
      <c r="C433" s="7" t="str">
        <f>IFERROR(VLOOKUP(B433,'Master data'!$A$1:$F$1000,2,FALSE),"")</f>
        <v/>
      </c>
      <c r="D433" s="7" t="str">
        <f>IFERROR(VLOOKUP(B433,'Master data'!$A$1:$F$1000,6,FALSE),"")</f>
        <v/>
      </c>
      <c r="F433" s="7" t="str">
        <f>IFERROR(VLOOKUP(B433,'Master data'!$A$1:$F$1000,3,FALSE),"")</f>
        <v/>
      </c>
      <c r="G433" s="29"/>
      <c r="H433" s="29"/>
      <c r="I433" s="16"/>
      <c r="J433" s="16"/>
      <c r="K433" s="16" t="b">
        <v>0</v>
      </c>
      <c r="L433" s="16" t="b">
        <v>0</v>
      </c>
    </row>
    <row r="434">
      <c r="A434" s="108"/>
      <c r="B434" s="16"/>
      <c r="C434" s="7" t="str">
        <f>IFERROR(VLOOKUP(B434,'Master data'!$A$1:$F$1000,2,FALSE),"")</f>
        <v/>
      </c>
      <c r="D434" s="7" t="str">
        <f>IFERROR(VLOOKUP(B434,'Master data'!$A$1:$F$1000,6,FALSE),"")</f>
        <v/>
      </c>
      <c r="F434" s="7" t="str">
        <f>IFERROR(VLOOKUP(B434,'Master data'!$A$1:$F$1000,3,FALSE),"")</f>
        <v/>
      </c>
      <c r="G434" s="29"/>
      <c r="H434" s="29"/>
      <c r="I434" s="16"/>
      <c r="J434" s="16"/>
      <c r="K434" s="16" t="b">
        <v>0</v>
      </c>
      <c r="L434" s="16" t="b">
        <v>0</v>
      </c>
    </row>
    <row r="435">
      <c r="A435" s="108"/>
      <c r="B435" s="16"/>
      <c r="C435" s="7" t="str">
        <f>IFERROR(VLOOKUP(B435,'Master data'!$A$1:$F$1000,2,FALSE),"")</f>
        <v/>
      </c>
      <c r="D435" s="7" t="str">
        <f>IFERROR(VLOOKUP(B435,'Master data'!$A$1:$F$1000,6,FALSE),"")</f>
        <v/>
      </c>
      <c r="F435" s="7" t="str">
        <f>IFERROR(VLOOKUP(B435,'Master data'!$A$1:$F$1000,3,FALSE),"")</f>
        <v/>
      </c>
      <c r="G435" s="29"/>
      <c r="H435" s="29"/>
      <c r="I435" s="16"/>
      <c r="J435" s="16"/>
      <c r="K435" s="16" t="b">
        <v>0</v>
      </c>
      <c r="L435" s="16" t="b">
        <v>0</v>
      </c>
    </row>
    <row r="436">
      <c r="A436" s="108"/>
      <c r="B436" s="16"/>
      <c r="C436" s="7" t="str">
        <f>IFERROR(VLOOKUP(B436,'Master data'!$A$1:$F$1000,2,FALSE),"")</f>
        <v/>
      </c>
      <c r="D436" s="7" t="str">
        <f>IFERROR(VLOOKUP(B436,'Master data'!$A$1:$F$1000,6,FALSE),"")</f>
        <v/>
      </c>
      <c r="F436" s="7" t="str">
        <f>IFERROR(VLOOKUP(B436,'Master data'!$A$1:$F$1000,3,FALSE),"")</f>
        <v/>
      </c>
      <c r="G436" s="29"/>
      <c r="H436" s="29"/>
      <c r="I436" s="16"/>
      <c r="J436" s="16"/>
      <c r="K436" s="16" t="b">
        <v>0</v>
      </c>
      <c r="L436" s="16" t="b">
        <v>0</v>
      </c>
    </row>
    <row r="437">
      <c r="A437" s="108"/>
      <c r="B437" s="16"/>
      <c r="C437" s="7" t="str">
        <f>IFERROR(VLOOKUP(B437,'Master data'!$A$1:$F$1000,2,FALSE),"")</f>
        <v/>
      </c>
      <c r="D437" s="7" t="str">
        <f>IFERROR(VLOOKUP(B437,'Master data'!$A$1:$F$1000,6,FALSE),"")</f>
        <v/>
      </c>
      <c r="F437" s="7" t="str">
        <f>IFERROR(VLOOKUP(B437,'Master data'!$A$1:$F$1000,3,FALSE),"")</f>
        <v/>
      </c>
      <c r="G437" s="29"/>
      <c r="H437" s="29"/>
      <c r="I437" s="16"/>
      <c r="J437" s="16"/>
      <c r="K437" s="16" t="b">
        <v>0</v>
      </c>
      <c r="L437" s="16" t="b">
        <v>0</v>
      </c>
    </row>
    <row r="438">
      <c r="A438" s="108"/>
      <c r="B438" s="16"/>
      <c r="C438" s="7" t="str">
        <f>IFERROR(VLOOKUP(B438,'Master data'!$A$1:$F$1000,2,FALSE),"")</f>
        <v/>
      </c>
      <c r="D438" s="7" t="str">
        <f>IFERROR(VLOOKUP(B438,'Master data'!$A$1:$F$1000,6,FALSE),"")</f>
        <v/>
      </c>
      <c r="F438" s="7" t="str">
        <f>IFERROR(VLOOKUP(B438,'Master data'!$A$1:$F$1000,3,FALSE),"")</f>
        <v/>
      </c>
      <c r="G438" s="29"/>
      <c r="H438" s="29"/>
      <c r="I438" s="16"/>
      <c r="J438" s="16"/>
      <c r="K438" s="16" t="b">
        <v>0</v>
      </c>
      <c r="L438" s="16" t="b">
        <v>0</v>
      </c>
    </row>
    <row r="439">
      <c r="A439" s="108"/>
      <c r="B439" s="16"/>
      <c r="C439" s="7" t="str">
        <f>IFERROR(VLOOKUP(B439,'Master data'!$A$1:$F$1000,2,FALSE),"")</f>
        <v/>
      </c>
      <c r="D439" s="7" t="str">
        <f>IFERROR(VLOOKUP(B439,'Master data'!$A$1:$F$1000,6,FALSE),"")</f>
        <v/>
      </c>
      <c r="F439" s="7" t="str">
        <f>IFERROR(VLOOKUP(B439,'Master data'!$A$1:$F$1000,3,FALSE),"")</f>
        <v/>
      </c>
      <c r="G439" s="29"/>
      <c r="H439" s="29"/>
      <c r="I439" s="16"/>
      <c r="J439" s="16"/>
      <c r="K439" s="16" t="b">
        <v>0</v>
      </c>
      <c r="L439" s="16" t="b">
        <v>0</v>
      </c>
    </row>
    <row r="440">
      <c r="A440" s="108"/>
      <c r="B440" s="16"/>
      <c r="C440" s="7" t="str">
        <f>IFERROR(VLOOKUP(B440,'Master data'!$A$1:$F$1000,2,FALSE),"")</f>
        <v/>
      </c>
      <c r="D440" s="7" t="str">
        <f>IFERROR(VLOOKUP(B440,'Master data'!$A$1:$F$1000,6,FALSE),"")</f>
        <v/>
      </c>
      <c r="F440" s="7" t="str">
        <f>IFERROR(VLOOKUP(B440,'Master data'!$A$1:$F$1000,3,FALSE),"")</f>
        <v/>
      </c>
      <c r="G440" s="29"/>
      <c r="H440" s="29"/>
      <c r="I440" s="16"/>
      <c r="J440" s="16"/>
      <c r="K440" s="16" t="b">
        <v>0</v>
      </c>
      <c r="L440" s="16" t="b">
        <v>0</v>
      </c>
    </row>
    <row r="441">
      <c r="A441" s="108"/>
      <c r="B441" s="16"/>
      <c r="C441" s="7" t="str">
        <f>IFERROR(VLOOKUP(B441,'Master data'!$A$1:$F$1000,2,FALSE),"")</f>
        <v/>
      </c>
      <c r="D441" s="7" t="str">
        <f>IFERROR(VLOOKUP(B441,'Master data'!$A$1:$F$1000,6,FALSE),"")</f>
        <v/>
      </c>
      <c r="F441" s="7" t="str">
        <f>IFERROR(VLOOKUP(B441,'Master data'!$A$1:$F$1000,3,FALSE),"")</f>
        <v/>
      </c>
      <c r="G441" s="29"/>
      <c r="H441" s="29"/>
      <c r="I441" s="16"/>
      <c r="J441" s="16"/>
      <c r="K441" s="16" t="b">
        <v>0</v>
      </c>
      <c r="L441" s="16" t="b">
        <v>0</v>
      </c>
    </row>
    <row r="442">
      <c r="A442" s="108"/>
      <c r="B442" s="16"/>
      <c r="C442" s="7" t="str">
        <f>IFERROR(VLOOKUP(B442,'Master data'!$A$1:$F$1000,2,FALSE),"")</f>
        <v/>
      </c>
      <c r="D442" s="7" t="str">
        <f>IFERROR(VLOOKUP(B442,'Master data'!$A$1:$F$1000,6,FALSE),"")</f>
        <v/>
      </c>
      <c r="F442" s="7" t="str">
        <f>IFERROR(VLOOKUP(B442,'Master data'!$A$1:$F$1000,3,FALSE),"")</f>
        <v/>
      </c>
      <c r="G442" s="29"/>
      <c r="H442" s="29"/>
      <c r="I442" s="16"/>
      <c r="J442" s="16"/>
      <c r="K442" s="16" t="b">
        <v>0</v>
      </c>
      <c r="L442" s="16" t="b">
        <v>0</v>
      </c>
    </row>
    <row r="443">
      <c r="A443" s="108"/>
      <c r="B443" s="16"/>
      <c r="C443" s="7" t="str">
        <f>IFERROR(VLOOKUP(B443,'Master data'!$A$1:$F$1000,2,FALSE),"")</f>
        <v/>
      </c>
      <c r="D443" s="7" t="str">
        <f>IFERROR(VLOOKUP(B443,'Master data'!$A$1:$F$1000,6,FALSE),"")</f>
        <v/>
      </c>
      <c r="F443" s="7" t="str">
        <f>IFERROR(VLOOKUP(B443,'Master data'!$A$1:$F$1000,3,FALSE),"")</f>
        <v/>
      </c>
      <c r="G443" s="29"/>
      <c r="H443" s="29"/>
      <c r="I443" s="16"/>
      <c r="J443" s="16"/>
      <c r="K443" s="16" t="b">
        <v>0</v>
      </c>
      <c r="L443" s="16" t="b">
        <v>0</v>
      </c>
    </row>
    <row r="444">
      <c r="A444" s="108"/>
      <c r="B444" s="16"/>
      <c r="C444" s="7" t="str">
        <f>IFERROR(VLOOKUP(B444,'Master data'!$A$1:$F$1000,2,FALSE),"")</f>
        <v/>
      </c>
      <c r="D444" s="7" t="str">
        <f>IFERROR(VLOOKUP(B444,'Master data'!$A$1:$F$1000,6,FALSE),"")</f>
        <v/>
      </c>
      <c r="F444" s="7" t="str">
        <f>IFERROR(VLOOKUP(B444,'Master data'!$A$1:$F$1000,3,FALSE),"")</f>
        <v/>
      </c>
      <c r="G444" s="29"/>
      <c r="H444" s="29"/>
      <c r="I444" s="16"/>
      <c r="J444" s="16"/>
      <c r="K444" s="16" t="b">
        <v>0</v>
      </c>
      <c r="L444" s="16" t="b">
        <v>0</v>
      </c>
    </row>
    <row r="445">
      <c r="A445" s="108"/>
      <c r="B445" s="16"/>
      <c r="C445" s="7" t="str">
        <f>IFERROR(VLOOKUP(B445,'Master data'!$A$1:$F$1000,2,FALSE),"")</f>
        <v/>
      </c>
      <c r="D445" s="7" t="str">
        <f>IFERROR(VLOOKUP(B445,'Master data'!$A$1:$F$1000,6,FALSE),"")</f>
        <v/>
      </c>
      <c r="F445" s="7" t="str">
        <f>IFERROR(VLOOKUP(B445,'Master data'!$A$1:$F$1000,3,FALSE),"")</f>
        <v/>
      </c>
      <c r="G445" s="29"/>
      <c r="H445" s="29"/>
      <c r="I445" s="16"/>
      <c r="J445" s="16"/>
      <c r="K445" s="16" t="b">
        <v>0</v>
      </c>
      <c r="L445" s="16" t="b">
        <v>0</v>
      </c>
    </row>
    <row r="446">
      <c r="A446" s="108"/>
      <c r="B446" s="16"/>
      <c r="C446" s="7" t="str">
        <f>IFERROR(VLOOKUP(B446,'Master data'!$A$1:$F$1000,2,FALSE),"")</f>
        <v/>
      </c>
      <c r="D446" s="7" t="str">
        <f>IFERROR(VLOOKUP(B446,'Master data'!$A$1:$F$1000,6,FALSE),"")</f>
        <v/>
      </c>
      <c r="F446" s="7" t="str">
        <f>IFERROR(VLOOKUP(B446,'Master data'!$A$1:$F$1000,3,FALSE),"")</f>
        <v/>
      </c>
      <c r="G446" s="29"/>
      <c r="H446" s="29"/>
      <c r="I446" s="16"/>
      <c r="J446" s="16"/>
      <c r="K446" s="16" t="b">
        <v>0</v>
      </c>
      <c r="L446" s="16" t="b">
        <v>0</v>
      </c>
    </row>
    <row r="447">
      <c r="A447" s="108"/>
      <c r="B447" s="16"/>
      <c r="C447" s="7" t="str">
        <f>IFERROR(VLOOKUP(B447,'Master data'!$A$1:$F$1000,2,FALSE),"")</f>
        <v/>
      </c>
      <c r="D447" s="7" t="str">
        <f>IFERROR(VLOOKUP(B447,'Master data'!$A$1:$F$1000,6,FALSE),"")</f>
        <v/>
      </c>
      <c r="F447" s="7" t="str">
        <f>IFERROR(VLOOKUP(B447,'Master data'!$A$1:$F$1000,3,FALSE),"")</f>
        <v/>
      </c>
      <c r="G447" s="29"/>
      <c r="H447" s="29"/>
      <c r="I447" s="16"/>
      <c r="J447" s="16"/>
      <c r="K447" s="16" t="b">
        <v>0</v>
      </c>
      <c r="L447" s="16" t="b">
        <v>0</v>
      </c>
    </row>
    <row r="448">
      <c r="A448" s="108"/>
      <c r="B448" s="16"/>
      <c r="C448" s="7" t="str">
        <f>IFERROR(VLOOKUP(B448,'Master data'!$A$1:$F$1000,2,FALSE),"")</f>
        <v/>
      </c>
      <c r="D448" s="7" t="str">
        <f>IFERROR(VLOOKUP(B448,'Master data'!$A$1:$F$1000,6,FALSE),"")</f>
        <v/>
      </c>
      <c r="F448" s="7" t="str">
        <f>IFERROR(VLOOKUP(B448,'Master data'!$A$1:$F$1000,3,FALSE),"")</f>
        <v/>
      </c>
      <c r="G448" s="29"/>
      <c r="H448" s="29"/>
      <c r="I448" s="16"/>
      <c r="J448" s="16"/>
      <c r="K448" s="16" t="b">
        <v>0</v>
      </c>
      <c r="L448" s="16" t="b">
        <v>0</v>
      </c>
    </row>
    <row r="449">
      <c r="A449" s="108"/>
      <c r="B449" s="16"/>
      <c r="C449" s="7" t="str">
        <f>IFERROR(VLOOKUP(B449,'Master data'!$A$1:$F$1000,2,FALSE),"")</f>
        <v/>
      </c>
      <c r="D449" s="7" t="str">
        <f>IFERROR(VLOOKUP(B449,'Master data'!$A$1:$F$1000,6,FALSE),"")</f>
        <v/>
      </c>
      <c r="F449" s="7" t="str">
        <f>IFERROR(VLOOKUP(B449,'Master data'!$A$1:$F$1000,3,FALSE),"")</f>
        <v/>
      </c>
      <c r="G449" s="29"/>
      <c r="H449" s="29"/>
      <c r="I449" s="16"/>
      <c r="J449" s="16"/>
      <c r="K449" s="16" t="b">
        <v>0</v>
      </c>
      <c r="L449" s="16" t="b">
        <v>0</v>
      </c>
    </row>
    <row r="450">
      <c r="A450" s="108"/>
      <c r="B450" s="16"/>
      <c r="C450" s="7" t="str">
        <f>IFERROR(VLOOKUP(B450,'Master data'!$A$1:$F$1000,2,FALSE),"")</f>
        <v/>
      </c>
      <c r="D450" s="7" t="str">
        <f>IFERROR(VLOOKUP(B450,'Master data'!$A$1:$F$1000,6,FALSE),"")</f>
        <v/>
      </c>
      <c r="F450" s="7" t="str">
        <f>IFERROR(VLOOKUP(B450,'Master data'!$A$1:$F$1000,3,FALSE),"")</f>
        <v/>
      </c>
      <c r="G450" s="29"/>
      <c r="H450" s="29"/>
      <c r="I450" s="16"/>
      <c r="J450" s="16"/>
      <c r="K450" s="16" t="b">
        <v>0</v>
      </c>
      <c r="L450" s="16" t="b">
        <v>0</v>
      </c>
    </row>
    <row r="451">
      <c r="A451" s="108"/>
      <c r="B451" s="16"/>
      <c r="C451" s="7" t="str">
        <f>IFERROR(VLOOKUP(B451,'Master data'!$A$1:$F$1000,2,FALSE),"")</f>
        <v/>
      </c>
      <c r="D451" s="7" t="str">
        <f>IFERROR(VLOOKUP(B451,'Master data'!$A$1:$F$1000,6,FALSE),"")</f>
        <v/>
      </c>
      <c r="F451" s="7" t="str">
        <f>IFERROR(VLOOKUP(B451,'Master data'!$A$1:$F$1000,3,FALSE),"")</f>
        <v/>
      </c>
      <c r="G451" s="29"/>
      <c r="H451" s="29"/>
      <c r="I451" s="16"/>
      <c r="J451" s="16"/>
      <c r="K451" s="16" t="b">
        <v>0</v>
      </c>
      <c r="L451" s="16" t="b">
        <v>0</v>
      </c>
    </row>
    <row r="452">
      <c r="A452" s="108"/>
      <c r="B452" s="16"/>
      <c r="C452" s="7" t="str">
        <f>IFERROR(VLOOKUP(B452,'Master data'!$A$1:$F$1000,2,FALSE),"")</f>
        <v/>
      </c>
      <c r="D452" s="7" t="str">
        <f>IFERROR(VLOOKUP(B452,'Master data'!$A$1:$F$1000,6,FALSE),"")</f>
        <v/>
      </c>
      <c r="F452" s="7" t="str">
        <f>IFERROR(VLOOKUP(B452,'Master data'!$A$1:$F$1000,3,FALSE),"")</f>
        <v/>
      </c>
      <c r="G452" s="29"/>
      <c r="H452" s="29"/>
      <c r="I452" s="16"/>
      <c r="J452" s="16"/>
      <c r="K452" s="16" t="b">
        <v>0</v>
      </c>
      <c r="L452" s="16" t="b">
        <v>0</v>
      </c>
    </row>
    <row r="453">
      <c r="A453" s="108"/>
      <c r="B453" s="16"/>
      <c r="C453" s="7" t="str">
        <f>IFERROR(VLOOKUP(B453,'Master data'!$A$1:$F$1000,2,FALSE),"")</f>
        <v/>
      </c>
      <c r="D453" s="7" t="str">
        <f>IFERROR(VLOOKUP(B453,'Master data'!$A$1:$F$1000,6,FALSE),"")</f>
        <v/>
      </c>
      <c r="F453" s="7" t="str">
        <f>IFERROR(VLOOKUP(B453,'Master data'!$A$1:$F$1000,3,FALSE),"")</f>
        <v/>
      </c>
      <c r="G453" s="29"/>
      <c r="H453" s="29"/>
      <c r="I453" s="16"/>
      <c r="J453" s="16"/>
      <c r="K453" s="16" t="b">
        <v>0</v>
      </c>
      <c r="L453" s="16" t="b">
        <v>0</v>
      </c>
    </row>
    <row r="454">
      <c r="A454" s="108"/>
      <c r="B454" s="16"/>
      <c r="C454" s="7" t="str">
        <f>IFERROR(VLOOKUP(B454,'Master data'!$A$1:$F$1000,2,FALSE),"")</f>
        <v/>
      </c>
      <c r="D454" s="7" t="str">
        <f>IFERROR(VLOOKUP(B454,'Master data'!$A$1:$F$1000,6,FALSE),"")</f>
        <v/>
      </c>
      <c r="F454" s="7" t="str">
        <f>IFERROR(VLOOKUP(B454,'Master data'!$A$1:$F$1000,3,FALSE),"")</f>
        <v/>
      </c>
      <c r="G454" s="29"/>
      <c r="H454" s="29"/>
      <c r="I454" s="16"/>
      <c r="J454" s="16"/>
      <c r="K454" s="16" t="b">
        <v>0</v>
      </c>
      <c r="L454" s="16" t="b">
        <v>0</v>
      </c>
    </row>
    <row r="455">
      <c r="A455" s="108"/>
      <c r="B455" s="16"/>
      <c r="C455" s="7" t="str">
        <f>IFERROR(VLOOKUP(B455,'Master data'!$A$1:$F$1000,2,FALSE),"")</f>
        <v/>
      </c>
      <c r="D455" s="7" t="str">
        <f>IFERROR(VLOOKUP(B455,'Master data'!$A$1:$F$1000,6,FALSE),"")</f>
        <v/>
      </c>
      <c r="F455" s="7" t="str">
        <f>IFERROR(VLOOKUP(B455,'Master data'!$A$1:$F$1000,3,FALSE),"")</f>
        <v/>
      </c>
      <c r="G455" s="29"/>
      <c r="H455" s="29"/>
      <c r="I455" s="16"/>
      <c r="J455" s="16"/>
      <c r="K455" s="16" t="b">
        <v>0</v>
      </c>
      <c r="L455" s="16" t="b">
        <v>0</v>
      </c>
    </row>
    <row r="456">
      <c r="A456" s="108"/>
      <c r="B456" s="16"/>
      <c r="C456" s="7" t="str">
        <f>IFERROR(VLOOKUP(B456,'Master data'!$A$1:$F$1000,2,FALSE),"")</f>
        <v/>
      </c>
      <c r="D456" s="7" t="str">
        <f>IFERROR(VLOOKUP(B456,'Master data'!$A$1:$F$1000,6,FALSE),"")</f>
        <v/>
      </c>
      <c r="F456" s="7" t="str">
        <f>IFERROR(VLOOKUP(B456,'Master data'!$A$1:$F$1000,3,FALSE),"")</f>
        <v/>
      </c>
      <c r="G456" s="29"/>
      <c r="H456" s="29"/>
      <c r="I456" s="16"/>
      <c r="J456" s="16"/>
      <c r="K456" s="16" t="b">
        <v>0</v>
      </c>
      <c r="L456" s="16" t="b">
        <v>0</v>
      </c>
    </row>
    <row r="457">
      <c r="A457" s="108"/>
      <c r="B457" s="16"/>
      <c r="C457" s="7" t="str">
        <f>IFERROR(VLOOKUP(B457,'Master data'!$A$1:$F$1000,2,FALSE),"")</f>
        <v/>
      </c>
      <c r="D457" s="7" t="str">
        <f>IFERROR(VLOOKUP(B457,'Master data'!$A$1:$F$1000,6,FALSE),"")</f>
        <v/>
      </c>
      <c r="F457" s="7" t="str">
        <f>IFERROR(VLOOKUP(B457,'Master data'!$A$1:$F$1000,3,FALSE),"")</f>
        <v/>
      </c>
      <c r="G457" s="29"/>
      <c r="H457" s="29"/>
      <c r="I457" s="16"/>
      <c r="J457" s="16"/>
      <c r="K457" s="16" t="b">
        <v>0</v>
      </c>
      <c r="L457" s="16" t="b">
        <v>0</v>
      </c>
    </row>
    <row r="458">
      <c r="A458" s="108"/>
      <c r="B458" s="16"/>
      <c r="C458" s="7" t="str">
        <f>IFERROR(VLOOKUP(B458,'Master data'!$A$1:$F$1000,2,FALSE),"")</f>
        <v/>
      </c>
      <c r="D458" s="7" t="str">
        <f>IFERROR(VLOOKUP(B458,'Master data'!$A$1:$F$1000,6,FALSE),"")</f>
        <v/>
      </c>
      <c r="F458" s="7" t="str">
        <f>IFERROR(VLOOKUP(B458,'Master data'!$A$1:$F$1000,3,FALSE),"")</f>
        <v/>
      </c>
      <c r="G458" s="29"/>
      <c r="H458" s="29"/>
      <c r="I458" s="16"/>
      <c r="J458" s="16"/>
      <c r="K458" s="16" t="b">
        <v>0</v>
      </c>
      <c r="L458" s="16" t="b">
        <v>0</v>
      </c>
    </row>
    <row r="459">
      <c r="A459" s="108"/>
      <c r="B459" s="16"/>
      <c r="C459" s="7" t="str">
        <f>IFERROR(VLOOKUP(B459,'Master data'!$A$1:$F$1000,2,FALSE),"")</f>
        <v/>
      </c>
      <c r="D459" s="7" t="str">
        <f>IFERROR(VLOOKUP(B459,'Master data'!$A$1:$F$1000,6,FALSE),"")</f>
        <v/>
      </c>
      <c r="F459" s="7" t="str">
        <f>IFERROR(VLOOKUP(B459,'Master data'!$A$1:$F$1000,3,FALSE),"")</f>
        <v/>
      </c>
      <c r="G459" s="29"/>
      <c r="H459" s="29"/>
      <c r="I459" s="16"/>
      <c r="J459" s="16"/>
      <c r="K459" s="16" t="b">
        <v>0</v>
      </c>
      <c r="L459" s="16" t="b">
        <v>0</v>
      </c>
    </row>
    <row r="460">
      <c r="A460" s="108"/>
      <c r="B460" s="16"/>
      <c r="C460" s="7" t="str">
        <f>IFERROR(VLOOKUP(B460,'Master data'!$A$1:$F$1000,2,FALSE),"")</f>
        <v/>
      </c>
      <c r="D460" s="7" t="str">
        <f>IFERROR(VLOOKUP(B460,'Master data'!$A$1:$F$1000,6,FALSE),"")</f>
        <v/>
      </c>
      <c r="F460" s="7" t="str">
        <f>IFERROR(VLOOKUP(B460,'Master data'!$A$1:$F$1000,3,FALSE),"")</f>
        <v/>
      </c>
      <c r="G460" s="29"/>
      <c r="H460" s="29"/>
      <c r="I460" s="16"/>
      <c r="J460" s="16"/>
      <c r="K460" s="16" t="b">
        <v>0</v>
      </c>
      <c r="L460" s="16" t="b">
        <v>0</v>
      </c>
    </row>
    <row r="461">
      <c r="A461" s="108"/>
      <c r="B461" s="16"/>
      <c r="C461" s="7" t="str">
        <f>IFERROR(VLOOKUP(B461,'Master data'!$A$1:$F$1000,2,FALSE),"")</f>
        <v/>
      </c>
      <c r="D461" s="7" t="str">
        <f>IFERROR(VLOOKUP(B461,'Master data'!$A$1:$F$1000,6,FALSE),"")</f>
        <v/>
      </c>
      <c r="F461" s="7" t="str">
        <f>IFERROR(VLOOKUP(B461,'Master data'!$A$1:$F$1000,3,FALSE),"")</f>
        <v/>
      </c>
      <c r="G461" s="29"/>
      <c r="H461" s="29"/>
      <c r="I461" s="16"/>
      <c r="J461" s="16"/>
      <c r="K461" s="16" t="b">
        <v>0</v>
      </c>
      <c r="L461" s="16" t="b">
        <v>0</v>
      </c>
    </row>
    <row r="462">
      <c r="A462" s="108"/>
      <c r="B462" s="16"/>
      <c r="C462" s="7" t="str">
        <f>IFERROR(VLOOKUP(B462,'Master data'!$A$1:$F$1000,2,FALSE),"")</f>
        <v/>
      </c>
      <c r="D462" s="7" t="str">
        <f>IFERROR(VLOOKUP(B462,'Master data'!$A$1:$F$1000,6,FALSE),"")</f>
        <v/>
      </c>
      <c r="F462" s="7" t="str">
        <f>IFERROR(VLOOKUP(B462,'Master data'!$A$1:$F$1000,3,FALSE),"")</f>
        <v/>
      </c>
      <c r="G462" s="29"/>
      <c r="H462" s="29"/>
      <c r="I462" s="16"/>
      <c r="J462" s="16"/>
      <c r="K462" s="16" t="b">
        <v>0</v>
      </c>
      <c r="L462" s="16" t="b">
        <v>0</v>
      </c>
    </row>
    <row r="463">
      <c r="A463" s="108"/>
      <c r="B463" s="16"/>
      <c r="C463" s="7" t="str">
        <f>IFERROR(VLOOKUP(B463,'Master data'!$A$1:$F$1000,2,FALSE),"")</f>
        <v/>
      </c>
      <c r="D463" s="7" t="str">
        <f>IFERROR(VLOOKUP(B463,'Master data'!$A$1:$F$1000,6,FALSE),"")</f>
        <v/>
      </c>
      <c r="F463" s="7" t="str">
        <f>IFERROR(VLOOKUP(B463,'Master data'!$A$1:$F$1000,3,FALSE),"")</f>
        <v/>
      </c>
      <c r="G463" s="29"/>
      <c r="H463" s="29"/>
      <c r="I463" s="16"/>
      <c r="J463" s="16"/>
      <c r="K463" s="16" t="b">
        <v>0</v>
      </c>
      <c r="L463" s="16" t="b">
        <v>0</v>
      </c>
    </row>
    <row r="464">
      <c r="A464" s="108"/>
      <c r="B464" s="16"/>
      <c r="C464" s="7" t="str">
        <f>IFERROR(VLOOKUP(B464,'Master data'!$A$1:$F$1000,2,FALSE),"")</f>
        <v/>
      </c>
      <c r="D464" s="7" t="str">
        <f>IFERROR(VLOOKUP(B464,'Master data'!$A$1:$F$1000,6,FALSE),"")</f>
        <v/>
      </c>
      <c r="F464" s="7" t="str">
        <f>IFERROR(VLOOKUP(B464,'Master data'!$A$1:$F$1000,3,FALSE),"")</f>
        <v/>
      </c>
      <c r="G464" s="29"/>
      <c r="H464" s="29"/>
      <c r="I464" s="16"/>
      <c r="J464" s="16"/>
      <c r="K464" s="16" t="b">
        <v>0</v>
      </c>
      <c r="L464" s="16" t="b">
        <v>0</v>
      </c>
    </row>
    <row r="465">
      <c r="A465" s="108"/>
      <c r="B465" s="16"/>
      <c r="C465" s="7" t="str">
        <f>IFERROR(VLOOKUP(B465,'Master data'!$A$1:$F$1000,2,FALSE),"")</f>
        <v/>
      </c>
      <c r="D465" s="7" t="str">
        <f>IFERROR(VLOOKUP(B465,'Master data'!$A$1:$F$1000,6,FALSE),"")</f>
        <v/>
      </c>
      <c r="F465" s="7" t="str">
        <f>IFERROR(VLOOKUP(B465,'Master data'!$A$1:$F$1000,3,FALSE),"")</f>
        <v/>
      </c>
      <c r="G465" s="29"/>
      <c r="H465" s="29"/>
      <c r="I465" s="16"/>
      <c r="J465" s="16"/>
      <c r="K465" s="16" t="b">
        <v>0</v>
      </c>
      <c r="L465" s="16" t="b">
        <v>0</v>
      </c>
    </row>
    <row r="466">
      <c r="A466" s="108"/>
      <c r="B466" s="16"/>
      <c r="C466" s="7" t="str">
        <f>IFERROR(VLOOKUP(B466,'Master data'!$A$1:$F$1000,2,FALSE),"")</f>
        <v/>
      </c>
      <c r="D466" s="7" t="str">
        <f>IFERROR(VLOOKUP(B466,'Master data'!$A$1:$F$1000,6,FALSE),"")</f>
        <v/>
      </c>
      <c r="F466" s="7" t="str">
        <f>IFERROR(VLOOKUP(B466,'Master data'!$A$1:$F$1000,3,FALSE),"")</f>
        <v/>
      </c>
      <c r="G466" s="29"/>
      <c r="H466" s="29"/>
      <c r="I466" s="16"/>
      <c r="J466" s="16"/>
      <c r="K466" s="16" t="b">
        <v>0</v>
      </c>
      <c r="L466" s="16" t="b">
        <v>0</v>
      </c>
    </row>
    <row r="467">
      <c r="A467" s="108"/>
      <c r="B467" s="16"/>
      <c r="C467" s="7" t="str">
        <f>IFERROR(VLOOKUP(B467,'Master data'!$A$1:$F$1000,2,FALSE),"")</f>
        <v/>
      </c>
      <c r="D467" s="7" t="str">
        <f>IFERROR(VLOOKUP(B467,'Master data'!$A$1:$F$1000,6,FALSE),"")</f>
        <v/>
      </c>
      <c r="F467" s="7" t="str">
        <f>IFERROR(VLOOKUP(B467,'Master data'!$A$1:$F$1000,3,FALSE),"")</f>
        <v/>
      </c>
      <c r="G467" s="29"/>
      <c r="H467" s="29"/>
      <c r="I467" s="16"/>
      <c r="J467" s="16"/>
      <c r="K467" s="16" t="b">
        <v>0</v>
      </c>
      <c r="L467" s="16" t="b">
        <v>0</v>
      </c>
    </row>
    <row r="468">
      <c r="A468" s="108"/>
      <c r="B468" s="16"/>
      <c r="C468" s="7" t="str">
        <f>IFERROR(VLOOKUP(B468,'Master data'!$A$1:$F$1000,2,FALSE),"")</f>
        <v/>
      </c>
      <c r="D468" s="7" t="str">
        <f>IFERROR(VLOOKUP(B468,'Master data'!$A$1:$F$1000,6,FALSE),"")</f>
        <v/>
      </c>
      <c r="F468" s="7" t="str">
        <f>IFERROR(VLOOKUP(B468,'Master data'!$A$1:$F$1000,3,FALSE),"")</f>
        <v/>
      </c>
      <c r="G468" s="29"/>
      <c r="H468" s="29"/>
      <c r="I468" s="16"/>
      <c r="J468" s="16"/>
      <c r="K468" s="16" t="b">
        <v>0</v>
      </c>
      <c r="L468" s="16" t="b">
        <v>0</v>
      </c>
    </row>
    <row r="469">
      <c r="A469" s="108"/>
      <c r="B469" s="16"/>
      <c r="C469" s="7" t="str">
        <f>IFERROR(VLOOKUP(B469,'Master data'!$A$1:$F$1000,2,FALSE),"")</f>
        <v/>
      </c>
      <c r="D469" s="7" t="str">
        <f>IFERROR(VLOOKUP(B469,'Master data'!$A$1:$F$1000,6,FALSE),"")</f>
        <v/>
      </c>
      <c r="F469" s="7" t="str">
        <f>IFERROR(VLOOKUP(B469,'Master data'!$A$1:$F$1000,3,FALSE),"")</f>
        <v/>
      </c>
      <c r="G469" s="29"/>
      <c r="H469" s="29"/>
      <c r="I469" s="16"/>
      <c r="J469" s="16"/>
      <c r="K469" s="16" t="b">
        <v>0</v>
      </c>
      <c r="L469" s="16" t="b">
        <v>0</v>
      </c>
    </row>
    <row r="470">
      <c r="A470" s="108"/>
      <c r="B470" s="16"/>
      <c r="C470" s="7" t="str">
        <f>IFERROR(VLOOKUP(B470,'Master data'!$A$1:$F$1000,2,FALSE),"")</f>
        <v/>
      </c>
      <c r="D470" s="7" t="str">
        <f>IFERROR(VLOOKUP(B470,'Master data'!$A$1:$F$1000,6,FALSE),"")</f>
        <v/>
      </c>
      <c r="F470" s="7" t="str">
        <f>IFERROR(VLOOKUP(B470,'Master data'!$A$1:$F$1000,3,FALSE),"")</f>
        <v/>
      </c>
      <c r="G470" s="29"/>
      <c r="H470" s="29"/>
      <c r="I470" s="16"/>
      <c r="J470" s="16"/>
      <c r="K470" s="16" t="b">
        <v>0</v>
      </c>
      <c r="L470" s="16" t="b">
        <v>0</v>
      </c>
    </row>
    <row r="471">
      <c r="A471" s="108"/>
      <c r="B471" s="16"/>
      <c r="C471" s="7" t="str">
        <f>IFERROR(VLOOKUP(B471,'Master data'!$A$1:$F$1000,2,FALSE),"")</f>
        <v/>
      </c>
      <c r="D471" s="7" t="str">
        <f>IFERROR(VLOOKUP(B471,'Master data'!$A$1:$F$1000,6,FALSE),"")</f>
        <v/>
      </c>
      <c r="F471" s="7" t="str">
        <f>IFERROR(VLOOKUP(B471,'Master data'!$A$1:$F$1000,3,FALSE),"")</f>
        <v/>
      </c>
      <c r="G471" s="29"/>
      <c r="H471" s="29"/>
      <c r="I471" s="16"/>
      <c r="J471" s="16"/>
      <c r="K471" s="16" t="b">
        <v>0</v>
      </c>
      <c r="L471" s="16" t="b">
        <v>0</v>
      </c>
    </row>
    <row r="472">
      <c r="A472" s="108"/>
      <c r="B472" s="16"/>
      <c r="C472" s="7" t="str">
        <f>IFERROR(VLOOKUP(B472,'Master data'!$A$1:$F$1000,2,FALSE),"")</f>
        <v/>
      </c>
      <c r="D472" s="7" t="str">
        <f>IFERROR(VLOOKUP(B472,'Master data'!$A$1:$F$1000,6,FALSE),"")</f>
        <v/>
      </c>
      <c r="F472" s="7" t="str">
        <f>IFERROR(VLOOKUP(B472,'Master data'!$A$1:$F$1000,3,FALSE),"")</f>
        <v/>
      </c>
      <c r="G472" s="29"/>
      <c r="H472" s="29"/>
      <c r="I472" s="16"/>
      <c r="J472" s="16"/>
      <c r="K472" s="16" t="b">
        <v>0</v>
      </c>
      <c r="L472" s="16" t="b">
        <v>0</v>
      </c>
    </row>
    <row r="473">
      <c r="A473" s="108"/>
      <c r="B473" s="16"/>
      <c r="C473" s="7" t="str">
        <f>IFERROR(VLOOKUP(B473,'Master data'!$A$1:$F$1000,2,FALSE),"")</f>
        <v/>
      </c>
      <c r="D473" s="7" t="str">
        <f>IFERROR(VLOOKUP(B473,'Master data'!$A$1:$F$1000,6,FALSE),"")</f>
        <v/>
      </c>
      <c r="F473" s="7" t="str">
        <f>IFERROR(VLOOKUP(B473,'Master data'!$A$1:$F$1000,3,FALSE),"")</f>
        <v/>
      </c>
      <c r="G473" s="29"/>
      <c r="H473" s="29"/>
      <c r="I473" s="16"/>
      <c r="J473" s="16"/>
      <c r="K473" s="16" t="b">
        <v>0</v>
      </c>
      <c r="L473" s="16" t="b">
        <v>0</v>
      </c>
    </row>
    <row r="474">
      <c r="A474" s="108"/>
      <c r="B474" s="16"/>
      <c r="C474" s="7" t="str">
        <f>IFERROR(VLOOKUP(B474,'Master data'!$A$1:$F$1000,2,FALSE),"")</f>
        <v/>
      </c>
      <c r="D474" s="7" t="str">
        <f>IFERROR(VLOOKUP(B474,'Master data'!$A$1:$F$1000,6,FALSE),"")</f>
        <v/>
      </c>
      <c r="F474" s="7" t="str">
        <f>IFERROR(VLOOKUP(B474,'Master data'!$A$1:$F$1000,3,FALSE),"")</f>
        <v/>
      </c>
      <c r="G474" s="29"/>
      <c r="H474" s="29"/>
      <c r="I474" s="16"/>
      <c r="J474" s="16"/>
      <c r="K474" s="16" t="b">
        <v>0</v>
      </c>
      <c r="L474" s="16" t="b">
        <v>0</v>
      </c>
    </row>
    <row r="475">
      <c r="A475" s="108"/>
      <c r="B475" s="16"/>
      <c r="C475" s="7" t="str">
        <f>IFERROR(VLOOKUP(B475,'Master data'!$A$1:$F$1000,2,FALSE),"")</f>
        <v/>
      </c>
      <c r="D475" s="7" t="str">
        <f>IFERROR(VLOOKUP(B475,'Master data'!$A$1:$F$1000,6,FALSE),"")</f>
        <v/>
      </c>
      <c r="F475" s="7" t="str">
        <f>IFERROR(VLOOKUP(B475,'Master data'!$A$1:$F$1000,3,FALSE),"")</f>
        <v/>
      </c>
      <c r="G475" s="29"/>
      <c r="H475" s="29"/>
      <c r="I475" s="16"/>
      <c r="J475" s="16"/>
      <c r="K475" s="16" t="b">
        <v>0</v>
      </c>
      <c r="L475" s="16" t="b">
        <v>0</v>
      </c>
    </row>
    <row r="476">
      <c r="A476" s="108"/>
      <c r="B476" s="16"/>
      <c r="C476" s="7" t="str">
        <f>IFERROR(VLOOKUP(B476,'Master data'!$A$1:$F$1000,2,FALSE),"")</f>
        <v/>
      </c>
      <c r="D476" s="7" t="str">
        <f>IFERROR(VLOOKUP(B476,'Master data'!$A$1:$F$1000,6,FALSE),"")</f>
        <v/>
      </c>
      <c r="F476" s="7" t="str">
        <f>IFERROR(VLOOKUP(B476,'Master data'!$A$1:$F$1000,3,FALSE),"")</f>
        <v/>
      </c>
      <c r="G476" s="29"/>
      <c r="H476" s="29"/>
      <c r="I476" s="16"/>
      <c r="J476" s="16"/>
      <c r="K476" s="16" t="b">
        <v>0</v>
      </c>
      <c r="L476" s="16" t="b">
        <v>0</v>
      </c>
    </row>
    <row r="477">
      <c r="A477" s="108"/>
      <c r="B477" s="16"/>
      <c r="C477" s="7" t="str">
        <f>IFERROR(VLOOKUP(B477,'Master data'!$A$1:$F$1000,2,FALSE),"")</f>
        <v/>
      </c>
      <c r="D477" s="7" t="str">
        <f>IFERROR(VLOOKUP(B477,'Master data'!$A$1:$F$1000,6,FALSE),"")</f>
        <v/>
      </c>
      <c r="F477" s="7" t="str">
        <f>IFERROR(VLOOKUP(B477,'Master data'!$A$1:$F$1000,3,FALSE),"")</f>
        <v/>
      </c>
      <c r="G477" s="29"/>
      <c r="H477" s="29"/>
      <c r="I477" s="16"/>
      <c r="J477" s="16"/>
      <c r="K477" s="16" t="b">
        <v>0</v>
      </c>
      <c r="L477" s="16" t="b">
        <v>0</v>
      </c>
    </row>
    <row r="478">
      <c r="A478" s="108"/>
      <c r="B478" s="16"/>
      <c r="C478" s="7" t="str">
        <f>IFERROR(VLOOKUP(B478,'Master data'!$A$1:$F$1000,2,FALSE),"")</f>
        <v/>
      </c>
      <c r="D478" s="7" t="str">
        <f>IFERROR(VLOOKUP(B478,'Master data'!$A$1:$F$1000,6,FALSE),"")</f>
        <v/>
      </c>
      <c r="F478" s="7" t="str">
        <f>IFERROR(VLOOKUP(B478,'Master data'!$A$1:$F$1000,3,FALSE),"")</f>
        <v/>
      </c>
      <c r="G478" s="29"/>
      <c r="H478" s="29"/>
      <c r="I478" s="16"/>
      <c r="J478" s="16"/>
      <c r="K478" s="16" t="b">
        <v>0</v>
      </c>
      <c r="L478" s="16" t="b">
        <v>0</v>
      </c>
    </row>
    <row r="479">
      <c r="A479" s="108"/>
      <c r="B479" s="16"/>
      <c r="C479" s="7" t="str">
        <f>IFERROR(VLOOKUP(B479,'Master data'!$A$1:$F$1000,2,FALSE),"")</f>
        <v/>
      </c>
      <c r="D479" s="7" t="str">
        <f>IFERROR(VLOOKUP(B479,'Master data'!$A$1:$F$1000,6,FALSE),"")</f>
        <v/>
      </c>
      <c r="F479" s="7" t="str">
        <f>IFERROR(VLOOKUP(B479,'Master data'!$A$1:$F$1000,3,FALSE),"")</f>
        <v/>
      </c>
      <c r="G479" s="29"/>
      <c r="H479" s="29"/>
      <c r="I479" s="16"/>
      <c r="J479" s="16"/>
      <c r="K479" s="16" t="b">
        <v>0</v>
      </c>
      <c r="L479" s="16" t="b">
        <v>0</v>
      </c>
    </row>
    <row r="480">
      <c r="A480" s="108"/>
      <c r="B480" s="16"/>
      <c r="C480" s="7" t="str">
        <f>IFERROR(VLOOKUP(B480,'Master data'!$A$1:$F$1000,2,FALSE),"")</f>
        <v/>
      </c>
      <c r="D480" s="7" t="str">
        <f>IFERROR(VLOOKUP(B480,'Master data'!$A$1:$F$1000,6,FALSE),"")</f>
        <v/>
      </c>
      <c r="F480" s="7" t="str">
        <f>IFERROR(VLOOKUP(B480,'Master data'!$A$1:$F$1000,3,FALSE),"")</f>
        <v/>
      </c>
      <c r="G480" s="29"/>
      <c r="H480" s="29"/>
      <c r="I480" s="16"/>
      <c r="J480" s="16"/>
      <c r="K480" s="16" t="b">
        <v>0</v>
      </c>
      <c r="L480" s="16" t="b">
        <v>0</v>
      </c>
    </row>
    <row r="481">
      <c r="A481" s="108"/>
      <c r="B481" s="16"/>
      <c r="C481" s="7" t="str">
        <f>IFERROR(VLOOKUP(B481,'Master data'!$A$1:$F$1000,2,FALSE),"")</f>
        <v/>
      </c>
      <c r="D481" s="7" t="str">
        <f>IFERROR(VLOOKUP(B481,'Master data'!$A$1:$F$1000,6,FALSE),"")</f>
        <v/>
      </c>
      <c r="F481" s="7" t="str">
        <f>IFERROR(VLOOKUP(B481,'Master data'!$A$1:$F$1000,3,FALSE),"")</f>
        <v/>
      </c>
      <c r="G481" s="29"/>
      <c r="H481" s="29"/>
      <c r="I481" s="16"/>
      <c r="J481" s="16"/>
      <c r="K481" s="16" t="b">
        <v>0</v>
      </c>
      <c r="L481" s="16" t="b">
        <v>0</v>
      </c>
    </row>
    <row r="482">
      <c r="A482" s="108"/>
      <c r="B482" s="16"/>
      <c r="C482" s="7" t="str">
        <f>IFERROR(VLOOKUP(B482,'Master data'!$A$1:$F$1000,2,FALSE),"")</f>
        <v/>
      </c>
      <c r="D482" s="7" t="str">
        <f>IFERROR(VLOOKUP(B482,'Master data'!$A$1:$F$1000,6,FALSE),"")</f>
        <v/>
      </c>
      <c r="F482" s="7" t="str">
        <f>IFERROR(VLOOKUP(B482,'Master data'!$A$1:$F$1000,3,FALSE),"")</f>
        <v/>
      </c>
      <c r="G482" s="29"/>
      <c r="H482" s="29"/>
      <c r="I482" s="16"/>
      <c r="J482" s="16"/>
      <c r="K482" s="16" t="b">
        <v>0</v>
      </c>
      <c r="L482" s="16" t="b">
        <v>0</v>
      </c>
    </row>
    <row r="483">
      <c r="A483" s="108"/>
      <c r="B483" s="16"/>
      <c r="C483" s="7" t="str">
        <f>IFERROR(VLOOKUP(B483,'Master data'!$A$1:$F$1000,2,FALSE),"")</f>
        <v/>
      </c>
      <c r="D483" s="7" t="str">
        <f>IFERROR(VLOOKUP(B483,'Master data'!$A$1:$F$1000,6,FALSE),"")</f>
        <v/>
      </c>
      <c r="F483" s="7" t="str">
        <f>IFERROR(VLOOKUP(B483,'Master data'!$A$1:$F$1000,3,FALSE),"")</f>
        <v/>
      </c>
      <c r="G483" s="29"/>
      <c r="H483" s="29"/>
      <c r="I483" s="16"/>
      <c r="J483" s="16"/>
      <c r="K483" s="16" t="b">
        <v>0</v>
      </c>
      <c r="L483" s="16" t="b">
        <v>0</v>
      </c>
    </row>
    <row r="484">
      <c r="A484" s="108"/>
      <c r="B484" s="16"/>
      <c r="C484" s="7" t="str">
        <f>IFERROR(VLOOKUP(B484,'Master data'!$A$1:$F$1000,2,FALSE),"")</f>
        <v/>
      </c>
      <c r="D484" s="7" t="str">
        <f>IFERROR(VLOOKUP(B484,'Master data'!$A$1:$F$1000,6,FALSE),"")</f>
        <v/>
      </c>
      <c r="F484" s="7" t="str">
        <f>IFERROR(VLOOKUP(B484,'Master data'!$A$1:$F$1000,3,FALSE),"")</f>
        <v/>
      </c>
      <c r="G484" s="29"/>
      <c r="H484" s="29"/>
      <c r="I484" s="16"/>
      <c r="J484" s="16"/>
      <c r="K484" s="16" t="b">
        <v>0</v>
      </c>
      <c r="L484" s="16" t="b">
        <v>0</v>
      </c>
    </row>
    <row r="485">
      <c r="A485" s="108"/>
      <c r="B485" s="16"/>
      <c r="C485" s="7" t="str">
        <f>IFERROR(VLOOKUP(B485,'Master data'!$A$1:$F$1000,2,FALSE),"")</f>
        <v/>
      </c>
      <c r="D485" s="7" t="str">
        <f>IFERROR(VLOOKUP(B485,'Master data'!$A$1:$F$1000,6,FALSE),"")</f>
        <v/>
      </c>
      <c r="F485" s="7" t="str">
        <f>IFERROR(VLOOKUP(B485,'Master data'!$A$1:$F$1000,3,FALSE),"")</f>
        <v/>
      </c>
      <c r="G485" s="29"/>
      <c r="H485" s="29"/>
      <c r="I485" s="16"/>
      <c r="J485" s="16"/>
      <c r="K485" s="16" t="b">
        <v>0</v>
      </c>
      <c r="L485" s="16" t="b">
        <v>0</v>
      </c>
    </row>
    <row r="486">
      <c r="A486" s="108"/>
      <c r="B486" s="16"/>
      <c r="C486" s="7" t="str">
        <f>IFERROR(VLOOKUP(B486,'Master data'!$A$1:$F$1000,2,FALSE),"")</f>
        <v/>
      </c>
      <c r="D486" s="7" t="str">
        <f>IFERROR(VLOOKUP(B486,'Master data'!$A$1:$F$1000,6,FALSE),"")</f>
        <v/>
      </c>
      <c r="F486" s="7" t="str">
        <f>IFERROR(VLOOKUP(B486,'Master data'!$A$1:$F$1000,3,FALSE),"")</f>
        <v/>
      </c>
      <c r="G486" s="29"/>
      <c r="H486" s="29"/>
      <c r="I486" s="16"/>
      <c r="J486" s="16"/>
      <c r="K486" s="16" t="b">
        <v>0</v>
      </c>
      <c r="L486" s="16" t="b">
        <v>0</v>
      </c>
    </row>
    <row r="487">
      <c r="A487" s="108"/>
      <c r="B487" s="16"/>
      <c r="C487" s="7" t="str">
        <f>IFERROR(VLOOKUP(B487,'Master data'!$A$1:$F$1000,2,FALSE),"")</f>
        <v/>
      </c>
      <c r="D487" s="7" t="str">
        <f>IFERROR(VLOOKUP(B487,'Master data'!$A$1:$F$1000,6,FALSE),"")</f>
        <v/>
      </c>
      <c r="F487" s="7" t="str">
        <f>IFERROR(VLOOKUP(B487,'Master data'!$A$1:$F$1000,3,FALSE),"")</f>
        <v/>
      </c>
      <c r="G487" s="29"/>
      <c r="H487" s="29"/>
      <c r="I487" s="16"/>
      <c r="J487" s="16"/>
      <c r="K487" s="16" t="b">
        <v>0</v>
      </c>
      <c r="L487" s="16" t="b">
        <v>0</v>
      </c>
    </row>
    <row r="488">
      <c r="A488" s="108"/>
      <c r="B488" s="16"/>
      <c r="C488" s="7" t="str">
        <f>IFERROR(VLOOKUP(B488,'Master data'!$A$1:$F$1000,2,FALSE),"")</f>
        <v/>
      </c>
      <c r="D488" s="7" t="str">
        <f>IFERROR(VLOOKUP(B488,'Master data'!$A$1:$F$1000,6,FALSE),"")</f>
        <v/>
      </c>
      <c r="F488" s="7" t="str">
        <f>IFERROR(VLOOKUP(B488,'Master data'!$A$1:$F$1000,3,FALSE),"")</f>
        <v/>
      </c>
      <c r="G488" s="29"/>
      <c r="H488" s="29"/>
      <c r="I488" s="16"/>
      <c r="J488" s="16"/>
      <c r="K488" s="16" t="b">
        <v>0</v>
      </c>
      <c r="L488" s="16" t="b">
        <v>0</v>
      </c>
    </row>
    <row r="489">
      <c r="A489" s="108"/>
      <c r="B489" s="16"/>
      <c r="C489" s="7" t="str">
        <f>IFERROR(VLOOKUP(B489,'Master data'!$A$1:$F$1000,2,FALSE),"")</f>
        <v/>
      </c>
      <c r="D489" s="7" t="str">
        <f>IFERROR(VLOOKUP(B489,'Master data'!$A$1:$F$1000,6,FALSE),"")</f>
        <v/>
      </c>
      <c r="F489" s="7" t="str">
        <f>IFERROR(VLOOKUP(B489,'Master data'!$A$1:$F$1000,3,FALSE),"")</f>
        <v/>
      </c>
      <c r="G489" s="29"/>
      <c r="H489" s="29"/>
      <c r="I489" s="16"/>
      <c r="J489" s="16"/>
      <c r="K489" s="16" t="b">
        <v>0</v>
      </c>
      <c r="L489" s="16" t="b">
        <v>0</v>
      </c>
    </row>
    <row r="490">
      <c r="A490" s="108"/>
      <c r="B490" s="16"/>
      <c r="C490" s="7" t="str">
        <f>IFERROR(VLOOKUP(B490,'Master data'!$A$1:$F$1000,2,FALSE),"")</f>
        <v/>
      </c>
      <c r="D490" s="7" t="str">
        <f>IFERROR(VLOOKUP(B490,'Master data'!$A$1:$F$1000,6,FALSE),"")</f>
        <v/>
      </c>
      <c r="F490" s="7" t="str">
        <f>IFERROR(VLOOKUP(B490,'Master data'!$A$1:$F$1000,3,FALSE),"")</f>
        <v/>
      </c>
      <c r="G490" s="29"/>
      <c r="H490" s="29"/>
      <c r="I490" s="16"/>
      <c r="J490" s="16"/>
      <c r="K490" s="16" t="b">
        <v>0</v>
      </c>
      <c r="L490" s="16" t="b">
        <v>0</v>
      </c>
    </row>
    <row r="491">
      <c r="A491" s="108"/>
      <c r="B491" s="16"/>
      <c r="C491" s="7" t="str">
        <f>IFERROR(VLOOKUP(B491,'Master data'!$A$1:$F$1000,2,FALSE),"")</f>
        <v/>
      </c>
      <c r="D491" s="7" t="str">
        <f>IFERROR(VLOOKUP(B491,'Master data'!$A$1:$F$1000,6,FALSE),"")</f>
        <v/>
      </c>
      <c r="F491" s="7" t="str">
        <f>IFERROR(VLOOKUP(B491,'Master data'!$A$1:$F$1000,3,FALSE),"")</f>
        <v/>
      </c>
      <c r="G491" s="29"/>
      <c r="H491" s="29"/>
      <c r="I491" s="16"/>
      <c r="J491" s="16"/>
      <c r="K491" s="16" t="b">
        <v>0</v>
      </c>
      <c r="L491" s="16" t="b">
        <v>0</v>
      </c>
    </row>
    <row r="492">
      <c r="A492" s="108"/>
      <c r="B492" s="16"/>
      <c r="C492" s="7" t="str">
        <f>IFERROR(VLOOKUP(B492,'Master data'!$A$1:$F$1000,2,FALSE),"")</f>
        <v/>
      </c>
      <c r="D492" s="7" t="str">
        <f>IFERROR(VLOOKUP(B492,'Master data'!$A$1:$F$1000,6,FALSE),"")</f>
        <v/>
      </c>
      <c r="F492" s="7" t="str">
        <f>IFERROR(VLOOKUP(B492,'Master data'!$A$1:$F$1000,3,FALSE),"")</f>
        <v/>
      </c>
      <c r="G492" s="29"/>
      <c r="H492" s="29"/>
      <c r="I492" s="16"/>
      <c r="J492" s="16"/>
      <c r="K492" s="16" t="b">
        <v>0</v>
      </c>
      <c r="L492" s="16" t="b">
        <v>0</v>
      </c>
    </row>
    <row r="493">
      <c r="A493" s="108"/>
      <c r="B493" s="16"/>
      <c r="C493" s="7" t="str">
        <f>IFERROR(VLOOKUP(B493,'Master data'!$A$1:$F$1000,2,FALSE),"")</f>
        <v/>
      </c>
      <c r="D493" s="7" t="str">
        <f>IFERROR(VLOOKUP(B493,'Master data'!$A$1:$F$1000,6,FALSE),"")</f>
        <v/>
      </c>
      <c r="F493" s="7" t="str">
        <f>IFERROR(VLOOKUP(B493,'Master data'!$A$1:$F$1000,3,FALSE),"")</f>
        <v/>
      </c>
      <c r="G493" s="29"/>
      <c r="H493" s="29"/>
      <c r="I493" s="16"/>
      <c r="J493" s="16"/>
      <c r="K493" s="16" t="b">
        <v>0</v>
      </c>
      <c r="L493" s="16" t="b">
        <v>0</v>
      </c>
    </row>
    <row r="494">
      <c r="A494" s="108"/>
      <c r="B494" s="16"/>
      <c r="C494" s="7" t="str">
        <f>IFERROR(VLOOKUP(B494,'Master data'!$A$1:$F$1000,2,FALSE),"")</f>
        <v/>
      </c>
      <c r="D494" s="7" t="str">
        <f>IFERROR(VLOOKUP(B494,'Master data'!$A$1:$F$1000,6,FALSE),"")</f>
        <v/>
      </c>
      <c r="F494" s="7" t="str">
        <f>IFERROR(VLOOKUP(B494,'Master data'!$A$1:$F$1000,3,FALSE),"")</f>
        <v/>
      </c>
      <c r="G494" s="29"/>
      <c r="H494" s="29"/>
      <c r="I494" s="16"/>
      <c r="J494" s="16"/>
      <c r="K494" s="16" t="b">
        <v>0</v>
      </c>
      <c r="L494" s="16" t="b">
        <v>0</v>
      </c>
    </row>
    <row r="495">
      <c r="A495" s="108"/>
      <c r="B495" s="16"/>
      <c r="C495" s="7" t="str">
        <f>IFERROR(VLOOKUP(B495,'Master data'!$A$1:$F$1000,2,FALSE),"")</f>
        <v/>
      </c>
      <c r="D495" s="7" t="str">
        <f>IFERROR(VLOOKUP(B495,'Master data'!$A$1:$F$1000,6,FALSE),"")</f>
        <v/>
      </c>
      <c r="F495" s="7" t="str">
        <f>IFERROR(VLOOKUP(B495,'Master data'!$A$1:$F$1000,3,FALSE),"")</f>
        <v/>
      </c>
      <c r="G495" s="29"/>
      <c r="H495" s="29"/>
      <c r="I495" s="16"/>
      <c r="J495" s="16"/>
      <c r="K495" s="16" t="b">
        <v>0</v>
      </c>
      <c r="L495" s="16" t="b">
        <v>0</v>
      </c>
    </row>
    <row r="496">
      <c r="A496" s="108"/>
      <c r="B496" s="16"/>
      <c r="C496" s="7" t="str">
        <f>IFERROR(VLOOKUP(B496,'Master data'!$A$1:$F$1000,2,FALSE),"")</f>
        <v/>
      </c>
      <c r="D496" s="7" t="str">
        <f>IFERROR(VLOOKUP(B496,'Master data'!$A$1:$F$1000,6,FALSE),"")</f>
        <v/>
      </c>
      <c r="F496" s="7" t="str">
        <f>IFERROR(VLOOKUP(B496,'Master data'!$A$1:$F$1000,3,FALSE),"")</f>
        <v/>
      </c>
      <c r="G496" s="29"/>
      <c r="H496" s="29"/>
      <c r="I496" s="16"/>
      <c r="J496" s="16"/>
      <c r="K496" s="16" t="b">
        <v>0</v>
      </c>
      <c r="L496" s="16" t="b">
        <v>0</v>
      </c>
    </row>
    <row r="497">
      <c r="A497" s="108"/>
      <c r="B497" s="16"/>
      <c r="C497" s="7" t="str">
        <f>IFERROR(VLOOKUP(B497,'Master data'!$A$1:$F$1000,2,FALSE),"")</f>
        <v/>
      </c>
      <c r="D497" s="7" t="str">
        <f>IFERROR(VLOOKUP(B497,'Master data'!$A$1:$F$1000,6,FALSE),"")</f>
        <v/>
      </c>
      <c r="F497" s="7" t="str">
        <f>IFERROR(VLOOKUP(B497,'Master data'!$A$1:$F$1000,3,FALSE),"")</f>
        <v/>
      </c>
      <c r="G497" s="29"/>
      <c r="H497" s="29"/>
      <c r="I497" s="16"/>
      <c r="J497" s="16"/>
      <c r="K497" s="16" t="b">
        <v>0</v>
      </c>
      <c r="L497" s="16" t="b">
        <v>0</v>
      </c>
    </row>
    <row r="498">
      <c r="A498" s="108"/>
      <c r="B498" s="16"/>
      <c r="C498" s="7" t="str">
        <f>IFERROR(VLOOKUP(B498,'Master data'!$A$1:$F$1000,2,FALSE),"")</f>
        <v/>
      </c>
      <c r="D498" s="7" t="str">
        <f>IFERROR(VLOOKUP(B498,'Master data'!$A$1:$F$1000,6,FALSE),"")</f>
        <v/>
      </c>
      <c r="F498" s="7" t="str">
        <f>IFERROR(VLOOKUP(B498,'Master data'!$A$1:$F$1000,3,FALSE),"")</f>
        <v/>
      </c>
      <c r="G498" s="29"/>
      <c r="H498" s="29"/>
      <c r="I498" s="16"/>
      <c r="J498" s="16"/>
      <c r="K498" s="16" t="b">
        <v>0</v>
      </c>
      <c r="L498" s="16" t="b">
        <v>0</v>
      </c>
    </row>
    <row r="499">
      <c r="A499" s="108"/>
      <c r="B499" s="16"/>
      <c r="C499" s="7" t="str">
        <f>IFERROR(VLOOKUP(B499,'Master data'!$A$1:$F$1000,2,FALSE),"")</f>
        <v/>
      </c>
      <c r="D499" s="7" t="str">
        <f>IFERROR(VLOOKUP(B499,'Master data'!$A$1:$F$1000,6,FALSE),"")</f>
        <v/>
      </c>
      <c r="F499" s="7" t="str">
        <f>IFERROR(VLOOKUP(B499,'Master data'!$A$1:$F$1000,3,FALSE),"")</f>
        <v/>
      </c>
      <c r="G499" s="29"/>
      <c r="H499" s="29"/>
      <c r="I499" s="16"/>
      <c r="J499" s="16"/>
      <c r="K499" s="16" t="b">
        <v>0</v>
      </c>
      <c r="L499" s="16" t="b">
        <v>0</v>
      </c>
    </row>
    <row r="500">
      <c r="A500" s="108"/>
      <c r="B500" s="16"/>
      <c r="C500" s="7" t="str">
        <f>IFERROR(VLOOKUP(B500,'Master data'!$A$1:$F$1000,2,FALSE),"")</f>
        <v/>
      </c>
      <c r="D500" s="7" t="str">
        <f>IFERROR(VLOOKUP(B500,'Master data'!$A$1:$F$1000,6,FALSE),"")</f>
        <v/>
      </c>
      <c r="F500" s="7" t="str">
        <f>IFERROR(VLOOKUP(B500,'Master data'!$A$1:$F$1000,3,FALSE),"")</f>
        <v/>
      </c>
      <c r="G500" s="29"/>
      <c r="H500" s="29"/>
      <c r="I500" s="16"/>
      <c r="J500" s="16"/>
      <c r="K500" s="16" t="b">
        <v>0</v>
      </c>
      <c r="L500" s="16" t="b">
        <v>0</v>
      </c>
    </row>
    <row r="501">
      <c r="A501" s="108"/>
      <c r="B501" s="16"/>
      <c r="C501" s="7" t="str">
        <f>IFERROR(VLOOKUP(B501,'Master data'!$A$1:$F$1000,2,FALSE),"")</f>
        <v/>
      </c>
      <c r="D501" s="7" t="str">
        <f>IFERROR(VLOOKUP(B501,'Master data'!$A$1:$F$1000,6,FALSE),"")</f>
        <v/>
      </c>
      <c r="F501" s="7" t="str">
        <f>IFERROR(VLOOKUP(B501,'Master data'!$A$1:$F$1000,3,FALSE),"")</f>
        <v/>
      </c>
      <c r="G501" s="29"/>
      <c r="H501" s="29"/>
      <c r="I501" s="16"/>
      <c r="J501" s="16"/>
      <c r="K501" s="16" t="b">
        <v>0</v>
      </c>
      <c r="L501" s="16" t="b">
        <v>0</v>
      </c>
    </row>
    <row r="502">
      <c r="A502" s="108"/>
      <c r="B502" s="16"/>
      <c r="C502" s="7" t="str">
        <f>IFERROR(VLOOKUP(B502,'Master data'!$A$1:$F$1000,2,FALSE),"")</f>
        <v/>
      </c>
      <c r="D502" s="7" t="str">
        <f>IFERROR(VLOOKUP(B502,'Master data'!$A$1:$F$1000,6,FALSE),"")</f>
        <v/>
      </c>
      <c r="F502" s="7" t="str">
        <f>IFERROR(VLOOKUP(B502,'Master data'!$A$1:$F$1000,3,FALSE),"")</f>
        <v/>
      </c>
      <c r="G502" s="29"/>
      <c r="H502" s="29"/>
      <c r="I502" s="16"/>
      <c r="J502" s="16"/>
      <c r="K502" s="16" t="b">
        <v>0</v>
      </c>
      <c r="L502" s="16" t="b">
        <v>0</v>
      </c>
    </row>
    <row r="503">
      <c r="A503" s="108"/>
      <c r="B503" s="16"/>
      <c r="C503" s="7" t="str">
        <f>IFERROR(VLOOKUP(B503,'Master data'!$A$1:$F$1000,2,FALSE),"")</f>
        <v/>
      </c>
      <c r="D503" s="7" t="str">
        <f>IFERROR(VLOOKUP(B503,'Master data'!$A$1:$F$1000,6,FALSE),"")</f>
        <v/>
      </c>
      <c r="F503" s="7" t="str">
        <f>IFERROR(VLOOKUP(B503,'Master data'!$A$1:$F$1000,3,FALSE),"")</f>
        <v/>
      </c>
      <c r="G503" s="29"/>
      <c r="H503" s="29"/>
      <c r="I503" s="16"/>
      <c r="J503" s="16"/>
      <c r="K503" s="16" t="b">
        <v>0</v>
      </c>
      <c r="L503" s="16" t="b">
        <v>0</v>
      </c>
    </row>
    <row r="504">
      <c r="A504" s="108"/>
      <c r="B504" s="16"/>
      <c r="C504" s="7" t="str">
        <f>IFERROR(VLOOKUP(B504,'Master data'!$A$1:$F$1000,2,FALSE),"")</f>
        <v/>
      </c>
      <c r="D504" s="7" t="str">
        <f>IFERROR(VLOOKUP(B504,'Master data'!$A$1:$F$1000,6,FALSE),"")</f>
        <v/>
      </c>
      <c r="F504" s="7" t="str">
        <f>IFERROR(VLOOKUP(B504,'Master data'!$A$1:$F$1000,3,FALSE),"")</f>
        <v/>
      </c>
      <c r="G504" s="29"/>
      <c r="H504" s="29"/>
      <c r="I504" s="16"/>
      <c r="J504" s="16"/>
      <c r="K504" s="16" t="b">
        <v>0</v>
      </c>
      <c r="L504" s="16" t="b">
        <v>0</v>
      </c>
    </row>
    <row r="505">
      <c r="A505" s="108"/>
      <c r="B505" s="16"/>
      <c r="C505" s="7" t="str">
        <f>IFERROR(VLOOKUP(B505,'Master data'!$A$1:$F$1000,2,FALSE),"")</f>
        <v/>
      </c>
      <c r="D505" s="7" t="str">
        <f>IFERROR(VLOOKUP(B505,'Master data'!$A$1:$F$1000,6,FALSE),"")</f>
        <v/>
      </c>
      <c r="F505" s="7" t="str">
        <f>IFERROR(VLOOKUP(B505,'Master data'!$A$1:$F$1000,3,FALSE),"")</f>
        <v/>
      </c>
      <c r="G505" s="29"/>
      <c r="H505" s="29"/>
      <c r="I505" s="16"/>
      <c r="J505" s="16"/>
      <c r="K505" s="16" t="b">
        <v>0</v>
      </c>
      <c r="L505" s="16" t="b">
        <v>0</v>
      </c>
    </row>
    <row r="506">
      <c r="A506" s="108"/>
      <c r="B506" s="16"/>
      <c r="C506" s="7" t="str">
        <f>IFERROR(VLOOKUP(B506,'Master data'!$A$1:$F$1000,2,FALSE),"")</f>
        <v/>
      </c>
      <c r="D506" s="7" t="str">
        <f>IFERROR(VLOOKUP(B506,'Master data'!$A$1:$F$1000,6,FALSE),"")</f>
        <v/>
      </c>
      <c r="F506" s="7" t="str">
        <f>IFERROR(VLOOKUP(B506,'Master data'!$A$1:$F$1000,3,FALSE),"")</f>
        <v/>
      </c>
      <c r="G506" s="29"/>
      <c r="H506" s="29"/>
      <c r="I506" s="16"/>
      <c r="J506" s="16"/>
      <c r="K506" s="16" t="b">
        <v>0</v>
      </c>
      <c r="L506" s="16" t="b">
        <v>0</v>
      </c>
    </row>
    <row r="507">
      <c r="A507" s="108"/>
      <c r="B507" s="16"/>
      <c r="C507" s="7" t="str">
        <f>IFERROR(VLOOKUP(B507,'Master data'!$A$1:$F$1000,2,FALSE),"")</f>
        <v/>
      </c>
      <c r="D507" s="7" t="str">
        <f>IFERROR(VLOOKUP(B507,'Master data'!$A$1:$F$1000,6,FALSE),"")</f>
        <v/>
      </c>
      <c r="F507" s="7" t="str">
        <f>IFERROR(VLOOKUP(B507,'Master data'!$A$1:$F$1000,3,FALSE),"")</f>
        <v/>
      </c>
      <c r="G507" s="29"/>
      <c r="H507" s="29"/>
      <c r="I507" s="16"/>
      <c r="J507" s="16"/>
      <c r="K507" s="16" t="b">
        <v>0</v>
      </c>
      <c r="L507" s="16" t="b">
        <v>0</v>
      </c>
    </row>
    <row r="508">
      <c r="A508" s="108"/>
      <c r="B508" s="16"/>
      <c r="C508" s="7" t="str">
        <f>IFERROR(VLOOKUP(B508,'Master data'!$A$1:$F$1000,2,FALSE),"")</f>
        <v/>
      </c>
      <c r="D508" s="7" t="str">
        <f>IFERROR(VLOOKUP(B508,'Master data'!$A$1:$F$1000,6,FALSE),"")</f>
        <v/>
      </c>
      <c r="F508" s="7" t="str">
        <f>IFERROR(VLOOKUP(B508,'Master data'!$A$1:$F$1000,3,FALSE),"")</f>
        <v/>
      </c>
      <c r="G508" s="29"/>
      <c r="H508" s="29"/>
      <c r="I508" s="16"/>
      <c r="J508" s="16"/>
      <c r="K508" s="16" t="b">
        <v>0</v>
      </c>
      <c r="L508" s="16" t="b">
        <v>0</v>
      </c>
    </row>
    <row r="509">
      <c r="A509" s="108"/>
      <c r="B509" s="16"/>
      <c r="C509" s="7" t="str">
        <f>IFERROR(VLOOKUP(B509,'Master data'!$A$1:$F$1000,2,FALSE),"")</f>
        <v/>
      </c>
      <c r="D509" s="7" t="str">
        <f>IFERROR(VLOOKUP(B509,'Master data'!$A$1:$F$1000,6,FALSE),"")</f>
        <v/>
      </c>
      <c r="F509" s="7" t="str">
        <f>IFERROR(VLOOKUP(B509,'Master data'!$A$1:$F$1000,3,FALSE),"")</f>
        <v/>
      </c>
      <c r="G509" s="29"/>
      <c r="H509" s="29"/>
      <c r="I509" s="16"/>
      <c r="J509" s="16"/>
      <c r="K509" s="16" t="b">
        <v>0</v>
      </c>
      <c r="L509" s="16" t="b">
        <v>0</v>
      </c>
    </row>
    <row r="510">
      <c r="A510" s="108"/>
      <c r="B510" s="16"/>
      <c r="C510" s="7" t="str">
        <f>IFERROR(VLOOKUP(B510,'Master data'!$A$1:$F$1000,2,FALSE),"")</f>
        <v/>
      </c>
      <c r="D510" s="7" t="str">
        <f>IFERROR(VLOOKUP(B510,'Master data'!$A$1:$F$1000,6,FALSE),"")</f>
        <v/>
      </c>
      <c r="F510" s="7" t="str">
        <f>IFERROR(VLOOKUP(B510,'Master data'!$A$1:$F$1000,3,FALSE),"")</f>
        <v/>
      </c>
      <c r="G510" s="29"/>
      <c r="H510" s="29"/>
      <c r="I510" s="16"/>
      <c r="J510" s="16"/>
      <c r="K510" s="16" t="b">
        <v>0</v>
      </c>
      <c r="L510" s="16" t="b">
        <v>0</v>
      </c>
    </row>
    <row r="511">
      <c r="A511" s="108"/>
      <c r="B511" s="16"/>
      <c r="C511" s="7" t="str">
        <f>IFERROR(VLOOKUP(B511,'Master data'!$A$1:$F$1000,2,FALSE),"")</f>
        <v/>
      </c>
      <c r="D511" s="7" t="str">
        <f>IFERROR(VLOOKUP(B511,'Master data'!$A$1:$F$1000,6,FALSE),"")</f>
        <v/>
      </c>
      <c r="F511" s="7" t="str">
        <f>IFERROR(VLOOKUP(B511,'Master data'!$A$1:$F$1000,3,FALSE),"")</f>
        <v/>
      </c>
      <c r="G511" s="29"/>
      <c r="H511" s="29"/>
      <c r="I511" s="16"/>
      <c r="J511" s="16"/>
      <c r="K511" s="16" t="b">
        <v>0</v>
      </c>
      <c r="L511" s="16" t="b">
        <v>0</v>
      </c>
    </row>
    <row r="512">
      <c r="A512" s="108"/>
      <c r="B512" s="16"/>
      <c r="C512" s="7" t="str">
        <f>IFERROR(VLOOKUP(B512,'Master data'!$A$1:$F$1000,2,FALSE),"")</f>
        <v/>
      </c>
      <c r="D512" s="7" t="str">
        <f>IFERROR(VLOOKUP(B512,'Master data'!$A$1:$F$1000,6,FALSE),"")</f>
        <v/>
      </c>
      <c r="F512" s="7" t="str">
        <f>IFERROR(VLOOKUP(B512,'Master data'!$A$1:$F$1000,3,FALSE),"")</f>
        <v/>
      </c>
      <c r="G512" s="29"/>
      <c r="H512" s="29"/>
      <c r="I512" s="16"/>
      <c r="J512" s="16"/>
      <c r="K512" s="16" t="b">
        <v>0</v>
      </c>
      <c r="L512" s="16" t="b">
        <v>0</v>
      </c>
    </row>
    <row r="513">
      <c r="A513" s="108"/>
      <c r="B513" s="16"/>
      <c r="C513" s="7" t="str">
        <f>IFERROR(VLOOKUP(B513,'Master data'!$A$1:$F$1000,2,FALSE),"")</f>
        <v/>
      </c>
      <c r="D513" s="7" t="str">
        <f>IFERROR(VLOOKUP(B513,'Master data'!$A$1:$F$1000,6,FALSE),"")</f>
        <v/>
      </c>
      <c r="F513" s="7" t="str">
        <f>IFERROR(VLOOKUP(B513,'Master data'!$A$1:$F$1000,3,FALSE),"")</f>
        <v/>
      </c>
      <c r="G513" s="29"/>
      <c r="H513" s="29"/>
      <c r="I513" s="16"/>
      <c r="J513" s="16"/>
      <c r="K513" s="16" t="b">
        <v>0</v>
      </c>
      <c r="L513" s="16" t="b">
        <v>0</v>
      </c>
    </row>
    <row r="514">
      <c r="A514" s="108"/>
      <c r="B514" s="16"/>
      <c r="C514" s="7" t="str">
        <f>IFERROR(VLOOKUP(B514,'Master data'!$A$1:$F$1000,2,FALSE),"")</f>
        <v/>
      </c>
      <c r="D514" s="7" t="str">
        <f>IFERROR(VLOOKUP(B514,'Master data'!$A$1:$F$1000,6,FALSE),"")</f>
        <v/>
      </c>
      <c r="F514" s="7" t="str">
        <f>IFERROR(VLOOKUP(B514,'Master data'!$A$1:$F$1000,3,FALSE),"")</f>
        <v/>
      </c>
      <c r="G514" s="29"/>
      <c r="H514" s="29"/>
      <c r="I514" s="16"/>
      <c r="J514" s="16"/>
      <c r="K514" s="16" t="b">
        <v>0</v>
      </c>
      <c r="L514" s="16" t="b">
        <v>0</v>
      </c>
    </row>
    <row r="515">
      <c r="A515" s="108"/>
      <c r="B515" s="16"/>
      <c r="C515" s="7" t="str">
        <f>IFERROR(VLOOKUP(B515,'Master data'!$A$1:$F$1000,2,FALSE),"")</f>
        <v/>
      </c>
      <c r="D515" s="7" t="str">
        <f>IFERROR(VLOOKUP(B515,'Master data'!$A$1:$F$1000,6,FALSE),"")</f>
        <v/>
      </c>
      <c r="F515" s="7" t="str">
        <f>IFERROR(VLOOKUP(B515,'Master data'!$A$1:$F$1000,3,FALSE),"")</f>
        <v/>
      </c>
      <c r="G515" s="29"/>
      <c r="H515" s="29"/>
      <c r="I515" s="16"/>
      <c r="J515" s="16"/>
      <c r="K515" s="16" t="b">
        <v>0</v>
      </c>
      <c r="L515" s="16" t="b">
        <v>0</v>
      </c>
    </row>
    <row r="516">
      <c r="A516" s="108"/>
      <c r="B516" s="16"/>
      <c r="C516" s="7" t="str">
        <f>IFERROR(VLOOKUP(B516,'Master data'!$A$1:$F$1000,2,FALSE),"")</f>
        <v/>
      </c>
      <c r="D516" s="7" t="str">
        <f>IFERROR(VLOOKUP(B516,'Master data'!$A$1:$F$1000,6,FALSE),"")</f>
        <v/>
      </c>
      <c r="F516" s="7" t="str">
        <f>IFERROR(VLOOKUP(B516,'Master data'!$A$1:$F$1000,3,FALSE),"")</f>
        <v/>
      </c>
      <c r="G516" s="29"/>
      <c r="H516" s="29"/>
      <c r="I516" s="16"/>
      <c r="J516" s="16"/>
      <c r="K516" s="16" t="b">
        <v>0</v>
      </c>
      <c r="L516" s="16" t="b">
        <v>0</v>
      </c>
    </row>
    <row r="517">
      <c r="A517" s="108"/>
      <c r="B517" s="16"/>
      <c r="C517" s="7" t="str">
        <f>IFERROR(VLOOKUP(B517,'Master data'!$A$1:$F$1000,2,FALSE),"")</f>
        <v/>
      </c>
      <c r="D517" s="7" t="str">
        <f>IFERROR(VLOOKUP(B517,'Master data'!$A$1:$F$1000,6,FALSE),"")</f>
        <v/>
      </c>
      <c r="F517" s="7" t="str">
        <f>IFERROR(VLOOKUP(B517,'Master data'!$A$1:$F$1000,3,FALSE),"")</f>
        <v/>
      </c>
      <c r="G517" s="29"/>
      <c r="H517" s="29"/>
      <c r="I517" s="16"/>
      <c r="J517" s="16"/>
      <c r="K517" s="16" t="b">
        <v>0</v>
      </c>
      <c r="L517" s="16" t="b">
        <v>0</v>
      </c>
    </row>
    <row r="518">
      <c r="A518" s="108"/>
      <c r="B518" s="16"/>
      <c r="C518" s="7" t="str">
        <f>IFERROR(VLOOKUP(B518,'Master data'!$A$1:$F$1000,2,FALSE),"")</f>
        <v/>
      </c>
      <c r="D518" s="7" t="str">
        <f>IFERROR(VLOOKUP(B518,'Master data'!$A$1:$F$1000,6,FALSE),"")</f>
        <v/>
      </c>
      <c r="F518" s="7" t="str">
        <f>IFERROR(VLOOKUP(B518,'Master data'!$A$1:$F$1000,3,FALSE),"")</f>
        <v/>
      </c>
      <c r="G518" s="29"/>
      <c r="H518" s="29"/>
      <c r="I518" s="16"/>
      <c r="J518" s="16"/>
      <c r="K518" s="16" t="b">
        <v>0</v>
      </c>
      <c r="L518" s="16" t="b">
        <v>0</v>
      </c>
    </row>
    <row r="519">
      <c r="A519" s="108"/>
      <c r="B519" s="16"/>
      <c r="C519" s="7" t="str">
        <f>IFERROR(VLOOKUP(B519,'Master data'!$A$1:$F$1000,2,FALSE),"")</f>
        <v/>
      </c>
      <c r="D519" s="7" t="str">
        <f>IFERROR(VLOOKUP(B519,'Master data'!$A$1:$F$1000,6,FALSE),"")</f>
        <v/>
      </c>
      <c r="F519" s="7" t="str">
        <f>IFERROR(VLOOKUP(B519,'Master data'!$A$1:$F$1000,3,FALSE),"")</f>
        <v/>
      </c>
      <c r="G519" s="29"/>
      <c r="H519" s="29"/>
      <c r="I519" s="16"/>
      <c r="J519" s="16"/>
      <c r="K519" s="16" t="b">
        <v>0</v>
      </c>
      <c r="L519" s="16" t="b">
        <v>0</v>
      </c>
    </row>
    <row r="520">
      <c r="A520" s="108"/>
      <c r="B520" s="16"/>
      <c r="C520" s="7" t="str">
        <f>IFERROR(VLOOKUP(B520,'Master data'!$A$1:$F$1000,2,FALSE),"")</f>
        <v/>
      </c>
      <c r="D520" s="7" t="str">
        <f>IFERROR(VLOOKUP(B520,'Master data'!$A$1:$F$1000,6,FALSE),"")</f>
        <v/>
      </c>
      <c r="F520" s="7" t="str">
        <f>IFERROR(VLOOKUP(B520,'Master data'!$A$1:$F$1000,3,FALSE),"")</f>
        <v/>
      </c>
      <c r="G520" s="29"/>
      <c r="H520" s="29"/>
      <c r="I520" s="16"/>
      <c r="J520" s="16"/>
      <c r="K520" s="16" t="b">
        <v>0</v>
      </c>
      <c r="L520" s="16" t="b">
        <v>0</v>
      </c>
    </row>
    <row r="521">
      <c r="A521" s="108"/>
      <c r="B521" s="16"/>
      <c r="C521" s="7" t="str">
        <f>IFERROR(VLOOKUP(B521,'Master data'!$A$1:$F$1000,2,FALSE),"")</f>
        <v/>
      </c>
      <c r="D521" s="7" t="str">
        <f>IFERROR(VLOOKUP(B521,'Master data'!$A$1:$F$1000,6,FALSE),"")</f>
        <v/>
      </c>
      <c r="F521" s="7" t="str">
        <f>IFERROR(VLOOKUP(B521,'Master data'!$A$1:$F$1000,3,FALSE),"")</f>
        <v/>
      </c>
      <c r="G521" s="29"/>
      <c r="H521" s="29"/>
      <c r="I521" s="16"/>
      <c r="J521" s="16"/>
      <c r="K521" s="16" t="b">
        <v>0</v>
      </c>
      <c r="L521" s="16" t="b">
        <v>0</v>
      </c>
    </row>
    <row r="522">
      <c r="A522" s="108"/>
      <c r="B522" s="16"/>
      <c r="C522" s="7" t="str">
        <f>IFERROR(VLOOKUP(B522,'Master data'!$A$1:$F$1000,2,FALSE),"")</f>
        <v/>
      </c>
      <c r="D522" s="7" t="str">
        <f>IFERROR(VLOOKUP(B522,'Master data'!$A$1:$F$1000,6,FALSE),"")</f>
        <v/>
      </c>
      <c r="F522" s="7" t="str">
        <f>IFERROR(VLOOKUP(B522,'Master data'!$A$1:$F$1000,3,FALSE),"")</f>
        <v/>
      </c>
      <c r="G522" s="29"/>
      <c r="H522" s="29"/>
      <c r="I522" s="16"/>
      <c r="J522" s="16"/>
      <c r="K522" s="16" t="b">
        <v>0</v>
      </c>
      <c r="L522" s="16" t="b">
        <v>0</v>
      </c>
    </row>
    <row r="523">
      <c r="A523" s="108"/>
      <c r="B523" s="16"/>
      <c r="C523" s="7" t="str">
        <f>IFERROR(VLOOKUP(B523,'Master data'!$A$1:$F$1000,2,FALSE),"")</f>
        <v/>
      </c>
      <c r="D523" s="7" t="str">
        <f>IFERROR(VLOOKUP(B523,'Master data'!$A$1:$F$1000,6,FALSE),"")</f>
        <v/>
      </c>
      <c r="F523" s="7" t="str">
        <f>IFERROR(VLOOKUP(B523,'Master data'!$A$1:$F$1000,3,FALSE),"")</f>
        <v/>
      </c>
      <c r="G523" s="29"/>
      <c r="H523" s="29"/>
      <c r="I523" s="16"/>
      <c r="J523" s="16"/>
      <c r="K523" s="16" t="b">
        <v>0</v>
      </c>
      <c r="L523" s="16" t="b">
        <v>0</v>
      </c>
    </row>
    <row r="524">
      <c r="A524" s="108"/>
      <c r="B524" s="16"/>
      <c r="C524" s="7" t="str">
        <f>IFERROR(VLOOKUP(B524,'Master data'!$A$1:$F$1000,2,FALSE),"")</f>
        <v/>
      </c>
      <c r="D524" s="7" t="str">
        <f>IFERROR(VLOOKUP(B524,'Master data'!$A$1:$F$1000,6,FALSE),"")</f>
        <v/>
      </c>
      <c r="F524" s="7" t="str">
        <f>IFERROR(VLOOKUP(B524,'Master data'!$A$1:$F$1000,3,FALSE),"")</f>
        <v/>
      </c>
      <c r="G524" s="29"/>
      <c r="H524" s="29"/>
      <c r="I524" s="16"/>
      <c r="J524" s="16"/>
      <c r="K524" s="16" t="b">
        <v>0</v>
      </c>
      <c r="L524" s="16" t="b">
        <v>0</v>
      </c>
    </row>
    <row r="525">
      <c r="A525" s="108"/>
      <c r="B525" s="16"/>
      <c r="C525" s="7" t="str">
        <f>IFERROR(VLOOKUP(B525,'Master data'!$A$1:$F$1000,2,FALSE),"")</f>
        <v/>
      </c>
      <c r="D525" s="7" t="str">
        <f>IFERROR(VLOOKUP(B525,'Master data'!$A$1:$F$1000,6,FALSE),"")</f>
        <v/>
      </c>
      <c r="F525" s="7" t="str">
        <f>IFERROR(VLOOKUP(B525,'Master data'!$A$1:$F$1000,3,FALSE),"")</f>
        <v/>
      </c>
      <c r="G525" s="29"/>
      <c r="H525" s="29"/>
      <c r="I525" s="16"/>
      <c r="J525" s="16"/>
      <c r="K525" s="16" t="b">
        <v>0</v>
      </c>
      <c r="L525" s="16" t="b">
        <v>0</v>
      </c>
    </row>
    <row r="526">
      <c r="A526" s="108"/>
      <c r="B526" s="16"/>
      <c r="C526" s="7" t="str">
        <f>IFERROR(VLOOKUP(B526,'Master data'!$A$1:$F$1000,2,FALSE),"")</f>
        <v/>
      </c>
      <c r="D526" s="7" t="str">
        <f>IFERROR(VLOOKUP(B526,'Master data'!$A$1:$F$1000,6,FALSE),"")</f>
        <v/>
      </c>
      <c r="F526" s="7" t="str">
        <f>IFERROR(VLOOKUP(B526,'Master data'!$A$1:$F$1000,3,FALSE),"")</f>
        <v/>
      </c>
      <c r="G526" s="29"/>
      <c r="H526" s="29"/>
      <c r="I526" s="16"/>
      <c r="J526" s="16"/>
      <c r="K526" s="16" t="b">
        <v>0</v>
      </c>
      <c r="L526" s="16" t="b">
        <v>0</v>
      </c>
    </row>
    <row r="527">
      <c r="A527" s="108"/>
      <c r="B527" s="16"/>
      <c r="C527" s="7" t="str">
        <f>IFERROR(VLOOKUP(B527,'Master data'!$A$1:$F$1000,2,FALSE),"")</f>
        <v/>
      </c>
      <c r="D527" s="7" t="str">
        <f>IFERROR(VLOOKUP(B527,'Master data'!$A$1:$F$1000,6,FALSE),"")</f>
        <v/>
      </c>
      <c r="F527" s="7" t="str">
        <f>IFERROR(VLOOKUP(B527,'Master data'!$A$1:$F$1000,3,FALSE),"")</f>
        <v/>
      </c>
      <c r="G527" s="29"/>
      <c r="H527" s="29"/>
      <c r="I527" s="16"/>
      <c r="J527" s="16"/>
      <c r="K527" s="16" t="b">
        <v>0</v>
      </c>
      <c r="L527" s="16" t="b">
        <v>0</v>
      </c>
    </row>
    <row r="528">
      <c r="A528" s="108"/>
      <c r="B528" s="16"/>
      <c r="C528" s="7" t="str">
        <f>IFERROR(VLOOKUP(B528,'Master data'!$A$1:$F$1000,2,FALSE),"")</f>
        <v/>
      </c>
      <c r="D528" s="7" t="str">
        <f>IFERROR(VLOOKUP(B528,'Master data'!$A$1:$F$1000,6,FALSE),"")</f>
        <v/>
      </c>
      <c r="F528" s="7" t="str">
        <f>IFERROR(VLOOKUP(B528,'Master data'!$A$1:$F$1000,3,FALSE),"")</f>
        <v/>
      </c>
      <c r="G528" s="29"/>
      <c r="H528" s="29"/>
      <c r="I528" s="16"/>
      <c r="J528" s="16"/>
      <c r="K528" s="16" t="b">
        <v>0</v>
      </c>
      <c r="L528" s="16" t="b">
        <v>0</v>
      </c>
    </row>
    <row r="529">
      <c r="A529" s="108"/>
      <c r="B529" s="16"/>
      <c r="C529" s="7" t="str">
        <f>IFERROR(VLOOKUP(B529,'Master data'!$A$1:$F$1000,2,FALSE),"")</f>
        <v/>
      </c>
      <c r="D529" s="7" t="str">
        <f>IFERROR(VLOOKUP(B529,'Master data'!$A$1:$F$1000,6,FALSE),"")</f>
        <v/>
      </c>
      <c r="F529" s="7" t="str">
        <f>IFERROR(VLOOKUP(B529,'Master data'!$A$1:$F$1000,3,FALSE),"")</f>
        <v/>
      </c>
      <c r="G529" s="29"/>
      <c r="H529" s="29"/>
      <c r="I529" s="16"/>
      <c r="J529" s="16"/>
      <c r="K529" s="16" t="b">
        <v>0</v>
      </c>
      <c r="L529" s="16" t="b">
        <v>0</v>
      </c>
    </row>
    <row r="530">
      <c r="A530" s="108"/>
      <c r="B530" s="16"/>
      <c r="C530" s="7" t="str">
        <f>IFERROR(VLOOKUP(B530,'Master data'!$A$1:$F$1000,2,FALSE),"")</f>
        <v/>
      </c>
      <c r="D530" s="7" t="str">
        <f>IFERROR(VLOOKUP(B530,'Master data'!$A$1:$F$1000,6,FALSE),"")</f>
        <v/>
      </c>
      <c r="F530" s="7" t="str">
        <f>IFERROR(VLOOKUP(B530,'Master data'!$A$1:$F$1000,3,FALSE),"")</f>
        <v/>
      </c>
      <c r="G530" s="29"/>
      <c r="H530" s="29"/>
      <c r="I530" s="16"/>
      <c r="J530" s="16"/>
      <c r="K530" s="16" t="b">
        <v>0</v>
      </c>
      <c r="L530" s="16" t="b">
        <v>0</v>
      </c>
    </row>
    <row r="531">
      <c r="A531" s="108"/>
      <c r="B531" s="16"/>
      <c r="C531" s="7" t="str">
        <f>IFERROR(VLOOKUP(B531,'Master data'!$A$1:$F$1000,2,FALSE),"")</f>
        <v/>
      </c>
      <c r="D531" s="7" t="str">
        <f>IFERROR(VLOOKUP(B531,'Master data'!$A$1:$F$1000,6,FALSE),"")</f>
        <v/>
      </c>
      <c r="F531" s="7" t="str">
        <f>IFERROR(VLOOKUP(B531,'Master data'!$A$1:$F$1000,3,FALSE),"")</f>
        <v/>
      </c>
      <c r="G531" s="29"/>
      <c r="H531" s="29"/>
      <c r="I531" s="16"/>
      <c r="J531" s="16"/>
      <c r="K531" s="16" t="b">
        <v>0</v>
      </c>
      <c r="L531" s="16" t="b">
        <v>0</v>
      </c>
    </row>
    <row r="532">
      <c r="A532" s="108"/>
      <c r="B532" s="16"/>
      <c r="C532" s="7" t="str">
        <f>IFERROR(VLOOKUP(B532,'Master data'!$A$1:$F$1000,2,FALSE),"")</f>
        <v/>
      </c>
      <c r="D532" s="7" t="str">
        <f>IFERROR(VLOOKUP(B532,'Master data'!$A$1:$F$1000,6,FALSE),"")</f>
        <v/>
      </c>
      <c r="F532" s="7" t="str">
        <f>IFERROR(VLOOKUP(B532,'Master data'!$A$1:$F$1000,3,FALSE),"")</f>
        <v/>
      </c>
      <c r="G532" s="29"/>
      <c r="H532" s="29"/>
      <c r="I532" s="16"/>
      <c r="J532" s="16"/>
      <c r="K532" s="16" t="b">
        <v>0</v>
      </c>
      <c r="L532" s="16" t="b">
        <v>0</v>
      </c>
    </row>
    <row r="533">
      <c r="A533" s="108"/>
      <c r="B533" s="16"/>
      <c r="C533" s="7" t="str">
        <f>IFERROR(VLOOKUP(B533,'Master data'!$A$1:$F$1000,2,FALSE),"")</f>
        <v/>
      </c>
      <c r="D533" s="7" t="str">
        <f>IFERROR(VLOOKUP(B533,'Master data'!$A$1:$F$1000,6,FALSE),"")</f>
        <v/>
      </c>
      <c r="F533" s="7" t="str">
        <f>IFERROR(VLOOKUP(B533,'Master data'!$A$1:$F$1000,3,FALSE),"")</f>
        <v/>
      </c>
      <c r="G533" s="29"/>
      <c r="H533" s="29"/>
      <c r="I533" s="16"/>
      <c r="J533" s="16"/>
      <c r="K533" s="16" t="b">
        <v>0</v>
      </c>
      <c r="L533" s="16" t="b">
        <v>0</v>
      </c>
    </row>
    <row r="534">
      <c r="A534" s="108"/>
      <c r="B534" s="16"/>
      <c r="C534" s="7" t="str">
        <f>IFERROR(VLOOKUP(B534,'Master data'!$A$1:$F$1000,2,FALSE),"")</f>
        <v/>
      </c>
      <c r="D534" s="7" t="str">
        <f>IFERROR(VLOOKUP(B534,'Master data'!$A$1:$F$1000,6,FALSE),"")</f>
        <v/>
      </c>
      <c r="F534" s="7" t="str">
        <f>IFERROR(VLOOKUP(B534,'Master data'!$A$1:$F$1000,3,FALSE),"")</f>
        <v/>
      </c>
      <c r="G534" s="29"/>
      <c r="H534" s="29"/>
      <c r="I534" s="16"/>
      <c r="J534" s="16"/>
      <c r="K534" s="16" t="b">
        <v>0</v>
      </c>
      <c r="L534" s="16" t="b">
        <v>0</v>
      </c>
    </row>
    <row r="535">
      <c r="A535" s="108"/>
      <c r="B535" s="16"/>
      <c r="C535" s="7" t="str">
        <f>IFERROR(VLOOKUP(B535,'Master data'!$A$1:$F$1000,2,FALSE),"")</f>
        <v/>
      </c>
      <c r="D535" s="7" t="str">
        <f>IFERROR(VLOOKUP(B535,'Master data'!$A$1:$F$1000,6,FALSE),"")</f>
        <v/>
      </c>
      <c r="F535" s="7" t="str">
        <f>IFERROR(VLOOKUP(B535,'Master data'!$A$1:$F$1000,3,FALSE),"")</f>
        <v/>
      </c>
      <c r="G535" s="29"/>
      <c r="H535" s="29"/>
      <c r="I535" s="16"/>
      <c r="J535" s="16"/>
      <c r="K535" s="16" t="b">
        <v>0</v>
      </c>
      <c r="L535" s="16" t="b">
        <v>0</v>
      </c>
    </row>
    <row r="536">
      <c r="A536" s="108"/>
      <c r="B536" s="16"/>
      <c r="C536" s="7" t="str">
        <f>IFERROR(VLOOKUP(B536,'Master data'!$A$1:$F$1000,2,FALSE),"")</f>
        <v/>
      </c>
      <c r="D536" s="7" t="str">
        <f>IFERROR(VLOOKUP(B536,'Master data'!$A$1:$F$1000,6,FALSE),"")</f>
        <v/>
      </c>
      <c r="F536" s="7" t="str">
        <f>IFERROR(VLOOKUP(B536,'Master data'!$A$1:$F$1000,3,FALSE),"")</f>
        <v/>
      </c>
      <c r="G536" s="29"/>
      <c r="H536" s="29"/>
      <c r="I536" s="16"/>
      <c r="J536" s="16"/>
      <c r="K536" s="16" t="b">
        <v>0</v>
      </c>
      <c r="L536" s="16" t="b">
        <v>0</v>
      </c>
    </row>
    <row r="537">
      <c r="A537" s="108"/>
      <c r="B537" s="16"/>
      <c r="C537" s="7" t="str">
        <f>IFERROR(VLOOKUP(B537,'Master data'!$A$1:$F$1000,2,FALSE),"")</f>
        <v/>
      </c>
      <c r="D537" s="7" t="str">
        <f>IFERROR(VLOOKUP(B537,'Master data'!$A$1:$F$1000,6,FALSE),"")</f>
        <v/>
      </c>
      <c r="F537" s="7" t="str">
        <f>IFERROR(VLOOKUP(B537,'Master data'!$A$1:$F$1000,3,FALSE),"")</f>
        <v/>
      </c>
      <c r="G537" s="29"/>
      <c r="H537" s="29"/>
      <c r="I537" s="16"/>
      <c r="J537" s="16"/>
      <c r="K537" s="16" t="b">
        <v>0</v>
      </c>
      <c r="L537" s="16" t="b">
        <v>0</v>
      </c>
    </row>
    <row r="538">
      <c r="A538" s="108"/>
      <c r="B538" s="16"/>
      <c r="C538" s="7" t="str">
        <f>IFERROR(VLOOKUP(B538,'Master data'!$A$1:$F$1000,2,FALSE),"")</f>
        <v/>
      </c>
      <c r="D538" s="7" t="str">
        <f>IFERROR(VLOOKUP(B538,'Master data'!$A$1:$F$1000,6,FALSE),"")</f>
        <v/>
      </c>
      <c r="F538" s="7" t="str">
        <f>IFERROR(VLOOKUP(B538,'Master data'!$A$1:$F$1000,3,FALSE),"")</f>
        <v/>
      </c>
      <c r="G538" s="29"/>
      <c r="H538" s="29"/>
      <c r="I538" s="16"/>
      <c r="J538" s="16"/>
      <c r="K538" s="16" t="b">
        <v>0</v>
      </c>
      <c r="L538" s="16" t="b">
        <v>0</v>
      </c>
    </row>
    <row r="539">
      <c r="A539" s="108"/>
      <c r="B539" s="16"/>
      <c r="C539" s="7" t="str">
        <f>IFERROR(VLOOKUP(B539,'Master data'!$A$1:$F$1000,2,FALSE),"")</f>
        <v/>
      </c>
      <c r="D539" s="7" t="str">
        <f>IFERROR(VLOOKUP(B539,'Master data'!$A$1:$F$1000,6,FALSE),"")</f>
        <v/>
      </c>
      <c r="F539" s="7" t="str">
        <f>IFERROR(VLOOKUP(B539,'Master data'!$A$1:$F$1000,3,FALSE),"")</f>
        <v/>
      </c>
      <c r="G539" s="29"/>
      <c r="H539" s="29"/>
      <c r="I539" s="16"/>
      <c r="J539" s="16"/>
      <c r="K539" s="16" t="b">
        <v>0</v>
      </c>
      <c r="L539" s="16" t="b">
        <v>0</v>
      </c>
    </row>
    <row r="540">
      <c r="A540" s="108"/>
      <c r="B540" s="16"/>
      <c r="C540" s="7" t="str">
        <f>IFERROR(VLOOKUP(B540,'Master data'!$A$1:$F$1000,2,FALSE),"")</f>
        <v/>
      </c>
      <c r="D540" s="7" t="str">
        <f>IFERROR(VLOOKUP(B540,'Master data'!$A$1:$F$1000,6,FALSE),"")</f>
        <v/>
      </c>
      <c r="F540" s="7" t="str">
        <f>IFERROR(VLOOKUP(B540,'Master data'!$A$1:$F$1000,3,FALSE),"")</f>
        <v/>
      </c>
      <c r="G540" s="29"/>
      <c r="H540" s="29"/>
      <c r="I540" s="16"/>
      <c r="J540" s="16"/>
      <c r="K540" s="16" t="b">
        <v>0</v>
      </c>
      <c r="L540" s="16" t="b">
        <v>0</v>
      </c>
    </row>
    <row r="541">
      <c r="A541" s="108"/>
      <c r="B541" s="16"/>
      <c r="C541" s="7" t="str">
        <f>IFERROR(VLOOKUP(B541,'Master data'!$A$1:$F$1000,2,FALSE),"")</f>
        <v/>
      </c>
      <c r="D541" s="7" t="str">
        <f>IFERROR(VLOOKUP(B541,'Master data'!$A$1:$F$1000,6,FALSE),"")</f>
        <v/>
      </c>
      <c r="F541" s="7" t="str">
        <f>IFERROR(VLOOKUP(B541,'Master data'!$A$1:$F$1000,3,FALSE),"")</f>
        <v/>
      </c>
      <c r="G541" s="29"/>
      <c r="H541" s="29"/>
      <c r="I541" s="16"/>
      <c r="J541" s="16"/>
      <c r="K541" s="16" t="b">
        <v>0</v>
      </c>
      <c r="L541" s="16" t="b">
        <v>0</v>
      </c>
    </row>
    <row r="542">
      <c r="A542" s="108"/>
      <c r="B542" s="16"/>
      <c r="C542" s="7" t="str">
        <f>IFERROR(VLOOKUP(B542,'Master data'!$A$1:$F$1000,2,FALSE),"")</f>
        <v/>
      </c>
      <c r="D542" s="7" t="str">
        <f>IFERROR(VLOOKUP(B542,'Master data'!$A$1:$F$1000,6,FALSE),"")</f>
        <v/>
      </c>
      <c r="F542" s="7" t="str">
        <f>IFERROR(VLOOKUP(B542,'Master data'!$A$1:$F$1000,3,FALSE),"")</f>
        <v/>
      </c>
      <c r="G542" s="29"/>
      <c r="H542" s="29"/>
      <c r="I542" s="16"/>
      <c r="J542" s="16"/>
      <c r="K542" s="16" t="b">
        <v>0</v>
      </c>
      <c r="L542" s="16" t="b">
        <v>0</v>
      </c>
    </row>
    <row r="543">
      <c r="A543" s="108"/>
      <c r="B543" s="16"/>
      <c r="C543" s="7" t="str">
        <f>IFERROR(VLOOKUP(B543,'Master data'!$A$1:$F$1000,2,FALSE),"")</f>
        <v/>
      </c>
      <c r="D543" s="7" t="str">
        <f>IFERROR(VLOOKUP(B543,'Master data'!$A$1:$F$1000,6,FALSE),"")</f>
        <v/>
      </c>
      <c r="F543" s="7" t="str">
        <f>IFERROR(VLOOKUP(B543,'Master data'!$A$1:$F$1000,3,FALSE),"")</f>
        <v/>
      </c>
      <c r="G543" s="29"/>
      <c r="H543" s="29"/>
      <c r="I543" s="16"/>
      <c r="J543" s="16"/>
      <c r="K543" s="16" t="b">
        <v>0</v>
      </c>
      <c r="L543" s="16" t="b">
        <v>0</v>
      </c>
    </row>
    <row r="544">
      <c r="A544" s="108"/>
      <c r="B544" s="16"/>
      <c r="C544" s="7" t="str">
        <f>IFERROR(VLOOKUP(B544,'Master data'!$A$1:$F$1000,2,FALSE),"")</f>
        <v/>
      </c>
      <c r="D544" s="7" t="str">
        <f>IFERROR(VLOOKUP(B544,'Master data'!$A$1:$F$1000,6,FALSE),"")</f>
        <v/>
      </c>
      <c r="F544" s="7" t="str">
        <f>IFERROR(VLOOKUP(B544,'Master data'!$A$1:$F$1000,3,FALSE),"")</f>
        <v/>
      </c>
      <c r="G544" s="29"/>
      <c r="H544" s="29"/>
      <c r="I544" s="16"/>
      <c r="J544" s="16"/>
      <c r="K544" s="16" t="b">
        <v>0</v>
      </c>
      <c r="L544" s="16" t="b">
        <v>0</v>
      </c>
    </row>
    <row r="545">
      <c r="A545" s="108"/>
      <c r="B545" s="16"/>
      <c r="C545" s="7" t="str">
        <f>IFERROR(VLOOKUP(B545,'Master data'!$A$1:$F$1000,2,FALSE),"")</f>
        <v/>
      </c>
      <c r="D545" s="7" t="str">
        <f>IFERROR(VLOOKUP(B545,'Master data'!$A$1:$F$1000,6,FALSE),"")</f>
        <v/>
      </c>
      <c r="F545" s="7" t="str">
        <f>IFERROR(VLOOKUP(B545,'Master data'!$A$1:$F$1000,3,FALSE),"")</f>
        <v/>
      </c>
      <c r="G545" s="29"/>
      <c r="H545" s="29"/>
      <c r="I545" s="16"/>
      <c r="J545" s="16"/>
      <c r="K545" s="16" t="b">
        <v>0</v>
      </c>
      <c r="L545" s="16" t="b">
        <v>0</v>
      </c>
    </row>
    <row r="546">
      <c r="A546" s="108"/>
      <c r="B546" s="16"/>
      <c r="C546" s="7" t="str">
        <f>IFERROR(VLOOKUP(B546,'Master data'!$A$1:$F$1000,2,FALSE),"")</f>
        <v/>
      </c>
      <c r="D546" s="7" t="str">
        <f>IFERROR(VLOOKUP(B546,'Master data'!$A$1:$F$1000,6,FALSE),"")</f>
        <v/>
      </c>
      <c r="F546" s="7" t="str">
        <f>IFERROR(VLOOKUP(B546,'Master data'!$A$1:$F$1000,3,FALSE),"")</f>
        <v/>
      </c>
      <c r="G546" s="29"/>
      <c r="H546" s="29"/>
      <c r="I546" s="16"/>
      <c r="J546" s="16"/>
      <c r="K546" s="16" t="b">
        <v>0</v>
      </c>
      <c r="L546" s="16" t="b">
        <v>0</v>
      </c>
    </row>
    <row r="547">
      <c r="A547" s="108"/>
      <c r="B547" s="16"/>
      <c r="C547" s="7" t="str">
        <f>IFERROR(VLOOKUP(B547,'Master data'!$A$1:$F$1000,2,FALSE),"")</f>
        <v/>
      </c>
      <c r="D547" s="7" t="str">
        <f>IFERROR(VLOOKUP(B547,'Master data'!$A$1:$F$1000,6,FALSE),"")</f>
        <v/>
      </c>
      <c r="F547" s="7" t="str">
        <f>IFERROR(VLOOKUP(B547,'Master data'!$A$1:$F$1000,3,FALSE),"")</f>
        <v/>
      </c>
      <c r="G547" s="29"/>
      <c r="H547" s="29"/>
      <c r="I547" s="16"/>
      <c r="J547" s="16"/>
      <c r="K547" s="16" t="b">
        <v>0</v>
      </c>
      <c r="L547" s="16" t="b">
        <v>0</v>
      </c>
    </row>
    <row r="548">
      <c r="A548" s="108"/>
      <c r="B548" s="16"/>
      <c r="C548" s="7" t="str">
        <f>IFERROR(VLOOKUP(B548,'Master data'!$A$1:$F$1000,2,FALSE),"")</f>
        <v/>
      </c>
      <c r="D548" s="7" t="str">
        <f>IFERROR(VLOOKUP(B548,'Master data'!$A$1:$F$1000,6,FALSE),"")</f>
        <v/>
      </c>
      <c r="F548" s="7" t="str">
        <f>IFERROR(VLOOKUP(B548,'Master data'!$A$1:$F$1000,3,FALSE),"")</f>
        <v/>
      </c>
      <c r="G548" s="29"/>
      <c r="H548" s="29"/>
      <c r="I548" s="16"/>
      <c r="J548" s="16"/>
      <c r="K548" s="16" t="b">
        <v>0</v>
      </c>
      <c r="L548" s="16" t="b">
        <v>0</v>
      </c>
    </row>
    <row r="549">
      <c r="A549" s="108"/>
      <c r="B549" s="16"/>
      <c r="C549" s="7" t="str">
        <f>IFERROR(VLOOKUP(B549,'Master data'!$A$1:$F$1000,2,FALSE),"")</f>
        <v/>
      </c>
      <c r="D549" s="7" t="str">
        <f>IFERROR(VLOOKUP(B549,'Master data'!$A$1:$F$1000,6,FALSE),"")</f>
        <v/>
      </c>
      <c r="F549" s="7" t="str">
        <f>IFERROR(VLOOKUP(B549,'Master data'!$A$1:$F$1000,3,FALSE),"")</f>
        <v/>
      </c>
      <c r="G549" s="29"/>
      <c r="H549" s="29"/>
      <c r="I549" s="16"/>
      <c r="J549" s="16"/>
      <c r="K549" s="16" t="b">
        <v>0</v>
      </c>
      <c r="L549" s="16" t="b">
        <v>0</v>
      </c>
    </row>
    <row r="550">
      <c r="A550" s="108"/>
      <c r="B550" s="16"/>
      <c r="C550" s="7" t="str">
        <f>IFERROR(VLOOKUP(B550,'Master data'!$A$1:$F$1000,2,FALSE),"")</f>
        <v/>
      </c>
      <c r="D550" s="7" t="str">
        <f>IFERROR(VLOOKUP(B550,'Master data'!$A$1:$F$1000,6,FALSE),"")</f>
        <v/>
      </c>
      <c r="F550" s="7" t="str">
        <f>IFERROR(VLOOKUP(B550,'Master data'!$A$1:$F$1000,3,FALSE),"")</f>
        <v/>
      </c>
      <c r="G550" s="29"/>
      <c r="H550" s="29"/>
      <c r="I550" s="16"/>
      <c r="J550" s="16"/>
      <c r="K550" s="16" t="b">
        <v>0</v>
      </c>
      <c r="L550" s="16" t="b">
        <v>0</v>
      </c>
    </row>
    <row r="551">
      <c r="A551" s="108"/>
      <c r="B551" s="16"/>
      <c r="C551" s="7" t="str">
        <f>IFERROR(VLOOKUP(B551,'Master data'!$A$1:$F$1000,2,FALSE),"")</f>
        <v/>
      </c>
      <c r="D551" s="7" t="str">
        <f>IFERROR(VLOOKUP(B551,'Master data'!$A$1:$F$1000,6,FALSE),"")</f>
        <v/>
      </c>
      <c r="F551" s="7" t="str">
        <f>IFERROR(VLOOKUP(B551,'Master data'!$A$1:$F$1000,3,FALSE),"")</f>
        <v/>
      </c>
      <c r="G551" s="29"/>
      <c r="H551" s="29"/>
      <c r="I551" s="16"/>
      <c r="J551" s="16"/>
      <c r="K551" s="16" t="b">
        <v>0</v>
      </c>
      <c r="L551" s="16" t="b">
        <v>0</v>
      </c>
    </row>
    <row r="552">
      <c r="A552" s="108"/>
      <c r="B552" s="16"/>
      <c r="C552" s="7" t="str">
        <f>IFERROR(VLOOKUP(B552,'Master data'!$A$1:$F$1000,2,FALSE),"")</f>
        <v/>
      </c>
      <c r="D552" s="7" t="str">
        <f>IFERROR(VLOOKUP(B552,'Master data'!$A$1:$F$1000,6,FALSE),"")</f>
        <v/>
      </c>
      <c r="F552" s="7" t="str">
        <f>IFERROR(VLOOKUP(B552,'Master data'!$A$1:$F$1000,3,FALSE),"")</f>
        <v/>
      </c>
      <c r="G552" s="29"/>
      <c r="H552" s="29"/>
      <c r="I552" s="16"/>
      <c r="J552" s="16"/>
      <c r="K552" s="16" t="b">
        <v>0</v>
      </c>
      <c r="L552" s="16" t="b">
        <v>0</v>
      </c>
    </row>
    <row r="553">
      <c r="A553" s="108"/>
      <c r="B553" s="16"/>
      <c r="C553" s="7" t="str">
        <f>IFERROR(VLOOKUP(B553,'Master data'!$A$1:$F$1000,2,FALSE),"")</f>
        <v/>
      </c>
      <c r="D553" s="7" t="str">
        <f>IFERROR(VLOOKUP(B553,'Master data'!$A$1:$F$1000,6,FALSE),"")</f>
        <v/>
      </c>
      <c r="F553" s="7" t="str">
        <f>IFERROR(VLOOKUP(B553,'Master data'!$A$1:$F$1000,3,FALSE),"")</f>
        <v/>
      </c>
      <c r="G553" s="29"/>
      <c r="H553" s="29"/>
      <c r="I553" s="16"/>
      <c r="J553" s="16"/>
      <c r="K553" s="16" t="b">
        <v>0</v>
      </c>
      <c r="L553" s="16" t="b">
        <v>0</v>
      </c>
    </row>
    <row r="554">
      <c r="A554" s="108"/>
      <c r="B554" s="16"/>
      <c r="C554" s="7" t="str">
        <f>IFERROR(VLOOKUP(B554,'Master data'!$A$1:$F$1000,2,FALSE),"")</f>
        <v/>
      </c>
      <c r="D554" s="7" t="str">
        <f>IFERROR(VLOOKUP(B554,'Master data'!$A$1:$F$1000,6,FALSE),"")</f>
        <v/>
      </c>
      <c r="F554" s="7" t="str">
        <f>IFERROR(VLOOKUP(B554,'Master data'!$A$1:$F$1000,3,FALSE),"")</f>
        <v/>
      </c>
      <c r="G554" s="29"/>
      <c r="H554" s="29"/>
      <c r="I554" s="16"/>
      <c r="J554" s="16"/>
      <c r="K554" s="16" t="b">
        <v>0</v>
      </c>
      <c r="L554" s="16" t="b">
        <v>0</v>
      </c>
    </row>
    <row r="555">
      <c r="A555" s="108"/>
      <c r="B555" s="16"/>
      <c r="C555" s="7" t="str">
        <f>IFERROR(VLOOKUP(B555,'Master data'!$A$1:$F$1000,2,FALSE),"")</f>
        <v/>
      </c>
      <c r="D555" s="7" t="str">
        <f>IFERROR(VLOOKUP(B555,'Master data'!$A$1:$F$1000,6,FALSE),"")</f>
        <v/>
      </c>
      <c r="F555" s="7" t="str">
        <f>IFERROR(VLOOKUP(B555,'Master data'!$A$1:$F$1000,3,FALSE),"")</f>
        <v/>
      </c>
      <c r="G555" s="29"/>
      <c r="H555" s="29"/>
      <c r="I555" s="16"/>
      <c r="J555" s="16"/>
      <c r="K555" s="16" t="b">
        <v>0</v>
      </c>
      <c r="L555" s="16" t="b">
        <v>0</v>
      </c>
    </row>
    <row r="556">
      <c r="A556" s="108"/>
      <c r="B556" s="16"/>
      <c r="C556" s="7" t="str">
        <f>IFERROR(VLOOKUP(B556,'Master data'!$A$1:$F$1000,2,FALSE),"")</f>
        <v/>
      </c>
      <c r="D556" s="7" t="str">
        <f>IFERROR(VLOOKUP(B556,'Master data'!$A$1:$F$1000,6,FALSE),"")</f>
        <v/>
      </c>
      <c r="F556" s="7" t="str">
        <f>IFERROR(VLOOKUP(B556,'Master data'!$A$1:$F$1000,3,FALSE),"")</f>
        <v/>
      </c>
      <c r="G556" s="29"/>
      <c r="H556" s="29"/>
      <c r="I556" s="16"/>
      <c r="J556" s="16"/>
      <c r="K556" s="16" t="b">
        <v>0</v>
      </c>
      <c r="L556" s="16" t="b">
        <v>0</v>
      </c>
    </row>
    <row r="557">
      <c r="A557" s="108"/>
      <c r="B557" s="16"/>
      <c r="C557" s="7" t="str">
        <f>IFERROR(VLOOKUP(B557,'Master data'!$A$1:$F$1000,2,FALSE),"")</f>
        <v/>
      </c>
      <c r="D557" s="7" t="str">
        <f>IFERROR(VLOOKUP(B557,'Master data'!$A$1:$F$1000,6,FALSE),"")</f>
        <v/>
      </c>
      <c r="F557" s="7" t="str">
        <f>IFERROR(VLOOKUP(B557,'Master data'!$A$1:$F$1000,3,FALSE),"")</f>
        <v/>
      </c>
      <c r="G557" s="29"/>
      <c r="H557" s="29"/>
      <c r="I557" s="16"/>
      <c r="J557" s="16"/>
      <c r="K557" s="16" t="b">
        <v>0</v>
      </c>
      <c r="L557" s="16" t="b">
        <v>0</v>
      </c>
    </row>
    <row r="558">
      <c r="A558" s="108"/>
      <c r="B558" s="16"/>
      <c r="C558" s="7" t="str">
        <f>IFERROR(VLOOKUP(B558,'Master data'!$A$1:$F$1000,2,FALSE),"")</f>
        <v/>
      </c>
      <c r="D558" s="7" t="str">
        <f>IFERROR(VLOOKUP(B558,'Master data'!$A$1:$F$1000,6,FALSE),"")</f>
        <v/>
      </c>
      <c r="F558" s="7" t="str">
        <f>IFERROR(VLOOKUP(B558,'Master data'!$A$1:$F$1000,3,FALSE),"")</f>
        <v/>
      </c>
      <c r="G558" s="29"/>
      <c r="H558" s="29"/>
      <c r="I558" s="16"/>
      <c r="J558" s="16"/>
      <c r="K558" s="16" t="b">
        <v>0</v>
      </c>
      <c r="L558" s="16" t="b">
        <v>0</v>
      </c>
    </row>
    <row r="559">
      <c r="A559" s="108"/>
      <c r="B559" s="16"/>
      <c r="C559" s="7" t="str">
        <f>IFERROR(VLOOKUP(B559,'Master data'!$A$1:$F$1000,2,FALSE),"")</f>
        <v/>
      </c>
      <c r="D559" s="7" t="str">
        <f>IFERROR(VLOOKUP(B559,'Master data'!$A$1:$F$1000,6,FALSE),"")</f>
        <v/>
      </c>
      <c r="F559" s="7" t="str">
        <f>IFERROR(VLOOKUP(B559,'Master data'!$A$1:$F$1000,3,FALSE),"")</f>
        <v/>
      </c>
      <c r="G559" s="29"/>
      <c r="H559" s="29"/>
      <c r="I559" s="16"/>
      <c r="J559" s="16"/>
      <c r="K559" s="16" t="b">
        <v>0</v>
      </c>
      <c r="L559" s="16" t="b">
        <v>0</v>
      </c>
    </row>
    <row r="560">
      <c r="A560" s="108"/>
      <c r="B560" s="16"/>
      <c r="C560" s="7" t="str">
        <f>IFERROR(VLOOKUP(B560,'Master data'!$A$1:$F$1000,2,FALSE),"")</f>
        <v/>
      </c>
      <c r="D560" s="7" t="str">
        <f>IFERROR(VLOOKUP(B560,'Master data'!$A$1:$F$1000,6,FALSE),"")</f>
        <v/>
      </c>
      <c r="F560" s="7" t="str">
        <f>IFERROR(VLOOKUP(B560,'Master data'!$A$1:$F$1000,3,FALSE),"")</f>
        <v/>
      </c>
      <c r="G560" s="29"/>
      <c r="H560" s="29"/>
      <c r="I560" s="16"/>
      <c r="J560" s="16"/>
      <c r="K560" s="16" t="b">
        <v>0</v>
      </c>
      <c r="L560" s="16" t="b">
        <v>0</v>
      </c>
    </row>
    <row r="561">
      <c r="A561" s="108"/>
      <c r="B561" s="16"/>
      <c r="C561" s="7" t="str">
        <f>IFERROR(VLOOKUP(B561,'Master data'!$A$1:$F$1000,2,FALSE),"")</f>
        <v/>
      </c>
      <c r="D561" s="7" t="str">
        <f>IFERROR(VLOOKUP(B561,'Master data'!$A$1:$F$1000,6,FALSE),"")</f>
        <v/>
      </c>
      <c r="F561" s="7" t="str">
        <f>IFERROR(VLOOKUP(B561,'Master data'!$A$1:$F$1000,3,FALSE),"")</f>
        <v/>
      </c>
      <c r="G561" s="29"/>
      <c r="H561" s="29"/>
      <c r="I561" s="16"/>
      <c r="J561" s="16"/>
      <c r="K561" s="16" t="b">
        <v>0</v>
      </c>
      <c r="L561" s="16" t="b">
        <v>0</v>
      </c>
    </row>
    <row r="562">
      <c r="A562" s="108"/>
      <c r="B562" s="16"/>
      <c r="C562" s="7" t="str">
        <f>IFERROR(VLOOKUP(B562,'Master data'!$A$1:$F$1000,2,FALSE),"")</f>
        <v/>
      </c>
      <c r="D562" s="7" t="str">
        <f>IFERROR(VLOOKUP(B562,'Master data'!$A$1:$F$1000,6,FALSE),"")</f>
        <v/>
      </c>
      <c r="F562" s="7" t="str">
        <f>IFERROR(VLOOKUP(B562,'Master data'!$A$1:$F$1000,3,FALSE),"")</f>
        <v/>
      </c>
      <c r="G562" s="29"/>
      <c r="H562" s="29"/>
      <c r="I562" s="16"/>
      <c r="J562" s="16"/>
      <c r="K562" s="16" t="b">
        <v>0</v>
      </c>
      <c r="L562" s="16" t="b">
        <v>0</v>
      </c>
    </row>
    <row r="563">
      <c r="A563" s="108"/>
      <c r="B563" s="16"/>
      <c r="C563" s="7" t="str">
        <f>IFERROR(VLOOKUP(B563,'Master data'!$A$1:$F$1000,2,FALSE),"")</f>
        <v/>
      </c>
      <c r="D563" s="7" t="str">
        <f>IFERROR(VLOOKUP(B563,'Master data'!$A$1:$F$1000,6,FALSE),"")</f>
        <v/>
      </c>
      <c r="F563" s="7" t="str">
        <f>IFERROR(VLOOKUP(B563,'Master data'!$A$1:$F$1000,3,FALSE),"")</f>
        <v/>
      </c>
      <c r="G563" s="29"/>
      <c r="H563" s="29"/>
      <c r="I563" s="16"/>
      <c r="J563" s="16"/>
      <c r="K563" s="16" t="b">
        <v>0</v>
      </c>
      <c r="L563" s="16" t="b">
        <v>0</v>
      </c>
    </row>
    <row r="564">
      <c r="A564" s="108"/>
      <c r="B564" s="16"/>
      <c r="C564" s="7" t="str">
        <f>IFERROR(VLOOKUP(B564,'Master data'!$A$1:$F$1000,2,FALSE),"")</f>
        <v/>
      </c>
      <c r="D564" s="7" t="str">
        <f>IFERROR(VLOOKUP(B564,'Master data'!$A$1:$F$1000,6,FALSE),"")</f>
        <v/>
      </c>
      <c r="F564" s="7" t="str">
        <f>IFERROR(VLOOKUP(B564,'Master data'!$A$1:$F$1000,3,FALSE),"")</f>
        <v/>
      </c>
      <c r="G564" s="29"/>
      <c r="H564" s="29"/>
      <c r="I564" s="16"/>
      <c r="J564" s="16"/>
      <c r="K564" s="16" t="b">
        <v>0</v>
      </c>
      <c r="L564" s="16" t="b">
        <v>0</v>
      </c>
    </row>
    <row r="565">
      <c r="A565" s="108"/>
      <c r="B565" s="16"/>
      <c r="C565" s="7" t="str">
        <f>IFERROR(VLOOKUP(B565,'Master data'!$A$1:$F$1000,2,FALSE),"")</f>
        <v/>
      </c>
      <c r="D565" s="7" t="str">
        <f>IFERROR(VLOOKUP(B565,'Master data'!$A$1:$F$1000,6,FALSE),"")</f>
        <v/>
      </c>
      <c r="F565" s="7" t="str">
        <f>IFERROR(VLOOKUP(B565,'Master data'!$A$1:$F$1000,3,FALSE),"")</f>
        <v/>
      </c>
      <c r="G565" s="29"/>
      <c r="H565" s="29"/>
      <c r="I565" s="16"/>
      <c r="J565" s="16"/>
      <c r="K565" s="16" t="b">
        <v>0</v>
      </c>
      <c r="L565" s="16" t="b">
        <v>0</v>
      </c>
    </row>
    <row r="566">
      <c r="A566" s="108"/>
      <c r="B566" s="16"/>
      <c r="C566" s="7" t="str">
        <f>IFERROR(VLOOKUP(B566,'Master data'!$A$1:$F$1000,2,FALSE),"")</f>
        <v/>
      </c>
      <c r="D566" s="7" t="str">
        <f>IFERROR(VLOOKUP(B566,'Master data'!$A$1:$F$1000,6,FALSE),"")</f>
        <v/>
      </c>
      <c r="F566" s="7" t="str">
        <f>IFERROR(VLOOKUP(B566,'Master data'!$A$1:$F$1000,3,FALSE),"")</f>
        <v/>
      </c>
      <c r="G566" s="29"/>
      <c r="H566" s="29"/>
      <c r="I566" s="16"/>
      <c r="J566" s="16"/>
      <c r="K566" s="16" t="b">
        <v>0</v>
      </c>
      <c r="L566" s="16" t="b">
        <v>0</v>
      </c>
    </row>
    <row r="567">
      <c r="A567" s="108"/>
      <c r="B567" s="16"/>
      <c r="C567" s="7" t="str">
        <f>IFERROR(VLOOKUP(B567,'Master data'!$A$1:$F$1000,2,FALSE),"")</f>
        <v/>
      </c>
      <c r="D567" s="7" t="str">
        <f>IFERROR(VLOOKUP(B567,'Master data'!$A$1:$F$1000,6,FALSE),"")</f>
        <v/>
      </c>
      <c r="F567" s="7" t="str">
        <f>IFERROR(VLOOKUP(B567,'Master data'!$A$1:$F$1000,3,FALSE),"")</f>
        <v/>
      </c>
      <c r="G567" s="29"/>
      <c r="H567" s="29"/>
      <c r="I567" s="16"/>
      <c r="J567" s="16"/>
      <c r="K567" s="16" t="b">
        <v>0</v>
      </c>
      <c r="L567" s="16" t="b">
        <v>0</v>
      </c>
    </row>
    <row r="568">
      <c r="A568" s="108"/>
      <c r="B568" s="16"/>
      <c r="C568" s="7" t="str">
        <f>IFERROR(VLOOKUP(B568,'Master data'!$A$1:$F$1000,2,FALSE),"")</f>
        <v/>
      </c>
      <c r="D568" s="7" t="str">
        <f>IFERROR(VLOOKUP(B568,'Master data'!$A$1:$F$1000,6,FALSE),"")</f>
        <v/>
      </c>
      <c r="F568" s="7" t="str">
        <f>IFERROR(VLOOKUP(B568,'Master data'!$A$1:$F$1000,3,FALSE),"")</f>
        <v/>
      </c>
      <c r="G568" s="29"/>
      <c r="H568" s="29"/>
      <c r="I568" s="16"/>
      <c r="J568" s="16"/>
      <c r="K568" s="16" t="b">
        <v>0</v>
      </c>
      <c r="L568" s="16" t="b">
        <v>0</v>
      </c>
    </row>
    <row r="569">
      <c r="A569" s="108"/>
      <c r="B569" s="16"/>
      <c r="C569" s="7" t="str">
        <f>IFERROR(VLOOKUP(B569,'Master data'!$A$1:$F$1000,2,FALSE),"")</f>
        <v/>
      </c>
      <c r="D569" s="7" t="str">
        <f>IFERROR(VLOOKUP(B569,'Master data'!$A$1:$F$1000,6,FALSE),"")</f>
        <v/>
      </c>
      <c r="F569" s="7" t="str">
        <f>IFERROR(VLOOKUP(B569,'Master data'!$A$1:$F$1000,3,FALSE),"")</f>
        <v/>
      </c>
      <c r="G569" s="29"/>
      <c r="H569" s="29"/>
      <c r="I569" s="16"/>
      <c r="J569" s="16"/>
      <c r="K569" s="16" t="b">
        <v>0</v>
      </c>
      <c r="L569" s="16" t="b">
        <v>0</v>
      </c>
    </row>
    <row r="570">
      <c r="A570" s="108"/>
      <c r="B570" s="16"/>
      <c r="C570" s="7" t="str">
        <f>IFERROR(VLOOKUP(B570,'Master data'!$A$1:$F$1000,2,FALSE),"")</f>
        <v/>
      </c>
      <c r="D570" s="7" t="str">
        <f>IFERROR(VLOOKUP(B570,'Master data'!$A$1:$F$1000,6,FALSE),"")</f>
        <v/>
      </c>
      <c r="F570" s="7" t="str">
        <f>IFERROR(VLOOKUP(B570,'Master data'!$A$1:$F$1000,3,FALSE),"")</f>
        <v/>
      </c>
      <c r="G570" s="29"/>
      <c r="H570" s="29"/>
      <c r="I570" s="16"/>
      <c r="J570" s="16"/>
      <c r="K570" s="16" t="b">
        <v>0</v>
      </c>
      <c r="L570" s="16" t="b">
        <v>0</v>
      </c>
    </row>
    <row r="571">
      <c r="A571" s="108"/>
      <c r="B571" s="16"/>
      <c r="C571" s="7" t="str">
        <f>IFERROR(VLOOKUP(B571,'Master data'!$A$1:$F$1000,2,FALSE),"")</f>
        <v/>
      </c>
      <c r="D571" s="7" t="str">
        <f>IFERROR(VLOOKUP(B571,'Master data'!$A$1:$F$1000,6,FALSE),"")</f>
        <v/>
      </c>
      <c r="F571" s="7" t="str">
        <f>IFERROR(VLOOKUP(B571,'Master data'!$A$1:$F$1000,3,FALSE),"")</f>
        <v/>
      </c>
      <c r="G571" s="29"/>
      <c r="H571" s="29"/>
      <c r="I571" s="16"/>
      <c r="J571" s="16"/>
      <c r="K571" s="16" t="b">
        <v>0</v>
      </c>
      <c r="L571" s="16" t="b">
        <v>0</v>
      </c>
    </row>
    <row r="572">
      <c r="A572" s="108"/>
      <c r="B572" s="16"/>
      <c r="C572" s="7" t="str">
        <f>IFERROR(VLOOKUP(B572,'Master data'!$A$1:$F$1000,2,FALSE),"")</f>
        <v/>
      </c>
      <c r="D572" s="7" t="str">
        <f>IFERROR(VLOOKUP(B572,'Master data'!$A$1:$F$1000,6,FALSE),"")</f>
        <v/>
      </c>
      <c r="F572" s="7" t="str">
        <f>IFERROR(VLOOKUP(B572,'Master data'!$A$1:$F$1000,3,FALSE),"")</f>
        <v/>
      </c>
      <c r="G572" s="29"/>
      <c r="H572" s="29"/>
      <c r="I572" s="16"/>
      <c r="J572" s="16"/>
      <c r="K572" s="16" t="b">
        <v>0</v>
      </c>
      <c r="L572" s="16" t="b">
        <v>0</v>
      </c>
    </row>
    <row r="573">
      <c r="A573" s="108"/>
      <c r="B573" s="16"/>
      <c r="C573" s="7" t="str">
        <f>IFERROR(VLOOKUP(B573,'Master data'!$A$1:$F$1000,2,FALSE),"")</f>
        <v/>
      </c>
      <c r="D573" s="7" t="str">
        <f>IFERROR(VLOOKUP(B573,'Master data'!$A$1:$F$1000,6,FALSE),"")</f>
        <v/>
      </c>
      <c r="F573" s="7" t="str">
        <f>IFERROR(VLOOKUP(B573,'Master data'!$A$1:$F$1000,3,FALSE),"")</f>
        <v/>
      </c>
      <c r="G573" s="29"/>
      <c r="H573" s="29"/>
      <c r="I573" s="16"/>
      <c r="J573" s="16"/>
      <c r="K573" s="16" t="b">
        <v>0</v>
      </c>
      <c r="L573" s="16" t="b">
        <v>0</v>
      </c>
    </row>
    <row r="574">
      <c r="A574" s="108"/>
      <c r="B574" s="16"/>
      <c r="C574" s="7" t="str">
        <f>IFERROR(VLOOKUP(B574,'Master data'!$A$1:$F$1000,2,FALSE),"")</f>
        <v/>
      </c>
      <c r="D574" s="7" t="str">
        <f>IFERROR(VLOOKUP(B574,'Master data'!$A$1:$F$1000,6,FALSE),"")</f>
        <v/>
      </c>
      <c r="F574" s="7" t="str">
        <f>IFERROR(VLOOKUP(B574,'Master data'!$A$1:$F$1000,3,FALSE),"")</f>
        <v/>
      </c>
      <c r="G574" s="29"/>
      <c r="H574" s="29"/>
      <c r="I574" s="16"/>
      <c r="J574" s="16"/>
      <c r="K574" s="16" t="b">
        <v>0</v>
      </c>
      <c r="L574" s="16" t="b">
        <v>0</v>
      </c>
    </row>
    <row r="575">
      <c r="A575" s="108"/>
      <c r="B575" s="16"/>
      <c r="C575" s="7" t="str">
        <f>IFERROR(VLOOKUP(B575,'Master data'!$A$1:$F$1000,2,FALSE),"")</f>
        <v/>
      </c>
      <c r="D575" s="7" t="str">
        <f>IFERROR(VLOOKUP(B575,'Master data'!$A$1:$F$1000,6,FALSE),"")</f>
        <v/>
      </c>
      <c r="F575" s="7" t="str">
        <f>IFERROR(VLOOKUP(B575,'Master data'!$A$1:$F$1000,3,FALSE),"")</f>
        <v/>
      </c>
      <c r="G575" s="29"/>
      <c r="H575" s="29"/>
      <c r="I575" s="16"/>
      <c r="J575" s="16"/>
      <c r="K575" s="16" t="b">
        <v>0</v>
      </c>
      <c r="L575" s="16" t="b">
        <v>0</v>
      </c>
    </row>
    <row r="576">
      <c r="A576" s="108"/>
      <c r="B576" s="16"/>
      <c r="C576" s="7" t="str">
        <f>IFERROR(VLOOKUP(B576,'Master data'!$A$1:$F$1000,2,FALSE),"")</f>
        <v/>
      </c>
      <c r="D576" s="7" t="str">
        <f>IFERROR(VLOOKUP(B576,'Master data'!$A$1:$F$1000,6,FALSE),"")</f>
        <v/>
      </c>
      <c r="F576" s="7" t="str">
        <f>IFERROR(VLOOKUP(B576,'Master data'!$A$1:$F$1000,3,FALSE),"")</f>
        <v/>
      </c>
      <c r="G576" s="29"/>
      <c r="H576" s="29"/>
      <c r="I576" s="16"/>
      <c r="J576" s="16"/>
      <c r="K576" s="16" t="b">
        <v>0</v>
      </c>
      <c r="L576" s="16" t="b">
        <v>0</v>
      </c>
    </row>
    <row r="577">
      <c r="A577" s="108"/>
      <c r="B577" s="16"/>
      <c r="C577" s="7" t="str">
        <f>IFERROR(VLOOKUP(B577,'Master data'!$A$1:$F$1000,2,FALSE),"")</f>
        <v/>
      </c>
      <c r="D577" s="7" t="str">
        <f>IFERROR(VLOOKUP(B577,'Master data'!$A$1:$F$1000,6,FALSE),"")</f>
        <v/>
      </c>
      <c r="F577" s="7" t="str">
        <f>IFERROR(VLOOKUP(B577,'Master data'!$A$1:$F$1000,3,FALSE),"")</f>
        <v/>
      </c>
      <c r="G577" s="29"/>
      <c r="H577" s="29"/>
      <c r="I577" s="16"/>
      <c r="J577" s="16"/>
      <c r="K577" s="16" t="b">
        <v>0</v>
      </c>
      <c r="L577" s="16" t="b">
        <v>0</v>
      </c>
    </row>
    <row r="578">
      <c r="A578" s="108"/>
      <c r="B578" s="16"/>
      <c r="C578" s="7" t="str">
        <f>IFERROR(VLOOKUP(B578,'Master data'!$A$1:$F$1000,2,FALSE),"")</f>
        <v/>
      </c>
      <c r="D578" s="7" t="str">
        <f>IFERROR(VLOOKUP(B578,'Master data'!$A$1:$F$1000,6,FALSE),"")</f>
        <v/>
      </c>
      <c r="F578" s="7" t="str">
        <f>IFERROR(VLOOKUP(B578,'Master data'!$A$1:$F$1000,3,FALSE),"")</f>
        <v/>
      </c>
      <c r="G578" s="29"/>
      <c r="H578" s="29"/>
      <c r="I578" s="16"/>
      <c r="J578" s="16"/>
      <c r="K578" s="16" t="b">
        <v>0</v>
      </c>
      <c r="L578" s="16" t="b">
        <v>0</v>
      </c>
    </row>
    <row r="579">
      <c r="A579" s="108"/>
      <c r="B579" s="16"/>
      <c r="C579" s="7" t="str">
        <f>IFERROR(VLOOKUP(B579,'Master data'!$A$1:$F$1000,2,FALSE),"")</f>
        <v/>
      </c>
      <c r="D579" s="7" t="str">
        <f>IFERROR(VLOOKUP(B579,'Master data'!$A$1:$F$1000,6,FALSE),"")</f>
        <v/>
      </c>
      <c r="F579" s="7" t="str">
        <f>IFERROR(VLOOKUP(B579,'Master data'!$A$1:$F$1000,3,FALSE),"")</f>
        <v/>
      </c>
      <c r="G579" s="29"/>
      <c r="H579" s="29"/>
      <c r="I579" s="16"/>
      <c r="J579" s="16"/>
      <c r="K579" s="16" t="b">
        <v>0</v>
      </c>
      <c r="L579" s="16" t="b">
        <v>0</v>
      </c>
    </row>
    <row r="580">
      <c r="A580" s="108"/>
      <c r="B580" s="16"/>
      <c r="C580" s="7" t="str">
        <f>IFERROR(VLOOKUP(B580,'Master data'!$A$1:$F$1000,2,FALSE),"")</f>
        <v/>
      </c>
      <c r="D580" s="7" t="str">
        <f>IFERROR(VLOOKUP(B580,'Master data'!$A$1:$F$1000,6,FALSE),"")</f>
        <v/>
      </c>
      <c r="F580" s="7" t="str">
        <f>IFERROR(VLOOKUP(B580,'Master data'!$A$1:$F$1000,3,FALSE),"")</f>
        <v/>
      </c>
      <c r="G580" s="29"/>
      <c r="H580" s="29"/>
      <c r="I580" s="16"/>
      <c r="J580" s="16"/>
      <c r="K580" s="16" t="b">
        <v>0</v>
      </c>
      <c r="L580" s="16" t="b">
        <v>0</v>
      </c>
    </row>
    <row r="581">
      <c r="A581" s="108"/>
      <c r="B581" s="16"/>
      <c r="C581" s="7" t="str">
        <f>IFERROR(VLOOKUP(B581,'Master data'!$A$1:$F$1000,2,FALSE),"")</f>
        <v/>
      </c>
      <c r="D581" s="7" t="str">
        <f>IFERROR(VLOOKUP(B581,'Master data'!$A$1:$F$1000,6,FALSE),"")</f>
        <v/>
      </c>
      <c r="F581" s="7" t="str">
        <f>IFERROR(VLOOKUP(B581,'Master data'!$A$1:$F$1000,3,FALSE),"")</f>
        <v/>
      </c>
      <c r="G581" s="29"/>
      <c r="H581" s="29"/>
      <c r="I581" s="16"/>
      <c r="J581" s="16"/>
      <c r="K581" s="16" t="b">
        <v>0</v>
      </c>
      <c r="L581" s="16" t="b">
        <v>0</v>
      </c>
    </row>
    <row r="582">
      <c r="A582" s="108"/>
      <c r="B582" s="16"/>
      <c r="C582" s="7" t="str">
        <f>IFERROR(VLOOKUP(B582,'Master data'!$A$1:$F$1000,2,FALSE),"")</f>
        <v/>
      </c>
      <c r="D582" s="7" t="str">
        <f>IFERROR(VLOOKUP(B582,'Master data'!$A$1:$F$1000,6,FALSE),"")</f>
        <v/>
      </c>
      <c r="F582" s="7" t="str">
        <f>IFERROR(VLOOKUP(B582,'Master data'!$A$1:$F$1000,3,FALSE),"")</f>
        <v/>
      </c>
      <c r="G582" s="29"/>
      <c r="H582" s="29"/>
      <c r="I582" s="16"/>
      <c r="J582" s="16"/>
      <c r="K582" s="16" t="b">
        <v>0</v>
      </c>
      <c r="L582" s="16" t="b">
        <v>0</v>
      </c>
    </row>
    <row r="583">
      <c r="A583" s="108"/>
      <c r="B583" s="16"/>
      <c r="C583" s="7" t="str">
        <f>IFERROR(VLOOKUP(B583,'Master data'!$A$1:$F$1000,2,FALSE),"")</f>
        <v/>
      </c>
      <c r="D583" s="7" t="str">
        <f>IFERROR(VLOOKUP(B583,'Master data'!$A$1:$F$1000,6,FALSE),"")</f>
        <v/>
      </c>
      <c r="F583" s="7" t="str">
        <f>IFERROR(VLOOKUP(B583,'Master data'!$A$1:$F$1000,3,FALSE),"")</f>
        <v/>
      </c>
      <c r="G583" s="29"/>
      <c r="H583" s="29"/>
      <c r="I583" s="16"/>
      <c r="J583" s="16"/>
      <c r="K583" s="16" t="b">
        <v>0</v>
      </c>
      <c r="L583" s="16" t="b">
        <v>0</v>
      </c>
    </row>
    <row r="584">
      <c r="A584" s="108"/>
      <c r="B584" s="16"/>
      <c r="C584" s="7" t="str">
        <f>IFERROR(VLOOKUP(B584,'Master data'!$A$1:$F$1000,2,FALSE),"")</f>
        <v/>
      </c>
      <c r="D584" s="7" t="str">
        <f>IFERROR(VLOOKUP(B584,'Master data'!$A$1:$F$1000,6,FALSE),"")</f>
        <v/>
      </c>
      <c r="F584" s="7" t="str">
        <f>IFERROR(VLOOKUP(B584,'Master data'!$A$1:$F$1000,3,FALSE),"")</f>
        <v/>
      </c>
      <c r="G584" s="29"/>
      <c r="H584" s="29"/>
      <c r="I584" s="16"/>
      <c r="J584" s="16"/>
      <c r="K584" s="16" t="b">
        <v>0</v>
      </c>
      <c r="L584" s="16" t="b">
        <v>0</v>
      </c>
    </row>
    <row r="585">
      <c r="A585" s="108"/>
      <c r="B585" s="16"/>
      <c r="C585" s="7" t="str">
        <f>IFERROR(VLOOKUP(B585,'Master data'!$A$1:$F$1000,2,FALSE),"")</f>
        <v/>
      </c>
      <c r="D585" s="7" t="str">
        <f>IFERROR(VLOOKUP(B585,'Master data'!$A$1:$F$1000,6,FALSE),"")</f>
        <v/>
      </c>
      <c r="F585" s="7" t="str">
        <f>IFERROR(VLOOKUP(B585,'Master data'!$A$1:$F$1000,3,FALSE),"")</f>
        <v/>
      </c>
      <c r="G585" s="29"/>
      <c r="H585" s="29"/>
      <c r="I585" s="16"/>
      <c r="J585" s="16"/>
      <c r="K585" s="16" t="b">
        <v>0</v>
      </c>
      <c r="L585" s="16" t="b">
        <v>0</v>
      </c>
    </row>
    <row r="586">
      <c r="A586" s="108"/>
      <c r="B586" s="16"/>
      <c r="C586" s="7" t="str">
        <f>IFERROR(VLOOKUP(B586,'Master data'!$A$1:$F$1000,2,FALSE),"")</f>
        <v/>
      </c>
      <c r="D586" s="7" t="str">
        <f>IFERROR(VLOOKUP(B586,'Master data'!$A$1:$F$1000,6,FALSE),"")</f>
        <v/>
      </c>
      <c r="F586" s="7" t="str">
        <f>IFERROR(VLOOKUP(B586,'Master data'!$A$1:$F$1000,3,FALSE),"")</f>
        <v/>
      </c>
      <c r="G586" s="29"/>
      <c r="H586" s="29"/>
      <c r="I586" s="16"/>
      <c r="J586" s="16"/>
      <c r="K586" s="16" t="b">
        <v>0</v>
      </c>
      <c r="L586" s="16" t="b">
        <v>0</v>
      </c>
    </row>
    <row r="587">
      <c r="A587" s="108"/>
      <c r="B587" s="16"/>
      <c r="C587" s="7" t="str">
        <f>IFERROR(VLOOKUP(B587,'Master data'!$A$1:$F$1000,2,FALSE),"")</f>
        <v/>
      </c>
      <c r="D587" s="7" t="str">
        <f>IFERROR(VLOOKUP(B587,'Master data'!$A$1:$F$1000,6,FALSE),"")</f>
        <v/>
      </c>
      <c r="F587" s="7" t="str">
        <f>IFERROR(VLOOKUP(B587,'Master data'!$A$1:$F$1000,3,FALSE),"")</f>
        <v/>
      </c>
      <c r="G587" s="29"/>
      <c r="H587" s="29"/>
      <c r="I587" s="16"/>
      <c r="J587" s="16"/>
      <c r="K587" s="16" t="b">
        <v>0</v>
      </c>
      <c r="L587" s="16" t="b">
        <v>0</v>
      </c>
    </row>
    <row r="588">
      <c r="A588" s="108"/>
      <c r="B588" s="16"/>
      <c r="C588" s="7" t="str">
        <f>IFERROR(VLOOKUP(B588,'Master data'!$A$1:$F$1000,2,FALSE),"")</f>
        <v/>
      </c>
      <c r="D588" s="7" t="str">
        <f>IFERROR(VLOOKUP(B588,'Master data'!$A$1:$F$1000,6,FALSE),"")</f>
        <v/>
      </c>
      <c r="F588" s="7" t="str">
        <f>IFERROR(VLOOKUP(B588,'Master data'!$A$1:$F$1000,3,FALSE),"")</f>
        <v/>
      </c>
      <c r="G588" s="29"/>
      <c r="H588" s="29"/>
      <c r="I588" s="16"/>
      <c r="J588" s="16"/>
      <c r="K588" s="16" t="b">
        <v>0</v>
      </c>
      <c r="L588" s="16" t="b">
        <v>0</v>
      </c>
    </row>
    <row r="589">
      <c r="A589" s="108"/>
      <c r="B589" s="16"/>
      <c r="C589" s="7" t="str">
        <f>IFERROR(VLOOKUP(B589,'Master data'!$A$1:$F$1000,2,FALSE),"")</f>
        <v/>
      </c>
      <c r="D589" s="7" t="str">
        <f>IFERROR(VLOOKUP(B589,'Master data'!$A$1:$F$1000,6,FALSE),"")</f>
        <v/>
      </c>
      <c r="F589" s="7" t="str">
        <f>IFERROR(VLOOKUP(B589,'Master data'!$A$1:$F$1000,3,FALSE),"")</f>
        <v/>
      </c>
      <c r="G589" s="29"/>
      <c r="H589" s="29"/>
      <c r="I589" s="16"/>
      <c r="J589" s="16"/>
      <c r="K589" s="16" t="b">
        <v>0</v>
      </c>
      <c r="L589" s="16" t="b">
        <v>0</v>
      </c>
    </row>
    <row r="590">
      <c r="A590" s="108"/>
      <c r="B590" s="16"/>
      <c r="C590" s="7" t="str">
        <f>IFERROR(VLOOKUP(B590,'Master data'!$A$1:$F$1000,2,FALSE),"")</f>
        <v/>
      </c>
      <c r="D590" s="7" t="str">
        <f>IFERROR(VLOOKUP(B590,'Master data'!$A$1:$F$1000,6,FALSE),"")</f>
        <v/>
      </c>
      <c r="F590" s="7" t="str">
        <f>IFERROR(VLOOKUP(B590,'Master data'!$A$1:$F$1000,3,FALSE),"")</f>
        <v/>
      </c>
      <c r="G590" s="29"/>
      <c r="H590" s="29"/>
      <c r="I590" s="16"/>
      <c r="J590" s="16"/>
      <c r="K590" s="16" t="b">
        <v>0</v>
      </c>
      <c r="L590" s="16" t="b">
        <v>0</v>
      </c>
    </row>
    <row r="591">
      <c r="A591" s="108"/>
      <c r="B591" s="16"/>
      <c r="C591" s="7" t="str">
        <f>IFERROR(VLOOKUP(B591,'Master data'!$A$1:$F$1000,2,FALSE),"")</f>
        <v/>
      </c>
      <c r="D591" s="7" t="str">
        <f>IFERROR(VLOOKUP(B591,'Master data'!$A$1:$F$1000,6,FALSE),"")</f>
        <v/>
      </c>
      <c r="F591" s="7" t="str">
        <f>IFERROR(VLOOKUP(B591,'Master data'!$A$1:$F$1000,3,FALSE),"")</f>
        <v/>
      </c>
      <c r="G591" s="29"/>
      <c r="H591" s="29"/>
      <c r="I591" s="16"/>
      <c r="J591" s="16"/>
      <c r="K591" s="16" t="b">
        <v>0</v>
      </c>
      <c r="L591" s="16" t="b">
        <v>0</v>
      </c>
    </row>
    <row r="592">
      <c r="A592" s="108"/>
      <c r="B592" s="16"/>
      <c r="C592" s="7" t="str">
        <f>IFERROR(VLOOKUP(B592,'Master data'!$A$1:$F$1000,2,FALSE),"")</f>
        <v/>
      </c>
      <c r="D592" s="7" t="str">
        <f>IFERROR(VLOOKUP(B592,'Master data'!$A$1:$F$1000,6,FALSE),"")</f>
        <v/>
      </c>
      <c r="F592" s="7" t="str">
        <f>IFERROR(VLOOKUP(B592,'Master data'!$A$1:$F$1000,3,FALSE),"")</f>
        <v/>
      </c>
      <c r="G592" s="29"/>
      <c r="H592" s="29"/>
      <c r="I592" s="16"/>
      <c r="J592" s="16"/>
      <c r="K592" s="16" t="b">
        <v>0</v>
      </c>
      <c r="L592" s="16" t="b">
        <v>0</v>
      </c>
    </row>
    <row r="593">
      <c r="A593" s="108"/>
      <c r="B593" s="16"/>
      <c r="C593" s="7" t="str">
        <f>IFERROR(VLOOKUP(B593,'Master data'!$A$1:$F$1000,2,FALSE),"")</f>
        <v/>
      </c>
      <c r="D593" s="7" t="str">
        <f>IFERROR(VLOOKUP(B593,'Master data'!$A$1:$F$1000,6,FALSE),"")</f>
        <v/>
      </c>
      <c r="F593" s="7" t="str">
        <f>IFERROR(VLOOKUP(B593,'Master data'!$A$1:$F$1000,3,FALSE),"")</f>
        <v/>
      </c>
      <c r="G593" s="29"/>
      <c r="H593" s="29"/>
      <c r="I593" s="16"/>
      <c r="J593" s="16"/>
      <c r="K593" s="16" t="b">
        <v>0</v>
      </c>
      <c r="L593" s="16" t="b">
        <v>0</v>
      </c>
    </row>
    <row r="594">
      <c r="A594" s="108"/>
      <c r="B594" s="16"/>
      <c r="C594" s="7" t="str">
        <f>IFERROR(VLOOKUP(B594,'Master data'!$A$1:$F$1000,2,FALSE),"")</f>
        <v/>
      </c>
      <c r="D594" s="7" t="str">
        <f>IFERROR(VLOOKUP(B594,'Master data'!$A$1:$F$1000,6,FALSE),"")</f>
        <v/>
      </c>
      <c r="F594" s="7" t="str">
        <f>IFERROR(VLOOKUP(B594,'Master data'!$A$1:$F$1000,3,FALSE),"")</f>
        <v/>
      </c>
      <c r="G594" s="29"/>
      <c r="H594" s="29"/>
      <c r="I594" s="16"/>
      <c r="J594" s="16"/>
      <c r="K594" s="16" t="b">
        <v>0</v>
      </c>
      <c r="L594" s="16" t="b">
        <v>0</v>
      </c>
    </row>
    <row r="595">
      <c r="A595" s="108"/>
      <c r="B595" s="16"/>
      <c r="C595" s="7" t="str">
        <f>IFERROR(VLOOKUP(B595,'Master data'!$A$1:$F$1000,2,FALSE),"")</f>
        <v/>
      </c>
      <c r="D595" s="7" t="str">
        <f>IFERROR(VLOOKUP(B595,'Master data'!$A$1:$F$1000,6,FALSE),"")</f>
        <v/>
      </c>
      <c r="F595" s="7" t="str">
        <f>IFERROR(VLOOKUP(B595,'Master data'!$A$1:$F$1000,3,FALSE),"")</f>
        <v/>
      </c>
      <c r="G595" s="29"/>
      <c r="H595" s="29"/>
      <c r="I595" s="16"/>
      <c r="J595" s="16"/>
      <c r="K595" s="16" t="b">
        <v>0</v>
      </c>
      <c r="L595" s="16" t="b">
        <v>0</v>
      </c>
    </row>
    <row r="596">
      <c r="A596" s="108"/>
      <c r="B596" s="16"/>
      <c r="C596" s="7" t="str">
        <f>IFERROR(VLOOKUP(B596,'Master data'!$A$1:$F$1000,2,FALSE),"")</f>
        <v/>
      </c>
      <c r="D596" s="7" t="str">
        <f>IFERROR(VLOOKUP(B596,'Master data'!$A$1:$F$1000,6,FALSE),"")</f>
        <v/>
      </c>
      <c r="F596" s="7" t="str">
        <f>IFERROR(VLOOKUP(B596,'Master data'!$A$1:$F$1000,3,FALSE),"")</f>
        <v/>
      </c>
      <c r="G596" s="29"/>
      <c r="H596" s="29"/>
      <c r="I596" s="16"/>
      <c r="J596" s="16"/>
      <c r="K596" s="16" t="b">
        <v>0</v>
      </c>
      <c r="L596" s="16" t="b">
        <v>0</v>
      </c>
    </row>
    <row r="597">
      <c r="A597" s="108"/>
      <c r="B597" s="16"/>
      <c r="C597" s="7" t="str">
        <f>IFERROR(VLOOKUP(B597,'Master data'!$A$1:$F$1000,2,FALSE),"")</f>
        <v/>
      </c>
      <c r="D597" s="7" t="str">
        <f>IFERROR(VLOOKUP(B597,'Master data'!$A$1:$F$1000,6,FALSE),"")</f>
        <v/>
      </c>
      <c r="F597" s="7" t="str">
        <f>IFERROR(VLOOKUP(B597,'Master data'!$A$1:$F$1000,3,FALSE),"")</f>
        <v/>
      </c>
      <c r="G597" s="29"/>
      <c r="H597" s="29"/>
      <c r="I597" s="16"/>
      <c r="J597" s="16"/>
      <c r="K597" s="16" t="b">
        <v>0</v>
      </c>
      <c r="L597" s="16" t="b">
        <v>0</v>
      </c>
    </row>
    <row r="598">
      <c r="A598" s="108"/>
      <c r="B598" s="16"/>
      <c r="C598" s="7" t="str">
        <f>IFERROR(VLOOKUP(B598,'Master data'!$A$1:$F$1000,2,FALSE),"")</f>
        <v/>
      </c>
      <c r="D598" s="7" t="str">
        <f>IFERROR(VLOOKUP(B598,'Master data'!$A$1:$F$1000,6,FALSE),"")</f>
        <v/>
      </c>
      <c r="F598" s="7" t="str">
        <f>IFERROR(VLOOKUP(B598,'Master data'!$A$1:$F$1000,3,FALSE),"")</f>
        <v/>
      </c>
      <c r="G598" s="29"/>
      <c r="H598" s="29"/>
      <c r="I598" s="16"/>
      <c r="J598" s="16"/>
      <c r="K598" s="16" t="b">
        <v>0</v>
      </c>
      <c r="L598" s="16" t="b">
        <v>0</v>
      </c>
    </row>
    <row r="599">
      <c r="A599" s="108"/>
      <c r="B599" s="16"/>
      <c r="C599" s="7" t="str">
        <f>IFERROR(VLOOKUP(B599,'Master data'!$A$1:$F$1000,2,FALSE),"")</f>
        <v/>
      </c>
      <c r="D599" s="7" t="str">
        <f>IFERROR(VLOOKUP(B599,'Master data'!$A$1:$F$1000,6,FALSE),"")</f>
        <v/>
      </c>
      <c r="F599" s="7" t="str">
        <f>IFERROR(VLOOKUP(B599,'Master data'!$A$1:$F$1000,3,FALSE),"")</f>
        <v/>
      </c>
      <c r="G599" s="29"/>
      <c r="H599" s="29"/>
      <c r="I599" s="16"/>
      <c r="J599" s="16"/>
      <c r="K599" s="16" t="b">
        <v>0</v>
      </c>
      <c r="L599" s="16" t="b">
        <v>0</v>
      </c>
    </row>
    <row r="600">
      <c r="A600" s="108"/>
      <c r="B600" s="16"/>
      <c r="C600" s="7" t="str">
        <f>IFERROR(VLOOKUP(B600,'Master data'!$A$1:$F$1000,2,FALSE),"")</f>
        <v/>
      </c>
      <c r="D600" s="7" t="str">
        <f>IFERROR(VLOOKUP(B600,'Master data'!$A$1:$F$1000,6,FALSE),"")</f>
        <v/>
      </c>
      <c r="F600" s="7" t="str">
        <f>IFERROR(VLOOKUP(B600,'Master data'!$A$1:$F$1000,3,FALSE),"")</f>
        <v/>
      </c>
      <c r="G600" s="29"/>
      <c r="H600" s="29"/>
      <c r="I600" s="16"/>
      <c r="J600" s="16"/>
      <c r="K600" s="16" t="b">
        <v>0</v>
      </c>
      <c r="L600" s="16" t="b">
        <v>0</v>
      </c>
    </row>
    <row r="601">
      <c r="A601" s="108"/>
      <c r="B601" s="16"/>
      <c r="C601" s="7" t="str">
        <f>IFERROR(VLOOKUP(B601,'Master data'!$A$1:$F$1000,2,FALSE),"")</f>
        <v/>
      </c>
      <c r="D601" s="7" t="str">
        <f>IFERROR(VLOOKUP(B601,'Master data'!$A$1:$F$1000,6,FALSE),"")</f>
        <v/>
      </c>
      <c r="F601" s="7" t="str">
        <f>IFERROR(VLOOKUP(B601,'Master data'!$A$1:$F$1000,3,FALSE),"")</f>
        <v/>
      </c>
      <c r="G601" s="29"/>
      <c r="H601" s="29"/>
      <c r="I601" s="16"/>
      <c r="J601" s="16"/>
      <c r="K601" s="16" t="b">
        <v>0</v>
      </c>
      <c r="L601" s="16" t="b">
        <v>0</v>
      </c>
    </row>
    <row r="602">
      <c r="A602" s="108"/>
      <c r="B602" s="16"/>
      <c r="C602" s="7" t="str">
        <f>IFERROR(VLOOKUP(B602,'Master data'!$A$1:$F$1000,2,FALSE),"")</f>
        <v/>
      </c>
      <c r="D602" s="7" t="str">
        <f>IFERROR(VLOOKUP(B602,'Master data'!$A$1:$F$1000,6,FALSE),"")</f>
        <v/>
      </c>
      <c r="F602" s="7" t="str">
        <f>IFERROR(VLOOKUP(B602,'Master data'!$A$1:$F$1000,3,FALSE),"")</f>
        <v/>
      </c>
      <c r="G602" s="29"/>
      <c r="H602" s="29"/>
      <c r="I602" s="16"/>
      <c r="J602" s="16"/>
      <c r="K602" s="16" t="b">
        <v>0</v>
      </c>
      <c r="L602" s="16" t="b">
        <v>0</v>
      </c>
    </row>
    <row r="603">
      <c r="A603" s="108"/>
      <c r="B603" s="16"/>
      <c r="C603" s="7" t="str">
        <f>IFERROR(VLOOKUP(B603,'Master data'!$A$1:$F$1000,2,FALSE),"")</f>
        <v/>
      </c>
      <c r="D603" s="7" t="str">
        <f>IFERROR(VLOOKUP(B603,'Master data'!$A$1:$F$1000,6,FALSE),"")</f>
        <v/>
      </c>
      <c r="F603" s="7" t="str">
        <f>IFERROR(VLOOKUP(B603,'Master data'!$A$1:$F$1000,3,FALSE),"")</f>
        <v/>
      </c>
      <c r="G603" s="29"/>
      <c r="H603" s="29"/>
      <c r="I603" s="16"/>
      <c r="J603" s="16"/>
      <c r="K603" s="16" t="b">
        <v>0</v>
      </c>
      <c r="L603" s="16" t="b">
        <v>0</v>
      </c>
    </row>
    <row r="604">
      <c r="A604" s="108"/>
      <c r="B604" s="16"/>
      <c r="C604" s="7" t="str">
        <f>IFERROR(VLOOKUP(B604,'Master data'!$A$1:$F$1000,2,FALSE),"")</f>
        <v/>
      </c>
      <c r="D604" s="7" t="str">
        <f>IFERROR(VLOOKUP(B604,'Master data'!$A$1:$F$1000,6,FALSE),"")</f>
        <v/>
      </c>
      <c r="F604" s="7" t="str">
        <f>IFERROR(VLOOKUP(B604,'Master data'!$A$1:$F$1000,3,FALSE),"")</f>
        <v/>
      </c>
      <c r="G604" s="29"/>
      <c r="H604" s="29"/>
      <c r="I604" s="16"/>
      <c r="J604" s="16"/>
      <c r="K604" s="16" t="b">
        <v>0</v>
      </c>
      <c r="L604" s="16" t="b">
        <v>0</v>
      </c>
    </row>
    <row r="605">
      <c r="A605" s="108"/>
      <c r="B605" s="16"/>
      <c r="C605" s="7" t="str">
        <f>IFERROR(VLOOKUP(B605,'Master data'!$A$1:$F$1000,2,FALSE),"")</f>
        <v/>
      </c>
      <c r="D605" s="7" t="str">
        <f>IFERROR(VLOOKUP(B605,'Master data'!$A$1:$F$1000,6,FALSE),"")</f>
        <v/>
      </c>
      <c r="F605" s="7" t="str">
        <f>IFERROR(VLOOKUP(B605,'Master data'!$A$1:$F$1000,3,FALSE),"")</f>
        <v/>
      </c>
      <c r="G605" s="29"/>
      <c r="H605" s="29"/>
      <c r="I605" s="16"/>
      <c r="J605" s="16"/>
      <c r="K605" s="16" t="b">
        <v>0</v>
      </c>
      <c r="L605" s="16" t="b">
        <v>0</v>
      </c>
    </row>
    <row r="606">
      <c r="A606" s="108"/>
      <c r="B606" s="16"/>
      <c r="C606" s="7" t="str">
        <f>IFERROR(VLOOKUP(B606,'Master data'!$A$1:$F$1000,2,FALSE),"")</f>
        <v/>
      </c>
      <c r="D606" s="7" t="str">
        <f>IFERROR(VLOOKUP(B606,'Master data'!$A$1:$F$1000,6,FALSE),"")</f>
        <v/>
      </c>
      <c r="F606" s="7" t="str">
        <f>IFERROR(VLOOKUP(B606,'Master data'!$A$1:$F$1000,3,FALSE),"")</f>
        <v/>
      </c>
      <c r="G606" s="29"/>
      <c r="H606" s="29"/>
      <c r="I606" s="16"/>
      <c r="J606" s="16"/>
      <c r="K606" s="16" t="b">
        <v>0</v>
      </c>
      <c r="L606" s="16" t="b">
        <v>0</v>
      </c>
    </row>
    <row r="607">
      <c r="A607" s="108"/>
      <c r="B607" s="16"/>
      <c r="C607" s="7" t="str">
        <f>IFERROR(VLOOKUP(B607,'Master data'!$A$1:$F$1000,2,FALSE),"")</f>
        <v/>
      </c>
      <c r="D607" s="7" t="str">
        <f>IFERROR(VLOOKUP(B607,'Master data'!$A$1:$F$1000,6,FALSE),"")</f>
        <v/>
      </c>
      <c r="F607" s="7" t="str">
        <f>IFERROR(VLOOKUP(B607,'Master data'!$A$1:$F$1000,3,FALSE),"")</f>
        <v/>
      </c>
      <c r="G607" s="29"/>
      <c r="H607" s="29"/>
      <c r="I607" s="16"/>
      <c r="J607" s="16"/>
      <c r="K607" s="16" t="b">
        <v>0</v>
      </c>
      <c r="L607" s="16" t="b">
        <v>0</v>
      </c>
    </row>
    <row r="608">
      <c r="A608" s="108"/>
      <c r="B608" s="16"/>
      <c r="C608" s="7" t="str">
        <f>IFERROR(VLOOKUP(B608,'Master data'!$A$1:$F$1000,2,FALSE),"")</f>
        <v/>
      </c>
      <c r="D608" s="7" t="str">
        <f>IFERROR(VLOOKUP(B608,'Master data'!$A$1:$F$1000,6,FALSE),"")</f>
        <v/>
      </c>
      <c r="F608" s="7" t="str">
        <f>IFERROR(VLOOKUP(B608,'Master data'!$A$1:$F$1000,3,FALSE),"")</f>
        <v/>
      </c>
      <c r="G608" s="29"/>
      <c r="H608" s="29"/>
      <c r="I608" s="16"/>
      <c r="J608" s="16"/>
      <c r="K608" s="16" t="b">
        <v>0</v>
      </c>
      <c r="L608" s="16" t="b">
        <v>0</v>
      </c>
    </row>
    <row r="609">
      <c r="A609" s="108"/>
      <c r="B609" s="16"/>
      <c r="C609" s="7" t="str">
        <f>IFERROR(VLOOKUP(B609,'Master data'!$A$1:$F$1000,2,FALSE),"")</f>
        <v/>
      </c>
      <c r="D609" s="7" t="str">
        <f>IFERROR(VLOOKUP(B609,'Master data'!$A$1:$F$1000,6,FALSE),"")</f>
        <v/>
      </c>
      <c r="F609" s="7" t="str">
        <f>IFERROR(VLOOKUP(B609,'Master data'!$A$1:$F$1000,3,FALSE),"")</f>
        <v/>
      </c>
      <c r="G609" s="29"/>
      <c r="H609" s="29"/>
      <c r="I609" s="16"/>
      <c r="J609" s="16"/>
      <c r="K609" s="16" t="b">
        <v>0</v>
      </c>
      <c r="L609" s="16" t="b">
        <v>0</v>
      </c>
    </row>
    <row r="610">
      <c r="A610" s="108"/>
      <c r="B610" s="16"/>
      <c r="C610" s="7" t="str">
        <f>IFERROR(VLOOKUP(B610,'Master data'!$A$1:$F$1000,2,FALSE),"")</f>
        <v/>
      </c>
      <c r="D610" s="7" t="str">
        <f>IFERROR(VLOOKUP(B610,'Master data'!$A$1:$F$1000,6,FALSE),"")</f>
        <v/>
      </c>
      <c r="F610" s="7" t="str">
        <f>IFERROR(VLOOKUP(B610,'Master data'!$A$1:$F$1000,3,FALSE),"")</f>
        <v/>
      </c>
      <c r="G610" s="29"/>
      <c r="H610" s="29"/>
      <c r="I610" s="16"/>
      <c r="J610" s="16"/>
      <c r="K610" s="16" t="b">
        <v>0</v>
      </c>
      <c r="L610" s="16" t="b">
        <v>0</v>
      </c>
    </row>
    <row r="611">
      <c r="A611" s="108"/>
      <c r="B611" s="16"/>
      <c r="C611" s="7" t="str">
        <f>IFERROR(VLOOKUP(B611,'Master data'!$A$1:$F$1000,2,FALSE),"")</f>
        <v/>
      </c>
      <c r="D611" s="7" t="str">
        <f>IFERROR(VLOOKUP(B611,'Master data'!$A$1:$F$1000,6,FALSE),"")</f>
        <v/>
      </c>
      <c r="F611" s="7" t="str">
        <f>IFERROR(VLOOKUP(B611,'Master data'!$A$1:$F$1000,3,FALSE),"")</f>
        <v/>
      </c>
      <c r="G611" s="29"/>
      <c r="H611" s="29"/>
      <c r="I611" s="16"/>
      <c r="J611" s="16"/>
      <c r="K611" s="16" t="b">
        <v>0</v>
      </c>
      <c r="L611" s="16" t="b">
        <v>0</v>
      </c>
    </row>
    <row r="612">
      <c r="A612" s="108"/>
      <c r="B612" s="16"/>
      <c r="C612" s="7" t="str">
        <f>IFERROR(VLOOKUP(B612,'Master data'!$A$1:$F$1000,2,FALSE),"")</f>
        <v/>
      </c>
      <c r="D612" s="7" t="str">
        <f>IFERROR(VLOOKUP(B612,'Master data'!$A$1:$F$1000,6,FALSE),"")</f>
        <v/>
      </c>
      <c r="F612" s="7" t="str">
        <f>IFERROR(VLOOKUP(B612,'Master data'!$A$1:$F$1000,3,FALSE),"")</f>
        <v/>
      </c>
      <c r="G612" s="29"/>
      <c r="H612" s="29"/>
      <c r="I612" s="16"/>
      <c r="J612" s="16"/>
      <c r="K612" s="16" t="b">
        <v>0</v>
      </c>
      <c r="L612" s="16" t="b">
        <v>0</v>
      </c>
    </row>
    <row r="613">
      <c r="A613" s="108"/>
      <c r="B613" s="16"/>
      <c r="C613" s="7" t="str">
        <f>IFERROR(VLOOKUP(B613,'Master data'!$A$1:$F$1000,2,FALSE),"")</f>
        <v/>
      </c>
      <c r="D613" s="7" t="str">
        <f>IFERROR(VLOOKUP(B613,'Master data'!$A$1:$F$1000,6,FALSE),"")</f>
        <v/>
      </c>
      <c r="F613" s="7" t="str">
        <f>IFERROR(VLOOKUP(B613,'Master data'!$A$1:$F$1000,3,FALSE),"")</f>
        <v/>
      </c>
      <c r="G613" s="29"/>
      <c r="H613" s="29"/>
      <c r="I613" s="16"/>
      <c r="J613" s="16"/>
      <c r="K613" s="16" t="b">
        <v>0</v>
      </c>
      <c r="L613" s="16" t="b">
        <v>0</v>
      </c>
    </row>
    <row r="614">
      <c r="A614" s="108"/>
      <c r="B614" s="16"/>
      <c r="C614" s="7" t="str">
        <f>IFERROR(VLOOKUP(B614,'Master data'!$A$1:$F$1000,2,FALSE),"")</f>
        <v/>
      </c>
      <c r="D614" s="7" t="str">
        <f>IFERROR(VLOOKUP(B614,'Master data'!$A$1:$F$1000,6,FALSE),"")</f>
        <v/>
      </c>
      <c r="F614" s="7" t="str">
        <f>IFERROR(VLOOKUP(B614,'Master data'!$A$1:$F$1000,3,FALSE),"")</f>
        <v/>
      </c>
      <c r="G614" s="29"/>
      <c r="H614" s="29"/>
      <c r="I614" s="16"/>
      <c r="J614" s="16"/>
      <c r="K614" s="16" t="b">
        <v>0</v>
      </c>
      <c r="L614" s="16" t="b">
        <v>0</v>
      </c>
    </row>
    <row r="615">
      <c r="A615" s="108"/>
      <c r="B615" s="16"/>
      <c r="C615" s="7" t="str">
        <f>IFERROR(VLOOKUP(B615,'Master data'!$A$1:$F$1000,2,FALSE),"")</f>
        <v/>
      </c>
      <c r="D615" s="7" t="str">
        <f>IFERROR(VLOOKUP(B615,'Master data'!$A$1:$F$1000,6,FALSE),"")</f>
        <v/>
      </c>
      <c r="F615" s="7" t="str">
        <f>IFERROR(VLOOKUP(B615,'Master data'!$A$1:$F$1000,3,FALSE),"")</f>
        <v/>
      </c>
      <c r="G615" s="29"/>
      <c r="H615" s="29"/>
      <c r="I615" s="16"/>
      <c r="J615" s="16"/>
      <c r="K615" s="16" t="b">
        <v>0</v>
      </c>
      <c r="L615" s="16" t="b">
        <v>0</v>
      </c>
    </row>
    <row r="616">
      <c r="A616" s="108"/>
      <c r="B616" s="16"/>
      <c r="C616" s="7" t="str">
        <f>IFERROR(VLOOKUP(B616,'Master data'!$A$1:$F$1000,2,FALSE),"")</f>
        <v/>
      </c>
      <c r="D616" s="7" t="str">
        <f>IFERROR(VLOOKUP(B616,'Master data'!$A$1:$F$1000,6,FALSE),"")</f>
        <v/>
      </c>
      <c r="F616" s="7" t="str">
        <f>IFERROR(VLOOKUP(B616,'Master data'!$A$1:$F$1000,3,FALSE),"")</f>
        <v/>
      </c>
      <c r="G616" s="29"/>
      <c r="H616" s="29"/>
      <c r="I616" s="16"/>
      <c r="J616" s="16"/>
      <c r="K616" s="16" t="b">
        <v>0</v>
      </c>
      <c r="L616" s="16" t="b">
        <v>0</v>
      </c>
    </row>
    <row r="617">
      <c r="A617" s="108"/>
      <c r="B617" s="16"/>
      <c r="C617" s="7" t="str">
        <f>IFERROR(VLOOKUP(B617,'Master data'!$A$1:$F$1000,2,FALSE),"")</f>
        <v/>
      </c>
      <c r="D617" s="7" t="str">
        <f>IFERROR(VLOOKUP(B617,'Master data'!$A$1:$F$1000,6,FALSE),"")</f>
        <v/>
      </c>
      <c r="F617" s="7" t="str">
        <f>IFERROR(VLOOKUP(B617,'Master data'!$A$1:$F$1000,3,FALSE),"")</f>
        <v/>
      </c>
      <c r="G617" s="29"/>
      <c r="H617" s="29"/>
      <c r="I617" s="16"/>
      <c r="J617" s="16"/>
      <c r="K617" s="16" t="b">
        <v>0</v>
      </c>
      <c r="L617" s="16" t="b">
        <v>0</v>
      </c>
    </row>
    <row r="618">
      <c r="A618" s="108"/>
      <c r="B618" s="16"/>
      <c r="C618" s="7" t="str">
        <f>IFERROR(VLOOKUP(B618,'Master data'!$A$1:$F$1000,2,FALSE),"")</f>
        <v/>
      </c>
      <c r="D618" s="7" t="str">
        <f>IFERROR(VLOOKUP(B618,'Master data'!$A$1:$F$1000,6,FALSE),"")</f>
        <v/>
      </c>
      <c r="F618" s="7" t="str">
        <f>IFERROR(VLOOKUP(B618,'Master data'!$A$1:$F$1000,3,FALSE),"")</f>
        <v/>
      </c>
      <c r="G618" s="29"/>
      <c r="H618" s="29"/>
      <c r="I618" s="16"/>
      <c r="J618" s="16"/>
      <c r="K618" s="16" t="b">
        <v>0</v>
      </c>
      <c r="L618" s="16" t="b">
        <v>0</v>
      </c>
    </row>
    <row r="619">
      <c r="A619" s="108"/>
      <c r="B619" s="16"/>
      <c r="C619" s="7" t="str">
        <f>IFERROR(VLOOKUP(B619,'Master data'!$A$1:$F$1000,2,FALSE),"")</f>
        <v/>
      </c>
      <c r="D619" s="7" t="str">
        <f>IFERROR(VLOOKUP(B619,'Master data'!$A$1:$F$1000,6,FALSE),"")</f>
        <v/>
      </c>
      <c r="F619" s="7" t="str">
        <f>IFERROR(VLOOKUP(B619,'Master data'!$A$1:$F$1000,3,FALSE),"")</f>
        <v/>
      </c>
      <c r="G619" s="29"/>
      <c r="H619" s="29"/>
      <c r="I619" s="16"/>
      <c r="J619" s="16"/>
      <c r="K619" s="16" t="b">
        <v>0</v>
      </c>
      <c r="L619" s="16" t="b">
        <v>0</v>
      </c>
    </row>
    <row r="620">
      <c r="A620" s="108"/>
      <c r="B620" s="16"/>
      <c r="C620" s="7" t="str">
        <f>IFERROR(VLOOKUP(B620,'Master data'!$A$1:$F$1000,2,FALSE),"")</f>
        <v/>
      </c>
      <c r="D620" s="7" t="str">
        <f>IFERROR(VLOOKUP(B620,'Master data'!$A$1:$F$1000,6,FALSE),"")</f>
        <v/>
      </c>
      <c r="F620" s="7" t="str">
        <f>IFERROR(VLOOKUP(B620,'Master data'!$A$1:$F$1000,3,FALSE),"")</f>
        <v/>
      </c>
      <c r="G620" s="29"/>
      <c r="H620" s="29"/>
      <c r="I620" s="16"/>
      <c r="J620" s="16"/>
      <c r="K620" s="16" t="b">
        <v>0</v>
      </c>
      <c r="L620" s="16" t="b">
        <v>0</v>
      </c>
    </row>
    <row r="621">
      <c r="A621" s="108"/>
      <c r="B621" s="16"/>
      <c r="C621" s="7" t="str">
        <f>IFERROR(VLOOKUP(B621,'Master data'!$A$1:$F$1000,2,FALSE),"")</f>
        <v/>
      </c>
      <c r="D621" s="7" t="str">
        <f>IFERROR(VLOOKUP(B621,'Master data'!$A$1:$F$1000,6,FALSE),"")</f>
        <v/>
      </c>
      <c r="F621" s="7" t="str">
        <f>IFERROR(VLOOKUP(B621,'Master data'!$A$1:$F$1000,3,FALSE),"")</f>
        <v/>
      </c>
      <c r="G621" s="29"/>
      <c r="H621" s="29"/>
      <c r="I621" s="16"/>
      <c r="J621" s="16"/>
      <c r="K621" s="16" t="b">
        <v>0</v>
      </c>
      <c r="L621" s="16" t="b">
        <v>0</v>
      </c>
    </row>
    <row r="622">
      <c r="A622" s="108"/>
      <c r="B622" s="16"/>
      <c r="C622" s="7" t="str">
        <f>IFERROR(VLOOKUP(B622,'Master data'!$A$1:$F$1000,2,FALSE),"")</f>
        <v/>
      </c>
      <c r="D622" s="7" t="str">
        <f>IFERROR(VLOOKUP(B622,'Master data'!$A$1:$F$1000,6,FALSE),"")</f>
        <v/>
      </c>
      <c r="F622" s="7" t="str">
        <f>IFERROR(VLOOKUP(B622,'Master data'!$A$1:$F$1000,3,FALSE),"")</f>
        <v/>
      </c>
      <c r="G622" s="29"/>
      <c r="H622" s="29"/>
      <c r="I622" s="16"/>
      <c r="J622" s="16"/>
      <c r="K622" s="16" t="b">
        <v>0</v>
      </c>
      <c r="L622" s="16" t="b">
        <v>0</v>
      </c>
    </row>
    <row r="623">
      <c r="A623" s="108"/>
      <c r="B623" s="16"/>
      <c r="C623" s="7" t="str">
        <f>IFERROR(VLOOKUP(B623,'Master data'!$A$1:$F$1000,2,FALSE),"")</f>
        <v/>
      </c>
      <c r="D623" s="7" t="str">
        <f>IFERROR(VLOOKUP(B623,'Master data'!$A$1:$F$1000,6,FALSE),"")</f>
        <v/>
      </c>
      <c r="F623" s="7" t="str">
        <f>IFERROR(VLOOKUP(B623,'Master data'!$A$1:$F$1000,3,FALSE),"")</f>
        <v/>
      </c>
      <c r="G623" s="29"/>
      <c r="H623" s="29"/>
      <c r="I623" s="16"/>
      <c r="J623" s="16"/>
      <c r="K623" s="16" t="b">
        <v>0</v>
      </c>
      <c r="L623" s="16" t="b">
        <v>0</v>
      </c>
    </row>
    <row r="624">
      <c r="A624" s="108"/>
      <c r="B624" s="16"/>
      <c r="C624" s="7" t="str">
        <f>IFERROR(VLOOKUP(B624,'Master data'!$A$1:$F$1000,2,FALSE),"")</f>
        <v/>
      </c>
      <c r="D624" s="7" t="str">
        <f>IFERROR(VLOOKUP(B624,'Master data'!$A$1:$F$1000,6,FALSE),"")</f>
        <v/>
      </c>
      <c r="F624" s="7" t="str">
        <f>IFERROR(VLOOKUP(B624,'Master data'!$A$1:$F$1000,3,FALSE),"")</f>
        <v/>
      </c>
      <c r="G624" s="29"/>
      <c r="H624" s="29"/>
      <c r="I624" s="16"/>
      <c r="J624" s="16"/>
      <c r="K624" s="16" t="b">
        <v>0</v>
      </c>
      <c r="L624" s="16" t="b">
        <v>0</v>
      </c>
    </row>
    <row r="625">
      <c r="A625" s="108"/>
      <c r="B625" s="16"/>
      <c r="C625" s="7" t="str">
        <f>IFERROR(VLOOKUP(B625,'Master data'!$A$1:$F$1000,2,FALSE),"")</f>
        <v/>
      </c>
      <c r="D625" s="7" t="str">
        <f>IFERROR(VLOOKUP(B625,'Master data'!$A$1:$F$1000,6,FALSE),"")</f>
        <v/>
      </c>
      <c r="F625" s="7" t="str">
        <f>IFERROR(VLOOKUP(B625,'Master data'!$A$1:$F$1000,3,FALSE),"")</f>
        <v/>
      </c>
      <c r="G625" s="29"/>
      <c r="H625" s="29"/>
      <c r="I625" s="16"/>
      <c r="J625" s="16"/>
      <c r="K625" s="16" t="b">
        <v>0</v>
      </c>
      <c r="L625" s="16" t="b">
        <v>0</v>
      </c>
    </row>
    <row r="626">
      <c r="A626" s="108"/>
      <c r="B626" s="16"/>
      <c r="C626" s="7" t="str">
        <f>IFERROR(VLOOKUP(B626,'Master data'!$A$1:$F$1000,2,FALSE),"")</f>
        <v/>
      </c>
      <c r="D626" s="7" t="str">
        <f>IFERROR(VLOOKUP(B626,'Master data'!$A$1:$F$1000,6,FALSE),"")</f>
        <v/>
      </c>
      <c r="F626" s="7" t="str">
        <f>IFERROR(VLOOKUP(B626,'Master data'!$A$1:$F$1000,3,FALSE),"")</f>
        <v/>
      </c>
      <c r="G626" s="29"/>
      <c r="H626" s="29"/>
      <c r="I626" s="16"/>
      <c r="J626" s="16"/>
      <c r="K626" s="16" t="b">
        <v>0</v>
      </c>
      <c r="L626" s="16" t="b">
        <v>0</v>
      </c>
    </row>
    <row r="627">
      <c r="A627" s="108"/>
      <c r="B627" s="16"/>
      <c r="C627" s="7" t="str">
        <f>IFERROR(VLOOKUP(B627,'Master data'!$A$1:$F$1000,2,FALSE),"")</f>
        <v/>
      </c>
      <c r="D627" s="7" t="str">
        <f>IFERROR(VLOOKUP(B627,'Master data'!$A$1:$F$1000,6,FALSE),"")</f>
        <v/>
      </c>
      <c r="F627" s="7" t="str">
        <f>IFERROR(VLOOKUP(B627,'Master data'!$A$1:$F$1000,3,FALSE),"")</f>
        <v/>
      </c>
      <c r="G627" s="29"/>
      <c r="H627" s="29"/>
      <c r="I627" s="16"/>
      <c r="J627" s="16"/>
      <c r="K627" s="16" t="b">
        <v>0</v>
      </c>
      <c r="L627" s="16" t="b">
        <v>0</v>
      </c>
    </row>
    <row r="628">
      <c r="A628" s="108"/>
      <c r="B628" s="16"/>
      <c r="C628" s="7" t="str">
        <f>IFERROR(VLOOKUP(B628,'Master data'!$A$1:$F$1000,2,FALSE),"")</f>
        <v/>
      </c>
      <c r="D628" s="7" t="str">
        <f>IFERROR(VLOOKUP(B628,'Master data'!$A$1:$F$1000,6,FALSE),"")</f>
        <v/>
      </c>
      <c r="F628" s="7" t="str">
        <f>IFERROR(VLOOKUP(B628,'Master data'!$A$1:$F$1000,3,FALSE),"")</f>
        <v/>
      </c>
      <c r="G628" s="29"/>
      <c r="H628" s="29"/>
      <c r="I628" s="16"/>
      <c r="J628" s="16"/>
      <c r="K628" s="16" t="b">
        <v>0</v>
      </c>
      <c r="L628" s="16" t="b">
        <v>0</v>
      </c>
    </row>
    <row r="629">
      <c r="A629" s="108"/>
      <c r="B629" s="16"/>
      <c r="C629" s="7" t="str">
        <f>IFERROR(VLOOKUP(B629,'Master data'!$A$1:$F$1000,2,FALSE),"")</f>
        <v/>
      </c>
      <c r="D629" s="7" t="str">
        <f>IFERROR(VLOOKUP(B629,'Master data'!$A$1:$F$1000,6,FALSE),"")</f>
        <v/>
      </c>
      <c r="F629" s="7" t="str">
        <f>IFERROR(VLOOKUP(B629,'Master data'!$A$1:$F$1000,3,FALSE),"")</f>
        <v/>
      </c>
      <c r="G629" s="29"/>
      <c r="H629" s="29"/>
      <c r="I629" s="16"/>
      <c r="J629" s="16"/>
      <c r="K629" s="16" t="b">
        <v>0</v>
      </c>
      <c r="L629" s="16" t="b">
        <v>0</v>
      </c>
    </row>
    <row r="630">
      <c r="A630" s="108"/>
      <c r="B630" s="16"/>
      <c r="C630" s="7" t="str">
        <f>IFERROR(VLOOKUP(B630,'Master data'!$A$1:$F$1000,2,FALSE),"")</f>
        <v/>
      </c>
      <c r="D630" s="7" t="str">
        <f>IFERROR(VLOOKUP(B630,'Master data'!$A$1:$F$1000,6,FALSE),"")</f>
        <v/>
      </c>
      <c r="F630" s="7" t="str">
        <f>IFERROR(VLOOKUP(B630,'Master data'!$A$1:$F$1000,3,FALSE),"")</f>
        <v/>
      </c>
      <c r="G630" s="29"/>
      <c r="H630" s="29"/>
      <c r="I630" s="16"/>
      <c r="J630" s="16"/>
      <c r="K630" s="16" t="b">
        <v>0</v>
      </c>
      <c r="L630" s="16" t="b">
        <v>0</v>
      </c>
    </row>
    <row r="631">
      <c r="A631" s="108"/>
      <c r="B631" s="16"/>
      <c r="C631" s="7" t="str">
        <f>IFERROR(VLOOKUP(B631,'Master data'!$A$1:$F$1000,2,FALSE),"")</f>
        <v/>
      </c>
      <c r="D631" s="7" t="str">
        <f>IFERROR(VLOOKUP(B631,'Master data'!$A$1:$F$1000,6,FALSE),"")</f>
        <v/>
      </c>
      <c r="F631" s="7" t="str">
        <f>IFERROR(VLOOKUP(B631,'Master data'!$A$1:$F$1000,3,FALSE),"")</f>
        <v/>
      </c>
      <c r="G631" s="29"/>
      <c r="H631" s="29"/>
      <c r="I631" s="16"/>
      <c r="J631" s="16"/>
      <c r="K631" s="16" t="b">
        <v>0</v>
      </c>
      <c r="L631" s="16" t="b">
        <v>0</v>
      </c>
    </row>
    <row r="632">
      <c r="A632" s="108"/>
      <c r="B632" s="16"/>
      <c r="C632" s="7" t="str">
        <f>IFERROR(VLOOKUP(B632,'Master data'!$A$1:$F$1000,2,FALSE),"")</f>
        <v/>
      </c>
      <c r="D632" s="7" t="str">
        <f>IFERROR(VLOOKUP(B632,'Master data'!$A$1:$F$1000,6,FALSE),"")</f>
        <v/>
      </c>
      <c r="F632" s="7" t="str">
        <f>IFERROR(VLOOKUP(B632,'Master data'!$A$1:$F$1000,3,FALSE),"")</f>
        <v/>
      </c>
      <c r="G632" s="29"/>
      <c r="H632" s="29"/>
      <c r="I632" s="16"/>
      <c r="J632" s="16"/>
      <c r="K632" s="16" t="b">
        <v>0</v>
      </c>
      <c r="L632" s="16" t="b">
        <v>0</v>
      </c>
    </row>
    <row r="633">
      <c r="A633" s="108"/>
      <c r="B633" s="16"/>
      <c r="C633" s="7" t="str">
        <f>IFERROR(VLOOKUP(B633,'Master data'!$A$1:$F$1000,2,FALSE),"")</f>
        <v/>
      </c>
      <c r="D633" s="7" t="str">
        <f>IFERROR(VLOOKUP(B633,'Master data'!$A$1:$F$1000,6,FALSE),"")</f>
        <v/>
      </c>
      <c r="F633" s="7" t="str">
        <f>IFERROR(VLOOKUP(B633,'Master data'!$A$1:$F$1000,3,FALSE),"")</f>
        <v/>
      </c>
      <c r="G633" s="29"/>
      <c r="H633" s="29"/>
      <c r="I633" s="16"/>
      <c r="J633" s="16"/>
      <c r="K633" s="16" t="b">
        <v>0</v>
      </c>
      <c r="L633" s="16" t="b">
        <v>0</v>
      </c>
    </row>
    <row r="634">
      <c r="A634" s="108"/>
      <c r="B634" s="16"/>
      <c r="C634" s="7" t="str">
        <f>IFERROR(VLOOKUP(B634,'Master data'!$A$1:$F$1000,2,FALSE),"")</f>
        <v/>
      </c>
      <c r="D634" s="7" t="str">
        <f>IFERROR(VLOOKUP(B634,'Master data'!$A$1:$F$1000,6,FALSE),"")</f>
        <v/>
      </c>
      <c r="F634" s="7" t="str">
        <f>IFERROR(VLOOKUP(B634,'Master data'!$A$1:$F$1000,3,FALSE),"")</f>
        <v/>
      </c>
      <c r="G634" s="29"/>
      <c r="H634" s="29"/>
      <c r="I634" s="16"/>
      <c r="J634" s="16"/>
      <c r="K634" s="16" t="b">
        <v>0</v>
      </c>
      <c r="L634" s="16" t="b">
        <v>0</v>
      </c>
    </row>
    <row r="635">
      <c r="A635" s="108"/>
      <c r="B635" s="16"/>
      <c r="C635" s="7" t="str">
        <f>IFERROR(VLOOKUP(B635,'Master data'!$A$1:$F$1000,2,FALSE),"")</f>
        <v/>
      </c>
      <c r="D635" s="7" t="str">
        <f>IFERROR(VLOOKUP(B635,'Master data'!$A$1:$F$1000,6,FALSE),"")</f>
        <v/>
      </c>
      <c r="F635" s="7" t="str">
        <f>IFERROR(VLOOKUP(B635,'Master data'!$A$1:$F$1000,3,FALSE),"")</f>
        <v/>
      </c>
      <c r="G635" s="29"/>
      <c r="H635" s="29"/>
      <c r="I635" s="16"/>
      <c r="J635" s="16"/>
      <c r="K635" s="16" t="b">
        <v>0</v>
      </c>
      <c r="L635" s="16" t="b">
        <v>0</v>
      </c>
    </row>
    <row r="636">
      <c r="A636" s="108"/>
      <c r="B636" s="16"/>
      <c r="C636" s="7" t="str">
        <f>IFERROR(VLOOKUP(B636,'Master data'!$A$1:$F$1000,2,FALSE),"")</f>
        <v/>
      </c>
      <c r="D636" s="7" t="str">
        <f>IFERROR(VLOOKUP(B636,'Master data'!$A$1:$F$1000,6,FALSE),"")</f>
        <v/>
      </c>
      <c r="F636" s="7" t="str">
        <f>IFERROR(VLOOKUP(B636,'Master data'!$A$1:$F$1000,3,FALSE),"")</f>
        <v/>
      </c>
      <c r="G636" s="29"/>
      <c r="H636" s="29"/>
      <c r="I636" s="16"/>
      <c r="J636" s="16"/>
      <c r="K636" s="16" t="b">
        <v>0</v>
      </c>
      <c r="L636" s="16" t="b">
        <v>0</v>
      </c>
    </row>
    <row r="637">
      <c r="A637" s="108"/>
      <c r="B637" s="16"/>
      <c r="C637" s="7" t="str">
        <f>IFERROR(VLOOKUP(B637,'Master data'!$A$1:$F$1000,2,FALSE),"")</f>
        <v/>
      </c>
      <c r="D637" s="7" t="str">
        <f>IFERROR(VLOOKUP(B637,'Master data'!$A$1:$F$1000,6,FALSE),"")</f>
        <v/>
      </c>
      <c r="F637" s="7" t="str">
        <f>IFERROR(VLOOKUP(B637,'Master data'!$A$1:$F$1000,3,FALSE),"")</f>
        <v/>
      </c>
      <c r="G637" s="29"/>
      <c r="H637" s="29"/>
      <c r="I637" s="16"/>
      <c r="J637" s="16"/>
      <c r="K637" s="16" t="b">
        <v>0</v>
      </c>
      <c r="L637" s="16" t="b">
        <v>0</v>
      </c>
    </row>
    <row r="638">
      <c r="A638" s="108"/>
      <c r="B638" s="16"/>
      <c r="C638" s="7" t="str">
        <f>IFERROR(VLOOKUP(B638,'Master data'!$A$1:$F$1000,2,FALSE),"")</f>
        <v/>
      </c>
      <c r="D638" s="7" t="str">
        <f>IFERROR(VLOOKUP(B638,'Master data'!$A$1:$F$1000,6,FALSE),"")</f>
        <v/>
      </c>
      <c r="F638" s="7" t="str">
        <f>IFERROR(VLOOKUP(B638,'Master data'!$A$1:$F$1000,3,FALSE),"")</f>
        <v/>
      </c>
      <c r="G638" s="29"/>
      <c r="H638" s="29"/>
      <c r="I638" s="16"/>
      <c r="J638" s="16"/>
      <c r="K638" s="16" t="b">
        <v>0</v>
      </c>
      <c r="L638" s="16" t="b">
        <v>0</v>
      </c>
    </row>
    <row r="639">
      <c r="A639" s="108"/>
      <c r="B639" s="16"/>
      <c r="C639" s="7" t="str">
        <f>IFERROR(VLOOKUP(B639,'Master data'!$A$1:$F$1000,2,FALSE),"")</f>
        <v/>
      </c>
      <c r="D639" s="7" t="str">
        <f>IFERROR(VLOOKUP(B639,'Master data'!$A$1:$F$1000,6,FALSE),"")</f>
        <v/>
      </c>
      <c r="F639" s="7" t="str">
        <f>IFERROR(VLOOKUP(B639,'Master data'!$A$1:$F$1000,3,FALSE),"")</f>
        <v/>
      </c>
      <c r="G639" s="29"/>
      <c r="H639" s="29"/>
      <c r="I639" s="16"/>
      <c r="J639" s="16"/>
      <c r="K639" s="16" t="b">
        <v>0</v>
      </c>
      <c r="L639" s="16" t="b">
        <v>0</v>
      </c>
    </row>
    <row r="640">
      <c r="A640" s="108"/>
      <c r="B640" s="16"/>
      <c r="C640" s="7" t="str">
        <f>IFERROR(VLOOKUP(B640,'Master data'!$A$1:$F$1000,2,FALSE),"")</f>
        <v/>
      </c>
      <c r="D640" s="7" t="str">
        <f>IFERROR(VLOOKUP(B640,'Master data'!$A$1:$F$1000,6,FALSE),"")</f>
        <v/>
      </c>
      <c r="F640" s="7" t="str">
        <f>IFERROR(VLOOKUP(B640,'Master data'!$A$1:$F$1000,3,FALSE),"")</f>
        <v/>
      </c>
      <c r="G640" s="29"/>
      <c r="H640" s="29"/>
      <c r="I640" s="16"/>
      <c r="J640" s="16"/>
      <c r="K640" s="16" t="b">
        <v>0</v>
      </c>
      <c r="L640" s="16" t="b">
        <v>0</v>
      </c>
    </row>
    <row r="641">
      <c r="A641" s="108"/>
      <c r="B641" s="16"/>
      <c r="C641" s="7" t="str">
        <f>IFERROR(VLOOKUP(B641,'Master data'!$A$1:$F$1000,2,FALSE),"")</f>
        <v/>
      </c>
      <c r="D641" s="7" t="str">
        <f>IFERROR(VLOOKUP(B641,'Master data'!$A$1:$F$1000,6,FALSE),"")</f>
        <v/>
      </c>
      <c r="F641" s="7" t="str">
        <f>IFERROR(VLOOKUP(B641,'Master data'!$A$1:$F$1000,3,FALSE),"")</f>
        <v/>
      </c>
      <c r="G641" s="29"/>
      <c r="H641" s="29"/>
      <c r="I641" s="16"/>
      <c r="J641" s="16"/>
      <c r="K641" s="16" t="b">
        <v>0</v>
      </c>
      <c r="L641" s="16" t="b">
        <v>0</v>
      </c>
    </row>
    <row r="642">
      <c r="A642" s="108"/>
      <c r="B642" s="16"/>
      <c r="C642" s="7" t="str">
        <f>IFERROR(VLOOKUP(B642,'Master data'!$A$1:$F$1000,2,FALSE),"")</f>
        <v/>
      </c>
      <c r="D642" s="7" t="str">
        <f>IFERROR(VLOOKUP(B642,'Master data'!$A$1:$F$1000,6,FALSE),"")</f>
        <v/>
      </c>
      <c r="F642" s="7" t="str">
        <f>IFERROR(VLOOKUP(B642,'Master data'!$A$1:$F$1000,3,FALSE),"")</f>
        <v/>
      </c>
      <c r="G642" s="29"/>
      <c r="H642" s="29"/>
      <c r="I642" s="16"/>
      <c r="J642" s="16"/>
      <c r="K642" s="16" t="b">
        <v>0</v>
      </c>
      <c r="L642" s="16" t="b">
        <v>0</v>
      </c>
    </row>
    <row r="643">
      <c r="A643" s="108"/>
      <c r="B643" s="16"/>
      <c r="C643" s="7" t="str">
        <f>IFERROR(VLOOKUP(B643,'Master data'!$A$1:$F$1000,2,FALSE),"")</f>
        <v/>
      </c>
      <c r="D643" s="7" t="str">
        <f>IFERROR(VLOOKUP(B643,'Master data'!$A$1:$F$1000,6,FALSE),"")</f>
        <v/>
      </c>
      <c r="F643" s="7" t="str">
        <f>IFERROR(VLOOKUP(B643,'Master data'!$A$1:$F$1000,3,FALSE),"")</f>
        <v/>
      </c>
      <c r="G643" s="29"/>
      <c r="H643" s="29"/>
      <c r="I643" s="16"/>
      <c r="J643" s="16"/>
      <c r="K643" s="16" t="b">
        <v>0</v>
      </c>
      <c r="L643" s="16" t="b">
        <v>0</v>
      </c>
    </row>
    <row r="644">
      <c r="A644" s="108"/>
      <c r="B644" s="16"/>
      <c r="C644" s="7" t="str">
        <f>IFERROR(VLOOKUP(B644,'Master data'!$A$1:$F$1000,2,FALSE),"")</f>
        <v/>
      </c>
      <c r="D644" s="7" t="str">
        <f>IFERROR(VLOOKUP(B644,'Master data'!$A$1:$F$1000,6,FALSE),"")</f>
        <v/>
      </c>
      <c r="F644" s="7" t="str">
        <f>IFERROR(VLOOKUP(B644,'Master data'!$A$1:$F$1000,3,FALSE),"")</f>
        <v/>
      </c>
      <c r="G644" s="29"/>
      <c r="H644" s="29"/>
      <c r="I644" s="16"/>
      <c r="J644" s="16"/>
      <c r="K644" s="16" t="b">
        <v>0</v>
      </c>
      <c r="L644" s="16" t="b">
        <v>0</v>
      </c>
    </row>
    <row r="645">
      <c r="A645" s="108"/>
      <c r="B645" s="16"/>
      <c r="C645" s="7" t="str">
        <f>IFERROR(VLOOKUP(B645,'Master data'!$A$1:$F$1000,2,FALSE),"")</f>
        <v/>
      </c>
      <c r="D645" s="7" t="str">
        <f>IFERROR(VLOOKUP(B645,'Master data'!$A$1:$F$1000,6,FALSE),"")</f>
        <v/>
      </c>
      <c r="F645" s="7" t="str">
        <f>IFERROR(VLOOKUP(B645,'Master data'!$A$1:$F$1000,3,FALSE),"")</f>
        <v/>
      </c>
      <c r="G645" s="29"/>
      <c r="H645" s="29"/>
      <c r="I645" s="16"/>
      <c r="J645" s="16"/>
      <c r="K645" s="16" t="b">
        <v>0</v>
      </c>
      <c r="L645" s="16" t="b">
        <v>0</v>
      </c>
    </row>
    <row r="646">
      <c r="A646" s="108"/>
      <c r="B646" s="16"/>
      <c r="C646" s="7" t="str">
        <f>IFERROR(VLOOKUP(B646,'Master data'!$A$1:$F$1000,2,FALSE),"")</f>
        <v/>
      </c>
      <c r="D646" s="7" t="str">
        <f>IFERROR(VLOOKUP(B646,'Master data'!$A$1:$F$1000,6,FALSE),"")</f>
        <v/>
      </c>
      <c r="F646" s="7" t="str">
        <f>IFERROR(VLOOKUP(B646,'Master data'!$A$1:$F$1000,3,FALSE),"")</f>
        <v/>
      </c>
      <c r="G646" s="29"/>
      <c r="H646" s="29"/>
      <c r="I646" s="16"/>
      <c r="J646" s="16"/>
      <c r="K646" s="16" t="b">
        <v>0</v>
      </c>
      <c r="L646" s="16" t="b">
        <v>0</v>
      </c>
    </row>
    <row r="647">
      <c r="A647" s="108"/>
      <c r="B647" s="16"/>
      <c r="C647" s="7" t="str">
        <f>IFERROR(VLOOKUP(B647,'Master data'!$A$1:$F$1000,2,FALSE),"")</f>
        <v/>
      </c>
      <c r="D647" s="7" t="str">
        <f>IFERROR(VLOOKUP(B647,'Master data'!$A$1:$F$1000,6,FALSE),"")</f>
        <v/>
      </c>
      <c r="F647" s="7" t="str">
        <f>IFERROR(VLOOKUP(B647,'Master data'!$A$1:$F$1000,3,FALSE),"")</f>
        <v/>
      </c>
      <c r="G647" s="29"/>
      <c r="H647" s="29"/>
      <c r="I647" s="16"/>
      <c r="J647" s="16"/>
      <c r="K647" s="16" t="b">
        <v>0</v>
      </c>
      <c r="L647" s="16" t="b">
        <v>0</v>
      </c>
    </row>
    <row r="648">
      <c r="A648" s="108"/>
      <c r="B648" s="16"/>
      <c r="C648" s="7" t="str">
        <f>IFERROR(VLOOKUP(B648,'Master data'!$A$1:$F$1000,2,FALSE),"")</f>
        <v/>
      </c>
      <c r="D648" s="7" t="str">
        <f>IFERROR(VLOOKUP(B648,'Master data'!$A$1:$F$1000,6,FALSE),"")</f>
        <v/>
      </c>
      <c r="F648" s="7" t="str">
        <f>IFERROR(VLOOKUP(B648,'Master data'!$A$1:$F$1000,3,FALSE),"")</f>
        <v/>
      </c>
      <c r="G648" s="29"/>
      <c r="H648" s="29"/>
      <c r="I648" s="16"/>
      <c r="J648" s="16"/>
      <c r="K648" s="16" t="b">
        <v>0</v>
      </c>
      <c r="L648" s="16" t="b">
        <v>0</v>
      </c>
    </row>
    <row r="649">
      <c r="A649" s="108"/>
      <c r="B649" s="16"/>
      <c r="C649" s="7" t="str">
        <f>IFERROR(VLOOKUP(B649,'Master data'!$A$1:$F$1000,2,FALSE),"")</f>
        <v/>
      </c>
      <c r="D649" s="7" t="str">
        <f>IFERROR(VLOOKUP(B649,'Master data'!$A$1:$F$1000,6,FALSE),"")</f>
        <v/>
      </c>
      <c r="F649" s="7" t="str">
        <f>IFERROR(VLOOKUP(B649,'Master data'!$A$1:$F$1000,3,FALSE),"")</f>
        <v/>
      </c>
      <c r="G649" s="29"/>
      <c r="H649" s="29"/>
      <c r="I649" s="16"/>
      <c r="J649" s="16"/>
      <c r="K649" s="16" t="b">
        <v>0</v>
      </c>
      <c r="L649" s="16" t="b">
        <v>0</v>
      </c>
    </row>
    <row r="650">
      <c r="A650" s="108"/>
      <c r="B650" s="16"/>
      <c r="C650" s="7" t="str">
        <f>IFERROR(VLOOKUP(B650,'Master data'!$A$1:$F$1000,2,FALSE),"")</f>
        <v/>
      </c>
      <c r="D650" s="7" t="str">
        <f>IFERROR(VLOOKUP(B650,'Master data'!$A$1:$F$1000,6,FALSE),"")</f>
        <v/>
      </c>
      <c r="F650" s="7" t="str">
        <f>IFERROR(VLOOKUP(B650,'Master data'!$A$1:$F$1000,3,FALSE),"")</f>
        <v/>
      </c>
      <c r="G650" s="29"/>
      <c r="H650" s="29"/>
      <c r="I650" s="16"/>
      <c r="J650" s="16"/>
      <c r="K650" s="16" t="b">
        <v>0</v>
      </c>
      <c r="L650" s="16" t="b">
        <v>0</v>
      </c>
    </row>
    <row r="651">
      <c r="A651" s="108"/>
      <c r="B651" s="16"/>
      <c r="C651" s="7" t="str">
        <f>IFERROR(VLOOKUP(B651,'Master data'!$A$1:$F$1000,2,FALSE),"")</f>
        <v/>
      </c>
      <c r="D651" s="7" t="str">
        <f>IFERROR(VLOOKUP(B651,'Master data'!$A$1:$F$1000,6,FALSE),"")</f>
        <v/>
      </c>
      <c r="F651" s="7" t="str">
        <f>IFERROR(VLOOKUP(B651,'Master data'!$A$1:$F$1000,3,FALSE),"")</f>
        <v/>
      </c>
      <c r="G651" s="29"/>
      <c r="H651" s="29"/>
      <c r="I651" s="16"/>
      <c r="J651" s="16"/>
      <c r="K651" s="16" t="b">
        <v>0</v>
      </c>
      <c r="L651" s="16" t="b">
        <v>0</v>
      </c>
    </row>
    <row r="652">
      <c r="A652" s="108"/>
      <c r="B652" s="16"/>
      <c r="C652" s="7" t="str">
        <f>IFERROR(VLOOKUP(B652,'Master data'!$A$1:$F$1000,2,FALSE),"")</f>
        <v/>
      </c>
      <c r="D652" s="7" t="str">
        <f>IFERROR(VLOOKUP(B652,'Master data'!$A$1:$F$1000,6,FALSE),"")</f>
        <v/>
      </c>
      <c r="F652" s="7" t="str">
        <f>IFERROR(VLOOKUP(B652,'Master data'!$A$1:$F$1000,3,FALSE),"")</f>
        <v/>
      </c>
      <c r="G652" s="29"/>
      <c r="H652" s="29"/>
      <c r="I652" s="16"/>
      <c r="J652" s="16"/>
      <c r="K652" s="16" t="b">
        <v>0</v>
      </c>
      <c r="L652" s="16" t="b">
        <v>0</v>
      </c>
    </row>
    <row r="653">
      <c r="A653" s="108"/>
      <c r="B653" s="16"/>
      <c r="C653" s="7" t="str">
        <f>IFERROR(VLOOKUP(B653,'Master data'!$A$1:$F$1000,2,FALSE),"")</f>
        <v/>
      </c>
      <c r="D653" s="7" t="str">
        <f>IFERROR(VLOOKUP(B653,'Master data'!$A$1:$F$1000,6,FALSE),"")</f>
        <v/>
      </c>
      <c r="F653" s="7" t="str">
        <f>IFERROR(VLOOKUP(B653,'Master data'!$A$1:$F$1000,3,FALSE),"")</f>
        <v/>
      </c>
      <c r="G653" s="29"/>
      <c r="H653" s="29"/>
      <c r="I653" s="16"/>
      <c r="J653" s="16"/>
      <c r="K653" s="16" t="b">
        <v>0</v>
      </c>
      <c r="L653" s="16" t="b">
        <v>0</v>
      </c>
    </row>
    <row r="654">
      <c r="A654" s="108"/>
      <c r="B654" s="16"/>
      <c r="C654" s="7" t="str">
        <f>IFERROR(VLOOKUP(B654,'Master data'!$A$1:$F$1000,2,FALSE),"")</f>
        <v/>
      </c>
      <c r="D654" s="7" t="str">
        <f>IFERROR(VLOOKUP(B654,'Master data'!$A$1:$F$1000,6,FALSE),"")</f>
        <v/>
      </c>
      <c r="F654" s="7" t="str">
        <f>IFERROR(VLOOKUP(B654,'Master data'!$A$1:$F$1000,3,FALSE),"")</f>
        <v/>
      </c>
      <c r="G654" s="29"/>
      <c r="H654" s="29"/>
      <c r="I654" s="16"/>
      <c r="J654" s="16"/>
      <c r="K654" s="16" t="b">
        <v>0</v>
      </c>
      <c r="L654" s="16" t="b">
        <v>0</v>
      </c>
    </row>
    <row r="655">
      <c r="A655" s="108"/>
      <c r="B655" s="16"/>
      <c r="C655" s="7" t="str">
        <f>IFERROR(VLOOKUP(B655,'Master data'!$A$1:$F$1000,2,FALSE),"")</f>
        <v/>
      </c>
      <c r="D655" s="7" t="str">
        <f>IFERROR(VLOOKUP(B655,'Master data'!$A$1:$F$1000,6,FALSE),"")</f>
        <v/>
      </c>
      <c r="F655" s="7" t="str">
        <f>IFERROR(VLOOKUP(B655,'Master data'!$A$1:$F$1000,3,FALSE),"")</f>
        <v/>
      </c>
      <c r="G655" s="29"/>
      <c r="H655" s="29"/>
      <c r="I655" s="16"/>
      <c r="J655" s="16"/>
      <c r="K655" s="16" t="b">
        <v>0</v>
      </c>
      <c r="L655" s="16" t="b">
        <v>0</v>
      </c>
    </row>
    <row r="656">
      <c r="A656" s="108"/>
      <c r="B656" s="16"/>
      <c r="C656" s="7" t="str">
        <f>IFERROR(VLOOKUP(B656,'Master data'!$A$1:$F$1000,2,FALSE),"")</f>
        <v/>
      </c>
      <c r="D656" s="7" t="str">
        <f>IFERROR(VLOOKUP(B656,'Master data'!$A$1:$F$1000,6,FALSE),"")</f>
        <v/>
      </c>
      <c r="F656" s="7" t="str">
        <f>IFERROR(VLOOKUP(B656,'Master data'!$A$1:$F$1000,3,FALSE),"")</f>
        <v/>
      </c>
      <c r="G656" s="29"/>
      <c r="H656" s="29"/>
      <c r="I656" s="16"/>
      <c r="J656" s="16"/>
      <c r="K656" s="16" t="b">
        <v>0</v>
      </c>
      <c r="L656" s="16" t="b">
        <v>0</v>
      </c>
    </row>
    <row r="657">
      <c r="A657" s="108"/>
      <c r="B657" s="16"/>
      <c r="C657" s="7" t="str">
        <f>IFERROR(VLOOKUP(B657,'Master data'!$A$1:$F$1000,2,FALSE),"")</f>
        <v/>
      </c>
      <c r="D657" s="7" t="str">
        <f>IFERROR(VLOOKUP(B657,'Master data'!$A$1:$F$1000,6,FALSE),"")</f>
        <v/>
      </c>
      <c r="F657" s="7" t="str">
        <f>IFERROR(VLOOKUP(B657,'Master data'!$A$1:$F$1000,3,FALSE),"")</f>
        <v/>
      </c>
      <c r="G657" s="29"/>
      <c r="H657" s="29"/>
      <c r="I657" s="16"/>
      <c r="J657" s="16"/>
      <c r="K657" s="16" t="b">
        <v>0</v>
      </c>
      <c r="L657" s="16" t="b">
        <v>0</v>
      </c>
    </row>
    <row r="658">
      <c r="A658" s="108"/>
      <c r="B658" s="16"/>
      <c r="C658" s="7" t="str">
        <f>IFERROR(VLOOKUP(B658,'Master data'!$A$1:$F$1000,2,FALSE),"")</f>
        <v/>
      </c>
      <c r="D658" s="7" t="str">
        <f>IFERROR(VLOOKUP(B658,'Master data'!$A$1:$F$1000,6,FALSE),"")</f>
        <v/>
      </c>
      <c r="F658" s="7" t="str">
        <f>IFERROR(VLOOKUP(B658,'Master data'!$A$1:$F$1000,3,FALSE),"")</f>
        <v/>
      </c>
      <c r="G658" s="29"/>
      <c r="H658" s="29"/>
      <c r="I658" s="16"/>
      <c r="J658" s="16"/>
      <c r="K658" s="16" t="b">
        <v>0</v>
      </c>
      <c r="L658" s="16" t="b">
        <v>0</v>
      </c>
    </row>
    <row r="659">
      <c r="A659" s="108"/>
      <c r="B659" s="16"/>
      <c r="C659" s="7" t="str">
        <f>IFERROR(VLOOKUP(B659,'Master data'!$A$1:$F$1000,2,FALSE),"")</f>
        <v/>
      </c>
      <c r="D659" s="7" t="str">
        <f>IFERROR(VLOOKUP(B659,'Master data'!$A$1:$F$1000,6,FALSE),"")</f>
        <v/>
      </c>
      <c r="F659" s="7" t="str">
        <f>IFERROR(VLOOKUP(B659,'Master data'!$A$1:$F$1000,3,FALSE),"")</f>
        <v/>
      </c>
      <c r="G659" s="29"/>
      <c r="H659" s="29"/>
      <c r="I659" s="16"/>
      <c r="J659" s="16"/>
      <c r="K659" s="16" t="b">
        <v>0</v>
      </c>
      <c r="L659" s="16" t="b">
        <v>0</v>
      </c>
    </row>
    <row r="660">
      <c r="A660" s="108"/>
      <c r="B660" s="16"/>
      <c r="C660" s="7" t="str">
        <f>IFERROR(VLOOKUP(B660,'Master data'!$A$1:$F$1000,2,FALSE),"")</f>
        <v/>
      </c>
      <c r="D660" s="7" t="str">
        <f>IFERROR(VLOOKUP(B660,'Master data'!$A$1:$F$1000,6,FALSE),"")</f>
        <v/>
      </c>
      <c r="F660" s="7" t="str">
        <f>IFERROR(VLOOKUP(B660,'Master data'!$A$1:$F$1000,3,FALSE),"")</f>
        <v/>
      </c>
      <c r="G660" s="29"/>
      <c r="H660" s="29"/>
      <c r="I660" s="16"/>
      <c r="J660" s="16"/>
      <c r="K660" s="16" t="b">
        <v>0</v>
      </c>
      <c r="L660" s="16" t="b">
        <v>0</v>
      </c>
    </row>
    <row r="661">
      <c r="A661" s="108"/>
      <c r="B661" s="16"/>
      <c r="C661" s="7" t="str">
        <f>IFERROR(VLOOKUP(B661,'Master data'!$A$1:$F$1000,2,FALSE),"")</f>
        <v/>
      </c>
      <c r="D661" s="7" t="str">
        <f>IFERROR(VLOOKUP(B661,'Master data'!$A$1:$F$1000,6,FALSE),"")</f>
        <v/>
      </c>
      <c r="F661" s="7" t="str">
        <f>IFERROR(VLOOKUP(B661,'Master data'!$A$1:$F$1000,3,FALSE),"")</f>
        <v/>
      </c>
      <c r="G661" s="29"/>
      <c r="H661" s="29"/>
      <c r="I661" s="16"/>
      <c r="J661" s="16"/>
      <c r="K661" s="16" t="b">
        <v>0</v>
      </c>
      <c r="L661" s="16" t="b">
        <v>0</v>
      </c>
    </row>
    <row r="662">
      <c r="A662" s="108"/>
      <c r="B662" s="16"/>
      <c r="C662" s="7" t="str">
        <f>IFERROR(VLOOKUP(B662,'Master data'!$A$1:$F$1000,2,FALSE),"")</f>
        <v/>
      </c>
      <c r="D662" s="7" t="str">
        <f>IFERROR(VLOOKUP(B662,'Master data'!$A$1:$F$1000,6,FALSE),"")</f>
        <v/>
      </c>
      <c r="F662" s="7" t="str">
        <f>IFERROR(VLOOKUP(B662,'Master data'!$A$1:$F$1000,3,FALSE),"")</f>
        <v/>
      </c>
      <c r="G662" s="29"/>
      <c r="H662" s="29"/>
      <c r="I662" s="16"/>
      <c r="J662" s="16"/>
      <c r="K662" s="16" t="b">
        <v>0</v>
      </c>
      <c r="L662" s="16" t="b">
        <v>0</v>
      </c>
    </row>
    <row r="663">
      <c r="A663" s="108"/>
      <c r="B663" s="16"/>
      <c r="C663" s="7" t="str">
        <f>IFERROR(VLOOKUP(B663,'Master data'!$A$1:$F$1000,2,FALSE),"")</f>
        <v/>
      </c>
      <c r="D663" s="7" t="str">
        <f>IFERROR(VLOOKUP(B663,'Master data'!$A$1:$F$1000,6,FALSE),"")</f>
        <v/>
      </c>
      <c r="F663" s="7" t="str">
        <f>IFERROR(VLOOKUP(B663,'Master data'!$A$1:$F$1000,3,FALSE),"")</f>
        <v/>
      </c>
      <c r="G663" s="29"/>
      <c r="H663" s="29"/>
      <c r="I663" s="16"/>
      <c r="J663" s="16"/>
      <c r="K663" s="16" t="b">
        <v>0</v>
      </c>
      <c r="L663" s="16" t="b">
        <v>0</v>
      </c>
    </row>
    <row r="664">
      <c r="A664" s="108"/>
      <c r="B664" s="16"/>
      <c r="C664" s="7" t="str">
        <f>IFERROR(VLOOKUP(B664,'Master data'!$A$1:$F$1000,2,FALSE),"")</f>
        <v/>
      </c>
      <c r="D664" s="7" t="str">
        <f>IFERROR(VLOOKUP(B664,'Master data'!$A$1:$F$1000,6,FALSE),"")</f>
        <v/>
      </c>
      <c r="F664" s="7" t="str">
        <f>IFERROR(VLOOKUP(B664,'Master data'!$A$1:$F$1000,3,FALSE),"")</f>
        <v/>
      </c>
      <c r="G664" s="29"/>
      <c r="H664" s="29"/>
      <c r="I664" s="16"/>
      <c r="J664" s="16"/>
      <c r="K664" s="16" t="b">
        <v>0</v>
      </c>
      <c r="L664" s="16" t="b">
        <v>0</v>
      </c>
    </row>
    <row r="665">
      <c r="A665" s="108"/>
      <c r="B665" s="16"/>
      <c r="C665" s="7" t="str">
        <f>IFERROR(VLOOKUP(B665,'Master data'!$A$1:$F$1000,2,FALSE),"")</f>
        <v/>
      </c>
      <c r="D665" s="7" t="str">
        <f>IFERROR(VLOOKUP(B665,'Master data'!$A$1:$F$1000,6,FALSE),"")</f>
        <v/>
      </c>
      <c r="F665" s="7" t="str">
        <f>IFERROR(VLOOKUP(B665,'Master data'!$A$1:$F$1000,3,FALSE),"")</f>
        <v/>
      </c>
      <c r="G665" s="29"/>
      <c r="H665" s="29"/>
      <c r="I665" s="16"/>
      <c r="J665" s="16"/>
      <c r="K665" s="16" t="b">
        <v>0</v>
      </c>
      <c r="L665" s="16" t="b">
        <v>0</v>
      </c>
    </row>
    <row r="666">
      <c r="A666" s="108"/>
      <c r="B666" s="16"/>
      <c r="C666" s="7" t="str">
        <f>IFERROR(VLOOKUP(B666,'Master data'!$A$1:$F$1000,2,FALSE),"")</f>
        <v/>
      </c>
      <c r="D666" s="7" t="str">
        <f>IFERROR(VLOOKUP(B666,'Master data'!$A$1:$F$1000,6,FALSE),"")</f>
        <v/>
      </c>
      <c r="F666" s="7" t="str">
        <f>IFERROR(VLOOKUP(B666,'Master data'!$A$1:$F$1000,3,FALSE),"")</f>
        <v/>
      </c>
      <c r="G666" s="29"/>
      <c r="H666" s="29"/>
      <c r="I666" s="16"/>
      <c r="J666" s="16"/>
      <c r="K666" s="16" t="b">
        <v>0</v>
      </c>
      <c r="L666" s="16" t="b">
        <v>0</v>
      </c>
    </row>
    <row r="667">
      <c r="A667" s="108"/>
      <c r="B667" s="16"/>
      <c r="C667" s="7" t="str">
        <f>IFERROR(VLOOKUP(B667,'Master data'!$A$1:$F$1000,2,FALSE),"")</f>
        <v/>
      </c>
      <c r="D667" s="7" t="str">
        <f>IFERROR(VLOOKUP(B667,'Master data'!$A$1:$F$1000,6,FALSE),"")</f>
        <v/>
      </c>
      <c r="F667" s="7" t="str">
        <f>IFERROR(VLOOKUP(B667,'Master data'!$A$1:$F$1000,3,FALSE),"")</f>
        <v/>
      </c>
      <c r="G667" s="29"/>
      <c r="H667" s="29"/>
      <c r="I667" s="16"/>
      <c r="J667" s="16"/>
      <c r="K667" s="16" t="b">
        <v>0</v>
      </c>
      <c r="L667" s="16" t="b">
        <v>0</v>
      </c>
    </row>
    <row r="668">
      <c r="A668" s="108"/>
      <c r="B668" s="16"/>
      <c r="C668" s="7" t="str">
        <f>IFERROR(VLOOKUP(B668,'Master data'!$A$1:$F$1000,2,FALSE),"")</f>
        <v/>
      </c>
      <c r="D668" s="7" t="str">
        <f>IFERROR(VLOOKUP(B668,'Master data'!$A$1:$F$1000,6,FALSE),"")</f>
        <v/>
      </c>
      <c r="F668" s="7" t="str">
        <f>IFERROR(VLOOKUP(B668,'Master data'!$A$1:$F$1000,3,FALSE),"")</f>
        <v/>
      </c>
      <c r="G668" s="29"/>
      <c r="H668" s="29"/>
      <c r="I668" s="16"/>
      <c r="J668" s="16"/>
      <c r="K668" s="16" t="b">
        <v>0</v>
      </c>
      <c r="L668" s="16" t="b">
        <v>0</v>
      </c>
    </row>
    <row r="669">
      <c r="A669" s="108"/>
      <c r="B669" s="16"/>
      <c r="C669" s="7" t="str">
        <f>IFERROR(VLOOKUP(B669,'Master data'!$A$1:$F$1000,2,FALSE),"")</f>
        <v/>
      </c>
      <c r="D669" s="7" t="str">
        <f>IFERROR(VLOOKUP(B669,'Master data'!$A$1:$F$1000,6,FALSE),"")</f>
        <v/>
      </c>
      <c r="F669" s="7" t="str">
        <f>IFERROR(VLOOKUP(B669,'Master data'!$A$1:$F$1000,3,FALSE),"")</f>
        <v/>
      </c>
      <c r="G669" s="29"/>
      <c r="H669" s="29"/>
      <c r="I669" s="16"/>
      <c r="J669" s="16"/>
      <c r="K669" s="16" t="b">
        <v>0</v>
      </c>
      <c r="L669" s="16" t="b">
        <v>0</v>
      </c>
    </row>
    <row r="670">
      <c r="A670" s="108"/>
      <c r="B670" s="16"/>
      <c r="C670" s="7" t="str">
        <f>IFERROR(VLOOKUP(B670,'Master data'!$A$1:$F$1000,2,FALSE),"")</f>
        <v/>
      </c>
      <c r="D670" s="7" t="str">
        <f>IFERROR(VLOOKUP(B670,'Master data'!$A$1:$F$1000,6,FALSE),"")</f>
        <v/>
      </c>
      <c r="F670" s="7" t="str">
        <f>IFERROR(VLOOKUP(B670,'Master data'!$A$1:$F$1000,3,FALSE),"")</f>
        <v/>
      </c>
      <c r="G670" s="29"/>
      <c r="H670" s="29"/>
      <c r="I670" s="16"/>
      <c r="J670" s="16"/>
      <c r="K670" s="16" t="b">
        <v>0</v>
      </c>
      <c r="L670" s="16" t="b">
        <v>0</v>
      </c>
    </row>
    <row r="671">
      <c r="A671" s="108"/>
      <c r="B671" s="16"/>
      <c r="C671" s="7" t="str">
        <f>IFERROR(VLOOKUP(B671,'Master data'!$A$1:$F$1000,2,FALSE),"")</f>
        <v/>
      </c>
      <c r="D671" s="7" t="str">
        <f>IFERROR(VLOOKUP(B671,'Master data'!$A$1:$F$1000,6,FALSE),"")</f>
        <v/>
      </c>
      <c r="F671" s="7" t="str">
        <f>IFERROR(VLOOKUP(B671,'Master data'!$A$1:$F$1000,3,FALSE),"")</f>
        <v/>
      </c>
      <c r="G671" s="29"/>
      <c r="H671" s="29"/>
      <c r="I671" s="16"/>
      <c r="J671" s="16"/>
      <c r="K671" s="16" t="b">
        <v>0</v>
      </c>
      <c r="L671" s="16" t="b">
        <v>0</v>
      </c>
    </row>
    <row r="672">
      <c r="A672" s="108"/>
      <c r="B672" s="16"/>
      <c r="C672" s="7" t="str">
        <f>IFERROR(VLOOKUP(B672,'Master data'!$A$1:$F$1000,2,FALSE),"")</f>
        <v/>
      </c>
      <c r="D672" s="7" t="str">
        <f>IFERROR(VLOOKUP(B672,'Master data'!$A$1:$F$1000,6,FALSE),"")</f>
        <v/>
      </c>
      <c r="F672" s="7" t="str">
        <f>IFERROR(VLOOKUP(B672,'Master data'!$A$1:$F$1000,3,FALSE),"")</f>
        <v/>
      </c>
      <c r="G672" s="29"/>
      <c r="H672" s="29"/>
      <c r="I672" s="16"/>
      <c r="J672" s="16"/>
      <c r="K672" s="16" t="b">
        <v>0</v>
      </c>
      <c r="L672" s="16" t="b">
        <v>0</v>
      </c>
    </row>
    <row r="673">
      <c r="A673" s="108"/>
      <c r="B673" s="16"/>
      <c r="C673" s="7" t="str">
        <f>IFERROR(VLOOKUP(B673,'Master data'!$A$1:$F$1000,2,FALSE),"")</f>
        <v/>
      </c>
      <c r="D673" s="7" t="str">
        <f>IFERROR(VLOOKUP(B673,'Master data'!$A$1:$F$1000,6,FALSE),"")</f>
        <v/>
      </c>
      <c r="F673" s="7" t="str">
        <f>IFERROR(VLOOKUP(B673,'Master data'!$A$1:$F$1000,3,FALSE),"")</f>
        <v/>
      </c>
      <c r="G673" s="29"/>
      <c r="H673" s="29"/>
      <c r="I673" s="16"/>
      <c r="J673" s="16"/>
      <c r="K673" s="16" t="b">
        <v>0</v>
      </c>
      <c r="L673" s="16" t="b">
        <v>0</v>
      </c>
    </row>
    <row r="674">
      <c r="A674" s="108"/>
      <c r="B674" s="16"/>
      <c r="C674" s="7" t="str">
        <f>IFERROR(VLOOKUP(B674,'Master data'!$A$1:$F$1000,2,FALSE),"")</f>
        <v/>
      </c>
      <c r="D674" s="7" t="str">
        <f>IFERROR(VLOOKUP(B674,'Master data'!$A$1:$F$1000,6,FALSE),"")</f>
        <v/>
      </c>
      <c r="F674" s="7" t="str">
        <f>IFERROR(VLOOKUP(B674,'Master data'!$A$1:$F$1000,3,FALSE),"")</f>
        <v/>
      </c>
      <c r="G674" s="29"/>
      <c r="H674" s="29"/>
      <c r="I674" s="16"/>
      <c r="J674" s="16"/>
      <c r="K674" s="16" t="b">
        <v>0</v>
      </c>
      <c r="L674" s="16" t="b">
        <v>0</v>
      </c>
    </row>
    <row r="675">
      <c r="A675" s="108"/>
      <c r="B675" s="16"/>
      <c r="C675" s="7" t="str">
        <f>IFERROR(VLOOKUP(B675,'Master data'!$A$1:$F$1000,2,FALSE),"")</f>
        <v/>
      </c>
      <c r="D675" s="7" t="str">
        <f>IFERROR(VLOOKUP(B675,'Master data'!$A$1:$F$1000,6,FALSE),"")</f>
        <v/>
      </c>
      <c r="F675" s="7" t="str">
        <f>IFERROR(VLOOKUP(B675,'Master data'!$A$1:$F$1000,3,FALSE),"")</f>
        <v/>
      </c>
      <c r="G675" s="29"/>
      <c r="H675" s="29"/>
      <c r="I675" s="16"/>
      <c r="J675" s="16"/>
      <c r="K675" s="16" t="b">
        <v>0</v>
      </c>
      <c r="L675" s="16" t="b">
        <v>0</v>
      </c>
    </row>
    <row r="676">
      <c r="A676" s="108"/>
      <c r="B676" s="16"/>
      <c r="C676" s="7" t="str">
        <f>IFERROR(VLOOKUP(B676,'Master data'!$A$1:$F$1000,2,FALSE),"")</f>
        <v/>
      </c>
      <c r="D676" s="7" t="str">
        <f>IFERROR(VLOOKUP(B676,'Master data'!$A$1:$F$1000,6,FALSE),"")</f>
        <v/>
      </c>
      <c r="F676" s="7" t="str">
        <f>IFERROR(VLOOKUP(B676,'Master data'!$A$1:$F$1000,3,FALSE),"")</f>
        <v/>
      </c>
      <c r="G676" s="29"/>
      <c r="H676" s="29"/>
      <c r="I676" s="16"/>
      <c r="J676" s="16"/>
      <c r="K676" s="16" t="b">
        <v>0</v>
      </c>
      <c r="L676" s="16" t="b">
        <v>0</v>
      </c>
    </row>
    <row r="677">
      <c r="A677" s="108"/>
      <c r="B677" s="16"/>
      <c r="C677" s="7" t="str">
        <f>IFERROR(VLOOKUP(B677,'Master data'!$A$1:$F$1000,2,FALSE),"")</f>
        <v/>
      </c>
      <c r="D677" s="7" t="str">
        <f>IFERROR(VLOOKUP(B677,'Master data'!$A$1:$F$1000,6,FALSE),"")</f>
        <v/>
      </c>
      <c r="F677" s="7" t="str">
        <f>IFERROR(VLOOKUP(B677,'Master data'!$A$1:$F$1000,3,FALSE),"")</f>
        <v/>
      </c>
      <c r="G677" s="29"/>
      <c r="H677" s="29"/>
      <c r="I677" s="16"/>
      <c r="J677" s="16"/>
      <c r="K677" s="16" t="b">
        <v>0</v>
      </c>
      <c r="L677" s="16" t="b">
        <v>0</v>
      </c>
    </row>
    <row r="678">
      <c r="A678" s="108"/>
      <c r="B678" s="16"/>
      <c r="C678" s="7" t="str">
        <f>IFERROR(VLOOKUP(B678,'Master data'!$A$1:$F$1000,2,FALSE),"")</f>
        <v/>
      </c>
      <c r="D678" s="7" t="str">
        <f>IFERROR(VLOOKUP(B678,'Master data'!$A$1:$F$1000,6,FALSE),"")</f>
        <v/>
      </c>
      <c r="F678" s="7" t="str">
        <f>IFERROR(VLOOKUP(B678,'Master data'!$A$1:$F$1000,3,FALSE),"")</f>
        <v/>
      </c>
      <c r="G678" s="29"/>
      <c r="H678" s="29"/>
      <c r="I678" s="16"/>
      <c r="J678" s="16"/>
      <c r="K678" s="16" t="b">
        <v>0</v>
      </c>
      <c r="L678" s="16" t="b">
        <v>0</v>
      </c>
    </row>
    <row r="679">
      <c r="A679" s="108"/>
      <c r="B679" s="16"/>
      <c r="C679" s="7" t="str">
        <f>IFERROR(VLOOKUP(B679,'Master data'!$A$1:$F$1000,2,FALSE),"")</f>
        <v/>
      </c>
      <c r="D679" s="7" t="str">
        <f>IFERROR(VLOOKUP(B679,'Master data'!$A$1:$F$1000,6,FALSE),"")</f>
        <v/>
      </c>
      <c r="F679" s="7" t="str">
        <f>IFERROR(VLOOKUP(B679,'Master data'!$A$1:$F$1000,3,FALSE),"")</f>
        <v/>
      </c>
      <c r="G679" s="29"/>
      <c r="H679" s="29"/>
      <c r="I679" s="16"/>
      <c r="J679" s="16"/>
      <c r="K679" s="16" t="b">
        <v>0</v>
      </c>
      <c r="L679" s="16" t="b">
        <v>0</v>
      </c>
    </row>
    <row r="680">
      <c r="A680" s="108"/>
      <c r="B680" s="16"/>
      <c r="C680" s="7" t="str">
        <f>IFERROR(VLOOKUP(B680,'Master data'!$A$1:$F$1000,2,FALSE),"")</f>
        <v/>
      </c>
      <c r="D680" s="7" t="str">
        <f>IFERROR(VLOOKUP(B680,'Master data'!$A$1:$F$1000,6,FALSE),"")</f>
        <v/>
      </c>
      <c r="F680" s="7" t="str">
        <f>IFERROR(VLOOKUP(B680,'Master data'!$A$1:$F$1000,3,FALSE),"")</f>
        <v/>
      </c>
      <c r="G680" s="29"/>
      <c r="H680" s="29"/>
      <c r="I680" s="16"/>
      <c r="J680" s="16"/>
      <c r="K680" s="16" t="b">
        <v>0</v>
      </c>
      <c r="L680" s="16" t="b">
        <v>0</v>
      </c>
    </row>
    <row r="681">
      <c r="A681" s="108"/>
      <c r="B681" s="16"/>
      <c r="C681" s="7" t="str">
        <f>IFERROR(VLOOKUP(B681,'Master data'!$A$1:$F$1000,2,FALSE),"")</f>
        <v/>
      </c>
      <c r="D681" s="7" t="str">
        <f>IFERROR(VLOOKUP(B681,'Master data'!$A$1:$F$1000,6,FALSE),"")</f>
        <v/>
      </c>
      <c r="F681" s="7" t="str">
        <f>IFERROR(VLOOKUP(B681,'Master data'!$A$1:$F$1000,3,FALSE),"")</f>
        <v/>
      </c>
      <c r="G681" s="29"/>
      <c r="H681" s="29"/>
      <c r="I681" s="16"/>
      <c r="J681" s="16"/>
      <c r="K681" s="16" t="b">
        <v>0</v>
      </c>
      <c r="L681" s="16" t="b">
        <v>0</v>
      </c>
    </row>
    <row r="682">
      <c r="A682" s="108"/>
      <c r="B682" s="16"/>
      <c r="C682" s="7" t="str">
        <f>IFERROR(VLOOKUP(B682,'Master data'!$A$1:$F$1000,2,FALSE),"")</f>
        <v/>
      </c>
      <c r="D682" s="7" t="str">
        <f>IFERROR(VLOOKUP(B682,'Master data'!$A$1:$F$1000,6,FALSE),"")</f>
        <v/>
      </c>
      <c r="F682" s="7" t="str">
        <f>IFERROR(VLOOKUP(B682,'Master data'!$A$1:$F$1000,3,FALSE),"")</f>
        <v/>
      </c>
      <c r="G682" s="29"/>
      <c r="H682" s="29"/>
      <c r="I682" s="16"/>
      <c r="J682" s="16"/>
      <c r="K682" s="16" t="b">
        <v>0</v>
      </c>
      <c r="L682" s="16" t="b">
        <v>0</v>
      </c>
    </row>
    <row r="683">
      <c r="A683" s="108"/>
      <c r="B683" s="16"/>
      <c r="C683" s="7" t="str">
        <f>IFERROR(VLOOKUP(B683,'Master data'!$A$1:$F$1000,2,FALSE),"")</f>
        <v/>
      </c>
      <c r="D683" s="7" t="str">
        <f>IFERROR(VLOOKUP(B683,'Master data'!$A$1:$F$1000,6,FALSE),"")</f>
        <v/>
      </c>
      <c r="F683" s="7" t="str">
        <f>IFERROR(VLOOKUP(B683,'Master data'!$A$1:$F$1000,3,FALSE),"")</f>
        <v/>
      </c>
      <c r="G683" s="29"/>
      <c r="H683" s="29"/>
      <c r="I683" s="16"/>
      <c r="J683" s="16"/>
      <c r="K683" s="16" t="b">
        <v>0</v>
      </c>
      <c r="L683" s="16" t="b">
        <v>0</v>
      </c>
    </row>
    <row r="684">
      <c r="A684" s="108"/>
      <c r="B684" s="16"/>
      <c r="C684" s="7" t="str">
        <f>IFERROR(VLOOKUP(B684,'Master data'!$A$1:$F$1000,2,FALSE),"")</f>
        <v/>
      </c>
      <c r="D684" s="7" t="str">
        <f>IFERROR(VLOOKUP(B684,'Master data'!$A$1:$F$1000,6,FALSE),"")</f>
        <v/>
      </c>
      <c r="F684" s="7" t="str">
        <f>IFERROR(VLOOKUP(B684,'Master data'!$A$1:$F$1000,3,FALSE),"")</f>
        <v/>
      </c>
      <c r="G684" s="29"/>
      <c r="H684" s="29"/>
      <c r="I684" s="16"/>
      <c r="J684" s="16"/>
      <c r="K684" s="16" t="b">
        <v>0</v>
      </c>
      <c r="L684" s="16" t="b">
        <v>0</v>
      </c>
    </row>
    <row r="685">
      <c r="A685" s="108"/>
      <c r="B685" s="16"/>
      <c r="C685" s="7" t="str">
        <f>IFERROR(VLOOKUP(B685,'Master data'!$A$1:$F$1000,2,FALSE),"")</f>
        <v/>
      </c>
      <c r="D685" s="7" t="str">
        <f>IFERROR(VLOOKUP(B685,'Master data'!$A$1:$F$1000,6,FALSE),"")</f>
        <v/>
      </c>
      <c r="F685" s="7" t="str">
        <f>IFERROR(VLOOKUP(B685,'Master data'!$A$1:$F$1000,3,FALSE),"")</f>
        <v/>
      </c>
      <c r="G685" s="29"/>
      <c r="H685" s="29"/>
      <c r="I685" s="16"/>
      <c r="J685" s="16"/>
      <c r="K685" s="16" t="b">
        <v>0</v>
      </c>
      <c r="L685" s="16" t="b">
        <v>0</v>
      </c>
    </row>
    <row r="686">
      <c r="A686" s="108"/>
      <c r="B686" s="16"/>
      <c r="C686" s="7" t="str">
        <f>IFERROR(VLOOKUP(B686,'Master data'!$A$1:$F$1000,2,FALSE),"")</f>
        <v/>
      </c>
      <c r="D686" s="7" t="str">
        <f>IFERROR(VLOOKUP(B686,'Master data'!$A$1:$F$1000,6,FALSE),"")</f>
        <v/>
      </c>
      <c r="F686" s="7" t="str">
        <f>IFERROR(VLOOKUP(B686,'Master data'!$A$1:$F$1000,3,FALSE),"")</f>
        <v/>
      </c>
      <c r="G686" s="29"/>
      <c r="H686" s="29"/>
      <c r="I686" s="16"/>
      <c r="J686" s="16"/>
      <c r="K686" s="16" t="b">
        <v>0</v>
      </c>
      <c r="L686" s="16" t="b">
        <v>0</v>
      </c>
    </row>
    <row r="687">
      <c r="A687" s="108"/>
      <c r="B687" s="16"/>
      <c r="C687" s="7" t="str">
        <f>IFERROR(VLOOKUP(B687,'Master data'!$A$1:$F$1000,2,FALSE),"")</f>
        <v/>
      </c>
      <c r="D687" s="7" t="str">
        <f>IFERROR(VLOOKUP(B687,'Master data'!$A$1:$F$1000,6,FALSE),"")</f>
        <v/>
      </c>
      <c r="F687" s="7" t="str">
        <f>IFERROR(VLOOKUP(B687,'Master data'!$A$1:$F$1000,3,FALSE),"")</f>
        <v/>
      </c>
      <c r="G687" s="29"/>
      <c r="H687" s="29"/>
      <c r="I687" s="16"/>
      <c r="J687" s="16"/>
      <c r="K687" s="16" t="b">
        <v>0</v>
      </c>
      <c r="L687" s="16" t="b">
        <v>0</v>
      </c>
    </row>
    <row r="688">
      <c r="A688" s="108"/>
      <c r="B688" s="16"/>
      <c r="C688" s="7" t="str">
        <f>IFERROR(VLOOKUP(B688,'Master data'!$A$1:$F$1000,2,FALSE),"")</f>
        <v/>
      </c>
      <c r="D688" s="7" t="str">
        <f>IFERROR(VLOOKUP(B688,'Master data'!$A$1:$F$1000,6,FALSE),"")</f>
        <v/>
      </c>
      <c r="F688" s="7" t="str">
        <f>IFERROR(VLOOKUP(B688,'Master data'!$A$1:$F$1000,3,FALSE),"")</f>
        <v/>
      </c>
      <c r="G688" s="29"/>
      <c r="H688" s="29"/>
      <c r="I688" s="16"/>
      <c r="J688" s="16"/>
      <c r="K688" s="16" t="b">
        <v>0</v>
      </c>
      <c r="L688" s="16" t="b">
        <v>0</v>
      </c>
    </row>
    <row r="689">
      <c r="A689" s="108"/>
      <c r="B689" s="16"/>
      <c r="C689" s="7" t="str">
        <f>IFERROR(VLOOKUP(B689,'Master data'!$A$1:$F$1000,2,FALSE),"")</f>
        <v/>
      </c>
      <c r="D689" s="7" t="str">
        <f>IFERROR(VLOOKUP(B689,'Master data'!$A$1:$F$1000,6,FALSE),"")</f>
        <v/>
      </c>
      <c r="F689" s="7" t="str">
        <f>IFERROR(VLOOKUP(B689,'Master data'!$A$1:$F$1000,3,FALSE),"")</f>
        <v/>
      </c>
      <c r="G689" s="29"/>
      <c r="H689" s="29"/>
      <c r="I689" s="16"/>
      <c r="J689" s="16"/>
      <c r="K689" s="16" t="b">
        <v>0</v>
      </c>
      <c r="L689" s="16" t="b">
        <v>0</v>
      </c>
    </row>
    <row r="690">
      <c r="A690" s="108"/>
      <c r="B690" s="16"/>
      <c r="C690" s="7" t="str">
        <f>IFERROR(VLOOKUP(B690,'Master data'!$A$1:$F$1000,2,FALSE),"")</f>
        <v/>
      </c>
      <c r="D690" s="7" t="str">
        <f>IFERROR(VLOOKUP(B690,'Master data'!$A$1:$F$1000,6,FALSE),"")</f>
        <v/>
      </c>
      <c r="F690" s="7" t="str">
        <f>IFERROR(VLOOKUP(B690,'Master data'!$A$1:$F$1000,3,FALSE),"")</f>
        <v/>
      </c>
      <c r="G690" s="29"/>
      <c r="H690" s="29"/>
      <c r="I690" s="16"/>
      <c r="J690" s="16"/>
      <c r="K690" s="16" t="b">
        <v>0</v>
      </c>
      <c r="L690" s="16" t="b">
        <v>0</v>
      </c>
    </row>
    <row r="691">
      <c r="A691" s="108"/>
      <c r="B691" s="16"/>
      <c r="C691" s="7" t="str">
        <f>IFERROR(VLOOKUP(B691,'Master data'!$A$1:$F$1000,2,FALSE),"")</f>
        <v/>
      </c>
      <c r="D691" s="7" t="str">
        <f>IFERROR(VLOOKUP(B691,'Master data'!$A$1:$F$1000,6,FALSE),"")</f>
        <v/>
      </c>
      <c r="F691" s="7" t="str">
        <f>IFERROR(VLOOKUP(B691,'Master data'!$A$1:$F$1000,3,FALSE),"")</f>
        <v/>
      </c>
      <c r="G691" s="29"/>
      <c r="H691" s="29"/>
      <c r="I691" s="16"/>
      <c r="J691" s="16"/>
      <c r="K691" s="16" t="b">
        <v>0</v>
      </c>
      <c r="L691" s="16" t="b">
        <v>0</v>
      </c>
    </row>
    <row r="692">
      <c r="A692" s="108"/>
      <c r="B692" s="16"/>
      <c r="C692" s="7" t="str">
        <f>IFERROR(VLOOKUP(B692,'Master data'!$A$1:$F$1000,2,FALSE),"")</f>
        <v/>
      </c>
      <c r="D692" s="7" t="str">
        <f>IFERROR(VLOOKUP(B692,'Master data'!$A$1:$F$1000,6,FALSE),"")</f>
        <v/>
      </c>
      <c r="F692" s="7" t="str">
        <f>IFERROR(VLOOKUP(B692,'Master data'!$A$1:$F$1000,3,FALSE),"")</f>
        <v/>
      </c>
      <c r="G692" s="29"/>
      <c r="H692" s="29"/>
      <c r="I692" s="16"/>
      <c r="J692" s="16"/>
      <c r="K692" s="16" t="b">
        <v>0</v>
      </c>
      <c r="L692" s="16" t="b">
        <v>0</v>
      </c>
    </row>
    <row r="693">
      <c r="A693" s="108"/>
      <c r="B693" s="16"/>
      <c r="C693" s="7" t="str">
        <f>IFERROR(VLOOKUP(B693,'Master data'!$A$1:$F$1000,2,FALSE),"")</f>
        <v/>
      </c>
      <c r="D693" s="7" t="str">
        <f>IFERROR(VLOOKUP(B693,'Master data'!$A$1:$F$1000,6,FALSE),"")</f>
        <v/>
      </c>
      <c r="F693" s="7" t="str">
        <f>IFERROR(VLOOKUP(B693,'Master data'!$A$1:$F$1000,3,FALSE),"")</f>
        <v/>
      </c>
      <c r="G693" s="29"/>
      <c r="H693" s="29"/>
      <c r="I693" s="16"/>
      <c r="J693" s="16"/>
      <c r="K693" s="16" t="b">
        <v>0</v>
      </c>
      <c r="L693" s="16" t="b">
        <v>0</v>
      </c>
    </row>
    <row r="694">
      <c r="A694" s="108"/>
      <c r="B694" s="16"/>
      <c r="C694" s="7" t="str">
        <f>IFERROR(VLOOKUP(B694,'Master data'!$A$1:$F$1000,2,FALSE),"")</f>
        <v/>
      </c>
      <c r="D694" s="7" t="str">
        <f>IFERROR(VLOOKUP(B694,'Master data'!$A$1:$F$1000,6,FALSE),"")</f>
        <v/>
      </c>
      <c r="F694" s="7" t="str">
        <f>IFERROR(VLOOKUP(B694,'Master data'!$A$1:$F$1000,3,FALSE),"")</f>
        <v/>
      </c>
      <c r="G694" s="29"/>
      <c r="H694" s="29"/>
      <c r="I694" s="16"/>
      <c r="J694" s="16"/>
      <c r="K694" s="16" t="b">
        <v>0</v>
      </c>
      <c r="L694" s="16" t="b">
        <v>0</v>
      </c>
    </row>
    <row r="695">
      <c r="A695" s="108"/>
      <c r="B695" s="16"/>
      <c r="C695" s="7" t="str">
        <f>IFERROR(VLOOKUP(B695,'Master data'!$A$1:$F$1000,2,FALSE),"")</f>
        <v/>
      </c>
      <c r="D695" s="7" t="str">
        <f>IFERROR(VLOOKUP(B695,'Master data'!$A$1:$F$1000,6,FALSE),"")</f>
        <v/>
      </c>
      <c r="F695" s="7" t="str">
        <f>IFERROR(VLOOKUP(B695,'Master data'!$A$1:$F$1000,3,FALSE),"")</f>
        <v/>
      </c>
      <c r="G695" s="29"/>
      <c r="H695" s="29"/>
      <c r="I695" s="16"/>
      <c r="J695" s="16"/>
      <c r="K695" s="16" t="b">
        <v>0</v>
      </c>
      <c r="L695" s="16" t="b">
        <v>0</v>
      </c>
    </row>
    <row r="696">
      <c r="A696" s="108"/>
      <c r="B696" s="16"/>
      <c r="C696" s="7" t="str">
        <f>IFERROR(VLOOKUP(B696,'Master data'!$A$1:$F$1000,2,FALSE),"")</f>
        <v/>
      </c>
      <c r="D696" s="7" t="str">
        <f>IFERROR(VLOOKUP(B696,'Master data'!$A$1:$F$1000,6,FALSE),"")</f>
        <v/>
      </c>
      <c r="F696" s="7" t="str">
        <f>IFERROR(VLOOKUP(B696,'Master data'!$A$1:$F$1000,3,FALSE),"")</f>
        <v/>
      </c>
      <c r="G696" s="29"/>
      <c r="H696" s="29"/>
      <c r="I696" s="16"/>
      <c r="J696" s="16"/>
      <c r="K696" s="16" t="b">
        <v>0</v>
      </c>
      <c r="L696" s="16" t="b">
        <v>0</v>
      </c>
    </row>
    <row r="697">
      <c r="A697" s="108"/>
      <c r="B697" s="16"/>
      <c r="C697" s="7" t="str">
        <f>IFERROR(VLOOKUP(B697,'Master data'!$A$1:$F$1000,2,FALSE),"")</f>
        <v/>
      </c>
      <c r="D697" s="7" t="str">
        <f>IFERROR(VLOOKUP(B697,'Master data'!$A$1:$F$1000,6,FALSE),"")</f>
        <v/>
      </c>
      <c r="F697" s="7" t="str">
        <f>IFERROR(VLOOKUP(B697,'Master data'!$A$1:$F$1000,3,FALSE),"")</f>
        <v/>
      </c>
      <c r="G697" s="29"/>
      <c r="H697" s="29"/>
      <c r="I697" s="16"/>
      <c r="J697" s="16"/>
      <c r="K697" s="16" t="b">
        <v>0</v>
      </c>
      <c r="L697" s="16" t="b">
        <v>0</v>
      </c>
    </row>
    <row r="698">
      <c r="A698" s="108"/>
      <c r="B698" s="16"/>
      <c r="C698" s="7" t="str">
        <f>IFERROR(VLOOKUP(B698,'Master data'!$A$1:$F$1000,2,FALSE),"")</f>
        <v/>
      </c>
      <c r="D698" s="7" t="str">
        <f>IFERROR(VLOOKUP(B698,'Master data'!$A$1:$F$1000,6,FALSE),"")</f>
        <v/>
      </c>
      <c r="F698" s="7" t="str">
        <f>IFERROR(VLOOKUP(B698,'Master data'!$A$1:$F$1000,3,FALSE),"")</f>
        <v/>
      </c>
      <c r="G698" s="29"/>
      <c r="H698" s="29"/>
      <c r="I698" s="16"/>
      <c r="J698" s="16"/>
      <c r="K698" s="16" t="b">
        <v>0</v>
      </c>
      <c r="L698" s="16" t="b">
        <v>0</v>
      </c>
    </row>
    <row r="699">
      <c r="A699" s="108"/>
      <c r="B699" s="16"/>
      <c r="C699" s="7" t="str">
        <f>IFERROR(VLOOKUP(B699,'Master data'!$A$1:$F$1000,2,FALSE),"")</f>
        <v/>
      </c>
      <c r="D699" s="7" t="str">
        <f>IFERROR(VLOOKUP(B699,'Master data'!$A$1:$F$1000,6,FALSE),"")</f>
        <v/>
      </c>
      <c r="F699" s="7" t="str">
        <f>IFERROR(VLOOKUP(B699,'Master data'!$A$1:$F$1000,3,FALSE),"")</f>
        <v/>
      </c>
      <c r="G699" s="29"/>
      <c r="H699" s="29"/>
      <c r="I699" s="16"/>
      <c r="J699" s="16"/>
      <c r="K699" s="16" t="b">
        <v>0</v>
      </c>
      <c r="L699" s="16" t="b">
        <v>0</v>
      </c>
    </row>
    <row r="700">
      <c r="A700" s="108"/>
      <c r="B700" s="16"/>
      <c r="C700" s="7" t="str">
        <f>IFERROR(VLOOKUP(B700,'Master data'!$A$1:$F$1000,2,FALSE),"")</f>
        <v/>
      </c>
      <c r="D700" s="7" t="str">
        <f>IFERROR(VLOOKUP(B700,'Master data'!$A$1:$F$1000,6,FALSE),"")</f>
        <v/>
      </c>
      <c r="F700" s="7" t="str">
        <f>IFERROR(VLOOKUP(B700,'Master data'!$A$1:$F$1000,3,FALSE),"")</f>
        <v/>
      </c>
      <c r="G700" s="29"/>
      <c r="H700" s="29"/>
      <c r="I700" s="16"/>
      <c r="J700" s="16"/>
      <c r="K700" s="16" t="b">
        <v>0</v>
      </c>
      <c r="L700" s="16" t="b">
        <v>0</v>
      </c>
    </row>
    <row r="701">
      <c r="A701" s="108"/>
      <c r="B701" s="16"/>
      <c r="C701" s="7" t="str">
        <f>IFERROR(VLOOKUP(B701,'Master data'!$A$1:$F$1000,2,FALSE),"")</f>
        <v/>
      </c>
      <c r="D701" s="7" t="str">
        <f>IFERROR(VLOOKUP(B701,'Master data'!$A$1:$F$1000,6,FALSE),"")</f>
        <v/>
      </c>
      <c r="F701" s="7" t="str">
        <f>IFERROR(VLOOKUP(B701,'Master data'!$A$1:$F$1000,3,FALSE),"")</f>
        <v/>
      </c>
      <c r="G701" s="29"/>
      <c r="H701" s="29"/>
      <c r="I701" s="16"/>
      <c r="J701" s="16"/>
      <c r="K701" s="16" t="b">
        <v>0</v>
      </c>
      <c r="L701" s="16" t="b">
        <v>0</v>
      </c>
    </row>
    <row r="702">
      <c r="A702" s="108"/>
      <c r="B702" s="16"/>
      <c r="C702" s="7" t="str">
        <f>IFERROR(VLOOKUP(B702,'Master data'!$A$1:$F$1000,2,FALSE),"")</f>
        <v/>
      </c>
      <c r="D702" s="7" t="str">
        <f>IFERROR(VLOOKUP(B702,'Master data'!$A$1:$F$1000,6,FALSE),"")</f>
        <v/>
      </c>
      <c r="F702" s="7" t="str">
        <f>IFERROR(VLOOKUP(B702,'Master data'!$A$1:$F$1000,3,FALSE),"")</f>
        <v/>
      </c>
      <c r="G702" s="29"/>
      <c r="H702" s="29"/>
      <c r="I702" s="16"/>
      <c r="J702" s="16"/>
      <c r="K702" s="16" t="b">
        <v>0</v>
      </c>
      <c r="L702" s="16" t="b">
        <v>0</v>
      </c>
    </row>
    <row r="703">
      <c r="A703" s="108"/>
      <c r="B703" s="16"/>
      <c r="C703" s="7" t="str">
        <f>IFERROR(VLOOKUP(B703,'Master data'!$A$1:$F$1000,2,FALSE),"")</f>
        <v/>
      </c>
      <c r="D703" s="7" t="str">
        <f>IFERROR(VLOOKUP(B703,'Master data'!$A$1:$F$1000,6,FALSE),"")</f>
        <v/>
      </c>
      <c r="F703" s="7" t="str">
        <f>IFERROR(VLOOKUP(B703,'Master data'!$A$1:$F$1000,3,FALSE),"")</f>
        <v/>
      </c>
      <c r="G703" s="29"/>
      <c r="H703" s="29"/>
      <c r="I703" s="16"/>
      <c r="J703" s="16"/>
      <c r="K703" s="16" t="b">
        <v>0</v>
      </c>
      <c r="L703" s="16" t="b">
        <v>0</v>
      </c>
    </row>
    <row r="704">
      <c r="A704" s="108"/>
      <c r="B704" s="16"/>
      <c r="C704" s="7" t="str">
        <f>IFERROR(VLOOKUP(B704,'Master data'!$A$1:$F$1000,2,FALSE),"")</f>
        <v/>
      </c>
      <c r="D704" s="7" t="str">
        <f>IFERROR(VLOOKUP(B704,'Master data'!$A$1:$F$1000,6,FALSE),"")</f>
        <v/>
      </c>
      <c r="F704" s="7" t="str">
        <f>IFERROR(VLOOKUP(B704,'Master data'!$A$1:$F$1000,3,FALSE),"")</f>
        <v/>
      </c>
      <c r="G704" s="29"/>
      <c r="H704" s="29"/>
      <c r="I704" s="16"/>
      <c r="J704" s="16"/>
      <c r="K704" s="16" t="b">
        <v>0</v>
      </c>
      <c r="L704" s="16" t="b">
        <v>0</v>
      </c>
    </row>
    <row r="705">
      <c r="A705" s="108"/>
      <c r="B705" s="16"/>
      <c r="C705" s="7" t="str">
        <f>IFERROR(VLOOKUP(B705,'Master data'!$A$1:$F$1000,2,FALSE),"")</f>
        <v/>
      </c>
      <c r="D705" s="7" t="str">
        <f>IFERROR(VLOOKUP(B705,'Master data'!$A$1:$F$1000,6,FALSE),"")</f>
        <v/>
      </c>
      <c r="F705" s="7" t="str">
        <f>IFERROR(VLOOKUP(B705,'Master data'!$A$1:$F$1000,3,FALSE),"")</f>
        <v/>
      </c>
      <c r="G705" s="29"/>
      <c r="H705" s="29"/>
      <c r="I705" s="16"/>
      <c r="J705" s="16"/>
      <c r="K705" s="16" t="b">
        <v>0</v>
      </c>
      <c r="L705" s="16" t="b">
        <v>0</v>
      </c>
    </row>
    <row r="706">
      <c r="A706" s="108"/>
      <c r="B706" s="16"/>
      <c r="C706" s="7" t="str">
        <f>IFERROR(VLOOKUP(B706,'Master data'!$A$1:$F$1000,2,FALSE),"")</f>
        <v/>
      </c>
      <c r="D706" s="7" t="str">
        <f>IFERROR(VLOOKUP(B706,'Master data'!$A$1:$F$1000,6,FALSE),"")</f>
        <v/>
      </c>
      <c r="F706" s="7" t="str">
        <f>IFERROR(VLOOKUP(B706,'Master data'!$A$1:$F$1000,3,FALSE),"")</f>
        <v/>
      </c>
      <c r="G706" s="29"/>
      <c r="H706" s="29"/>
      <c r="I706" s="16"/>
      <c r="J706" s="16"/>
      <c r="K706" s="16" t="b">
        <v>0</v>
      </c>
      <c r="L706" s="16" t="b">
        <v>0</v>
      </c>
    </row>
    <row r="707">
      <c r="A707" s="108"/>
      <c r="B707" s="16"/>
      <c r="C707" s="7" t="str">
        <f>IFERROR(VLOOKUP(B707,'Master data'!$A$1:$F$1000,2,FALSE),"")</f>
        <v/>
      </c>
      <c r="D707" s="7" t="str">
        <f>IFERROR(VLOOKUP(B707,'Master data'!$A$1:$F$1000,6,FALSE),"")</f>
        <v/>
      </c>
      <c r="F707" s="7" t="str">
        <f>IFERROR(VLOOKUP(B707,'Master data'!$A$1:$F$1000,3,FALSE),"")</f>
        <v/>
      </c>
      <c r="G707" s="29"/>
      <c r="H707" s="29"/>
      <c r="I707" s="16"/>
      <c r="J707" s="16"/>
      <c r="K707" s="16" t="b">
        <v>0</v>
      </c>
      <c r="L707" s="16" t="b">
        <v>0</v>
      </c>
    </row>
    <row r="708">
      <c r="A708" s="108"/>
      <c r="B708" s="16"/>
      <c r="C708" s="7" t="str">
        <f>IFERROR(VLOOKUP(B708,'Master data'!$A$1:$F$1000,2,FALSE),"")</f>
        <v/>
      </c>
      <c r="D708" s="7" t="str">
        <f>IFERROR(VLOOKUP(B708,'Master data'!$A$1:$F$1000,6,FALSE),"")</f>
        <v/>
      </c>
      <c r="F708" s="7" t="str">
        <f>IFERROR(VLOOKUP(B708,'Master data'!$A$1:$F$1000,3,FALSE),"")</f>
        <v/>
      </c>
      <c r="G708" s="29"/>
      <c r="H708" s="29"/>
      <c r="I708" s="16"/>
      <c r="J708" s="16"/>
      <c r="K708" s="16" t="b">
        <v>0</v>
      </c>
      <c r="L708" s="16" t="b">
        <v>0</v>
      </c>
    </row>
    <row r="709">
      <c r="A709" s="108"/>
      <c r="B709" s="16"/>
      <c r="C709" s="7" t="str">
        <f>IFERROR(VLOOKUP(B709,'Master data'!$A$1:$F$1000,2,FALSE),"")</f>
        <v/>
      </c>
      <c r="D709" s="7" t="str">
        <f>IFERROR(VLOOKUP(B709,'Master data'!$A$1:$F$1000,6,FALSE),"")</f>
        <v/>
      </c>
      <c r="F709" s="7" t="str">
        <f>IFERROR(VLOOKUP(B709,'Master data'!$A$1:$F$1000,3,FALSE),"")</f>
        <v/>
      </c>
      <c r="G709" s="29"/>
      <c r="H709" s="29"/>
      <c r="I709" s="16"/>
      <c r="J709" s="16"/>
      <c r="K709" s="16" t="b">
        <v>0</v>
      </c>
      <c r="L709" s="16" t="b">
        <v>0</v>
      </c>
    </row>
    <row r="710">
      <c r="A710" s="108"/>
      <c r="B710" s="16"/>
      <c r="C710" s="7" t="str">
        <f>IFERROR(VLOOKUP(B710,'Master data'!$A$1:$F$1000,2,FALSE),"")</f>
        <v/>
      </c>
      <c r="D710" s="7" t="str">
        <f>IFERROR(VLOOKUP(B710,'Master data'!$A$1:$F$1000,6,FALSE),"")</f>
        <v/>
      </c>
      <c r="F710" s="7" t="str">
        <f>IFERROR(VLOOKUP(B710,'Master data'!$A$1:$F$1000,3,FALSE),"")</f>
        <v/>
      </c>
      <c r="G710" s="29"/>
      <c r="H710" s="29"/>
      <c r="I710" s="16"/>
      <c r="J710" s="16"/>
      <c r="K710" s="16" t="b">
        <v>0</v>
      </c>
      <c r="L710" s="16" t="b">
        <v>0</v>
      </c>
    </row>
    <row r="711">
      <c r="A711" s="108"/>
      <c r="B711" s="16"/>
      <c r="C711" s="7" t="str">
        <f>IFERROR(VLOOKUP(B711,'Master data'!$A$1:$F$1000,2,FALSE),"")</f>
        <v/>
      </c>
      <c r="D711" s="7" t="str">
        <f>IFERROR(VLOOKUP(B711,'Master data'!$A$1:$F$1000,6,FALSE),"")</f>
        <v/>
      </c>
      <c r="F711" s="7" t="str">
        <f>IFERROR(VLOOKUP(B711,'Master data'!$A$1:$F$1000,3,FALSE),"")</f>
        <v/>
      </c>
      <c r="G711" s="29"/>
      <c r="H711" s="29"/>
      <c r="I711" s="16"/>
      <c r="J711" s="16"/>
      <c r="K711" s="16" t="b">
        <v>0</v>
      </c>
      <c r="L711" s="16" t="b">
        <v>0</v>
      </c>
    </row>
    <row r="712">
      <c r="A712" s="108"/>
      <c r="B712" s="16"/>
      <c r="C712" s="7" t="str">
        <f>IFERROR(VLOOKUP(B712,'Master data'!$A$1:$F$1000,2,FALSE),"")</f>
        <v/>
      </c>
      <c r="D712" s="7" t="str">
        <f>IFERROR(VLOOKUP(B712,'Master data'!$A$1:$F$1000,6,FALSE),"")</f>
        <v/>
      </c>
      <c r="F712" s="7" t="str">
        <f>IFERROR(VLOOKUP(B712,'Master data'!$A$1:$F$1000,3,FALSE),"")</f>
        <v/>
      </c>
      <c r="G712" s="29"/>
      <c r="H712" s="29"/>
      <c r="I712" s="16"/>
      <c r="J712" s="16"/>
      <c r="K712" s="16" t="b">
        <v>0</v>
      </c>
      <c r="L712" s="16" t="b">
        <v>0</v>
      </c>
    </row>
    <row r="713">
      <c r="A713" s="108"/>
      <c r="B713" s="16"/>
      <c r="C713" s="7" t="str">
        <f>IFERROR(VLOOKUP(B713,'Master data'!$A$1:$F$1000,2,FALSE),"")</f>
        <v/>
      </c>
      <c r="D713" s="7" t="str">
        <f>IFERROR(VLOOKUP(B713,'Master data'!$A$1:$F$1000,6,FALSE),"")</f>
        <v/>
      </c>
      <c r="F713" s="7" t="str">
        <f>IFERROR(VLOOKUP(B713,'Master data'!$A$1:$F$1000,3,FALSE),"")</f>
        <v/>
      </c>
      <c r="G713" s="29"/>
      <c r="H713" s="29"/>
      <c r="I713" s="16"/>
      <c r="J713" s="16"/>
      <c r="K713" s="16" t="b">
        <v>0</v>
      </c>
      <c r="L713" s="16" t="b">
        <v>0</v>
      </c>
    </row>
    <row r="714">
      <c r="A714" s="108"/>
      <c r="B714" s="16"/>
      <c r="C714" s="7" t="str">
        <f>IFERROR(VLOOKUP(B714,'Master data'!$A$1:$F$1000,2,FALSE),"")</f>
        <v/>
      </c>
      <c r="D714" s="7" t="str">
        <f>IFERROR(VLOOKUP(B714,'Master data'!$A$1:$F$1000,6,FALSE),"")</f>
        <v/>
      </c>
      <c r="F714" s="7" t="str">
        <f>IFERROR(VLOOKUP(B714,'Master data'!$A$1:$F$1000,3,FALSE),"")</f>
        <v/>
      </c>
      <c r="G714" s="29"/>
      <c r="H714" s="29"/>
      <c r="I714" s="16"/>
      <c r="J714" s="16"/>
      <c r="K714" s="16" t="b">
        <v>0</v>
      </c>
      <c r="L714" s="16" t="b">
        <v>0</v>
      </c>
    </row>
    <row r="715">
      <c r="A715" s="108"/>
      <c r="B715" s="16"/>
      <c r="C715" s="7" t="str">
        <f>IFERROR(VLOOKUP(B715,'Master data'!$A$1:$F$1000,2,FALSE),"")</f>
        <v/>
      </c>
      <c r="D715" s="7" t="str">
        <f>IFERROR(VLOOKUP(B715,'Master data'!$A$1:$F$1000,6,FALSE),"")</f>
        <v/>
      </c>
      <c r="F715" s="7" t="str">
        <f>IFERROR(VLOOKUP(B715,'Master data'!$A$1:$F$1000,3,FALSE),"")</f>
        <v/>
      </c>
      <c r="G715" s="29"/>
      <c r="H715" s="29"/>
      <c r="I715" s="16"/>
      <c r="J715" s="16"/>
      <c r="K715" s="16" t="b">
        <v>0</v>
      </c>
      <c r="L715" s="16" t="b">
        <v>0</v>
      </c>
    </row>
    <row r="716">
      <c r="A716" s="108"/>
      <c r="B716" s="16"/>
      <c r="C716" s="7" t="str">
        <f>IFERROR(VLOOKUP(B716,'Master data'!$A$1:$F$1000,2,FALSE),"")</f>
        <v/>
      </c>
      <c r="D716" s="7" t="str">
        <f>IFERROR(VLOOKUP(B716,'Master data'!$A$1:$F$1000,6,FALSE),"")</f>
        <v/>
      </c>
      <c r="F716" s="7" t="str">
        <f>IFERROR(VLOOKUP(B716,'Master data'!$A$1:$F$1000,3,FALSE),"")</f>
        <v/>
      </c>
      <c r="G716" s="29"/>
      <c r="H716" s="29"/>
      <c r="I716" s="16"/>
      <c r="J716" s="16"/>
      <c r="K716" s="16" t="b">
        <v>0</v>
      </c>
      <c r="L716" s="16" t="b">
        <v>0</v>
      </c>
    </row>
    <row r="717">
      <c r="A717" s="108"/>
      <c r="B717" s="16"/>
      <c r="C717" s="7" t="str">
        <f>IFERROR(VLOOKUP(B717,'Master data'!$A$1:$F$1000,2,FALSE),"")</f>
        <v/>
      </c>
      <c r="D717" s="7" t="str">
        <f>IFERROR(VLOOKUP(B717,'Master data'!$A$1:$F$1000,6,FALSE),"")</f>
        <v/>
      </c>
      <c r="F717" s="7" t="str">
        <f>IFERROR(VLOOKUP(B717,'Master data'!$A$1:$F$1000,3,FALSE),"")</f>
        <v/>
      </c>
      <c r="G717" s="29"/>
      <c r="H717" s="29"/>
      <c r="I717" s="16"/>
      <c r="J717" s="16"/>
      <c r="K717" s="16" t="b">
        <v>0</v>
      </c>
      <c r="L717" s="16" t="b">
        <v>0</v>
      </c>
    </row>
    <row r="718">
      <c r="A718" s="108"/>
      <c r="B718" s="16"/>
      <c r="C718" s="7" t="str">
        <f>IFERROR(VLOOKUP(B718,'Master data'!$A$1:$F$1000,2,FALSE),"")</f>
        <v/>
      </c>
      <c r="D718" s="7" t="str">
        <f>IFERROR(VLOOKUP(B718,'Master data'!$A$1:$F$1000,6,FALSE),"")</f>
        <v/>
      </c>
      <c r="F718" s="7" t="str">
        <f>IFERROR(VLOOKUP(B718,'Master data'!$A$1:$F$1000,3,FALSE),"")</f>
        <v/>
      </c>
      <c r="G718" s="29"/>
      <c r="H718" s="29"/>
      <c r="I718" s="16"/>
      <c r="J718" s="16"/>
      <c r="K718" s="16" t="b">
        <v>0</v>
      </c>
      <c r="L718" s="16" t="b">
        <v>0</v>
      </c>
    </row>
    <row r="719">
      <c r="A719" s="108"/>
      <c r="B719" s="16"/>
      <c r="C719" s="7" t="str">
        <f>IFERROR(VLOOKUP(B719,'Master data'!$A$1:$F$1000,2,FALSE),"")</f>
        <v/>
      </c>
      <c r="D719" s="7" t="str">
        <f>IFERROR(VLOOKUP(B719,'Master data'!$A$1:$F$1000,6,FALSE),"")</f>
        <v/>
      </c>
      <c r="F719" s="7" t="str">
        <f>IFERROR(VLOOKUP(B719,'Master data'!$A$1:$F$1000,3,FALSE),"")</f>
        <v/>
      </c>
      <c r="G719" s="29"/>
      <c r="H719" s="29"/>
      <c r="I719" s="16"/>
      <c r="J719" s="16"/>
      <c r="K719" s="16" t="b">
        <v>0</v>
      </c>
      <c r="L719" s="16" t="b">
        <v>0</v>
      </c>
    </row>
    <row r="720">
      <c r="A720" s="108"/>
      <c r="B720" s="16"/>
      <c r="C720" s="7" t="str">
        <f>IFERROR(VLOOKUP(B720,'Master data'!$A$1:$F$1000,2,FALSE),"")</f>
        <v/>
      </c>
      <c r="D720" s="7" t="str">
        <f>IFERROR(VLOOKUP(B720,'Master data'!$A$1:$F$1000,6,FALSE),"")</f>
        <v/>
      </c>
      <c r="F720" s="7" t="str">
        <f>IFERROR(VLOOKUP(B720,'Master data'!$A$1:$F$1000,3,FALSE),"")</f>
        <v/>
      </c>
      <c r="G720" s="29"/>
      <c r="H720" s="29"/>
      <c r="I720" s="16"/>
      <c r="J720" s="16"/>
      <c r="K720" s="16" t="b">
        <v>0</v>
      </c>
      <c r="L720" s="16" t="b">
        <v>0</v>
      </c>
    </row>
    <row r="721">
      <c r="A721" s="108"/>
      <c r="B721" s="16"/>
      <c r="C721" s="7" t="str">
        <f>IFERROR(VLOOKUP(B721,'Master data'!$A$1:$F$1000,2,FALSE),"")</f>
        <v/>
      </c>
      <c r="D721" s="7" t="str">
        <f>IFERROR(VLOOKUP(B721,'Master data'!$A$1:$F$1000,6,FALSE),"")</f>
        <v/>
      </c>
      <c r="F721" s="7" t="str">
        <f>IFERROR(VLOOKUP(B721,'Master data'!$A$1:$F$1000,3,FALSE),"")</f>
        <v/>
      </c>
      <c r="G721" s="29"/>
      <c r="H721" s="29"/>
      <c r="I721" s="16"/>
      <c r="J721" s="16"/>
      <c r="K721" s="16" t="b">
        <v>0</v>
      </c>
      <c r="L721" s="16" t="b">
        <v>0</v>
      </c>
    </row>
    <row r="722">
      <c r="A722" s="108"/>
      <c r="B722" s="16"/>
      <c r="C722" s="7" t="str">
        <f>IFERROR(VLOOKUP(B722,'Master data'!$A$1:$F$1000,2,FALSE),"")</f>
        <v/>
      </c>
      <c r="D722" s="7" t="str">
        <f>IFERROR(VLOOKUP(B722,'Master data'!$A$1:$F$1000,6,FALSE),"")</f>
        <v/>
      </c>
      <c r="F722" s="7" t="str">
        <f>IFERROR(VLOOKUP(B722,'Master data'!$A$1:$F$1000,3,FALSE),"")</f>
        <v/>
      </c>
      <c r="G722" s="29"/>
      <c r="H722" s="29"/>
      <c r="I722" s="16"/>
      <c r="J722" s="16"/>
      <c r="K722" s="16" t="b">
        <v>0</v>
      </c>
      <c r="L722" s="16" t="b">
        <v>0</v>
      </c>
    </row>
    <row r="723">
      <c r="A723" s="108"/>
      <c r="B723" s="16"/>
      <c r="C723" s="7" t="str">
        <f>IFERROR(VLOOKUP(B723,'Master data'!$A$1:$F$1000,2,FALSE),"")</f>
        <v/>
      </c>
      <c r="D723" s="7" t="str">
        <f>IFERROR(VLOOKUP(B723,'Master data'!$A$1:$F$1000,6,FALSE),"")</f>
        <v/>
      </c>
      <c r="F723" s="7" t="str">
        <f>IFERROR(VLOOKUP(B723,'Master data'!$A$1:$F$1000,3,FALSE),"")</f>
        <v/>
      </c>
      <c r="G723" s="29"/>
      <c r="H723" s="29"/>
      <c r="I723" s="16"/>
      <c r="J723" s="16"/>
      <c r="K723" s="16" t="b">
        <v>0</v>
      </c>
      <c r="L723" s="16" t="b">
        <v>0</v>
      </c>
    </row>
    <row r="724">
      <c r="A724" s="108"/>
      <c r="B724" s="16"/>
      <c r="C724" s="7" t="str">
        <f>IFERROR(VLOOKUP(B724,'Master data'!$A$1:$F$1000,2,FALSE),"")</f>
        <v/>
      </c>
      <c r="D724" s="7" t="str">
        <f>IFERROR(VLOOKUP(B724,'Master data'!$A$1:$F$1000,6,FALSE),"")</f>
        <v/>
      </c>
      <c r="F724" s="7" t="str">
        <f>IFERROR(VLOOKUP(B724,'Master data'!$A$1:$F$1000,3,FALSE),"")</f>
        <v/>
      </c>
      <c r="G724" s="29"/>
      <c r="H724" s="29"/>
      <c r="I724" s="16"/>
      <c r="J724" s="16"/>
      <c r="K724" s="16" t="b">
        <v>0</v>
      </c>
      <c r="L724" s="16" t="b">
        <v>0</v>
      </c>
    </row>
    <row r="725">
      <c r="A725" s="108"/>
      <c r="B725" s="16"/>
      <c r="C725" s="7" t="str">
        <f>IFERROR(VLOOKUP(B725,'Master data'!$A$1:$F$1000,2,FALSE),"")</f>
        <v/>
      </c>
      <c r="D725" s="7" t="str">
        <f>IFERROR(VLOOKUP(B725,'Master data'!$A$1:$F$1000,6,FALSE),"")</f>
        <v/>
      </c>
      <c r="F725" s="7" t="str">
        <f>IFERROR(VLOOKUP(B725,'Master data'!$A$1:$F$1000,3,FALSE),"")</f>
        <v/>
      </c>
      <c r="G725" s="29"/>
      <c r="H725" s="29"/>
      <c r="I725" s="16"/>
      <c r="J725" s="16"/>
      <c r="K725" s="16" t="b">
        <v>0</v>
      </c>
      <c r="L725" s="16" t="b">
        <v>0</v>
      </c>
    </row>
    <row r="726">
      <c r="A726" s="108"/>
      <c r="B726" s="16"/>
      <c r="C726" s="7" t="str">
        <f>IFERROR(VLOOKUP(B726,'Master data'!$A$1:$F$1000,2,FALSE),"")</f>
        <v/>
      </c>
      <c r="D726" s="7" t="str">
        <f>IFERROR(VLOOKUP(B726,'Master data'!$A$1:$F$1000,6,FALSE),"")</f>
        <v/>
      </c>
      <c r="F726" s="7" t="str">
        <f>IFERROR(VLOOKUP(B726,'Master data'!$A$1:$F$1000,3,FALSE),"")</f>
        <v/>
      </c>
      <c r="G726" s="29"/>
      <c r="H726" s="29"/>
      <c r="I726" s="16"/>
      <c r="J726" s="16"/>
      <c r="K726" s="16" t="b">
        <v>0</v>
      </c>
      <c r="L726" s="16" t="b">
        <v>0</v>
      </c>
    </row>
    <row r="727">
      <c r="A727" s="108"/>
      <c r="B727" s="16"/>
      <c r="C727" s="7" t="str">
        <f>IFERROR(VLOOKUP(B727,'Master data'!$A$1:$F$1000,2,FALSE),"")</f>
        <v/>
      </c>
      <c r="D727" s="7" t="str">
        <f>IFERROR(VLOOKUP(B727,'Master data'!$A$1:$F$1000,6,FALSE),"")</f>
        <v/>
      </c>
      <c r="F727" s="7" t="str">
        <f>IFERROR(VLOOKUP(B727,'Master data'!$A$1:$F$1000,3,FALSE),"")</f>
        <v/>
      </c>
      <c r="G727" s="29"/>
      <c r="H727" s="29"/>
      <c r="I727" s="16"/>
      <c r="J727" s="16"/>
      <c r="K727" s="16" t="b">
        <v>0</v>
      </c>
      <c r="L727" s="16" t="b">
        <v>0</v>
      </c>
    </row>
    <row r="728">
      <c r="A728" s="108"/>
      <c r="B728" s="16"/>
      <c r="C728" s="7" t="str">
        <f>IFERROR(VLOOKUP(B728,'Master data'!$A$1:$F$1000,2,FALSE),"")</f>
        <v/>
      </c>
      <c r="D728" s="7" t="str">
        <f>IFERROR(VLOOKUP(B728,'Master data'!$A$1:$F$1000,6,FALSE),"")</f>
        <v/>
      </c>
      <c r="F728" s="7" t="str">
        <f>IFERROR(VLOOKUP(B728,'Master data'!$A$1:$F$1000,3,FALSE),"")</f>
        <v/>
      </c>
      <c r="G728" s="29"/>
      <c r="H728" s="29"/>
      <c r="I728" s="16"/>
      <c r="J728" s="16"/>
      <c r="K728" s="16" t="b">
        <v>0</v>
      </c>
      <c r="L728" s="16" t="b">
        <v>0</v>
      </c>
    </row>
    <row r="729">
      <c r="A729" s="108"/>
      <c r="B729" s="16"/>
      <c r="C729" s="7" t="str">
        <f>IFERROR(VLOOKUP(B729,'Master data'!$A$1:$F$1000,2,FALSE),"")</f>
        <v/>
      </c>
      <c r="D729" s="7" t="str">
        <f>IFERROR(VLOOKUP(B729,'Master data'!$A$1:$F$1000,6,FALSE),"")</f>
        <v/>
      </c>
      <c r="F729" s="7" t="str">
        <f>IFERROR(VLOOKUP(B729,'Master data'!$A$1:$F$1000,3,FALSE),"")</f>
        <v/>
      </c>
      <c r="G729" s="29"/>
      <c r="H729" s="29"/>
      <c r="I729" s="16"/>
      <c r="J729" s="16"/>
      <c r="K729" s="16" t="b">
        <v>0</v>
      </c>
      <c r="L729" s="16" t="b">
        <v>0</v>
      </c>
    </row>
    <row r="730">
      <c r="A730" s="108"/>
      <c r="B730" s="16"/>
      <c r="C730" s="7" t="str">
        <f>IFERROR(VLOOKUP(B730,'Master data'!$A$1:$F$1000,2,FALSE),"")</f>
        <v/>
      </c>
      <c r="D730" s="7" t="str">
        <f>IFERROR(VLOOKUP(B730,'Master data'!$A$1:$F$1000,6,FALSE),"")</f>
        <v/>
      </c>
      <c r="F730" s="7" t="str">
        <f>IFERROR(VLOOKUP(B730,'Master data'!$A$1:$F$1000,3,FALSE),"")</f>
        <v/>
      </c>
      <c r="G730" s="29"/>
      <c r="H730" s="29"/>
      <c r="I730" s="16"/>
      <c r="J730" s="16"/>
      <c r="K730" s="16" t="b">
        <v>0</v>
      </c>
      <c r="L730" s="16" t="b">
        <v>0</v>
      </c>
    </row>
    <row r="731">
      <c r="A731" s="108"/>
      <c r="B731" s="16"/>
      <c r="C731" s="7" t="str">
        <f>IFERROR(VLOOKUP(B731,'Master data'!$A$1:$F$1000,2,FALSE),"")</f>
        <v/>
      </c>
      <c r="D731" s="7" t="str">
        <f>IFERROR(VLOOKUP(B731,'Master data'!$A$1:$F$1000,6,FALSE),"")</f>
        <v/>
      </c>
      <c r="F731" s="7" t="str">
        <f>IFERROR(VLOOKUP(B731,'Master data'!$A$1:$F$1000,3,FALSE),"")</f>
        <v/>
      </c>
      <c r="G731" s="29"/>
      <c r="H731" s="29"/>
      <c r="I731" s="16"/>
      <c r="J731" s="16"/>
      <c r="K731" s="16" t="b">
        <v>0</v>
      </c>
      <c r="L731" s="16" t="b">
        <v>0</v>
      </c>
    </row>
    <row r="732">
      <c r="A732" s="108"/>
      <c r="B732" s="16"/>
      <c r="C732" s="7" t="str">
        <f>IFERROR(VLOOKUP(B732,'Master data'!$A$1:$F$1000,2,FALSE),"")</f>
        <v/>
      </c>
      <c r="D732" s="7" t="str">
        <f>IFERROR(VLOOKUP(B732,'Master data'!$A$1:$F$1000,6,FALSE),"")</f>
        <v/>
      </c>
      <c r="F732" s="7" t="str">
        <f>IFERROR(VLOOKUP(B732,'Master data'!$A$1:$F$1000,3,FALSE),"")</f>
        <v/>
      </c>
      <c r="G732" s="29"/>
      <c r="H732" s="29"/>
      <c r="I732" s="16"/>
      <c r="J732" s="16"/>
      <c r="K732" s="16" t="b">
        <v>0</v>
      </c>
      <c r="L732" s="16" t="b">
        <v>0</v>
      </c>
    </row>
    <row r="733">
      <c r="A733" s="108"/>
      <c r="B733" s="16"/>
      <c r="C733" s="7" t="str">
        <f>IFERROR(VLOOKUP(B733,'Master data'!$A$1:$F$1000,2,FALSE),"")</f>
        <v/>
      </c>
      <c r="D733" s="7" t="str">
        <f>IFERROR(VLOOKUP(B733,'Master data'!$A$1:$F$1000,6,FALSE),"")</f>
        <v/>
      </c>
      <c r="F733" s="7" t="str">
        <f>IFERROR(VLOOKUP(B733,'Master data'!$A$1:$F$1000,3,FALSE),"")</f>
        <v/>
      </c>
      <c r="G733" s="29"/>
      <c r="H733" s="29"/>
      <c r="I733" s="16"/>
      <c r="J733" s="16"/>
      <c r="K733" s="16" t="b">
        <v>0</v>
      </c>
      <c r="L733" s="16" t="b">
        <v>0</v>
      </c>
    </row>
    <row r="734">
      <c r="A734" s="108"/>
      <c r="B734" s="16"/>
      <c r="C734" s="7" t="str">
        <f>IFERROR(VLOOKUP(B734,'Master data'!$A$1:$F$1000,2,FALSE),"")</f>
        <v/>
      </c>
      <c r="D734" s="7" t="str">
        <f>IFERROR(VLOOKUP(B734,'Master data'!$A$1:$F$1000,6,FALSE),"")</f>
        <v/>
      </c>
      <c r="F734" s="7" t="str">
        <f>IFERROR(VLOOKUP(B734,'Master data'!$A$1:$F$1000,3,FALSE),"")</f>
        <v/>
      </c>
      <c r="G734" s="29"/>
      <c r="H734" s="29"/>
      <c r="I734" s="16"/>
      <c r="J734" s="16"/>
      <c r="K734" s="16" t="b">
        <v>0</v>
      </c>
      <c r="L734" s="16" t="b">
        <v>0</v>
      </c>
    </row>
    <row r="735">
      <c r="A735" s="108"/>
      <c r="B735" s="16"/>
      <c r="C735" s="7" t="str">
        <f>IFERROR(VLOOKUP(B735,'Master data'!$A$1:$F$1000,2,FALSE),"")</f>
        <v/>
      </c>
      <c r="D735" s="7" t="str">
        <f>IFERROR(VLOOKUP(B735,'Master data'!$A$1:$F$1000,6,FALSE),"")</f>
        <v/>
      </c>
      <c r="F735" s="7" t="str">
        <f>IFERROR(VLOOKUP(B735,'Master data'!$A$1:$F$1000,3,FALSE),"")</f>
        <v/>
      </c>
      <c r="G735" s="29"/>
      <c r="H735" s="29"/>
      <c r="I735" s="16"/>
      <c r="J735" s="16"/>
      <c r="K735" s="16" t="b">
        <v>0</v>
      </c>
      <c r="L735" s="16" t="b">
        <v>0</v>
      </c>
    </row>
    <row r="736">
      <c r="A736" s="108"/>
      <c r="B736" s="16"/>
      <c r="C736" s="7" t="str">
        <f>IFERROR(VLOOKUP(B736,'Master data'!$A$1:$F$1000,2,FALSE),"")</f>
        <v/>
      </c>
      <c r="D736" s="7" t="str">
        <f>IFERROR(VLOOKUP(B736,'Master data'!$A$1:$F$1000,6,FALSE),"")</f>
        <v/>
      </c>
      <c r="F736" s="7" t="str">
        <f>IFERROR(VLOOKUP(B736,'Master data'!$A$1:$F$1000,3,FALSE),"")</f>
        <v/>
      </c>
      <c r="G736" s="29"/>
      <c r="H736" s="29"/>
      <c r="I736" s="16"/>
      <c r="J736" s="16"/>
      <c r="K736" s="16" t="b">
        <v>0</v>
      </c>
      <c r="L736" s="16" t="b">
        <v>0</v>
      </c>
    </row>
    <row r="737">
      <c r="A737" s="108"/>
      <c r="B737" s="16"/>
      <c r="C737" s="7" t="str">
        <f>IFERROR(VLOOKUP(B737,'Master data'!$A$1:$F$1000,2,FALSE),"")</f>
        <v/>
      </c>
      <c r="D737" s="7" t="str">
        <f>IFERROR(VLOOKUP(B737,'Master data'!$A$1:$F$1000,6,FALSE),"")</f>
        <v/>
      </c>
      <c r="F737" s="7" t="str">
        <f>IFERROR(VLOOKUP(B737,'Master data'!$A$1:$F$1000,3,FALSE),"")</f>
        <v/>
      </c>
      <c r="G737" s="29"/>
      <c r="H737" s="29"/>
      <c r="I737" s="16"/>
      <c r="J737" s="16"/>
      <c r="K737" s="16" t="b">
        <v>0</v>
      </c>
      <c r="L737" s="16" t="b">
        <v>0</v>
      </c>
    </row>
    <row r="738">
      <c r="A738" s="108"/>
      <c r="B738" s="16"/>
      <c r="C738" s="7" t="str">
        <f>IFERROR(VLOOKUP(B738,'Master data'!$A$1:$F$1000,2,FALSE),"")</f>
        <v/>
      </c>
      <c r="D738" s="7" t="str">
        <f>IFERROR(VLOOKUP(B738,'Master data'!$A$1:$F$1000,6,FALSE),"")</f>
        <v/>
      </c>
      <c r="F738" s="7" t="str">
        <f>IFERROR(VLOOKUP(B738,'Master data'!$A$1:$F$1000,3,FALSE),"")</f>
        <v/>
      </c>
      <c r="G738" s="29"/>
      <c r="H738" s="29"/>
      <c r="I738" s="16"/>
      <c r="J738" s="16"/>
      <c r="K738" s="16" t="b">
        <v>0</v>
      </c>
      <c r="L738" s="16" t="b">
        <v>0</v>
      </c>
    </row>
    <row r="739">
      <c r="A739" s="108"/>
      <c r="B739" s="16"/>
      <c r="C739" s="7" t="str">
        <f>IFERROR(VLOOKUP(B739,'Master data'!$A$1:$F$1000,2,FALSE),"")</f>
        <v/>
      </c>
      <c r="D739" s="7" t="str">
        <f>IFERROR(VLOOKUP(B739,'Master data'!$A$1:$F$1000,6,FALSE),"")</f>
        <v/>
      </c>
      <c r="F739" s="7" t="str">
        <f>IFERROR(VLOOKUP(B739,'Master data'!$A$1:$F$1000,3,FALSE),"")</f>
        <v/>
      </c>
      <c r="G739" s="29"/>
      <c r="H739" s="29"/>
      <c r="I739" s="16"/>
      <c r="J739" s="16"/>
      <c r="K739" s="16" t="b">
        <v>0</v>
      </c>
      <c r="L739" s="16" t="b">
        <v>0</v>
      </c>
    </row>
    <row r="740">
      <c r="A740" s="108"/>
      <c r="B740" s="16"/>
      <c r="C740" s="7" t="str">
        <f>IFERROR(VLOOKUP(B740,'Master data'!$A$1:$F$1000,2,FALSE),"")</f>
        <v/>
      </c>
      <c r="D740" s="7" t="str">
        <f>IFERROR(VLOOKUP(B740,'Master data'!$A$1:$F$1000,6,FALSE),"")</f>
        <v/>
      </c>
      <c r="F740" s="7" t="str">
        <f>IFERROR(VLOOKUP(B740,'Master data'!$A$1:$F$1000,3,FALSE),"")</f>
        <v/>
      </c>
      <c r="G740" s="29"/>
      <c r="H740" s="29"/>
      <c r="I740" s="16"/>
      <c r="J740" s="16"/>
      <c r="K740" s="16" t="b">
        <v>0</v>
      </c>
      <c r="L740" s="16" t="b">
        <v>0</v>
      </c>
    </row>
    <row r="741">
      <c r="A741" s="108"/>
      <c r="B741" s="16"/>
      <c r="C741" s="7" t="str">
        <f>IFERROR(VLOOKUP(B741,'Master data'!$A$1:$F$1000,2,FALSE),"")</f>
        <v/>
      </c>
      <c r="D741" s="7" t="str">
        <f>IFERROR(VLOOKUP(B741,'Master data'!$A$1:$F$1000,6,FALSE),"")</f>
        <v/>
      </c>
      <c r="F741" s="7" t="str">
        <f>IFERROR(VLOOKUP(B741,'Master data'!$A$1:$F$1000,3,FALSE),"")</f>
        <v/>
      </c>
      <c r="G741" s="29"/>
      <c r="H741" s="29"/>
      <c r="I741" s="16"/>
      <c r="J741" s="16"/>
      <c r="K741" s="16" t="b">
        <v>0</v>
      </c>
      <c r="L741" s="16" t="b">
        <v>0</v>
      </c>
    </row>
    <row r="742">
      <c r="A742" s="108"/>
      <c r="B742" s="16"/>
      <c r="C742" s="7" t="str">
        <f>IFERROR(VLOOKUP(B742,'Master data'!$A$1:$F$1000,2,FALSE),"")</f>
        <v/>
      </c>
      <c r="D742" s="7" t="str">
        <f>IFERROR(VLOOKUP(B742,'Master data'!$A$1:$F$1000,6,FALSE),"")</f>
        <v/>
      </c>
      <c r="F742" s="7" t="str">
        <f>IFERROR(VLOOKUP(B742,'Master data'!$A$1:$F$1000,3,FALSE),"")</f>
        <v/>
      </c>
      <c r="G742" s="29"/>
      <c r="H742" s="29"/>
      <c r="I742" s="16"/>
      <c r="J742" s="16"/>
      <c r="K742" s="16" t="b">
        <v>0</v>
      </c>
      <c r="L742" s="16" t="b">
        <v>0</v>
      </c>
    </row>
    <row r="743">
      <c r="A743" s="108"/>
      <c r="B743" s="16"/>
      <c r="C743" s="7" t="str">
        <f>IFERROR(VLOOKUP(B743,'Master data'!$A$1:$F$1000,2,FALSE),"")</f>
        <v/>
      </c>
      <c r="D743" s="7" t="str">
        <f>IFERROR(VLOOKUP(B743,'Master data'!$A$1:$F$1000,6,FALSE),"")</f>
        <v/>
      </c>
      <c r="F743" s="7" t="str">
        <f>IFERROR(VLOOKUP(B743,'Master data'!$A$1:$F$1000,3,FALSE),"")</f>
        <v/>
      </c>
      <c r="G743" s="29"/>
      <c r="H743" s="29"/>
      <c r="I743" s="16"/>
      <c r="J743" s="16"/>
      <c r="K743" s="16" t="b">
        <v>0</v>
      </c>
      <c r="L743" s="16" t="b">
        <v>0</v>
      </c>
    </row>
    <row r="744">
      <c r="A744" s="108"/>
      <c r="B744" s="16"/>
      <c r="C744" s="7" t="str">
        <f>IFERROR(VLOOKUP(B744,'Master data'!$A$1:$F$1000,2,FALSE),"")</f>
        <v/>
      </c>
      <c r="D744" s="7" t="str">
        <f>IFERROR(VLOOKUP(B744,'Master data'!$A$1:$F$1000,6,FALSE),"")</f>
        <v/>
      </c>
      <c r="F744" s="7" t="str">
        <f>IFERROR(VLOOKUP(B744,'Master data'!$A$1:$F$1000,3,FALSE),"")</f>
        <v/>
      </c>
      <c r="G744" s="29"/>
      <c r="H744" s="29"/>
      <c r="I744" s="16"/>
      <c r="J744" s="16"/>
      <c r="K744" s="16" t="b">
        <v>0</v>
      </c>
      <c r="L744" s="16" t="b">
        <v>0</v>
      </c>
    </row>
    <row r="745">
      <c r="A745" s="108"/>
      <c r="B745" s="16"/>
      <c r="C745" s="7" t="str">
        <f>IFERROR(VLOOKUP(B745,'Master data'!$A$1:$F$1000,2,FALSE),"")</f>
        <v/>
      </c>
      <c r="D745" s="7" t="str">
        <f>IFERROR(VLOOKUP(B745,'Master data'!$A$1:$F$1000,6,FALSE),"")</f>
        <v/>
      </c>
      <c r="F745" s="7" t="str">
        <f>IFERROR(VLOOKUP(B745,'Master data'!$A$1:$F$1000,3,FALSE),"")</f>
        <v/>
      </c>
      <c r="G745" s="29"/>
      <c r="H745" s="29"/>
      <c r="I745" s="16"/>
      <c r="J745" s="16"/>
      <c r="K745" s="16" t="b">
        <v>0</v>
      </c>
      <c r="L745" s="16" t="b">
        <v>0</v>
      </c>
    </row>
    <row r="746">
      <c r="A746" s="108"/>
      <c r="B746" s="16"/>
      <c r="C746" s="7" t="str">
        <f>IFERROR(VLOOKUP(B746,'Master data'!$A$1:$F$1000,2,FALSE),"")</f>
        <v/>
      </c>
      <c r="D746" s="7" t="str">
        <f>IFERROR(VLOOKUP(B746,'Master data'!$A$1:$F$1000,6,FALSE),"")</f>
        <v/>
      </c>
      <c r="F746" s="7" t="str">
        <f>IFERROR(VLOOKUP(B746,'Master data'!$A$1:$F$1000,3,FALSE),"")</f>
        <v/>
      </c>
      <c r="G746" s="29"/>
      <c r="H746" s="29"/>
      <c r="I746" s="16"/>
      <c r="J746" s="16"/>
      <c r="K746" s="16" t="b">
        <v>0</v>
      </c>
      <c r="L746" s="16" t="b">
        <v>0</v>
      </c>
    </row>
    <row r="747">
      <c r="A747" s="108"/>
      <c r="B747" s="16"/>
      <c r="C747" s="7" t="str">
        <f>IFERROR(VLOOKUP(B747,'Master data'!$A$1:$F$1000,2,FALSE),"")</f>
        <v/>
      </c>
      <c r="D747" s="7" t="str">
        <f>IFERROR(VLOOKUP(B747,'Master data'!$A$1:$F$1000,6,FALSE),"")</f>
        <v/>
      </c>
      <c r="F747" s="7" t="str">
        <f>IFERROR(VLOOKUP(B747,'Master data'!$A$1:$F$1000,3,FALSE),"")</f>
        <v/>
      </c>
      <c r="G747" s="29"/>
      <c r="H747" s="29"/>
      <c r="I747" s="16"/>
      <c r="J747" s="16"/>
      <c r="K747" s="16" t="b">
        <v>0</v>
      </c>
      <c r="L747" s="16" t="b">
        <v>0</v>
      </c>
    </row>
    <row r="748">
      <c r="A748" s="108"/>
      <c r="B748" s="16"/>
      <c r="C748" s="7" t="str">
        <f>IFERROR(VLOOKUP(B748,'Master data'!$A$1:$F$1000,2,FALSE),"")</f>
        <v/>
      </c>
      <c r="D748" s="7" t="str">
        <f>IFERROR(VLOOKUP(B748,'Master data'!$A$1:$F$1000,6,FALSE),"")</f>
        <v/>
      </c>
      <c r="F748" s="7" t="str">
        <f>IFERROR(VLOOKUP(B748,'Master data'!$A$1:$F$1000,3,FALSE),"")</f>
        <v/>
      </c>
      <c r="G748" s="29"/>
      <c r="H748" s="29"/>
      <c r="I748" s="16"/>
      <c r="J748" s="16"/>
      <c r="K748" s="16" t="b">
        <v>0</v>
      </c>
      <c r="L748" s="16" t="b">
        <v>0</v>
      </c>
    </row>
    <row r="749">
      <c r="A749" s="108"/>
      <c r="B749" s="16"/>
      <c r="C749" s="7" t="str">
        <f>IFERROR(VLOOKUP(B749,'Master data'!$A$1:$F$1000,2,FALSE),"")</f>
        <v/>
      </c>
      <c r="D749" s="7" t="str">
        <f>IFERROR(VLOOKUP(B749,'Master data'!$A$1:$F$1000,6,FALSE),"")</f>
        <v/>
      </c>
      <c r="F749" s="7" t="str">
        <f>IFERROR(VLOOKUP(B749,'Master data'!$A$1:$F$1000,3,FALSE),"")</f>
        <v/>
      </c>
      <c r="G749" s="29"/>
      <c r="H749" s="29"/>
      <c r="I749" s="16"/>
      <c r="J749" s="16"/>
      <c r="K749" s="16" t="b">
        <v>0</v>
      </c>
      <c r="L749" s="16" t="b">
        <v>0</v>
      </c>
    </row>
    <row r="750">
      <c r="A750" s="108"/>
      <c r="B750" s="16"/>
      <c r="C750" s="7" t="str">
        <f>IFERROR(VLOOKUP(B750,'Master data'!$A$1:$F$1000,2,FALSE),"")</f>
        <v/>
      </c>
      <c r="D750" s="7" t="str">
        <f>IFERROR(VLOOKUP(B750,'Master data'!$A$1:$F$1000,6,FALSE),"")</f>
        <v/>
      </c>
      <c r="F750" s="7" t="str">
        <f>IFERROR(VLOOKUP(B750,'Master data'!$A$1:$F$1000,3,FALSE),"")</f>
        <v/>
      </c>
      <c r="G750" s="29"/>
      <c r="H750" s="29"/>
      <c r="I750" s="16"/>
      <c r="J750" s="16"/>
      <c r="K750" s="16" t="b">
        <v>0</v>
      </c>
      <c r="L750" s="16" t="b">
        <v>0</v>
      </c>
    </row>
    <row r="751">
      <c r="A751" s="108"/>
      <c r="B751" s="16"/>
      <c r="C751" s="7" t="str">
        <f>IFERROR(VLOOKUP(B751,'Master data'!$A$1:$F$1000,2,FALSE),"")</f>
        <v/>
      </c>
      <c r="D751" s="7" t="str">
        <f>IFERROR(VLOOKUP(B751,'Master data'!$A$1:$F$1000,6,FALSE),"")</f>
        <v/>
      </c>
      <c r="F751" s="7" t="str">
        <f>IFERROR(VLOOKUP(B751,'Master data'!$A$1:$F$1000,3,FALSE),"")</f>
        <v/>
      </c>
      <c r="G751" s="29"/>
      <c r="H751" s="29"/>
      <c r="I751" s="16"/>
      <c r="J751" s="16"/>
      <c r="K751" s="16" t="b">
        <v>0</v>
      </c>
      <c r="L751" s="16" t="b">
        <v>0</v>
      </c>
    </row>
    <row r="752">
      <c r="A752" s="108"/>
      <c r="B752" s="16"/>
      <c r="C752" s="7" t="str">
        <f>IFERROR(VLOOKUP(B752,'Master data'!$A$1:$F$1000,2,FALSE),"")</f>
        <v/>
      </c>
      <c r="D752" s="7" t="str">
        <f>IFERROR(VLOOKUP(B752,'Master data'!$A$1:$F$1000,6,FALSE),"")</f>
        <v/>
      </c>
      <c r="F752" s="7" t="str">
        <f>IFERROR(VLOOKUP(B752,'Master data'!$A$1:$F$1000,3,FALSE),"")</f>
        <v/>
      </c>
      <c r="G752" s="29"/>
      <c r="H752" s="29"/>
      <c r="I752" s="16"/>
      <c r="J752" s="16"/>
      <c r="K752" s="16" t="b">
        <v>0</v>
      </c>
      <c r="L752" s="16" t="b">
        <v>0</v>
      </c>
    </row>
    <row r="753">
      <c r="A753" s="108"/>
      <c r="B753" s="16"/>
      <c r="C753" s="7" t="str">
        <f>IFERROR(VLOOKUP(B753,'Master data'!$A$1:$F$1000,2,FALSE),"")</f>
        <v/>
      </c>
      <c r="D753" s="7" t="str">
        <f>IFERROR(VLOOKUP(B753,'Master data'!$A$1:$F$1000,6,FALSE),"")</f>
        <v/>
      </c>
      <c r="F753" s="7" t="str">
        <f>IFERROR(VLOOKUP(B753,'Master data'!$A$1:$F$1000,3,FALSE),"")</f>
        <v/>
      </c>
      <c r="G753" s="29"/>
      <c r="H753" s="29"/>
      <c r="I753" s="16"/>
      <c r="J753" s="16"/>
      <c r="K753" s="16" t="b">
        <v>0</v>
      </c>
      <c r="L753" s="16" t="b">
        <v>0</v>
      </c>
    </row>
    <row r="754">
      <c r="A754" s="108"/>
      <c r="B754" s="16"/>
      <c r="C754" s="7" t="str">
        <f>IFERROR(VLOOKUP(B754,'Master data'!$A$1:$F$1000,2,FALSE),"")</f>
        <v/>
      </c>
      <c r="D754" s="7" t="str">
        <f>IFERROR(VLOOKUP(B754,'Master data'!$A$1:$F$1000,6,FALSE),"")</f>
        <v/>
      </c>
      <c r="F754" s="7" t="str">
        <f>IFERROR(VLOOKUP(B754,'Master data'!$A$1:$F$1000,3,FALSE),"")</f>
        <v/>
      </c>
      <c r="G754" s="29"/>
      <c r="H754" s="29"/>
      <c r="I754" s="16"/>
      <c r="J754" s="16"/>
      <c r="K754" s="16" t="b">
        <v>0</v>
      </c>
      <c r="L754" s="16" t="b">
        <v>0</v>
      </c>
    </row>
    <row r="755">
      <c r="A755" s="108"/>
      <c r="B755" s="16"/>
      <c r="C755" s="7" t="str">
        <f>IFERROR(VLOOKUP(B755,'Master data'!$A$1:$F$1000,2,FALSE),"")</f>
        <v/>
      </c>
      <c r="D755" s="7" t="str">
        <f>IFERROR(VLOOKUP(B755,'Master data'!$A$1:$F$1000,6,FALSE),"")</f>
        <v/>
      </c>
      <c r="F755" s="7" t="str">
        <f>IFERROR(VLOOKUP(B755,'Master data'!$A$1:$F$1000,3,FALSE),"")</f>
        <v/>
      </c>
      <c r="G755" s="29"/>
      <c r="H755" s="29"/>
      <c r="I755" s="16"/>
      <c r="J755" s="16"/>
      <c r="K755" s="16" t="b">
        <v>0</v>
      </c>
      <c r="L755" s="16" t="b">
        <v>0</v>
      </c>
    </row>
    <row r="756">
      <c r="A756" s="108"/>
      <c r="B756" s="16"/>
      <c r="C756" s="7" t="str">
        <f>IFERROR(VLOOKUP(B756,'Master data'!$A$1:$F$1000,2,FALSE),"")</f>
        <v/>
      </c>
      <c r="D756" s="7" t="str">
        <f>IFERROR(VLOOKUP(B756,'Master data'!$A$1:$F$1000,6,FALSE),"")</f>
        <v/>
      </c>
      <c r="F756" s="7" t="str">
        <f>IFERROR(VLOOKUP(B756,'Master data'!$A$1:$F$1000,3,FALSE),"")</f>
        <v/>
      </c>
      <c r="G756" s="29"/>
      <c r="H756" s="29"/>
      <c r="I756" s="16"/>
      <c r="J756" s="16"/>
      <c r="K756" s="16" t="b">
        <v>0</v>
      </c>
      <c r="L756" s="16" t="b">
        <v>0</v>
      </c>
    </row>
    <row r="757">
      <c r="A757" s="108"/>
      <c r="B757" s="16"/>
      <c r="C757" s="7" t="str">
        <f>IFERROR(VLOOKUP(B757,'Master data'!$A$1:$F$1000,2,FALSE),"")</f>
        <v/>
      </c>
      <c r="D757" s="7" t="str">
        <f>IFERROR(VLOOKUP(B757,'Master data'!$A$1:$F$1000,6,FALSE),"")</f>
        <v/>
      </c>
      <c r="F757" s="7" t="str">
        <f>IFERROR(VLOOKUP(B757,'Master data'!$A$1:$F$1000,3,FALSE),"")</f>
        <v/>
      </c>
      <c r="G757" s="29"/>
      <c r="H757" s="29"/>
      <c r="I757" s="16"/>
      <c r="J757" s="16"/>
      <c r="K757" s="16" t="b">
        <v>0</v>
      </c>
      <c r="L757" s="16" t="b">
        <v>0</v>
      </c>
    </row>
    <row r="758">
      <c r="A758" s="108"/>
      <c r="B758" s="16"/>
      <c r="C758" s="7" t="str">
        <f>IFERROR(VLOOKUP(B758,'Master data'!$A$1:$F$1000,2,FALSE),"")</f>
        <v/>
      </c>
      <c r="D758" s="7" t="str">
        <f>IFERROR(VLOOKUP(B758,'Master data'!$A$1:$F$1000,6,FALSE),"")</f>
        <v/>
      </c>
      <c r="F758" s="7" t="str">
        <f>IFERROR(VLOOKUP(B758,'Master data'!$A$1:$F$1000,3,FALSE),"")</f>
        <v/>
      </c>
      <c r="G758" s="29"/>
      <c r="H758" s="29"/>
      <c r="I758" s="16"/>
      <c r="J758" s="16"/>
      <c r="K758" s="16" t="b">
        <v>0</v>
      </c>
      <c r="L758" s="16" t="b">
        <v>0</v>
      </c>
    </row>
    <row r="759">
      <c r="A759" s="108"/>
      <c r="B759" s="16"/>
      <c r="C759" s="7" t="str">
        <f>IFERROR(VLOOKUP(B759,'Master data'!$A$1:$F$1000,2,FALSE),"")</f>
        <v/>
      </c>
      <c r="D759" s="7" t="str">
        <f>IFERROR(VLOOKUP(B759,'Master data'!$A$1:$F$1000,6,FALSE),"")</f>
        <v/>
      </c>
      <c r="F759" s="7" t="str">
        <f>IFERROR(VLOOKUP(B759,'Master data'!$A$1:$F$1000,3,FALSE),"")</f>
        <v/>
      </c>
      <c r="G759" s="29"/>
      <c r="H759" s="29"/>
      <c r="I759" s="16"/>
      <c r="J759" s="16"/>
      <c r="K759" s="16" t="b">
        <v>0</v>
      </c>
      <c r="L759" s="16" t="b">
        <v>0</v>
      </c>
    </row>
    <row r="760">
      <c r="A760" s="108"/>
      <c r="B760" s="16"/>
      <c r="C760" s="7" t="str">
        <f>IFERROR(VLOOKUP(B760,'Master data'!$A$1:$F$1000,2,FALSE),"")</f>
        <v/>
      </c>
      <c r="D760" s="7" t="str">
        <f>IFERROR(VLOOKUP(B760,'Master data'!$A$1:$F$1000,6,FALSE),"")</f>
        <v/>
      </c>
      <c r="F760" s="7" t="str">
        <f>IFERROR(VLOOKUP(B760,'Master data'!$A$1:$F$1000,3,FALSE),"")</f>
        <v/>
      </c>
      <c r="G760" s="29"/>
      <c r="H760" s="29"/>
      <c r="I760" s="16"/>
      <c r="J760" s="16"/>
      <c r="K760" s="16" t="b">
        <v>0</v>
      </c>
      <c r="L760" s="16" t="b">
        <v>0</v>
      </c>
    </row>
    <row r="761">
      <c r="A761" s="108"/>
      <c r="B761" s="16"/>
      <c r="C761" s="7" t="str">
        <f>IFERROR(VLOOKUP(B761,'Master data'!$A$1:$F$1000,2,FALSE),"")</f>
        <v/>
      </c>
      <c r="D761" s="7" t="str">
        <f>IFERROR(VLOOKUP(B761,'Master data'!$A$1:$F$1000,6,FALSE),"")</f>
        <v/>
      </c>
      <c r="F761" s="7" t="str">
        <f>IFERROR(VLOOKUP(B761,'Master data'!$A$1:$F$1000,3,FALSE),"")</f>
        <v/>
      </c>
      <c r="G761" s="29"/>
      <c r="H761" s="29"/>
      <c r="I761" s="16"/>
      <c r="J761" s="16"/>
      <c r="K761" s="16" t="b">
        <v>0</v>
      </c>
      <c r="L761" s="16" t="b">
        <v>0</v>
      </c>
    </row>
    <row r="762">
      <c r="A762" s="108"/>
      <c r="B762" s="16"/>
      <c r="C762" s="7" t="str">
        <f>IFERROR(VLOOKUP(B762,'Master data'!$A$1:$F$1000,2,FALSE),"")</f>
        <v/>
      </c>
      <c r="D762" s="7" t="str">
        <f>IFERROR(VLOOKUP(B762,'Master data'!$A$1:$F$1000,6,FALSE),"")</f>
        <v/>
      </c>
      <c r="F762" s="7" t="str">
        <f>IFERROR(VLOOKUP(B762,'Master data'!$A$1:$F$1000,3,FALSE),"")</f>
        <v/>
      </c>
      <c r="G762" s="29"/>
      <c r="H762" s="29"/>
      <c r="I762" s="16"/>
      <c r="J762" s="16"/>
      <c r="K762" s="16" t="b">
        <v>0</v>
      </c>
      <c r="L762" s="16" t="b">
        <v>0</v>
      </c>
    </row>
    <row r="763">
      <c r="A763" s="108"/>
      <c r="B763" s="16"/>
      <c r="C763" s="7" t="str">
        <f>IFERROR(VLOOKUP(B763,'Master data'!$A$1:$F$1000,2,FALSE),"")</f>
        <v/>
      </c>
      <c r="D763" s="7" t="str">
        <f>IFERROR(VLOOKUP(B763,'Master data'!$A$1:$F$1000,6,FALSE),"")</f>
        <v/>
      </c>
      <c r="F763" s="7" t="str">
        <f>IFERROR(VLOOKUP(B763,'Master data'!$A$1:$F$1000,3,FALSE),"")</f>
        <v/>
      </c>
      <c r="G763" s="29"/>
      <c r="H763" s="29"/>
      <c r="I763" s="16"/>
      <c r="J763" s="16"/>
      <c r="K763" s="16" t="b">
        <v>0</v>
      </c>
      <c r="L763" s="16" t="b">
        <v>0</v>
      </c>
    </row>
    <row r="764">
      <c r="A764" s="108"/>
      <c r="B764" s="16"/>
      <c r="C764" s="7" t="str">
        <f>IFERROR(VLOOKUP(B764,'Master data'!$A$1:$F$1000,2,FALSE),"")</f>
        <v/>
      </c>
      <c r="D764" s="7" t="str">
        <f>IFERROR(VLOOKUP(B764,'Master data'!$A$1:$F$1000,6,FALSE),"")</f>
        <v/>
      </c>
      <c r="F764" s="7" t="str">
        <f>IFERROR(VLOOKUP(B764,'Master data'!$A$1:$F$1000,3,FALSE),"")</f>
        <v/>
      </c>
      <c r="G764" s="29"/>
      <c r="H764" s="29"/>
      <c r="I764" s="16"/>
      <c r="J764" s="16"/>
      <c r="K764" s="16" t="b">
        <v>0</v>
      </c>
      <c r="L764" s="16" t="b">
        <v>0</v>
      </c>
    </row>
    <row r="765">
      <c r="A765" s="108"/>
      <c r="B765" s="16"/>
      <c r="C765" s="7" t="str">
        <f>IFERROR(VLOOKUP(B765,'Master data'!$A$1:$F$1000,2,FALSE),"")</f>
        <v/>
      </c>
      <c r="D765" s="7" t="str">
        <f>IFERROR(VLOOKUP(B765,'Master data'!$A$1:$F$1000,6,FALSE),"")</f>
        <v/>
      </c>
      <c r="F765" s="7" t="str">
        <f>IFERROR(VLOOKUP(B765,'Master data'!$A$1:$F$1000,3,FALSE),"")</f>
        <v/>
      </c>
      <c r="G765" s="29"/>
      <c r="H765" s="29"/>
      <c r="I765" s="16"/>
      <c r="J765" s="16"/>
      <c r="K765" s="16" t="b">
        <v>0</v>
      </c>
      <c r="L765" s="16" t="b">
        <v>0</v>
      </c>
    </row>
    <row r="766">
      <c r="A766" s="108"/>
      <c r="B766" s="16"/>
      <c r="C766" s="7" t="str">
        <f>IFERROR(VLOOKUP(B766,'Master data'!$A$1:$F$1000,2,FALSE),"")</f>
        <v/>
      </c>
      <c r="D766" s="7" t="str">
        <f>IFERROR(VLOOKUP(B766,'Master data'!$A$1:$F$1000,6,FALSE),"")</f>
        <v/>
      </c>
      <c r="F766" s="7" t="str">
        <f>IFERROR(VLOOKUP(B766,'Master data'!$A$1:$F$1000,3,FALSE),"")</f>
        <v/>
      </c>
      <c r="G766" s="29"/>
      <c r="H766" s="29"/>
      <c r="I766" s="16"/>
      <c r="J766" s="16"/>
      <c r="K766" s="16" t="b">
        <v>0</v>
      </c>
      <c r="L766" s="16" t="b">
        <v>0</v>
      </c>
    </row>
    <row r="767">
      <c r="A767" s="108"/>
      <c r="B767" s="16"/>
      <c r="C767" s="7" t="str">
        <f>IFERROR(VLOOKUP(B767,'Master data'!$A$1:$F$1000,2,FALSE),"")</f>
        <v/>
      </c>
      <c r="D767" s="7" t="str">
        <f>IFERROR(VLOOKUP(B767,'Master data'!$A$1:$F$1000,6,FALSE),"")</f>
        <v/>
      </c>
      <c r="F767" s="7" t="str">
        <f>IFERROR(VLOOKUP(B767,'Master data'!$A$1:$F$1000,3,FALSE),"")</f>
        <v/>
      </c>
      <c r="G767" s="29"/>
      <c r="H767" s="29"/>
      <c r="I767" s="16"/>
      <c r="J767" s="16"/>
      <c r="K767" s="16" t="b">
        <v>0</v>
      </c>
      <c r="L767" s="16" t="b">
        <v>0</v>
      </c>
    </row>
    <row r="768">
      <c r="A768" s="108"/>
      <c r="B768" s="16"/>
      <c r="C768" s="7" t="str">
        <f>IFERROR(VLOOKUP(B768,'Master data'!$A$1:$F$1000,2,FALSE),"")</f>
        <v/>
      </c>
      <c r="D768" s="7" t="str">
        <f>IFERROR(VLOOKUP(B768,'Master data'!$A$1:$F$1000,6,FALSE),"")</f>
        <v/>
      </c>
      <c r="F768" s="7" t="str">
        <f>IFERROR(VLOOKUP(B768,'Master data'!$A$1:$F$1000,3,FALSE),"")</f>
        <v/>
      </c>
      <c r="G768" s="29"/>
      <c r="H768" s="29"/>
      <c r="I768" s="16"/>
      <c r="J768" s="16"/>
      <c r="K768" s="16" t="b">
        <v>0</v>
      </c>
      <c r="L768" s="16" t="b">
        <v>0</v>
      </c>
    </row>
    <row r="769">
      <c r="A769" s="108"/>
      <c r="B769" s="16"/>
      <c r="C769" s="7" t="str">
        <f>IFERROR(VLOOKUP(B769,'Master data'!$A$1:$F$1000,2,FALSE),"")</f>
        <v/>
      </c>
      <c r="D769" s="7" t="str">
        <f>IFERROR(VLOOKUP(B769,'Master data'!$A$1:$F$1000,6,FALSE),"")</f>
        <v/>
      </c>
      <c r="F769" s="7" t="str">
        <f>IFERROR(VLOOKUP(B769,'Master data'!$A$1:$F$1000,3,FALSE),"")</f>
        <v/>
      </c>
      <c r="G769" s="29"/>
      <c r="H769" s="29"/>
      <c r="I769" s="16"/>
      <c r="J769" s="16"/>
      <c r="K769" s="16" t="b">
        <v>0</v>
      </c>
      <c r="L769" s="16" t="b">
        <v>0</v>
      </c>
    </row>
    <row r="770">
      <c r="A770" s="108"/>
      <c r="B770" s="16"/>
      <c r="C770" s="7" t="str">
        <f>IFERROR(VLOOKUP(B770,'Master data'!$A$1:$F$1000,2,FALSE),"")</f>
        <v/>
      </c>
      <c r="D770" s="7" t="str">
        <f>IFERROR(VLOOKUP(B770,'Master data'!$A$1:$F$1000,6,FALSE),"")</f>
        <v/>
      </c>
      <c r="F770" s="7" t="str">
        <f>IFERROR(VLOOKUP(B770,'Master data'!$A$1:$F$1000,3,FALSE),"")</f>
        <v/>
      </c>
      <c r="G770" s="29"/>
      <c r="H770" s="29"/>
      <c r="I770" s="16"/>
      <c r="J770" s="16"/>
      <c r="K770" s="16" t="b">
        <v>0</v>
      </c>
      <c r="L770" s="16" t="b">
        <v>0</v>
      </c>
    </row>
    <row r="771">
      <c r="A771" s="108"/>
      <c r="B771" s="16"/>
      <c r="C771" s="7" t="str">
        <f>IFERROR(VLOOKUP(B771,'Master data'!$A$1:$F$1000,2,FALSE),"")</f>
        <v/>
      </c>
      <c r="D771" s="7" t="str">
        <f>IFERROR(VLOOKUP(B771,'Master data'!$A$1:$F$1000,6,FALSE),"")</f>
        <v/>
      </c>
      <c r="F771" s="7" t="str">
        <f>IFERROR(VLOOKUP(B771,'Master data'!$A$1:$F$1000,3,FALSE),"")</f>
        <v/>
      </c>
      <c r="G771" s="29"/>
      <c r="H771" s="29"/>
      <c r="I771" s="16"/>
      <c r="J771" s="16"/>
      <c r="K771" s="16" t="b">
        <v>0</v>
      </c>
      <c r="L771" s="16" t="b">
        <v>0</v>
      </c>
    </row>
    <row r="772">
      <c r="A772" s="108"/>
      <c r="B772" s="16"/>
      <c r="C772" s="7" t="str">
        <f>IFERROR(VLOOKUP(B772,'Master data'!$A$1:$F$1000,2,FALSE),"")</f>
        <v/>
      </c>
      <c r="D772" s="7" t="str">
        <f>IFERROR(VLOOKUP(B772,'Master data'!$A$1:$F$1000,6,FALSE),"")</f>
        <v/>
      </c>
      <c r="F772" s="7" t="str">
        <f>IFERROR(VLOOKUP(B772,'Master data'!$A$1:$F$1000,3,FALSE),"")</f>
        <v/>
      </c>
      <c r="G772" s="29"/>
      <c r="H772" s="29"/>
      <c r="I772" s="16"/>
      <c r="J772" s="16"/>
      <c r="K772" s="16" t="b">
        <v>0</v>
      </c>
      <c r="L772" s="16" t="b">
        <v>0</v>
      </c>
    </row>
    <row r="773">
      <c r="A773" s="108"/>
      <c r="B773" s="16"/>
      <c r="C773" s="7" t="str">
        <f>IFERROR(VLOOKUP(B773,'Master data'!$A$1:$F$1000,2,FALSE),"")</f>
        <v/>
      </c>
      <c r="D773" s="7" t="str">
        <f>IFERROR(VLOOKUP(B773,'Master data'!$A$1:$F$1000,6,FALSE),"")</f>
        <v/>
      </c>
      <c r="F773" s="7" t="str">
        <f>IFERROR(VLOOKUP(B773,'Master data'!$A$1:$F$1000,3,FALSE),"")</f>
        <v/>
      </c>
      <c r="G773" s="29"/>
      <c r="H773" s="29"/>
      <c r="I773" s="16"/>
      <c r="J773" s="16"/>
      <c r="K773" s="16" t="b">
        <v>0</v>
      </c>
      <c r="L773" s="16" t="b">
        <v>0</v>
      </c>
    </row>
    <row r="774">
      <c r="A774" s="108"/>
      <c r="B774" s="16"/>
      <c r="C774" s="7" t="str">
        <f>IFERROR(VLOOKUP(B774,'Master data'!$A$1:$F$1000,2,FALSE),"")</f>
        <v/>
      </c>
      <c r="D774" s="7" t="str">
        <f>IFERROR(VLOOKUP(B774,'Master data'!$A$1:$F$1000,6,FALSE),"")</f>
        <v/>
      </c>
      <c r="F774" s="7" t="str">
        <f>IFERROR(VLOOKUP(B774,'Master data'!$A$1:$F$1000,3,FALSE),"")</f>
        <v/>
      </c>
      <c r="G774" s="29"/>
      <c r="H774" s="29"/>
      <c r="I774" s="16"/>
      <c r="J774" s="16"/>
      <c r="K774" s="16" t="b">
        <v>0</v>
      </c>
      <c r="L774" s="16" t="b">
        <v>0</v>
      </c>
    </row>
    <row r="775">
      <c r="A775" s="108"/>
      <c r="B775" s="16"/>
      <c r="C775" s="7" t="str">
        <f>IFERROR(VLOOKUP(B775,'Master data'!$A$1:$F$1000,2,FALSE),"")</f>
        <v/>
      </c>
      <c r="D775" s="7" t="str">
        <f>IFERROR(VLOOKUP(B775,'Master data'!$A$1:$F$1000,6,FALSE),"")</f>
        <v/>
      </c>
      <c r="F775" s="7" t="str">
        <f>IFERROR(VLOOKUP(B775,'Master data'!$A$1:$F$1000,3,FALSE),"")</f>
        <v/>
      </c>
      <c r="G775" s="29"/>
      <c r="H775" s="29"/>
      <c r="I775" s="16"/>
      <c r="J775" s="16"/>
      <c r="K775" s="16" t="b">
        <v>0</v>
      </c>
      <c r="L775" s="16" t="b">
        <v>0</v>
      </c>
    </row>
    <row r="776">
      <c r="A776" s="108"/>
      <c r="B776" s="16"/>
      <c r="C776" s="7" t="str">
        <f>IFERROR(VLOOKUP(B776,'Master data'!$A$1:$F$1000,2,FALSE),"")</f>
        <v/>
      </c>
      <c r="D776" s="7" t="str">
        <f>IFERROR(VLOOKUP(B776,'Master data'!$A$1:$F$1000,6,FALSE),"")</f>
        <v/>
      </c>
      <c r="F776" s="7" t="str">
        <f>IFERROR(VLOOKUP(B776,'Master data'!$A$1:$F$1000,3,FALSE),"")</f>
        <v/>
      </c>
      <c r="G776" s="29"/>
      <c r="H776" s="29"/>
      <c r="I776" s="16"/>
      <c r="J776" s="16"/>
      <c r="K776" s="16" t="b">
        <v>0</v>
      </c>
      <c r="L776" s="16" t="b">
        <v>0</v>
      </c>
    </row>
    <row r="777">
      <c r="A777" s="108"/>
      <c r="B777" s="16"/>
      <c r="C777" s="7" t="str">
        <f>IFERROR(VLOOKUP(B777,'Master data'!$A$1:$F$1000,2,FALSE),"")</f>
        <v/>
      </c>
      <c r="D777" s="7" t="str">
        <f>IFERROR(VLOOKUP(B777,'Master data'!$A$1:$F$1000,6,FALSE),"")</f>
        <v/>
      </c>
      <c r="F777" s="7" t="str">
        <f>IFERROR(VLOOKUP(B777,'Master data'!$A$1:$F$1000,3,FALSE),"")</f>
        <v/>
      </c>
      <c r="G777" s="29"/>
      <c r="H777" s="29"/>
      <c r="I777" s="16"/>
      <c r="J777" s="16"/>
      <c r="K777" s="16" t="b">
        <v>0</v>
      </c>
      <c r="L777" s="16" t="b">
        <v>0</v>
      </c>
    </row>
    <row r="778">
      <c r="A778" s="108"/>
      <c r="B778" s="16"/>
      <c r="C778" s="7" t="str">
        <f>IFERROR(VLOOKUP(B778,'Master data'!$A$1:$F$1000,2,FALSE),"")</f>
        <v/>
      </c>
      <c r="D778" s="7" t="str">
        <f>IFERROR(VLOOKUP(B778,'Master data'!$A$1:$F$1000,6,FALSE),"")</f>
        <v/>
      </c>
      <c r="F778" s="7" t="str">
        <f>IFERROR(VLOOKUP(B778,'Master data'!$A$1:$F$1000,3,FALSE),"")</f>
        <v/>
      </c>
      <c r="G778" s="29"/>
      <c r="H778" s="29"/>
      <c r="I778" s="16"/>
      <c r="J778" s="16"/>
      <c r="K778" s="16" t="b">
        <v>0</v>
      </c>
      <c r="L778" s="16" t="b">
        <v>0</v>
      </c>
    </row>
    <row r="779">
      <c r="A779" s="108"/>
      <c r="B779" s="16"/>
      <c r="C779" s="7" t="str">
        <f>IFERROR(VLOOKUP(B779,'Master data'!$A$1:$F$1000,2,FALSE),"")</f>
        <v/>
      </c>
      <c r="D779" s="7" t="str">
        <f>IFERROR(VLOOKUP(B779,'Master data'!$A$1:$F$1000,6,FALSE),"")</f>
        <v/>
      </c>
      <c r="F779" s="7" t="str">
        <f>IFERROR(VLOOKUP(B779,'Master data'!$A$1:$F$1000,3,FALSE),"")</f>
        <v/>
      </c>
      <c r="G779" s="29"/>
      <c r="H779" s="29"/>
      <c r="I779" s="16"/>
      <c r="J779" s="16"/>
      <c r="K779" s="16" t="b">
        <v>0</v>
      </c>
      <c r="L779" s="16" t="b">
        <v>0</v>
      </c>
    </row>
    <row r="780">
      <c r="A780" s="108"/>
      <c r="B780" s="16"/>
      <c r="C780" s="7" t="str">
        <f>IFERROR(VLOOKUP(B780,'Master data'!$A$1:$F$1000,2,FALSE),"")</f>
        <v/>
      </c>
      <c r="D780" s="7" t="str">
        <f>IFERROR(VLOOKUP(B780,'Master data'!$A$1:$F$1000,6,FALSE),"")</f>
        <v/>
      </c>
      <c r="F780" s="7" t="str">
        <f>IFERROR(VLOOKUP(B780,'Master data'!$A$1:$F$1000,3,FALSE),"")</f>
        <v/>
      </c>
      <c r="G780" s="29"/>
      <c r="H780" s="29"/>
      <c r="I780" s="16"/>
      <c r="J780" s="16"/>
      <c r="K780" s="16" t="b">
        <v>0</v>
      </c>
      <c r="L780" s="16" t="b">
        <v>0</v>
      </c>
    </row>
    <row r="781">
      <c r="A781" s="108"/>
      <c r="B781" s="16"/>
      <c r="C781" s="7" t="str">
        <f>IFERROR(VLOOKUP(B781,'Master data'!$A$1:$F$1000,2,FALSE),"")</f>
        <v/>
      </c>
      <c r="D781" s="7" t="str">
        <f>IFERROR(VLOOKUP(B781,'Master data'!$A$1:$F$1000,6,FALSE),"")</f>
        <v/>
      </c>
      <c r="F781" s="7" t="str">
        <f>IFERROR(VLOOKUP(B781,'Master data'!$A$1:$F$1000,3,FALSE),"")</f>
        <v/>
      </c>
      <c r="G781" s="29"/>
      <c r="H781" s="29"/>
      <c r="I781" s="16"/>
      <c r="J781" s="16"/>
      <c r="K781" s="16" t="b">
        <v>0</v>
      </c>
      <c r="L781" s="16" t="b">
        <v>0</v>
      </c>
    </row>
    <row r="782">
      <c r="A782" s="108"/>
      <c r="B782" s="16"/>
      <c r="C782" s="7" t="str">
        <f>IFERROR(VLOOKUP(B782,'Master data'!$A$1:$F$1000,2,FALSE),"")</f>
        <v/>
      </c>
      <c r="D782" s="7" t="str">
        <f>IFERROR(VLOOKUP(B782,'Master data'!$A$1:$F$1000,6,FALSE),"")</f>
        <v/>
      </c>
      <c r="F782" s="7" t="str">
        <f>IFERROR(VLOOKUP(B782,'Master data'!$A$1:$F$1000,3,FALSE),"")</f>
        <v/>
      </c>
      <c r="G782" s="29"/>
      <c r="H782" s="29"/>
      <c r="I782" s="16"/>
      <c r="J782" s="16"/>
      <c r="K782" s="16" t="b">
        <v>0</v>
      </c>
      <c r="L782" s="16" t="b">
        <v>0</v>
      </c>
    </row>
    <row r="783">
      <c r="A783" s="108"/>
      <c r="B783" s="16"/>
      <c r="C783" s="7" t="str">
        <f>IFERROR(VLOOKUP(B783,'Master data'!$A$1:$F$1000,2,FALSE),"")</f>
        <v/>
      </c>
      <c r="D783" s="7" t="str">
        <f>IFERROR(VLOOKUP(B783,'Master data'!$A$1:$F$1000,6,FALSE),"")</f>
        <v/>
      </c>
      <c r="F783" s="7" t="str">
        <f>IFERROR(VLOOKUP(B783,'Master data'!$A$1:$F$1000,3,FALSE),"")</f>
        <v/>
      </c>
      <c r="G783" s="29"/>
      <c r="H783" s="29"/>
      <c r="I783" s="16"/>
      <c r="J783" s="16"/>
      <c r="K783" s="16" t="b">
        <v>0</v>
      </c>
      <c r="L783" s="16" t="b">
        <v>0</v>
      </c>
    </row>
    <row r="784">
      <c r="A784" s="108"/>
      <c r="B784" s="16"/>
      <c r="C784" s="7" t="str">
        <f>IFERROR(VLOOKUP(B784,'Master data'!$A$1:$F$1000,2,FALSE),"")</f>
        <v/>
      </c>
      <c r="D784" s="7" t="str">
        <f>IFERROR(VLOOKUP(B784,'Master data'!$A$1:$F$1000,6,FALSE),"")</f>
        <v/>
      </c>
      <c r="F784" s="7" t="str">
        <f>IFERROR(VLOOKUP(B784,'Master data'!$A$1:$F$1000,3,FALSE),"")</f>
        <v/>
      </c>
      <c r="G784" s="29"/>
      <c r="H784" s="29"/>
      <c r="I784" s="16"/>
      <c r="J784" s="16"/>
      <c r="K784" s="16" t="b">
        <v>0</v>
      </c>
      <c r="L784" s="16" t="b">
        <v>0</v>
      </c>
    </row>
    <row r="785">
      <c r="A785" s="108"/>
      <c r="B785" s="16"/>
      <c r="C785" s="7" t="str">
        <f>IFERROR(VLOOKUP(B785,'Master data'!$A$1:$F$1000,2,FALSE),"")</f>
        <v/>
      </c>
      <c r="D785" s="7" t="str">
        <f>IFERROR(VLOOKUP(B785,'Master data'!$A$1:$F$1000,6,FALSE),"")</f>
        <v/>
      </c>
      <c r="F785" s="7" t="str">
        <f>IFERROR(VLOOKUP(B785,'Master data'!$A$1:$F$1000,3,FALSE),"")</f>
        <v/>
      </c>
      <c r="G785" s="29"/>
      <c r="H785" s="29"/>
      <c r="I785" s="16"/>
      <c r="J785" s="16"/>
      <c r="K785" s="16" t="b">
        <v>0</v>
      </c>
      <c r="L785" s="16" t="b">
        <v>0</v>
      </c>
    </row>
    <row r="786">
      <c r="A786" s="108"/>
      <c r="B786" s="16"/>
      <c r="C786" s="7" t="str">
        <f>IFERROR(VLOOKUP(B786,'Master data'!$A$1:$F$1000,2,FALSE),"")</f>
        <v/>
      </c>
      <c r="D786" s="7" t="str">
        <f>IFERROR(VLOOKUP(B786,'Master data'!$A$1:$F$1000,6,FALSE),"")</f>
        <v/>
      </c>
      <c r="F786" s="7" t="str">
        <f>IFERROR(VLOOKUP(B786,'Master data'!$A$1:$F$1000,3,FALSE),"")</f>
        <v/>
      </c>
      <c r="G786" s="29"/>
      <c r="H786" s="29"/>
      <c r="I786" s="16"/>
      <c r="J786" s="16"/>
      <c r="K786" s="16" t="b">
        <v>0</v>
      </c>
      <c r="L786" s="16" t="b">
        <v>0</v>
      </c>
    </row>
    <row r="787">
      <c r="A787" s="108"/>
      <c r="B787" s="16"/>
      <c r="C787" s="7" t="str">
        <f>IFERROR(VLOOKUP(B787,'Master data'!$A$1:$F$1000,2,FALSE),"")</f>
        <v/>
      </c>
      <c r="D787" s="7" t="str">
        <f>IFERROR(VLOOKUP(B787,'Master data'!$A$1:$F$1000,6,FALSE),"")</f>
        <v/>
      </c>
      <c r="F787" s="7" t="str">
        <f>IFERROR(VLOOKUP(B787,'Master data'!$A$1:$F$1000,3,FALSE),"")</f>
        <v/>
      </c>
      <c r="G787" s="29"/>
      <c r="H787" s="29"/>
      <c r="I787" s="16"/>
      <c r="J787" s="16"/>
      <c r="K787" s="16" t="b">
        <v>0</v>
      </c>
      <c r="L787" s="16" t="b">
        <v>0</v>
      </c>
    </row>
    <row r="788">
      <c r="A788" s="108"/>
      <c r="B788" s="16"/>
      <c r="C788" s="7" t="str">
        <f>IFERROR(VLOOKUP(B788,'Master data'!$A$1:$F$1000,2,FALSE),"")</f>
        <v/>
      </c>
      <c r="D788" s="7" t="str">
        <f>IFERROR(VLOOKUP(B788,'Master data'!$A$1:$F$1000,6,FALSE),"")</f>
        <v/>
      </c>
      <c r="F788" s="7" t="str">
        <f>IFERROR(VLOOKUP(B788,'Master data'!$A$1:$F$1000,3,FALSE),"")</f>
        <v/>
      </c>
      <c r="G788" s="29"/>
      <c r="H788" s="29"/>
      <c r="I788" s="16"/>
      <c r="J788" s="16"/>
      <c r="K788" s="16" t="b">
        <v>0</v>
      </c>
      <c r="L788" s="16" t="b">
        <v>0</v>
      </c>
    </row>
    <row r="789">
      <c r="A789" s="108"/>
      <c r="B789" s="16"/>
      <c r="C789" s="7" t="str">
        <f>IFERROR(VLOOKUP(B789,'Master data'!$A$1:$F$1000,2,FALSE),"")</f>
        <v/>
      </c>
      <c r="D789" s="7" t="str">
        <f>IFERROR(VLOOKUP(B789,'Master data'!$A$1:$F$1000,6,FALSE),"")</f>
        <v/>
      </c>
      <c r="F789" s="7" t="str">
        <f>IFERROR(VLOOKUP(B789,'Master data'!$A$1:$F$1000,3,FALSE),"")</f>
        <v/>
      </c>
      <c r="G789" s="29"/>
      <c r="H789" s="29"/>
      <c r="I789" s="16"/>
      <c r="J789" s="16"/>
      <c r="K789" s="16" t="b">
        <v>0</v>
      </c>
      <c r="L789" s="16" t="b">
        <v>0</v>
      </c>
    </row>
    <row r="790">
      <c r="A790" s="108"/>
      <c r="B790" s="16"/>
      <c r="C790" s="7" t="str">
        <f>IFERROR(VLOOKUP(B790,'Master data'!$A$1:$F$1000,2,FALSE),"")</f>
        <v/>
      </c>
      <c r="D790" s="7" t="str">
        <f>IFERROR(VLOOKUP(B790,'Master data'!$A$1:$F$1000,6,FALSE),"")</f>
        <v/>
      </c>
      <c r="F790" s="7" t="str">
        <f>IFERROR(VLOOKUP(B790,'Master data'!$A$1:$F$1000,3,FALSE),"")</f>
        <v/>
      </c>
      <c r="G790" s="29"/>
      <c r="H790" s="29"/>
      <c r="I790" s="16"/>
      <c r="J790" s="16"/>
      <c r="K790" s="16" t="b">
        <v>0</v>
      </c>
      <c r="L790" s="16" t="b">
        <v>0</v>
      </c>
    </row>
    <row r="791">
      <c r="A791" s="108"/>
      <c r="B791" s="16"/>
      <c r="C791" s="7" t="str">
        <f>IFERROR(VLOOKUP(B791,'Master data'!$A$1:$F$1000,2,FALSE),"")</f>
        <v/>
      </c>
      <c r="D791" s="7" t="str">
        <f>IFERROR(VLOOKUP(B791,'Master data'!$A$1:$F$1000,6,FALSE),"")</f>
        <v/>
      </c>
      <c r="F791" s="7" t="str">
        <f>IFERROR(VLOOKUP(B791,'Master data'!$A$1:$F$1000,3,FALSE),"")</f>
        <v/>
      </c>
      <c r="G791" s="29"/>
      <c r="H791" s="29"/>
      <c r="I791" s="16"/>
      <c r="J791" s="16"/>
      <c r="K791" s="16" t="b">
        <v>0</v>
      </c>
      <c r="L791" s="16" t="b">
        <v>0</v>
      </c>
    </row>
    <row r="792">
      <c r="A792" s="108"/>
      <c r="B792" s="16"/>
      <c r="C792" s="7" t="str">
        <f>IFERROR(VLOOKUP(B792,'Master data'!$A$1:$F$1000,2,FALSE),"")</f>
        <v/>
      </c>
      <c r="D792" s="7" t="str">
        <f>IFERROR(VLOOKUP(B792,'Master data'!$A$1:$F$1000,6,FALSE),"")</f>
        <v/>
      </c>
      <c r="F792" s="7" t="str">
        <f>IFERROR(VLOOKUP(B792,'Master data'!$A$1:$F$1000,3,FALSE),"")</f>
        <v/>
      </c>
      <c r="G792" s="29"/>
      <c r="H792" s="29"/>
      <c r="I792" s="16"/>
      <c r="J792" s="16"/>
      <c r="K792" s="16" t="b">
        <v>0</v>
      </c>
      <c r="L792" s="16" t="b">
        <v>0</v>
      </c>
    </row>
    <row r="793">
      <c r="A793" s="108"/>
      <c r="B793" s="16"/>
      <c r="C793" s="7" t="str">
        <f>IFERROR(VLOOKUP(B793,'Master data'!$A$1:$F$1000,2,FALSE),"")</f>
        <v/>
      </c>
      <c r="D793" s="7" t="str">
        <f>IFERROR(VLOOKUP(B793,'Master data'!$A$1:$F$1000,6,FALSE),"")</f>
        <v/>
      </c>
      <c r="F793" s="7" t="str">
        <f>IFERROR(VLOOKUP(B793,'Master data'!$A$1:$F$1000,3,FALSE),"")</f>
        <v/>
      </c>
      <c r="G793" s="29"/>
      <c r="H793" s="29"/>
      <c r="I793" s="16"/>
      <c r="J793" s="16"/>
      <c r="K793" s="16" t="b">
        <v>0</v>
      </c>
      <c r="L793" s="16" t="b">
        <v>0</v>
      </c>
    </row>
    <row r="794">
      <c r="A794" s="108"/>
      <c r="B794" s="16"/>
      <c r="C794" s="7" t="str">
        <f>IFERROR(VLOOKUP(B794,'Master data'!$A$1:$F$1000,2,FALSE),"")</f>
        <v/>
      </c>
      <c r="D794" s="7" t="str">
        <f>IFERROR(VLOOKUP(B794,'Master data'!$A$1:$F$1000,6,FALSE),"")</f>
        <v/>
      </c>
      <c r="F794" s="7" t="str">
        <f>IFERROR(VLOOKUP(B794,'Master data'!$A$1:$F$1000,3,FALSE),"")</f>
        <v/>
      </c>
      <c r="G794" s="29"/>
      <c r="H794" s="29"/>
      <c r="I794" s="16"/>
      <c r="J794" s="16"/>
      <c r="K794" s="16" t="b">
        <v>0</v>
      </c>
      <c r="L794" s="16" t="b">
        <v>0</v>
      </c>
    </row>
    <row r="795">
      <c r="A795" s="108"/>
      <c r="B795" s="16"/>
      <c r="C795" s="7" t="str">
        <f>IFERROR(VLOOKUP(B795,'Master data'!$A$1:$F$1000,2,FALSE),"")</f>
        <v/>
      </c>
      <c r="D795" s="7" t="str">
        <f>IFERROR(VLOOKUP(B795,'Master data'!$A$1:$F$1000,6,FALSE),"")</f>
        <v/>
      </c>
      <c r="F795" s="7" t="str">
        <f>IFERROR(VLOOKUP(B795,'Master data'!$A$1:$F$1000,3,FALSE),"")</f>
        <v/>
      </c>
      <c r="G795" s="29"/>
      <c r="H795" s="29"/>
      <c r="I795" s="16"/>
      <c r="J795" s="16"/>
      <c r="K795" s="16" t="b">
        <v>0</v>
      </c>
      <c r="L795" s="16" t="b">
        <v>0</v>
      </c>
    </row>
    <row r="796">
      <c r="A796" s="108"/>
      <c r="B796" s="16"/>
      <c r="C796" s="7" t="str">
        <f>IFERROR(VLOOKUP(B796,'Master data'!$A$1:$F$1000,2,FALSE),"")</f>
        <v/>
      </c>
      <c r="D796" s="7" t="str">
        <f>IFERROR(VLOOKUP(B796,'Master data'!$A$1:$F$1000,6,FALSE),"")</f>
        <v/>
      </c>
      <c r="F796" s="7" t="str">
        <f>IFERROR(VLOOKUP(B796,'Master data'!$A$1:$F$1000,3,FALSE),"")</f>
        <v/>
      </c>
      <c r="G796" s="29"/>
      <c r="H796" s="29"/>
      <c r="I796" s="16"/>
      <c r="J796" s="16"/>
      <c r="K796" s="16" t="b">
        <v>0</v>
      </c>
      <c r="L796" s="16" t="b">
        <v>0</v>
      </c>
    </row>
    <row r="797">
      <c r="A797" s="108"/>
      <c r="B797" s="16"/>
      <c r="C797" s="7" t="str">
        <f>IFERROR(VLOOKUP(B797,'Master data'!$A$1:$F$1000,2,FALSE),"")</f>
        <v/>
      </c>
      <c r="D797" s="7" t="str">
        <f>IFERROR(VLOOKUP(B797,'Master data'!$A$1:$F$1000,6,FALSE),"")</f>
        <v/>
      </c>
      <c r="F797" s="7" t="str">
        <f>IFERROR(VLOOKUP(B797,'Master data'!$A$1:$F$1000,3,FALSE),"")</f>
        <v/>
      </c>
      <c r="G797" s="29"/>
      <c r="H797" s="29"/>
      <c r="I797" s="16"/>
      <c r="J797" s="16"/>
      <c r="K797" s="16" t="b">
        <v>0</v>
      </c>
      <c r="L797" s="16" t="b">
        <v>0</v>
      </c>
    </row>
    <row r="798">
      <c r="A798" s="108"/>
      <c r="B798" s="16"/>
      <c r="C798" s="7" t="str">
        <f>IFERROR(VLOOKUP(B798,'Master data'!$A$1:$F$1000,2,FALSE),"")</f>
        <v/>
      </c>
      <c r="D798" s="7" t="str">
        <f>IFERROR(VLOOKUP(B798,'Master data'!$A$1:$F$1000,6,FALSE),"")</f>
        <v/>
      </c>
      <c r="F798" s="7" t="str">
        <f>IFERROR(VLOOKUP(B798,'Master data'!$A$1:$F$1000,3,FALSE),"")</f>
        <v/>
      </c>
      <c r="G798" s="29"/>
      <c r="H798" s="29"/>
      <c r="I798" s="16"/>
      <c r="J798" s="16"/>
      <c r="K798" s="16" t="b">
        <v>0</v>
      </c>
      <c r="L798" s="16" t="b">
        <v>0</v>
      </c>
    </row>
    <row r="799">
      <c r="A799" s="108"/>
      <c r="B799" s="16"/>
      <c r="C799" s="7" t="str">
        <f>IFERROR(VLOOKUP(B799,'Master data'!$A$1:$F$1000,2,FALSE),"")</f>
        <v/>
      </c>
      <c r="D799" s="7" t="str">
        <f>IFERROR(VLOOKUP(B799,'Master data'!$A$1:$F$1000,6,FALSE),"")</f>
        <v/>
      </c>
      <c r="F799" s="7" t="str">
        <f>IFERROR(VLOOKUP(B799,'Master data'!$A$1:$F$1000,3,FALSE),"")</f>
        <v/>
      </c>
      <c r="G799" s="29"/>
      <c r="H799" s="29"/>
      <c r="I799" s="16"/>
      <c r="J799" s="16"/>
      <c r="K799" s="16" t="b">
        <v>0</v>
      </c>
      <c r="L799" s="16" t="b">
        <v>0</v>
      </c>
    </row>
    <row r="800">
      <c r="A800" s="108"/>
      <c r="B800" s="16"/>
      <c r="C800" s="7" t="str">
        <f>IFERROR(VLOOKUP(B800,'Master data'!$A$1:$F$1000,2,FALSE),"")</f>
        <v/>
      </c>
      <c r="D800" s="7" t="str">
        <f>IFERROR(VLOOKUP(B800,'Master data'!$A$1:$F$1000,6,FALSE),"")</f>
        <v/>
      </c>
      <c r="F800" s="7" t="str">
        <f>IFERROR(VLOOKUP(B800,'Master data'!$A$1:$F$1000,3,FALSE),"")</f>
        <v/>
      </c>
      <c r="G800" s="29"/>
      <c r="H800" s="29"/>
      <c r="I800" s="16"/>
      <c r="J800" s="16"/>
      <c r="K800" s="16" t="b">
        <v>0</v>
      </c>
      <c r="L800" s="16" t="b">
        <v>0</v>
      </c>
    </row>
    <row r="801">
      <c r="A801" s="108"/>
      <c r="B801" s="16"/>
      <c r="C801" s="7" t="str">
        <f>IFERROR(VLOOKUP(B801,'Master data'!$A$1:$F$1000,2,FALSE),"")</f>
        <v/>
      </c>
      <c r="D801" s="7" t="str">
        <f>IFERROR(VLOOKUP(B801,'Master data'!$A$1:$F$1000,6,FALSE),"")</f>
        <v/>
      </c>
      <c r="F801" s="7" t="str">
        <f>IFERROR(VLOOKUP(B801,'Master data'!$A$1:$F$1000,3,FALSE),"")</f>
        <v/>
      </c>
      <c r="G801" s="29"/>
      <c r="H801" s="29"/>
      <c r="I801" s="16"/>
      <c r="J801" s="16"/>
      <c r="K801" s="16" t="b">
        <v>0</v>
      </c>
      <c r="L801" s="16" t="b">
        <v>0</v>
      </c>
    </row>
    <row r="802">
      <c r="A802" s="108"/>
      <c r="B802" s="16"/>
      <c r="C802" s="7" t="str">
        <f>IFERROR(VLOOKUP(B802,'Master data'!$A$1:$F$1000,2,FALSE),"")</f>
        <v/>
      </c>
      <c r="D802" s="7" t="str">
        <f>IFERROR(VLOOKUP(B802,'Master data'!$A$1:$F$1000,6,FALSE),"")</f>
        <v/>
      </c>
      <c r="F802" s="7" t="str">
        <f>IFERROR(VLOOKUP(B802,'Master data'!$A$1:$F$1000,3,FALSE),"")</f>
        <v/>
      </c>
      <c r="G802" s="29"/>
      <c r="H802" s="29"/>
      <c r="I802" s="16"/>
      <c r="J802" s="16"/>
      <c r="K802" s="16" t="b">
        <v>0</v>
      </c>
      <c r="L802" s="16" t="b">
        <v>0</v>
      </c>
    </row>
    <row r="803">
      <c r="A803" s="108"/>
      <c r="B803" s="16"/>
      <c r="C803" s="7" t="str">
        <f>IFERROR(VLOOKUP(B803,'Master data'!$A$1:$F$1000,2,FALSE),"")</f>
        <v/>
      </c>
      <c r="D803" s="7" t="str">
        <f>IFERROR(VLOOKUP(B803,'Master data'!$A$1:$F$1000,6,FALSE),"")</f>
        <v/>
      </c>
      <c r="F803" s="7" t="str">
        <f>IFERROR(VLOOKUP(B803,'Master data'!$A$1:$F$1000,3,FALSE),"")</f>
        <v/>
      </c>
      <c r="G803" s="29"/>
      <c r="H803" s="29"/>
      <c r="I803" s="16"/>
      <c r="J803" s="16"/>
      <c r="K803" s="16" t="b">
        <v>0</v>
      </c>
      <c r="L803" s="16" t="b">
        <v>0</v>
      </c>
    </row>
    <row r="804">
      <c r="A804" s="108"/>
      <c r="B804" s="16"/>
      <c r="C804" s="7" t="str">
        <f>IFERROR(VLOOKUP(B804,'Master data'!$A$1:$F$1000,2,FALSE),"")</f>
        <v/>
      </c>
      <c r="D804" s="7" t="str">
        <f>IFERROR(VLOOKUP(B804,'Master data'!$A$1:$F$1000,6,FALSE),"")</f>
        <v/>
      </c>
      <c r="F804" s="7" t="str">
        <f>IFERROR(VLOOKUP(B804,'Master data'!$A$1:$F$1000,3,FALSE),"")</f>
        <v/>
      </c>
      <c r="G804" s="29"/>
      <c r="H804" s="29"/>
      <c r="I804" s="16"/>
      <c r="J804" s="16"/>
      <c r="K804" s="16" t="b">
        <v>0</v>
      </c>
      <c r="L804" s="16" t="b">
        <v>0</v>
      </c>
    </row>
    <row r="805">
      <c r="A805" s="108"/>
      <c r="B805" s="16"/>
      <c r="C805" s="7" t="str">
        <f>IFERROR(VLOOKUP(B805,'Master data'!$A$1:$F$1000,2,FALSE),"")</f>
        <v/>
      </c>
      <c r="D805" s="7" t="str">
        <f>IFERROR(VLOOKUP(B805,'Master data'!$A$1:$F$1000,6,FALSE),"")</f>
        <v/>
      </c>
      <c r="F805" s="7" t="str">
        <f>IFERROR(VLOOKUP(B805,'Master data'!$A$1:$F$1000,3,FALSE),"")</f>
        <v/>
      </c>
      <c r="G805" s="29"/>
      <c r="H805" s="29"/>
      <c r="I805" s="16"/>
      <c r="J805" s="16"/>
      <c r="K805" s="16" t="b">
        <v>0</v>
      </c>
      <c r="L805" s="16" t="b">
        <v>0</v>
      </c>
    </row>
    <row r="806">
      <c r="A806" s="108"/>
      <c r="B806" s="16"/>
      <c r="C806" s="7" t="str">
        <f>IFERROR(VLOOKUP(B806,'Master data'!$A$1:$F$1000,2,FALSE),"")</f>
        <v/>
      </c>
      <c r="D806" s="7" t="str">
        <f>IFERROR(VLOOKUP(B806,'Master data'!$A$1:$F$1000,6,FALSE),"")</f>
        <v/>
      </c>
      <c r="F806" s="7" t="str">
        <f>IFERROR(VLOOKUP(B806,'Master data'!$A$1:$F$1000,3,FALSE),"")</f>
        <v/>
      </c>
      <c r="G806" s="29"/>
      <c r="H806" s="29"/>
      <c r="I806" s="16"/>
      <c r="J806" s="16"/>
      <c r="K806" s="16" t="b">
        <v>0</v>
      </c>
      <c r="L806" s="16" t="b">
        <v>0</v>
      </c>
    </row>
    <row r="807">
      <c r="A807" s="108"/>
      <c r="B807" s="16"/>
      <c r="C807" s="7" t="str">
        <f>IFERROR(VLOOKUP(B807,'Master data'!$A$1:$F$1000,2,FALSE),"")</f>
        <v/>
      </c>
      <c r="D807" s="7" t="str">
        <f>IFERROR(VLOOKUP(B807,'Master data'!$A$1:$F$1000,6,FALSE),"")</f>
        <v/>
      </c>
      <c r="F807" s="7" t="str">
        <f>IFERROR(VLOOKUP(B807,'Master data'!$A$1:$F$1000,3,FALSE),"")</f>
        <v/>
      </c>
      <c r="G807" s="29"/>
      <c r="H807" s="29"/>
      <c r="I807" s="16"/>
      <c r="J807" s="16"/>
      <c r="K807" s="16" t="b">
        <v>0</v>
      </c>
      <c r="L807" s="16" t="b">
        <v>0</v>
      </c>
    </row>
    <row r="808">
      <c r="A808" s="108"/>
      <c r="B808" s="16"/>
      <c r="C808" s="7" t="str">
        <f>IFERROR(VLOOKUP(B808,'Master data'!$A$1:$F$1000,2,FALSE),"")</f>
        <v/>
      </c>
      <c r="D808" s="7" t="str">
        <f>IFERROR(VLOOKUP(B808,'Master data'!$A$1:$F$1000,6,FALSE),"")</f>
        <v/>
      </c>
      <c r="F808" s="7" t="str">
        <f>IFERROR(VLOOKUP(B808,'Master data'!$A$1:$F$1000,3,FALSE),"")</f>
        <v/>
      </c>
      <c r="G808" s="29"/>
      <c r="H808" s="29"/>
      <c r="I808" s="16"/>
      <c r="J808" s="16"/>
      <c r="K808" s="16" t="b">
        <v>0</v>
      </c>
      <c r="L808" s="16" t="b">
        <v>0</v>
      </c>
    </row>
    <row r="809">
      <c r="A809" s="108"/>
      <c r="B809" s="16"/>
      <c r="C809" s="7" t="str">
        <f>IFERROR(VLOOKUP(B809,'Master data'!$A$1:$F$1000,2,FALSE),"")</f>
        <v/>
      </c>
      <c r="D809" s="7" t="str">
        <f>IFERROR(VLOOKUP(B809,'Master data'!$A$1:$F$1000,6,FALSE),"")</f>
        <v/>
      </c>
      <c r="F809" s="7" t="str">
        <f>IFERROR(VLOOKUP(B809,'Master data'!$A$1:$F$1000,3,FALSE),"")</f>
        <v/>
      </c>
      <c r="G809" s="29"/>
      <c r="H809" s="29"/>
      <c r="I809" s="16"/>
      <c r="J809" s="16"/>
      <c r="K809" s="16" t="b">
        <v>0</v>
      </c>
      <c r="L809" s="16" t="b">
        <v>0</v>
      </c>
    </row>
    <row r="810">
      <c r="A810" s="108"/>
      <c r="B810" s="16"/>
      <c r="C810" s="7" t="str">
        <f>IFERROR(VLOOKUP(B810,'Master data'!$A$1:$F$1000,2,FALSE),"")</f>
        <v/>
      </c>
      <c r="D810" s="7" t="str">
        <f>IFERROR(VLOOKUP(B810,'Master data'!$A$1:$F$1000,6,FALSE),"")</f>
        <v/>
      </c>
      <c r="F810" s="7" t="str">
        <f>IFERROR(VLOOKUP(B810,'Master data'!$A$1:$F$1000,3,FALSE),"")</f>
        <v/>
      </c>
      <c r="G810" s="29"/>
      <c r="H810" s="29"/>
      <c r="I810" s="16"/>
      <c r="J810" s="16"/>
      <c r="K810" s="16" t="b">
        <v>0</v>
      </c>
      <c r="L810" s="16" t="b">
        <v>0</v>
      </c>
    </row>
    <row r="811">
      <c r="A811" s="108"/>
      <c r="B811" s="16"/>
      <c r="C811" s="7" t="str">
        <f>IFERROR(VLOOKUP(B811,'Master data'!$A$1:$F$1000,2,FALSE),"")</f>
        <v/>
      </c>
      <c r="D811" s="7" t="str">
        <f>IFERROR(VLOOKUP(B811,'Master data'!$A$1:$F$1000,6,FALSE),"")</f>
        <v/>
      </c>
      <c r="F811" s="7" t="str">
        <f>IFERROR(VLOOKUP(B811,'Master data'!$A$1:$F$1000,3,FALSE),"")</f>
        <v/>
      </c>
      <c r="G811" s="29"/>
      <c r="H811" s="29"/>
      <c r="I811" s="16"/>
      <c r="J811" s="16"/>
      <c r="K811" s="16" t="b">
        <v>0</v>
      </c>
      <c r="L811" s="16" t="b">
        <v>0</v>
      </c>
    </row>
    <row r="812">
      <c r="A812" s="108"/>
      <c r="B812" s="16"/>
      <c r="C812" s="7" t="str">
        <f>IFERROR(VLOOKUP(B812,'Master data'!$A$1:$F$1000,2,FALSE),"")</f>
        <v/>
      </c>
      <c r="D812" s="7" t="str">
        <f>IFERROR(VLOOKUP(B812,'Master data'!$A$1:$F$1000,6,FALSE),"")</f>
        <v/>
      </c>
      <c r="F812" s="7" t="str">
        <f>IFERROR(VLOOKUP(B812,'Master data'!$A$1:$F$1000,3,FALSE),"")</f>
        <v/>
      </c>
      <c r="G812" s="29"/>
      <c r="H812" s="29"/>
      <c r="I812" s="16"/>
      <c r="J812" s="16"/>
      <c r="K812" s="16" t="b">
        <v>0</v>
      </c>
      <c r="L812" s="16" t="b">
        <v>0</v>
      </c>
    </row>
    <row r="813">
      <c r="A813" s="108"/>
      <c r="B813" s="16"/>
      <c r="C813" s="7" t="str">
        <f>IFERROR(VLOOKUP(B813,'Master data'!$A$1:$F$1000,2,FALSE),"")</f>
        <v/>
      </c>
      <c r="D813" s="7" t="str">
        <f>IFERROR(VLOOKUP(B813,'Master data'!$A$1:$F$1000,6,FALSE),"")</f>
        <v/>
      </c>
      <c r="F813" s="7" t="str">
        <f>IFERROR(VLOOKUP(B813,'Master data'!$A$1:$F$1000,3,FALSE),"")</f>
        <v/>
      </c>
      <c r="G813" s="29"/>
      <c r="H813" s="29"/>
      <c r="I813" s="16"/>
      <c r="J813" s="16"/>
      <c r="K813" s="16" t="b">
        <v>0</v>
      </c>
      <c r="L813" s="16" t="b">
        <v>0</v>
      </c>
    </row>
    <row r="814">
      <c r="A814" s="108"/>
      <c r="B814" s="16"/>
      <c r="C814" s="7" t="str">
        <f>IFERROR(VLOOKUP(B814,'Master data'!$A$1:$F$1000,2,FALSE),"")</f>
        <v/>
      </c>
      <c r="D814" s="7" t="str">
        <f>IFERROR(VLOOKUP(B814,'Master data'!$A$1:$F$1000,6,FALSE),"")</f>
        <v/>
      </c>
      <c r="F814" s="7" t="str">
        <f>IFERROR(VLOOKUP(B814,'Master data'!$A$1:$F$1000,3,FALSE),"")</f>
        <v/>
      </c>
      <c r="G814" s="29"/>
      <c r="H814" s="29"/>
      <c r="I814" s="16"/>
      <c r="J814" s="16"/>
      <c r="K814" s="16" t="b">
        <v>0</v>
      </c>
      <c r="L814" s="16" t="b">
        <v>0</v>
      </c>
    </row>
    <row r="815">
      <c r="A815" s="108"/>
      <c r="B815" s="16"/>
      <c r="C815" s="7" t="str">
        <f>IFERROR(VLOOKUP(B815,'Master data'!$A$1:$F$1000,2,FALSE),"")</f>
        <v/>
      </c>
      <c r="D815" s="7" t="str">
        <f>IFERROR(VLOOKUP(B815,'Master data'!$A$1:$F$1000,6,FALSE),"")</f>
        <v/>
      </c>
      <c r="F815" s="7" t="str">
        <f>IFERROR(VLOOKUP(B815,'Master data'!$A$1:$F$1000,3,FALSE),"")</f>
        <v/>
      </c>
      <c r="G815" s="29"/>
      <c r="H815" s="29"/>
      <c r="I815" s="16"/>
      <c r="J815" s="16"/>
      <c r="K815" s="16" t="b">
        <v>0</v>
      </c>
      <c r="L815" s="16" t="b">
        <v>0</v>
      </c>
    </row>
    <row r="816">
      <c r="A816" s="108"/>
      <c r="B816" s="16"/>
      <c r="C816" s="7" t="str">
        <f>IFERROR(VLOOKUP(B816,'Master data'!$A$1:$F$1000,2,FALSE),"")</f>
        <v/>
      </c>
      <c r="D816" s="7" t="str">
        <f>IFERROR(VLOOKUP(B816,'Master data'!$A$1:$F$1000,6,FALSE),"")</f>
        <v/>
      </c>
      <c r="F816" s="7" t="str">
        <f>IFERROR(VLOOKUP(B816,'Master data'!$A$1:$F$1000,3,FALSE),"")</f>
        <v/>
      </c>
      <c r="G816" s="29"/>
      <c r="H816" s="29"/>
      <c r="I816" s="16"/>
      <c r="J816" s="16"/>
      <c r="K816" s="16" t="b">
        <v>0</v>
      </c>
      <c r="L816" s="16" t="b">
        <v>0</v>
      </c>
    </row>
    <row r="817">
      <c r="A817" s="108"/>
      <c r="B817" s="16"/>
      <c r="C817" s="7" t="str">
        <f>IFERROR(VLOOKUP(B817,'Master data'!$A$1:$F$1000,2,FALSE),"")</f>
        <v/>
      </c>
      <c r="D817" s="7" t="str">
        <f>IFERROR(VLOOKUP(B817,'Master data'!$A$1:$F$1000,6,FALSE),"")</f>
        <v/>
      </c>
      <c r="F817" s="7" t="str">
        <f>IFERROR(VLOOKUP(B817,'Master data'!$A$1:$F$1000,3,FALSE),"")</f>
        <v/>
      </c>
      <c r="G817" s="29"/>
      <c r="H817" s="29"/>
      <c r="I817" s="16"/>
      <c r="J817" s="16"/>
      <c r="K817" s="16" t="b">
        <v>0</v>
      </c>
      <c r="L817" s="16" t="b">
        <v>0</v>
      </c>
    </row>
    <row r="818">
      <c r="A818" s="108"/>
      <c r="B818" s="16"/>
      <c r="C818" s="7" t="str">
        <f>IFERROR(VLOOKUP(B818,'Master data'!$A$1:$F$1000,2,FALSE),"")</f>
        <v/>
      </c>
      <c r="D818" s="7" t="str">
        <f>IFERROR(VLOOKUP(B818,'Master data'!$A$1:$F$1000,6,FALSE),"")</f>
        <v/>
      </c>
      <c r="F818" s="7" t="str">
        <f>IFERROR(VLOOKUP(B818,'Master data'!$A$1:$F$1000,3,FALSE),"")</f>
        <v/>
      </c>
      <c r="G818" s="29"/>
      <c r="H818" s="29"/>
      <c r="I818" s="16"/>
      <c r="J818" s="16"/>
      <c r="K818" s="16" t="b">
        <v>0</v>
      </c>
      <c r="L818" s="16" t="b">
        <v>0</v>
      </c>
    </row>
    <row r="819">
      <c r="A819" s="108"/>
      <c r="B819" s="16"/>
      <c r="C819" s="7" t="str">
        <f>IFERROR(VLOOKUP(B819,'Master data'!$A$1:$F$1000,2,FALSE),"")</f>
        <v/>
      </c>
      <c r="D819" s="7" t="str">
        <f>IFERROR(VLOOKUP(B819,'Master data'!$A$1:$F$1000,6,FALSE),"")</f>
        <v/>
      </c>
      <c r="F819" s="7" t="str">
        <f>IFERROR(VLOOKUP(B819,'Master data'!$A$1:$F$1000,3,FALSE),"")</f>
        <v/>
      </c>
      <c r="G819" s="29"/>
      <c r="H819" s="29"/>
      <c r="I819" s="16"/>
      <c r="J819" s="16"/>
      <c r="K819" s="16" t="b">
        <v>0</v>
      </c>
      <c r="L819" s="16" t="b">
        <v>0</v>
      </c>
    </row>
    <row r="820">
      <c r="A820" s="108"/>
      <c r="B820" s="16"/>
      <c r="C820" s="7" t="str">
        <f>IFERROR(VLOOKUP(B820,'Master data'!$A$1:$F$1000,2,FALSE),"")</f>
        <v/>
      </c>
      <c r="D820" s="7" t="str">
        <f>IFERROR(VLOOKUP(B820,'Master data'!$A$1:$F$1000,6,FALSE),"")</f>
        <v/>
      </c>
      <c r="F820" s="7" t="str">
        <f>IFERROR(VLOOKUP(B820,'Master data'!$A$1:$F$1000,3,FALSE),"")</f>
        <v/>
      </c>
      <c r="G820" s="29"/>
      <c r="H820" s="29"/>
      <c r="I820" s="16"/>
      <c r="J820" s="16"/>
      <c r="K820" s="16" t="b">
        <v>0</v>
      </c>
      <c r="L820" s="16" t="b">
        <v>0</v>
      </c>
    </row>
    <row r="821">
      <c r="A821" s="108"/>
      <c r="B821" s="16"/>
      <c r="C821" s="7" t="str">
        <f>IFERROR(VLOOKUP(B821,'Master data'!$A$1:$F$1000,2,FALSE),"")</f>
        <v/>
      </c>
      <c r="D821" s="7" t="str">
        <f>IFERROR(VLOOKUP(B821,'Master data'!$A$1:$F$1000,6,FALSE),"")</f>
        <v/>
      </c>
      <c r="F821" s="7" t="str">
        <f>IFERROR(VLOOKUP(B821,'Master data'!$A$1:$F$1000,3,FALSE),"")</f>
        <v/>
      </c>
      <c r="G821" s="29"/>
      <c r="H821" s="29"/>
      <c r="I821" s="16"/>
      <c r="J821" s="16"/>
      <c r="K821" s="16" t="b">
        <v>0</v>
      </c>
      <c r="L821" s="16" t="b">
        <v>0</v>
      </c>
    </row>
    <row r="822">
      <c r="A822" s="108"/>
      <c r="B822" s="16"/>
      <c r="C822" s="7" t="str">
        <f>IFERROR(VLOOKUP(B822,'Master data'!$A$1:$F$1000,2,FALSE),"")</f>
        <v/>
      </c>
      <c r="D822" s="7" t="str">
        <f>IFERROR(VLOOKUP(B822,'Master data'!$A$1:$F$1000,6,FALSE),"")</f>
        <v/>
      </c>
      <c r="F822" s="7" t="str">
        <f>IFERROR(VLOOKUP(B822,'Master data'!$A$1:$F$1000,3,FALSE),"")</f>
        <v/>
      </c>
      <c r="G822" s="29"/>
      <c r="H822" s="29"/>
      <c r="I822" s="16"/>
      <c r="J822" s="16"/>
      <c r="K822" s="16" t="b">
        <v>0</v>
      </c>
      <c r="L822" s="16" t="b">
        <v>0</v>
      </c>
    </row>
    <row r="823">
      <c r="A823" s="108"/>
      <c r="B823" s="16"/>
      <c r="C823" s="7" t="str">
        <f>IFERROR(VLOOKUP(B823,'Master data'!$A$1:$F$1000,2,FALSE),"")</f>
        <v/>
      </c>
      <c r="D823" s="7" t="str">
        <f>IFERROR(VLOOKUP(B823,'Master data'!$A$1:$F$1000,6,FALSE),"")</f>
        <v/>
      </c>
      <c r="F823" s="7" t="str">
        <f>IFERROR(VLOOKUP(B823,'Master data'!$A$1:$F$1000,3,FALSE),"")</f>
        <v/>
      </c>
      <c r="G823" s="29"/>
      <c r="H823" s="29"/>
      <c r="I823" s="16"/>
      <c r="J823" s="16"/>
      <c r="K823" s="16" t="b">
        <v>0</v>
      </c>
      <c r="L823" s="16" t="b">
        <v>0</v>
      </c>
    </row>
    <row r="824">
      <c r="A824" s="108"/>
      <c r="B824" s="16"/>
      <c r="C824" s="7" t="str">
        <f>IFERROR(VLOOKUP(B824,'Master data'!$A$1:$F$1000,2,FALSE),"")</f>
        <v/>
      </c>
      <c r="D824" s="7" t="str">
        <f>IFERROR(VLOOKUP(B824,'Master data'!$A$1:$F$1000,6,FALSE),"")</f>
        <v/>
      </c>
      <c r="F824" s="7" t="str">
        <f>IFERROR(VLOOKUP(B824,'Master data'!$A$1:$F$1000,3,FALSE),"")</f>
        <v/>
      </c>
      <c r="G824" s="29"/>
      <c r="H824" s="29"/>
      <c r="I824" s="16"/>
      <c r="J824" s="16"/>
      <c r="K824" s="16" t="b">
        <v>0</v>
      </c>
      <c r="L824" s="16" t="b">
        <v>0</v>
      </c>
    </row>
    <row r="825">
      <c r="A825" s="108"/>
      <c r="B825" s="16"/>
      <c r="C825" s="7" t="str">
        <f>IFERROR(VLOOKUP(B825,'Master data'!$A$1:$F$1000,2,FALSE),"")</f>
        <v/>
      </c>
      <c r="D825" s="7" t="str">
        <f>IFERROR(VLOOKUP(B825,'Master data'!$A$1:$F$1000,6,FALSE),"")</f>
        <v/>
      </c>
      <c r="F825" s="7" t="str">
        <f>IFERROR(VLOOKUP(B825,'Master data'!$A$1:$F$1000,3,FALSE),"")</f>
        <v/>
      </c>
      <c r="G825" s="29"/>
      <c r="H825" s="29"/>
      <c r="I825" s="16"/>
      <c r="J825" s="16"/>
      <c r="K825" s="16" t="b">
        <v>0</v>
      </c>
      <c r="L825" s="16" t="b">
        <v>0</v>
      </c>
    </row>
    <row r="826">
      <c r="A826" s="108"/>
      <c r="B826" s="16"/>
      <c r="C826" s="7" t="str">
        <f>IFERROR(VLOOKUP(B826,'Master data'!$A$1:$F$1000,2,FALSE),"")</f>
        <v/>
      </c>
      <c r="D826" s="7" t="str">
        <f>IFERROR(VLOOKUP(B826,'Master data'!$A$1:$F$1000,6,FALSE),"")</f>
        <v/>
      </c>
      <c r="F826" s="7" t="str">
        <f>IFERROR(VLOOKUP(B826,'Master data'!$A$1:$F$1000,3,FALSE),"")</f>
        <v/>
      </c>
      <c r="G826" s="29"/>
      <c r="H826" s="29"/>
      <c r="I826" s="16"/>
      <c r="J826" s="16"/>
      <c r="K826" s="16" t="b">
        <v>0</v>
      </c>
      <c r="L826" s="16" t="b">
        <v>0</v>
      </c>
    </row>
    <row r="827">
      <c r="A827" s="108"/>
      <c r="B827" s="16"/>
      <c r="C827" s="7" t="str">
        <f>IFERROR(VLOOKUP(B827,'Master data'!$A$1:$F$1000,2,FALSE),"")</f>
        <v/>
      </c>
      <c r="D827" s="7" t="str">
        <f>IFERROR(VLOOKUP(B827,'Master data'!$A$1:$F$1000,6,FALSE),"")</f>
        <v/>
      </c>
      <c r="F827" s="7" t="str">
        <f>IFERROR(VLOOKUP(B827,'Master data'!$A$1:$F$1000,3,FALSE),"")</f>
        <v/>
      </c>
      <c r="G827" s="29"/>
      <c r="H827" s="29"/>
      <c r="I827" s="16"/>
      <c r="J827" s="16"/>
      <c r="K827" s="16" t="b">
        <v>0</v>
      </c>
      <c r="L827" s="16" t="b">
        <v>0</v>
      </c>
    </row>
    <row r="828">
      <c r="A828" s="108"/>
      <c r="B828" s="16"/>
      <c r="C828" s="7" t="str">
        <f>IFERROR(VLOOKUP(B828,'Master data'!$A$1:$F$1000,2,FALSE),"")</f>
        <v/>
      </c>
      <c r="D828" s="7" t="str">
        <f>IFERROR(VLOOKUP(B828,'Master data'!$A$1:$F$1000,6,FALSE),"")</f>
        <v/>
      </c>
      <c r="F828" s="7" t="str">
        <f>IFERROR(VLOOKUP(B828,'Master data'!$A$1:$F$1000,3,FALSE),"")</f>
        <v/>
      </c>
      <c r="G828" s="29"/>
      <c r="H828" s="29"/>
      <c r="I828" s="16"/>
      <c r="J828" s="16"/>
      <c r="K828" s="16" t="b">
        <v>0</v>
      </c>
      <c r="L828" s="16" t="b">
        <v>0</v>
      </c>
    </row>
    <row r="829">
      <c r="A829" s="108"/>
      <c r="B829" s="16"/>
      <c r="C829" s="7" t="str">
        <f>IFERROR(VLOOKUP(B829,'Master data'!$A$1:$F$1000,2,FALSE),"")</f>
        <v/>
      </c>
      <c r="D829" s="7" t="str">
        <f>IFERROR(VLOOKUP(B829,'Master data'!$A$1:$F$1000,6,FALSE),"")</f>
        <v/>
      </c>
      <c r="F829" s="7" t="str">
        <f>IFERROR(VLOOKUP(B829,'Master data'!$A$1:$F$1000,3,FALSE),"")</f>
        <v/>
      </c>
      <c r="G829" s="29"/>
      <c r="H829" s="29"/>
      <c r="I829" s="16"/>
      <c r="J829" s="16"/>
      <c r="K829" s="16" t="b">
        <v>0</v>
      </c>
      <c r="L829" s="16" t="b">
        <v>0</v>
      </c>
    </row>
    <row r="830">
      <c r="A830" s="108"/>
      <c r="B830" s="16"/>
      <c r="C830" s="7" t="str">
        <f>IFERROR(VLOOKUP(B830,'Master data'!$A$1:$F$1000,2,FALSE),"")</f>
        <v/>
      </c>
      <c r="D830" s="7" t="str">
        <f>IFERROR(VLOOKUP(B830,'Master data'!$A$1:$F$1000,6,FALSE),"")</f>
        <v/>
      </c>
      <c r="F830" s="7" t="str">
        <f>IFERROR(VLOOKUP(B830,'Master data'!$A$1:$F$1000,3,FALSE),"")</f>
        <v/>
      </c>
      <c r="G830" s="29"/>
      <c r="H830" s="29"/>
      <c r="I830" s="16"/>
      <c r="J830" s="16"/>
      <c r="K830" s="16" t="b">
        <v>0</v>
      </c>
      <c r="L830" s="16" t="b">
        <v>0</v>
      </c>
    </row>
    <row r="831">
      <c r="A831" s="108"/>
      <c r="B831" s="16"/>
      <c r="C831" s="7" t="str">
        <f>IFERROR(VLOOKUP(B831,'Master data'!$A$1:$F$1000,2,FALSE),"")</f>
        <v/>
      </c>
      <c r="D831" s="7" t="str">
        <f>IFERROR(VLOOKUP(B831,'Master data'!$A$1:$F$1000,6,FALSE),"")</f>
        <v/>
      </c>
      <c r="F831" s="7" t="str">
        <f>IFERROR(VLOOKUP(B831,'Master data'!$A$1:$F$1000,3,FALSE),"")</f>
        <v/>
      </c>
      <c r="G831" s="29"/>
      <c r="H831" s="29"/>
      <c r="I831" s="16"/>
      <c r="J831" s="16"/>
      <c r="K831" s="16" t="b">
        <v>0</v>
      </c>
      <c r="L831" s="16" t="b">
        <v>0</v>
      </c>
    </row>
    <row r="832">
      <c r="A832" s="108"/>
      <c r="B832" s="16"/>
      <c r="C832" s="7" t="str">
        <f>IFERROR(VLOOKUP(B832,'Master data'!$A$1:$F$1000,2,FALSE),"")</f>
        <v/>
      </c>
      <c r="D832" s="7" t="str">
        <f>IFERROR(VLOOKUP(B832,'Master data'!$A$1:$F$1000,6,FALSE),"")</f>
        <v/>
      </c>
      <c r="F832" s="7" t="str">
        <f>IFERROR(VLOOKUP(B832,'Master data'!$A$1:$F$1000,3,FALSE),"")</f>
        <v/>
      </c>
      <c r="G832" s="29"/>
      <c r="H832" s="29"/>
      <c r="I832" s="16"/>
      <c r="J832" s="16"/>
      <c r="K832" s="16" t="b">
        <v>0</v>
      </c>
      <c r="L832" s="16" t="b">
        <v>0</v>
      </c>
    </row>
    <row r="833">
      <c r="A833" s="108"/>
      <c r="B833" s="16"/>
      <c r="C833" s="7" t="str">
        <f>IFERROR(VLOOKUP(B833,'Master data'!$A$1:$F$1000,2,FALSE),"")</f>
        <v/>
      </c>
      <c r="D833" s="7" t="str">
        <f>IFERROR(VLOOKUP(B833,'Master data'!$A$1:$F$1000,6,FALSE),"")</f>
        <v/>
      </c>
      <c r="F833" s="7" t="str">
        <f>IFERROR(VLOOKUP(B833,'Master data'!$A$1:$F$1000,3,FALSE),"")</f>
        <v/>
      </c>
      <c r="G833" s="29"/>
      <c r="H833" s="29"/>
      <c r="I833" s="16"/>
      <c r="J833" s="16"/>
      <c r="K833" s="16" t="b">
        <v>0</v>
      </c>
      <c r="L833" s="16" t="b">
        <v>0</v>
      </c>
    </row>
    <row r="834">
      <c r="A834" s="108"/>
      <c r="B834" s="16"/>
      <c r="C834" s="7" t="str">
        <f>IFERROR(VLOOKUP(B834,'Master data'!$A$1:$F$1000,2,FALSE),"")</f>
        <v/>
      </c>
      <c r="D834" s="7" t="str">
        <f>IFERROR(VLOOKUP(B834,'Master data'!$A$1:$F$1000,6,FALSE),"")</f>
        <v/>
      </c>
      <c r="F834" s="7" t="str">
        <f>IFERROR(VLOOKUP(B834,'Master data'!$A$1:$F$1000,3,FALSE),"")</f>
        <v/>
      </c>
      <c r="G834" s="29"/>
      <c r="H834" s="29"/>
      <c r="I834" s="16"/>
      <c r="J834" s="16"/>
      <c r="K834" s="16" t="b">
        <v>0</v>
      </c>
      <c r="L834" s="16" t="b">
        <v>0</v>
      </c>
    </row>
    <row r="835">
      <c r="A835" s="108"/>
      <c r="B835" s="16"/>
      <c r="C835" s="7" t="str">
        <f>IFERROR(VLOOKUP(B835,'Master data'!$A$1:$F$1000,2,FALSE),"")</f>
        <v/>
      </c>
      <c r="D835" s="7" t="str">
        <f>IFERROR(VLOOKUP(B835,'Master data'!$A$1:$F$1000,6,FALSE),"")</f>
        <v/>
      </c>
      <c r="F835" s="7" t="str">
        <f>IFERROR(VLOOKUP(B835,'Master data'!$A$1:$F$1000,3,FALSE),"")</f>
        <v/>
      </c>
      <c r="G835" s="29"/>
      <c r="H835" s="29"/>
      <c r="I835" s="16"/>
      <c r="J835" s="16"/>
      <c r="K835" s="16" t="b">
        <v>0</v>
      </c>
      <c r="L835" s="16" t="b">
        <v>0</v>
      </c>
    </row>
    <row r="836">
      <c r="A836" s="108"/>
      <c r="B836" s="16"/>
      <c r="C836" s="7" t="str">
        <f>IFERROR(VLOOKUP(B836,'Master data'!$A$1:$F$1000,2,FALSE),"")</f>
        <v/>
      </c>
      <c r="D836" s="7" t="str">
        <f>IFERROR(VLOOKUP(B836,'Master data'!$A$1:$F$1000,6,FALSE),"")</f>
        <v/>
      </c>
      <c r="F836" s="7" t="str">
        <f>IFERROR(VLOOKUP(B836,'Master data'!$A$1:$F$1000,3,FALSE),"")</f>
        <v/>
      </c>
      <c r="G836" s="29"/>
      <c r="H836" s="29"/>
      <c r="I836" s="16"/>
      <c r="J836" s="16"/>
      <c r="K836" s="16" t="b">
        <v>0</v>
      </c>
      <c r="L836" s="16" t="b">
        <v>0</v>
      </c>
    </row>
    <row r="837">
      <c r="A837" s="108"/>
      <c r="B837" s="16"/>
      <c r="C837" s="7" t="str">
        <f>IFERROR(VLOOKUP(B837,'Master data'!$A$1:$F$1000,2,FALSE),"")</f>
        <v/>
      </c>
      <c r="D837" s="7" t="str">
        <f>IFERROR(VLOOKUP(B837,'Master data'!$A$1:$F$1000,6,FALSE),"")</f>
        <v/>
      </c>
      <c r="F837" s="7" t="str">
        <f>IFERROR(VLOOKUP(B837,'Master data'!$A$1:$F$1000,3,FALSE),"")</f>
        <v/>
      </c>
      <c r="G837" s="29"/>
      <c r="H837" s="29"/>
      <c r="I837" s="16"/>
      <c r="J837" s="16"/>
      <c r="K837" s="16" t="b">
        <v>0</v>
      </c>
      <c r="L837" s="16" t="b">
        <v>0</v>
      </c>
    </row>
    <row r="838">
      <c r="A838" s="108"/>
      <c r="B838" s="16"/>
      <c r="C838" s="7" t="str">
        <f>IFERROR(VLOOKUP(B838,'Master data'!$A$1:$F$1000,2,FALSE),"")</f>
        <v/>
      </c>
      <c r="D838" s="7" t="str">
        <f>IFERROR(VLOOKUP(B838,'Master data'!$A$1:$F$1000,6,FALSE),"")</f>
        <v/>
      </c>
      <c r="F838" s="7" t="str">
        <f>IFERROR(VLOOKUP(B838,'Master data'!$A$1:$F$1000,3,FALSE),"")</f>
        <v/>
      </c>
      <c r="G838" s="29"/>
      <c r="H838" s="29"/>
      <c r="I838" s="16"/>
      <c r="J838" s="16"/>
      <c r="K838" s="16" t="b">
        <v>0</v>
      </c>
      <c r="L838" s="16" t="b">
        <v>0</v>
      </c>
    </row>
    <row r="839">
      <c r="A839" s="108"/>
      <c r="B839" s="16"/>
      <c r="C839" s="7" t="str">
        <f>IFERROR(VLOOKUP(B839,'Master data'!$A$1:$F$1000,2,FALSE),"")</f>
        <v/>
      </c>
      <c r="D839" s="7" t="str">
        <f>IFERROR(VLOOKUP(B839,'Master data'!$A$1:$F$1000,6,FALSE),"")</f>
        <v/>
      </c>
      <c r="F839" s="7" t="str">
        <f>IFERROR(VLOOKUP(B839,'Master data'!$A$1:$F$1000,3,FALSE),"")</f>
        <v/>
      </c>
      <c r="G839" s="29"/>
      <c r="H839" s="29"/>
      <c r="I839" s="16"/>
      <c r="J839" s="16"/>
      <c r="K839" s="16" t="b">
        <v>0</v>
      </c>
      <c r="L839" s="16" t="b">
        <v>0</v>
      </c>
    </row>
    <row r="840">
      <c r="A840" s="108"/>
      <c r="B840" s="16"/>
      <c r="C840" s="7" t="str">
        <f>IFERROR(VLOOKUP(B840,'Master data'!$A$1:$F$1000,2,FALSE),"")</f>
        <v/>
      </c>
      <c r="D840" s="7" t="str">
        <f>IFERROR(VLOOKUP(B840,'Master data'!$A$1:$F$1000,6,FALSE),"")</f>
        <v/>
      </c>
      <c r="F840" s="7" t="str">
        <f>IFERROR(VLOOKUP(B840,'Master data'!$A$1:$F$1000,3,FALSE),"")</f>
        <v/>
      </c>
      <c r="G840" s="29"/>
      <c r="H840" s="29"/>
      <c r="I840" s="16"/>
      <c r="J840" s="16"/>
      <c r="K840" s="16" t="b">
        <v>0</v>
      </c>
      <c r="L840" s="16" t="b">
        <v>0</v>
      </c>
    </row>
    <row r="841">
      <c r="A841" s="108"/>
      <c r="B841" s="16"/>
      <c r="C841" s="7" t="str">
        <f>IFERROR(VLOOKUP(B841,'Master data'!$A$1:$F$1000,2,FALSE),"")</f>
        <v/>
      </c>
      <c r="D841" s="7" t="str">
        <f>IFERROR(VLOOKUP(B841,'Master data'!$A$1:$F$1000,6,FALSE),"")</f>
        <v/>
      </c>
      <c r="F841" s="7" t="str">
        <f>IFERROR(VLOOKUP(B841,'Master data'!$A$1:$F$1000,3,FALSE),"")</f>
        <v/>
      </c>
      <c r="G841" s="29"/>
      <c r="H841" s="29"/>
      <c r="I841" s="16"/>
      <c r="J841" s="16"/>
      <c r="K841" s="16" t="b">
        <v>0</v>
      </c>
      <c r="L841" s="16" t="b">
        <v>0</v>
      </c>
    </row>
    <row r="842">
      <c r="A842" s="108"/>
      <c r="B842" s="16"/>
      <c r="C842" s="7" t="str">
        <f>IFERROR(VLOOKUP(B842,'Master data'!$A$1:$F$1000,2,FALSE),"")</f>
        <v/>
      </c>
      <c r="D842" s="7" t="str">
        <f>IFERROR(VLOOKUP(B842,'Master data'!$A$1:$F$1000,6,FALSE),"")</f>
        <v/>
      </c>
      <c r="F842" s="7" t="str">
        <f>IFERROR(VLOOKUP(B842,'Master data'!$A$1:$F$1000,3,FALSE),"")</f>
        <v/>
      </c>
      <c r="G842" s="29"/>
      <c r="H842" s="29"/>
      <c r="I842" s="16"/>
      <c r="J842" s="16"/>
      <c r="K842" s="16" t="b">
        <v>0</v>
      </c>
      <c r="L842" s="16" t="b">
        <v>0</v>
      </c>
    </row>
    <row r="843">
      <c r="A843" s="108"/>
      <c r="B843" s="16"/>
      <c r="C843" s="7" t="str">
        <f>IFERROR(VLOOKUP(B843,'Master data'!$A$1:$F$1000,2,FALSE),"")</f>
        <v/>
      </c>
      <c r="D843" s="7" t="str">
        <f>IFERROR(VLOOKUP(B843,'Master data'!$A$1:$F$1000,6,FALSE),"")</f>
        <v/>
      </c>
      <c r="F843" s="7" t="str">
        <f>IFERROR(VLOOKUP(B843,'Master data'!$A$1:$F$1000,3,FALSE),"")</f>
        <v/>
      </c>
      <c r="G843" s="29"/>
      <c r="H843" s="29"/>
      <c r="I843" s="16"/>
      <c r="J843" s="16"/>
      <c r="K843" s="16" t="b">
        <v>0</v>
      </c>
      <c r="L843" s="16" t="b">
        <v>0</v>
      </c>
    </row>
    <row r="844">
      <c r="A844" s="108"/>
      <c r="B844" s="16"/>
      <c r="C844" s="7" t="str">
        <f>IFERROR(VLOOKUP(B844,'Master data'!$A$1:$F$1000,2,FALSE),"")</f>
        <v/>
      </c>
      <c r="D844" s="7" t="str">
        <f>IFERROR(VLOOKUP(B844,'Master data'!$A$1:$F$1000,6,FALSE),"")</f>
        <v/>
      </c>
      <c r="F844" s="7" t="str">
        <f>IFERROR(VLOOKUP(B844,'Master data'!$A$1:$F$1000,3,FALSE),"")</f>
        <v/>
      </c>
      <c r="G844" s="29"/>
      <c r="H844" s="29"/>
      <c r="I844" s="16"/>
      <c r="J844" s="16"/>
      <c r="K844" s="16" t="b">
        <v>0</v>
      </c>
      <c r="L844" s="16" t="b">
        <v>0</v>
      </c>
    </row>
    <row r="845">
      <c r="A845" s="108"/>
      <c r="B845" s="16"/>
      <c r="C845" s="7" t="str">
        <f>IFERROR(VLOOKUP(B845,'Master data'!$A$1:$F$1000,2,FALSE),"")</f>
        <v/>
      </c>
      <c r="D845" s="7" t="str">
        <f>IFERROR(VLOOKUP(B845,'Master data'!$A$1:$F$1000,6,FALSE),"")</f>
        <v/>
      </c>
      <c r="F845" s="7" t="str">
        <f>IFERROR(VLOOKUP(B845,'Master data'!$A$1:$F$1000,3,FALSE),"")</f>
        <v/>
      </c>
      <c r="G845" s="29"/>
      <c r="H845" s="29"/>
      <c r="I845" s="16"/>
      <c r="J845" s="16"/>
      <c r="K845" s="16" t="b">
        <v>0</v>
      </c>
      <c r="L845" s="16" t="b">
        <v>0</v>
      </c>
    </row>
    <row r="846">
      <c r="A846" s="108"/>
      <c r="B846" s="16"/>
      <c r="C846" s="7" t="str">
        <f>IFERROR(VLOOKUP(B846,'Master data'!$A$1:$F$1000,2,FALSE),"")</f>
        <v/>
      </c>
      <c r="D846" s="7" t="str">
        <f>IFERROR(VLOOKUP(B846,'Master data'!$A$1:$F$1000,6,FALSE),"")</f>
        <v/>
      </c>
      <c r="F846" s="7" t="str">
        <f>IFERROR(VLOOKUP(B846,'Master data'!$A$1:$F$1000,3,FALSE),"")</f>
        <v/>
      </c>
      <c r="G846" s="29"/>
      <c r="H846" s="29"/>
      <c r="I846" s="16"/>
      <c r="J846" s="16"/>
      <c r="K846" s="16" t="b">
        <v>0</v>
      </c>
      <c r="L846" s="16" t="b">
        <v>0</v>
      </c>
    </row>
    <row r="847">
      <c r="A847" s="108"/>
      <c r="B847" s="16"/>
      <c r="C847" s="7" t="str">
        <f>IFERROR(VLOOKUP(B847,'Master data'!$A$1:$F$1000,2,FALSE),"")</f>
        <v/>
      </c>
      <c r="D847" s="7" t="str">
        <f>IFERROR(VLOOKUP(B847,'Master data'!$A$1:$F$1000,6,FALSE),"")</f>
        <v/>
      </c>
      <c r="F847" s="7" t="str">
        <f>IFERROR(VLOOKUP(B847,'Master data'!$A$1:$F$1000,3,FALSE),"")</f>
        <v/>
      </c>
      <c r="G847" s="29"/>
      <c r="H847" s="29"/>
      <c r="I847" s="16"/>
      <c r="J847" s="16"/>
      <c r="K847" s="16" t="b">
        <v>0</v>
      </c>
      <c r="L847" s="16" t="b">
        <v>0</v>
      </c>
    </row>
    <row r="848">
      <c r="A848" s="108"/>
      <c r="B848" s="16"/>
      <c r="C848" s="7" t="str">
        <f>IFERROR(VLOOKUP(B848,'Master data'!$A$1:$F$1000,2,FALSE),"")</f>
        <v/>
      </c>
      <c r="D848" s="7" t="str">
        <f>IFERROR(VLOOKUP(B848,'Master data'!$A$1:$F$1000,6,FALSE),"")</f>
        <v/>
      </c>
      <c r="F848" s="7" t="str">
        <f>IFERROR(VLOOKUP(B848,'Master data'!$A$1:$F$1000,3,FALSE),"")</f>
        <v/>
      </c>
      <c r="G848" s="29"/>
      <c r="H848" s="29"/>
      <c r="I848" s="16"/>
      <c r="J848" s="16"/>
      <c r="K848" s="16" t="b">
        <v>0</v>
      </c>
      <c r="L848" s="16" t="b">
        <v>0</v>
      </c>
    </row>
    <row r="849">
      <c r="A849" s="108"/>
      <c r="B849" s="16"/>
      <c r="C849" s="7" t="str">
        <f>IFERROR(VLOOKUP(B849,'Master data'!$A$1:$F$1000,2,FALSE),"")</f>
        <v/>
      </c>
      <c r="D849" s="7" t="str">
        <f>IFERROR(VLOOKUP(B849,'Master data'!$A$1:$F$1000,6,FALSE),"")</f>
        <v/>
      </c>
      <c r="F849" s="7" t="str">
        <f>IFERROR(VLOOKUP(B849,'Master data'!$A$1:$F$1000,3,FALSE),"")</f>
        <v/>
      </c>
      <c r="G849" s="29"/>
      <c r="H849" s="29"/>
      <c r="I849" s="16"/>
      <c r="J849" s="16"/>
      <c r="K849" s="16" t="b">
        <v>0</v>
      </c>
      <c r="L849" s="16" t="b">
        <v>0</v>
      </c>
    </row>
    <row r="850">
      <c r="A850" s="108"/>
      <c r="B850" s="16"/>
      <c r="C850" s="7" t="str">
        <f>IFERROR(VLOOKUP(B850,'Master data'!$A$1:$F$1000,2,FALSE),"")</f>
        <v/>
      </c>
      <c r="D850" s="7" t="str">
        <f>IFERROR(VLOOKUP(B850,'Master data'!$A$1:$F$1000,6,FALSE),"")</f>
        <v/>
      </c>
      <c r="F850" s="7" t="str">
        <f>IFERROR(VLOOKUP(B850,'Master data'!$A$1:$F$1000,3,FALSE),"")</f>
        <v/>
      </c>
      <c r="G850" s="29"/>
      <c r="H850" s="29"/>
      <c r="I850" s="16"/>
      <c r="J850" s="16"/>
      <c r="K850" s="16" t="b">
        <v>0</v>
      </c>
      <c r="L850" s="16" t="b">
        <v>0</v>
      </c>
    </row>
    <row r="851">
      <c r="A851" s="108"/>
      <c r="B851" s="16"/>
      <c r="C851" s="7" t="str">
        <f>IFERROR(VLOOKUP(B851,'Master data'!$A$1:$F$1000,2,FALSE),"")</f>
        <v/>
      </c>
      <c r="D851" s="7" t="str">
        <f>IFERROR(VLOOKUP(B851,'Master data'!$A$1:$F$1000,6,FALSE),"")</f>
        <v/>
      </c>
      <c r="F851" s="7" t="str">
        <f>IFERROR(VLOOKUP(B851,'Master data'!$A$1:$F$1000,3,FALSE),"")</f>
        <v/>
      </c>
      <c r="G851" s="29"/>
      <c r="H851" s="29"/>
      <c r="I851" s="16"/>
      <c r="J851" s="16"/>
      <c r="K851" s="16" t="b">
        <v>0</v>
      </c>
      <c r="L851" s="16" t="b">
        <v>0</v>
      </c>
    </row>
    <row r="852">
      <c r="A852" s="108"/>
      <c r="B852" s="16"/>
      <c r="C852" s="7" t="str">
        <f>IFERROR(VLOOKUP(B852,'Master data'!$A$1:$F$1000,2,FALSE),"")</f>
        <v/>
      </c>
      <c r="D852" s="7" t="str">
        <f>IFERROR(VLOOKUP(B852,'Master data'!$A$1:$F$1000,6,FALSE),"")</f>
        <v/>
      </c>
      <c r="F852" s="7" t="str">
        <f>IFERROR(VLOOKUP(B852,'Master data'!$A$1:$F$1000,3,FALSE),"")</f>
        <v/>
      </c>
      <c r="G852" s="29"/>
      <c r="H852" s="29"/>
      <c r="I852" s="16"/>
      <c r="J852" s="16"/>
      <c r="K852" s="16" t="b">
        <v>0</v>
      </c>
      <c r="L852" s="16" t="b">
        <v>0</v>
      </c>
    </row>
    <row r="853">
      <c r="A853" s="108"/>
      <c r="B853" s="16"/>
      <c r="C853" s="7" t="str">
        <f>IFERROR(VLOOKUP(B853,'Master data'!$A$1:$F$1000,2,FALSE),"")</f>
        <v/>
      </c>
      <c r="D853" s="7" t="str">
        <f>IFERROR(VLOOKUP(B853,'Master data'!$A$1:$F$1000,6,FALSE),"")</f>
        <v/>
      </c>
      <c r="F853" s="7" t="str">
        <f>IFERROR(VLOOKUP(B853,'Master data'!$A$1:$F$1000,3,FALSE),"")</f>
        <v/>
      </c>
      <c r="G853" s="29"/>
      <c r="H853" s="29"/>
      <c r="I853" s="16"/>
      <c r="J853" s="16"/>
      <c r="K853" s="16" t="b">
        <v>0</v>
      </c>
      <c r="L853" s="16" t="b">
        <v>0</v>
      </c>
    </row>
    <row r="854">
      <c r="A854" s="108"/>
      <c r="B854" s="16"/>
      <c r="C854" s="7" t="str">
        <f>IFERROR(VLOOKUP(B854,'Master data'!$A$1:$F$1000,2,FALSE),"")</f>
        <v/>
      </c>
      <c r="D854" s="7" t="str">
        <f>IFERROR(VLOOKUP(B854,'Master data'!$A$1:$F$1000,6,FALSE),"")</f>
        <v/>
      </c>
      <c r="F854" s="7" t="str">
        <f>IFERROR(VLOOKUP(B854,'Master data'!$A$1:$F$1000,3,FALSE),"")</f>
        <v/>
      </c>
      <c r="G854" s="29"/>
      <c r="H854" s="29"/>
      <c r="I854" s="16"/>
      <c r="J854" s="16"/>
      <c r="K854" s="16" t="b">
        <v>0</v>
      </c>
      <c r="L854" s="16" t="b">
        <v>0</v>
      </c>
    </row>
    <row r="855">
      <c r="A855" s="108"/>
      <c r="B855" s="16"/>
      <c r="C855" s="7" t="str">
        <f>IFERROR(VLOOKUP(B855,'Master data'!$A$1:$F$1000,2,FALSE),"")</f>
        <v/>
      </c>
      <c r="D855" s="7" t="str">
        <f>IFERROR(VLOOKUP(B855,'Master data'!$A$1:$F$1000,6,FALSE),"")</f>
        <v/>
      </c>
      <c r="F855" s="7" t="str">
        <f>IFERROR(VLOOKUP(B855,'Master data'!$A$1:$F$1000,3,FALSE),"")</f>
        <v/>
      </c>
      <c r="G855" s="29"/>
      <c r="H855" s="29"/>
      <c r="I855" s="16"/>
      <c r="J855" s="16"/>
      <c r="K855" s="16" t="b">
        <v>0</v>
      </c>
      <c r="L855" s="16" t="b">
        <v>0</v>
      </c>
    </row>
    <row r="856">
      <c r="A856" s="108"/>
      <c r="B856" s="16"/>
      <c r="C856" s="7" t="str">
        <f>IFERROR(VLOOKUP(B856,'Master data'!$A$1:$F$1000,2,FALSE),"")</f>
        <v/>
      </c>
      <c r="D856" s="7" t="str">
        <f>IFERROR(VLOOKUP(B856,'Master data'!$A$1:$F$1000,6,FALSE),"")</f>
        <v/>
      </c>
      <c r="F856" s="7" t="str">
        <f>IFERROR(VLOOKUP(B856,'Master data'!$A$1:$F$1000,3,FALSE),"")</f>
        <v/>
      </c>
      <c r="G856" s="29"/>
      <c r="H856" s="29"/>
      <c r="I856" s="16"/>
      <c r="J856" s="16"/>
      <c r="K856" s="16" t="b">
        <v>0</v>
      </c>
      <c r="L856" s="16" t="b">
        <v>0</v>
      </c>
    </row>
    <row r="857">
      <c r="A857" s="108"/>
      <c r="B857" s="16"/>
      <c r="C857" s="7" t="str">
        <f>IFERROR(VLOOKUP(B857,'Master data'!$A$1:$F$1000,2,FALSE),"")</f>
        <v/>
      </c>
      <c r="D857" s="7" t="str">
        <f>IFERROR(VLOOKUP(B857,'Master data'!$A$1:$F$1000,6,FALSE),"")</f>
        <v/>
      </c>
      <c r="F857" s="7" t="str">
        <f>IFERROR(VLOOKUP(B857,'Master data'!$A$1:$F$1000,3,FALSE),"")</f>
        <v/>
      </c>
      <c r="G857" s="29"/>
      <c r="H857" s="29"/>
      <c r="I857" s="16"/>
      <c r="J857" s="16"/>
      <c r="K857" s="16" t="b">
        <v>0</v>
      </c>
      <c r="L857" s="16" t="b">
        <v>0</v>
      </c>
    </row>
    <row r="858">
      <c r="A858" s="108"/>
      <c r="B858" s="16"/>
      <c r="C858" s="7" t="str">
        <f>IFERROR(VLOOKUP(B858,'Master data'!$A$1:$F$1000,2,FALSE),"")</f>
        <v/>
      </c>
      <c r="D858" s="7" t="str">
        <f>IFERROR(VLOOKUP(B858,'Master data'!$A$1:$F$1000,6,FALSE),"")</f>
        <v/>
      </c>
      <c r="F858" s="7" t="str">
        <f>IFERROR(VLOOKUP(B858,'Master data'!$A$1:$F$1000,3,FALSE),"")</f>
        <v/>
      </c>
      <c r="G858" s="29"/>
      <c r="H858" s="29"/>
      <c r="I858" s="16"/>
      <c r="J858" s="16"/>
      <c r="K858" s="16" t="b">
        <v>0</v>
      </c>
      <c r="L858" s="16" t="b">
        <v>0</v>
      </c>
    </row>
    <row r="859">
      <c r="A859" s="108"/>
      <c r="B859" s="16"/>
      <c r="C859" s="7" t="str">
        <f>IFERROR(VLOOKUP(B859,'Master data'!$A$1:$F$1000,2,FALSE),"")</f>
        <v/>
      </c>
      <c r="D859" s="7" t="str">
        <f>IFERROR(VLOOKUP(B859,'Master data'!$A$1:$F$1000,6,FALSE),"")</f>
        <v/>
      </c>
      <c r="F859" s="7" t="str">
        <f>IFERROR(VLOOKUP(B859,'Master data'!$A$1:$F$1000,3,FALSE),"")</f>
        <v/>
      </c>
      <c r="G859" s="29"/>
      <c r="H859" s="29"/>
      <c r="I859" s="16"/>
      <c r="J859" s="16"/>
      <c r="K859" s="16" t="b">
        <v>0</v>
      </c>
      <c r="L859" s="16" t="b">
        <v>0</v>
      </c>
    </row>
    <row r="860">
      <c r="A860" s="108"/>
      <c r="B860" s="16"/>
      <c r="C860" s="7" t="str">
        <f>IFERROR(VLOOKUP(B860,'Master data'!$A$1:$F$1000,2,FALSE),"")</f>
        <v/>
      </c>
      <c r="D860" s="7" t="str">
        <f>IFERROR(VLOOKUP(B860,'Master data'!$A$1:$F$1000,6,FALSE),"")</f>
        <v/>
      </c>
      <c r="F860" s="7" t="str">
        <f>IFERROR(VLOOKUP(B860,'Master data'!$A$1:$F$1000,3,FALSE),"")</f>
        <v/>
      </c>
      <c r="G860" s="29"/>
      <c r="H860" s="29"/>
      <c r="I860" s="16"/>
      <c r="J860" s="16"/>
      <c r="K860" s="16" t="b">
        <v>0</v>
      </c>
      <c r="L860" s="16" t="b">
        <v>0</v>
      </c>
    </row>
    <row r="861">
      <c r="A861" s="108"/>
      <c r="B861" s="16"/>
      <c r="C861" s="7" t="str">
        <f>IFERROR(VLOOKUP(B861,'Master data'!$A$1:$F$1000,2,FALSE),"")</f>
        <v/>
      </c>
      <c r="D861" s="7" t="str">
        <f>IFERROR(VLOOKUP(B861,'Master data'!$A$1:$F$1000,6,FALSE),"")</f>
        <v/>
      </c>
      <c r="F861" s="7" t="str">
        <f>IFERROR(VLOOKUP(B861,'Master data'!$A$1:$F$1000,3,FALSE),"")</f>
        <v/>
      </c>
      <c r="G861" s="29"/>
      <c r="H861" s="29"/>
      <c r="I861" s="16"/>
      <c r="J861" s="16"/>
      <c r="K861" s="16" t="b">
        <v>0</v>
      </c>
      <c r="L861" s="16" t="b">
        <v>0</v>
      </c>
    </row>
    <row r="862">
      <c r="A862" s="108"/>
      <c r="B862" s="16"/>
      <c r="C862" s="7" t="str">
        <f>IFERROR(VLOOKUP(B862,'Master data'!$A$1:$F$1000,2,FALSE),"")</f>
        <v/>
      </c>
      <c r="D862" s="7" t="str">
        <f>IFERROR(VLOOKUP(B862,'Master data'!$A$1:$F$1000,6,FALSE),"")</f>
        <v/>
      </c>
      <c r="F862" s="7" t="str">
        <f>IFERROR(VLOOKUP(B862,'Master data'!$A$1:$F$1000,3,FALSE),"")</f>
        <v/>
      </c>
      <c r="G862" s="29"/>
      <c r="H862" s="29"/>
      <c r="I862" s="16"/>
      <c r="J862" s="16"/>
      <c r="K862" s="16" t="b">
        <v>0</v>
      </c>
      <c r="L862" s="16" t="b">
        <v>0</v>
      </c>
    </row>
    <row r="863">
      <c r="A863" s="108"/>
      <c r="B863" s="16"/>
      <c r="C863" s="7" t="str">
        <f>IFERROR(VLOOKUP(B863,'Master data'!$A$1:$F$1000,2,FALSE),"")</f>
        <v/>
      </c>
      <c r="D863" s="7" t="str">
        <f>IFERROR(VLOOKUP(B863,'Master data'!$A$1:$F$1000,6,FALSE),"")</f>
        <v/>
      </c>
      <c r="F863" s="7" t="str">
        <f>IFERROR(VLOOKUP(B863,'Master data'!$A$1:$F$1000,3,FALSE),"")</f>
        <v/>
      </c>
      <c r="G863" s="29"/>
      <c r="H863" s="29"/>
      <c r="I863" s="16"/>
      <c r="J863" s="16"/>
      <c r="K863" s="16" t="b">
        <v>0</v>
      </c>
      <c r="L863" s="16" t="b">
        <v>0</v>
      </c>
    </row>
    <row r="864">
      <c r="A864" s="108"/>
      <c r="B864" s="16"/>
      <c r="C864" s="7" t="str">
        <f>IFERROR(VLOOKUP(B864,'Master data'!$A$1:$F$1000,2,FALSE),"")</f>
        <v/>
      </c>
      <c r="D864" s="7" t="str">
        <f>IFERROR(VLOOKUP(B864,'Master data'!$A$1:$F$1000,6,FALSE),"")</f>
        <v/>
      </c>
      <c r="F864" s="7" t="str">
        <f>IFERROR(VLOOKUP(B864,'Master data'!$A$1:$F$1000,3,FALSE),"")</f>
        <v/>
      </c>
      <c r="G864" s="29"/>
      <c r="H864" s="29"/>
      <c r="I864" s="16"/>
      <c r="J864" s="16"/>
      <c r="K864" s="16" t="b">
        <v>0</v>
      </c>
      <c r="L864" s="16" t="b">
        <v>0</v>
      </c>
    </row>
    <row r="865">
      <c r="A865" s="108"/>
      <c r="B865" s="16"/>
      <c r="C865" s="7" t="str">
        <f>IFERROR(VLOOKUP(B865,'Master data'!$A$1:$F$1000,2,FALSE),"")</f>
        <v/>
      </c>
      <c r="D865" s="7" t="str">
        <f>IFERROR(VLOOKUP(B865,'Master data'!$A$1:$F$1000,6,FALSE),"")</f>
        <v/>
      </c>
      <c r="F865" s="7" t="str">
        <f>IFERROR(VLOOKUP(B865,'Master data'!$A$1:$F$1000,3,FALSE),"")</f>
        <v/>
      </c>
      <c r="G865" s="29"/>
      <c r="H865" s="29"/>
      <c r="I865" s="16"/>
      <c r="J865" s="16"/>
      <c r="K865" s="16" t="b">
        <v>0</v>
      </c>
      <c r="L865" s="16" t="b">
        <v>0</v>
      </c>
    </row>
    <row r="866">
      <c r="A866" s="108"/>
      <c r="B866" s="16"/>
      <c r="C866" s="7" t="str">
        <f>IFERROR(VLOOKUP(B866,'Master data'!$A$1:$F$1000,2,FALSE),"")</f>
        <v/>
      </c>
      <c r="D866" s="7" t="str">
        <f>IFERROR(VLOOKUP(B866,'Master data'!$A$1:$F$1000,6,FALSE),"")</f>
        <v/>
      </c>
      <c r="F866" s="7" t="str">
        <f>IFERROR(VLOOKUP(B866,'Master data'!$A$1:$F$1000,3,FALSE),"")</f>
        <v/>
      </c>
      <c r="G866" s="29"/>
      <c r="H866" s="29"/>
      <c r="I866" s="16"/>
      <c r="J866" s="16"/>
      <c r="K866" s="16" t="b">
        <v>0</v>
      </c>
      <c r="L866" s="16" t="b">
        <v>0</v>
      </c>
    </row>
    <row r="867">
      <c r="A867" s="108"/>
      <c r="B867" s="16"/>
      <c r="C867" s="7" t="str">
        <f>IFERROR(VLOOKUP(B867,'Master data'!$A$1:$F$1000,2,FALSE),"")</f>
        <v/>
      </c>
      <c r="D867" s="7" t="str">
        <f>IFERROR(VLOOKUP(B867,'Master data'!$A$1:$F$1000,6,FALSE),"")</f>
        <v/>
      </c>
      <c r="F867" s="7" t="str">
        <f>IFERROR(VLOOKUP(B867,'Master data'!$A$1:$F$1000,3,FALSE),"")</f>
        <v/>
      </c>
      <c r="G867" s="29"/>
      <c r="H867" s="29"/>
      <c r="I867" s="16"/>
      <c r="J867" s="16"/>
      <c r="K867" s="16" t="b">
        <v>0</v>
      </c>
      <c r="L867" s="16" t="b">
        <v>0</v>
      </c>
    </row>
    <row r="868">
      <c r="A868" s="108"/>
      <c r="B868" s="16"/>
      <c r="C868" s="7" t="str">
        <f>IFERROR(VLOOKUP(B868,'Master data'!$A$1:$F$1000,2,FALSE),"")</f>
        <v/>
      </c>
      <c r="D868" s="7" t="str">
        <f>IFERROR(VLOOKUP(B868,'Master data'!$A$1:$F$1000,6,FALSE),"")</f>
        <v/>
      </c>
      <c r="F868" s="7" t="str">
        <f>IFERROR(VLOOKUP(B868,'Master data'!$A$1:$F$1000,3,FALSE),"")</f>
        <v/>
      </c>
      <c r="G868" s="29"/>
      <c r="H868" s="29"/>
      <c r="I868" s="16"/>
      <c r="J868" s="16"/>
      <c r="K868" s="16" t="b">
        <v>0</v>
      </c>
      <c r="L868" s="16" t="b">
        <v>0</v>
      </c>
    </row>
    <row r="869">
      <c r="A869" s="108"/>
      <c r="B869" s="16"/>
      <c r="C869" s="7" t="str">
        <f>IFERROR(VLOOKUP(B869,'Master data'!$A$1:$F$1000,2,FALSE),"")</f>
        <v/>
      </c>
      <c r="D869" s="7" t="str">
        <f>IFERROR(VLOOKUP(B869,'Master data'!$A$1:$F$1000,6,FALSE),"")</f>
        <v/>
      </c>
      <c r="F869" s="7" t="str">
        <f>IFERROR(VLOOKUP(B869,'Master data'!$A$1:$F$1000,3,FALSE),"")</f>
        <v/>
      </c>
      <c r="G869" s="29"/>
      <c r="H869" s="29"/>
      <c r="I869" s="16"/>
      <c r="J869" s="16"/>
      <c r="K869" s="16" t="b">
        <v>0</v>
      </c>
      <c r="L869" s="16" t="b">
        <v>0</v>
      </c>
    </row>
    <row r="870">
      <c r="A870" s="108"/>
      <c r="B870" s="16"/>
      <c r="C870" s="7" t="str">
        <f>IFERROR(VLOOKUP(B870,'Master data'!$A$1:$F$1000,2,FALSE),"")</f>
        <v/>
      </c>
      <c r="D870" s="7" t="str">
        <f>IFERROR(VLOOKUP(B870,'Master data'!$A$1:$F$1000,6,FALSE),"")</f>
        <v/>
      </c>
      <c r="F870" s="7" t="str">
        <f>IFERROR(VLOOKUP(B870,'Master data'!$A$1:$F$1000,3,FALSE),"")</f>
        <v/>
      </c>
      <c r="G870" s="29"/>
      <c r="H870" s="29"/>
      <c r="I870" s="16"/>
      <c r="J870" s="16"/>
      <c r="K870" s="16" t="b">
        <v>0</v>
      </c>
      <c r="L870" s="16" t="b">
        <v>0</v>
      </c>
    </row>
    <row r="871">
      <c r="A871" s="108"/>
      <c r="B871" s="16"/>
      <c r="C871" s="7" t="str">
        <f>IFERROR(VLOOKUP(B871,'Master data'!$A$1:$F$1000,2,FALSE),"")</f>
        <v/>
      </c>
      <c r="D871" s="7" t="str">
        <f>IFERROR(VLOOKUP(B871,'Master data'!$A$1:$F$1000,6,FALSE),"")</f>
        <v/>
      </c>
      <c r="F871" s="7" t="str">
        <f>IFERROR(VLOOKUP(B871,'Master data'!$A$1:$F$1000,3,FALSE),"")</f>
        <v/>
      </c>
      <c r="G871" s="29"/>
      <c r="H871" s="29"/>
      <c r="I871" s="16"/>
      <c r="J871" s="16"/>
      <c r="K871" s="16" t="b">
        <v>0</v>
      </c>
      <c r="L871" s="16" t="b">
        <v>0</v>
      </c>
    </row>
    <row r="872">
      <c r="A872" s="108"/>
      <c r="B872" s="16"/>
      <c r="C872" s="7" t="str">
        <f>IFERROR(VLOOKUP(B872,'Master data'!$A$1:$F$1000,2,FALSE),"")</f>
        <v/>
      </c>
      <c r="D872" s="7" t="str">
        <f>IFERROR(VLOOKUP(B872,'Master data'!$A$1:$F$1000,6,FALSE),"")</f>
        <v/>
      </c>
      <c r="F872" s="7" t="str">
        <f>IFERROR(VLOOKUP(B872,'Master data'!$A$1:$F$1000,3,FALSE),"")</f>
        <v/>
      </c>
      <c r="G872" s="29"/>
      <c r="H872" s="29"/>
      <c r="I872" s="16"/>
      <c r="J872" s="16"/>
      <c r="K872" s="16" t="b">
        <v>0</v>
      </c>
      <c r="L872" s="16" t="b">
        <v>0</v>
      </c>
    </row>
    <row r="873">
      <c r="A873" s="108"/>
      <c r="B873" s="16"/>
      <c r="C873" s="7" t="str">
        <f>IFERROR(VLOOKUP(B873,'Master data'!$A$1:$F$1000,2,FALSE),"")</f>
        <v/>
      </c>
      <c r="D873" s="7" t="str">
        <f>IFERROR(VLOOKUP(B873,'Master data'!$A$1:$F$1000,6,FALSE),"")</f>
        <v/>
      </c>
      <c r="F873" s="7" t="str">
        <f>IFERROR(VLOOKUP(B873,'Master data'!$A$1:$F$1000,3,FALSE),"")</f>
        <v/>
      </c>
      <c r="G873" s="29"/>
      <c r="H873" s="29"/>
      <c r="I873" s="16"/>
      <c r="J873" s="16"/>
      <c r="K873" s="16" t="b">
        <v>0</v>
      </c>
      <c r="L873" s="16" t="b">
        <v>0</v>
      </c>
    </row>
    <row r="874">
      <c r="A874" s="108"/>
      <c r="B874" s="16"/>
      <c r="C874" s="7" t="str">
        <f>IFERROR(VLOOKUP(B874,'Master data'!$A$1:$F$1000,2,FALSE),"")</f>
        <v/>
      </c>
      <c r="D874" s="7" t="str">
        <f>IFERROR(VLOOKUP(B874,'Master data'!$A$1:$F$1000,6,FALSE),"")</f>
        <v/>
      </c>
      <c r="F874" s="7" t="str">
        <f>IFERROR(VLOOKUP(B874,'Master data'!$A$1:$F$1000,3,FALSE),"")</f>
        <v/>
      </c>
      <c r="G874" s="29"/>
      <c r="H874" s="29"/>
      <c r="I874" s="16"/>
      <c r="J874" s="16"/>
      <c r="K874" s="16" t="b">
        <v>0</v>
      </c>
      <c r="L874" s="16" t="b">
        <v>0</v>
      </c>
    </row>
    <row r="875">
      <c r="A875" s="108"/>
      <c r="B875" s="16"/>
      <c r="C875" s="7" t="str">
        <f>IFERROR(VLOOKUP(B875,'Master data'!$A$1:$F$1000,2,FALSE),"")</f>
        <v/>
      </c>
      <c r="D875" s="7" t="str">
        <f>IFERROR(VLOOKUP(B875,'Master data'!$A$1:$F$1000,6,FALSE),"")</f>
        <v/>
      </c>
      <c r="F875" s="7" t="str">
        <f>IFERROR(VLOOKUP(B875,'Master data'!$A$1:$F$1000,3,FALSE),"")</f>
        <v/>
      </c>
      <c r="G875" s="29"/>
      <c r="H875" s="29"/>
      <c r="I875" s="16"/>
      <c r="J875" s="16"/>
      <c r="K875" s="16" t="b">
        <v>0</v>
      </c>
      <c r="L875" s="16" t="b">
        <v>0</v>
      </c>
    </row>
    <row r="876">
      <c r="A876" s="108"/>
      <c r="B876" s="16"/>
      <c r="C876" s="7" t="str">
        <f>IFERROR(VLOOKUP(B876,'Master data'!$A$1:$F$1000,2,FALSE),"")</f>
        <v/>
      </c>
      <c r="D876" s="7" t="str">
        <f>IFERROR(VLOOKUP(B876,'Master data'!$A$1:$F$1000,6,FALSE),"")</f>
        <v/>
      </c>
      <c r="F876" s="7" t="str">
        <f>IFERROR(VLOOKUP(B876,'Master data'!$A$1:$F$1000,3,FALSE),"")</f>
        <v/>
      </c>
      <c r="G876" s="29"/>
      <c r="H876" s="29"/>
      <c r="I876" s="16"/>
      <c r="J876" s="16"/>
      <c r="K876" s="16" t="b">
        <v>0</v>
      </c>
      <c r="L876" s="16" t="b">
        <v>0</v>
      </c>
    </row>
    <row r="877">
      <c r="A877" s="108"/>
      <c r="B877" s="16"/>
      <c r="C877" s="7" t="str">
        <f>IFERROR(VLOOKUP(B877,'Master data'!$A$1:$F$1000,2,FALSE),"")</f>
        <v/>
      </c>
      <c r="D877" s="7" t="str">
        <f>IFERROR(VLOOKUP(B877,'Master data'!$A$1:$F$1000,6,FALSE),"")</f>
        <v/>
      </c>
      <c r="F877" s="7" t="str">
        <f>IFERROR(VLOOKUP(B877,'Master data'!$A$1:$F$1000,3,FALSE),"")</f>
        <v/>
      </c>
      <c r="G877" s="29"/>
      <c r="H877" s="29"/>
      <c r="I877" s="16"/>
      <c r="J877" s="16"/>
      <c r="K877" s="16" t="b">
        <v>0</v>
      </c>
      <c r="L877" s="16" t="b">
        <v>0</v>
      </c>
    </row>
    <row r="878">
      <c r="A878" s="108"/>
      <c r="B878" s="16"/>
      <c r="C878" s="7" t="str">
        <f>IFERROR(VLOOKUP(B878,'Master data'!$A$1:$F$1000,2,FALSE),"")</f>
        <v/>
      </c>
      <c r="D878" s="7" t="str">
        <f>IFERROR(VLOOKUP(B878,'Master data'!$A$1:$F$1000,6,FALSE),"")</f>
        <v/>
      </c>
      <c r="F878" s="7" t="str">
        <f>IFERROR(VLOOKUP(B878,'Master data'!$A$1:$F$1000,3,FALSE),"")</f>
        <v/>
      </c>
      <c r="G878" s="29"/>
      <c r="H878" s="29"/>
      <c r="I878" s="16"/>
      <c r="J878" s="16"/>
      <c r="K878" s="16" t="b">
        <v>0</v>
      </c>
      <c r="L878" s="16" t="b">
        <v>0</v>
      </c>
    </row>
    <row r="879">
      <c r="A879" s="108"/>
      <c r="B879" s="16"/>
      <c r="C879" s="7" t="str">
        <f>IFERROR(VLOOKUP(B879,'Master data'!$A$1:$F$1000,2,FALSE),"")</f>
        <v/>
      </c>
      <c r="D879" s="7" t="str">
        <f>IFERROR(VLOOKUP(B879,'Master data'!$A$1:$F$1000,6,FALSE),"")</f>
        <v/>
      </c>
      <c r="F879" s="7" t="str">
        <f>IFERROR(VLOOKUP(B879,'Master data'!$A$1:$F$1000,3,FALSE),"")</f>
        <v/>
      </c>
      <c r="G879" s="29"/>
      <c r="H879" s="29"/>
      <c r="I879" s="16"/>
      <c r="J879" s="16"/>
      <c r="K879" s="16" t="b">
        <v>0</v>
      </c>
      <c r="L879" s="16" t="b">
        <v>0</v>
      </c>
    </row>
    <row r="880">
      <c r="A880" s="108"/>
      <c r="B880" s="16"/>
      <c r="C880" s="7" t="str">
        <f>IFERROR(VLOOKUP(B880,'Master data'!$A$1:$F$1000,2,FALSE),"")</f>
        <v/>
      </c>
      <c r="D880" s="7" t="str">
        <f>IFERROR(VLOOKUP(B880,'Master data'!$A$1:$F$1000,6,FALSE),"")</f>
        <v/>
      </c>
      <c r="F880" s="7" t="str">
        <f>IFERROR(VLOOKUP(B880,'Master data'!$A$1:$F$1000,3,FALSE),"")</f>
        <v/>
      </c>
      <c r="G880" s="29"/>
      <c r="H880" s="29"/>
      <c r="I880" s="16"/>
      <c r="J880" s="16"/>
      <c r="K880" s="16" t="b">
        <v>0</v>
      </c>
      <c r="L880" s="16" t="b">
        <v>0</v>
      </c>
    </row>
    <row r="881">
      <c r="A881" s="108"/>
      <c r="B881" s="16"/>
      <c r="C881" s="7" t="str">
        <f>IFERROR(VLOOKUP(B881,'Master data'!$A$1:$F$1000,2,FALSE),"")</f>
        <v/>
      </c>
      <c r="D881" s="7" t="str">
        <f>IFERROR(VLOOKUP(B881,'Master data'!$A$1:$F$1000,6,FALSE),"")</f>
        <v/>
      </c>
      <c r="F881" s="7" t="str">
        <f>IFERROR(VLOOKUP(B881,'Master data'!$A$1:$F$1000,3,FALSE),"")</f>
        <v/>
      </c>
      <c r="G881" s="29"/>
      <c r="H881" s="29"/>
      <c r="I881" s="16"/>
      <c r="J881" s="16"/>
      <c r="K881" s="16" t="b">
        <v>0</v>
      </c>
      <c r="L881" s="16" t="b">
        <v>0</v>
      </c>
    </row>
    <row r="882">
      <c r="A882" s="108"/>
      <c r="B882" s="16"/>
      <c r="C882" s="7" t="str">
        <f>IFERROR(VLOOKUP(B882,'Master data'!$A$1:$F$1000,2,FALSE),"")</f>
        <v/>
      </c>
      <c r="D882" s="7" t="str">
        <f>IFERROR(VLOOKUP(B882,'Master data'!$A$1:$F$1000,6,FALSE),"")</f>
        <v/>
      </c>
      <c r="F882" s="7" t="str">
        <f>IFERROR(VLOOKUP(B882,'Master data'!$A$1:$F$1000,3,FALSE),"")</f>
        <v/>
      </c>
      <c r="G882" s="29"/>
      <c r="H882" s="29"/>
      <c r="I882" s="16"/>
      <c r="J882" s="16"/>
      <c r="K882" s="16" t="b">
        <v>0</v>
      </c>
      <c r="L882" s="16" t="b">
        <v>0</v>
      </c>
    </row>
    <row r="883">
      <c r="A883" s="108"/>
      <c r="B883" s="16"/>
      <c r="C883" s="7" t="str">
        <f>IFERROR(VLOOKUP(B883,'Master data'!$A$1:$F$1000,2,FALSE),"")</f>
        <v/>
      </c>
      <c r="D883" s="7" t="str">
        <f>IFERROR(VLOOKUP(B883,'Master data'!$A$1:$F$1000,6,FALSE),"")</f>
        <v/>
      </c>
      <c r="F883" s="7" t="str">
        <f>IFERROR(VLOOKUP(B883,'Master data'!$A$1:$F$1000,3,FALSE),"")</f>
        <v/>
      </c>
      <c r="G883" s="29"/>
      <c r="H883" s="29"/>
      <c r="I883" s="16"/>
      <c r="J883" s="16"/>
      <c r="K883" s="16" t="b">
        <v>0</v>
      </c>
      <c r="L883" s="16" t="b">
        <v>0</v>
      </c>
    </row>
    <row r="884">
      <c r="A884" s="108"/>
      <c r="B884" s="16"/>
      <c r="C884" s="7" t="str">
        <f>IFERROR(VLOOKUP(B884,'Master data'!$A$1:$F$1000,2,FALSE),"")</f>
        <v/>
      </c>
      <c r="D884" s="7" t="str">
        <f>IFERROR(VLOOKUP(B884,'Master data'!$A$1:$F$1000,6,FALSE),"")</f>
        <v/>
      </c>
      <c r="F884" s="7" t="str">
        <f>IFERROR(VLOOKUP(B884,'Master data'!$A$1:$F$1000,3,FALSE),"")</f>
        <v/>
      </c>
      <c r="G884" s="29"/>
      <c r="H884" s="29"/>
      <c r="I884" s="16"/>
      <c r="J884" s="16"/>
      <c r="K884" s="16" t="b">
        <v>0</v>
      </c>
      <c r="L884" s="16" t="b">
        <v>0</v>
      </c>
    </row>
    <row r="885">
      <c r="A885" s="108"/>
      <c r="B885" s="16"/>
      <c r="C885" s="7" t="str">
        <f>IFERROR(VLOOKUP(B885,'Master data'!$A$1:$F$1000,2,FALSE),"")</f>
        <v/>
      </c>
      <c r="D885" s="7" t="str">
        <f>IFERROR(VLOOKUP(B885,'Master data'!$A$1:$F$1000,6,FALSE),"")</f>
        <v/>
      </c>
      <c r="F885" s="7" t="str">
        <f>IFERROR(VLOOKUP(B885,'Master data'!$A$1:$F$1000,3,FALSE),"")</f>
        <v/>
      </c>
      <c r="G885" s="29"/>
      <c r="H885" s="29"/>
      <c r="I885" s="16"/>
      <c r="J885" s="16"/>
      <c r="K885" s="16" t="b">
        <v>0</v>
      </c>
      <c r="L885" s="16" t="b">
        <v>0</v>
      </c>
    </row>
    <row r="886">
      <c r="A886" s="108"/>
      <c r="B886" s="16"/>
      <c r="C886" s="7" t="str">
        <f>IFERROR(VLOOKUP(B886,'Master data'!$A$1:$F$1000,2,FALSE),"")</f>
        <v/>
      </c>
      <c r="D886" s="7" t="str">
        <f>IFERROR(VLOOKUP(B886,'Master data'!$A$1:$F$1000,6,FALSE),"")</f>
        <v/>
      </c>
      <c r="F886" s="7" t="str">
        <f>IFERROR(VLOOKUP(B886,'Master data'!$A$1:$F$1000,3,FALSE),"")</f>
        <v/>
      </c>
      <c r="G886" s="29"/>
      <c r="H886" s="29"/>
      <c r="I886" s="16"/>
      <c r="J886" s="16"/>
      <c r="K886" s="16" t="b">
        <v>0</v>
      </c>
      <c r="L886" s="16" t="b">
        <v>0</v>
      </c>
    </row>
    <row r="887">
      <c r="A887" s="108"/>
      <c r="B887" s="16"/>
      <c r="C887" s="7" t="str">
        <f>IFERROR(VLOOKUP(B887,'Master data'!$A$1:$F$1000,2,FALSE),"")</f>
        <v/>
      </c>
      <c r="D887" s="7" t="str">
        <f>IFERROR(VLOOKUP(B887,'Master data'!$A$1:$F$1000,6,FALSE),"")</f>
        <v/>
      </c>
      <c r="F887" s="7" t="str">
        <f>IFERROR(VLOOKUP(B887,'Master data'!$A$1:$F$1000,3,FALSE),"")</f>
        <v/>
      </c>
      <c r="G887" s="29"/>
      <c r="H887" s="29"/>
      <c r="I887" s="16"/>
      <c r="J887" s="16"/>
      <c r="K887" s="16" t="b">
        <v>0</v>
      </c>
      <c r="L887" s="16" t="b">
        <v>0</v>
      </c>
    </row>
    <row r="888">
      <c r="A888" s="108"/>
      <c r="B888" s="16"/>
      <c r="C888" s="7" t="str">
        <f>IFERROR(VLOOKUP(B888,'Master data'!$A$1:$F$1000,2,FALSE),"")</f>
        <v/>
      </c>
      <c r="D888" s="7" t="str">
        <f>IFERROR(VLOOKUP(B888,'Master data'!$A$1:$F$1000,6,FALSE),"")</f>
        <v/>
      </c>
      <c r="F888" s="7" t="str">
        <f>IFERROR(VLOOKUP(B888,'Master data'!$A$1:$F$1000,3,FALSE),"")</f>
        <v/>
      </c>
      <c r="G888" s="29"/>
      <c r="H888" s="29"/>
      <c r="I888" s="16"/>
      <c r="J888" s="16"/>
      <c r="K888" s="16" t="b">
        <v>0</v>
      </c>
      <c r="L888" s="16" t="b">
        <v>0</v>
      </c>
    </row>
    <row r="889">
      <c r="A889" s="108"/>
      <c r="B889" s="16"/>
      <c r="C889" s="7" t="str">
        <f>IFERROR(VLOOKUP(B889,'Master data'!$A$1:$F$1000,2,FALSE),"")</f>
        <v/>
      </c>
      <c r="D889" s="7" t="str">
        <f>IFERROR(VLOOKUP(B889,'Master data'!$A$1:$F$1000,6,FALSE),"")</f>
        <v/>
      </c>
      <c r="F889" s="7" t="str">
        <f>IFERROR(VLOOKUP(B889,'Master data'!$A$1:$F$1000,3,FALSE),"")</f>
        <v/>
      </c>
      <c r="G889" s="29"/>
      <c r="H889" s="29"/>
      <c r="I889" s="16"/>
      <c r="J889" s="16"/>
      <c r="K889" s="16" t="b">
        <v>0</v>
      </c>
      <c r="L889" s="16" t="b">
        <v>0</v>
      </c>
    </row>
    <row r="890">
      <c r="A890" s="108"/>
      <c r="B890" s="16"/>
      <c r="C890" s="7" t="str">
        <f>IFERROR(VLOOKUP(B890,'Master data'!$A$1:$F$1000,2,FALSE),"")</f>
        <v/>
      </c>
      <c r="D890" s="7" t="str">
        <f>IFERROR(VLOOKUP(B890,'Master data'!$A$1:$F$1000,6,FALSE),"")</f>
        <v/>
      </c>
      <c r="F890" s="7" t="str">
        <f>IFERROR(VLOOKUP(B890,'Master data'!$A$1:$F$1000,3,FALSE),"")</f>
        <v/>
      </c>
      <c r="G890" s="29"/>
      <c r="H890" s="29"/>
      <c r="I890" s="16"/>
      <c r="J890" s="16"/>
      <c r="K890" s="16" t="b">
        <v>0</v>
      </c>
      <c r="L890" s="16" t="b">
        <v>0</v>
      </c>
    </row>
    <row r="891">
      <c r="A891" s="108"/>
      <c r="B891" s="16"/>
      <c r="C891" s="7" t="str">
        <f>IFERROR(VLOOKUP(B891,'Master data'!$A$1:$F$1000,2,FALSE),"")</f>
        <v/>
      </c>
      <c r="D891" s="7" t="str">
        <f>IFERROR(VLOOKUP(B891,'Master data'!$A$1:$F$1000,6,FALSE),"")</f>
        <v/>
      </c>
      <c r="F891" s="7" t="str">
        <f>IFERROR(VLOOKUP(B891,'Master data'!$A$1:$F$1000,3,FALSE),"")</f>
        <v/>
      </c>
      <c r="G891" s="29"/>
      <c r="H891" s="29"/>
      <c r="I891" s="16"/>
      <c r="J891" s="16"/>
      <c r="K891" s="16" t="b">
        <v>0</v>
      </c>
      <c r="L891" s="16" t="b">
        <v>0</v>
      </c>
    </row>
    <row r="892">
      <c r="A892" s="108"/>
      <c r="B892" s="16"/>
      <c r="C892" s="7" t="str">
        <f>IFERROR(VLOOKUP(B892,'Master data'!$A$1:$F$1000,2,FALSE),"")</f>
        <v/>
      </c>
      <c r="D892" s="7" t="str">
        <f>IFERROR(VLOOKUP(B892,'Master data'!$A$1:$F$1000,6,FALSE),"")</f>
        <v/>
      </c>
      <c r="F892" s="7" t="str">
        <f>IFERROR(VLOOKUP(B892,'Master data'!$A$1:$F$1000,3,FALSE),"")</f>
        <v/>
      </c>
      <c r="G892" s="29"/>
      <c r="H892" s="29"/>
      <c r="I892" s="16"/>
      <c r="J892" s="16"/>
      <c r="K892" s="16" t="b">
        <v>0</v>
      </c>
      <c r="L892" s="16" t="b">
        <v>0</v>
      </c>
    </row>
    <row r="893">
      <c r="A893" s="108"/>
      <c r="B893" s="16"/>
      <c r="C893" s="7" t="str">
        <f>IFERROR(VLOOKUP(B893,'Master data'!$A$1:$F$1000,2,FALSE),"")</f>
        <v/>
      </c>
      <c r="D893" s="7" t="str">
        <f>IFERROR(VLOOKUP(B893,'Master data'!$A$1:$F$1000,6,FALSE),"")</f>
        <v/>
      </c>
      <c r="F893" s="7" t="str">
        <f>IFERROR(VLOOKUP(B893,'Master data'!$A$1:$F$1000,3,FALSE),"")</f>
        <v/>
      </c>
      <c r="G893" s="29"/>
      <c r="H893" s="29"/>
      <c r="I893" s="16"/>
      <c r="J893" s="16"/>
      <c r="K893" s="16" t="b">
        <v>0</v>
      </c>
      <c r="L893" s="16" t="b">
        <v>0</v>
      </c>
    </row>
    <row r="894">
      <c r="A894" s="108"/>
      <c r="B894" s="16"/>
      <c r="C894" s="7" t="str">
        <f>IFERROR(VLOOKUP(B894,'Master data'!$A$1:$F$1000,2,FALSE),"")</f>
        <v/>
      </c>
      <c r="D894" s="7" t="str">
        <f>IFERROR(VLOOKUP(B894,'Master data'!$A$1:$F$1000,6,FALSE),"")</f>
        <v/>
      </c>
      <c r="F894" s="7" t="str">
        <f>IFERROR(VLOOKUP(B894,'Master data'!$A$1:$F$1000,3,FALSE),"")</f>
        <v/>
      </c>
      <c r="G894" s="29"/>
      <c r="H894" s="29"/>
      <c r="I894" s="16"/>
      <c r="J894" s="16"/>
      <c r="K894" s="16" t="b">
        <v>0</v>
      </c>
      <c r="L894" s="16" t="b">
        <v>0</v>
      </c>
    </row>
    <row r="895">
      <c r="A895" s="108"/>
      <c r="B895" s="16"/>
      <c r="C895" s="7" t="str">
        <f>IFERROR(VLOOKUP(B895,'Master data'!$A$1:$F$1000,2,FALSE),"")</f>
        <v/>
      </c>
      <c r="D895" s="7" t="str">
        <f>IFERROR(VLOOKUP(B895,'Master data'!$A$1:$F$1000,6,FALSE),"")</f>
        <v/>
      </c>
      <c r="F895" s="7" t="str">
        <f>IFERROR(VLOOKUP(B895,'Master data'!$A$1:$F$1000,3,FALSE),"")</f>
        <v/>
      </c>
      <c r="G895" s="29"/>
      <c r="H895" s="29"/>
      <c r="I895" s="16"/>
      <c r="J895" s="16"/>
      <c r="K895" s="16" t="b">
        <v>0</v>
      </c>
      <c r="L895" s="16" t="b">
        <v>0</v>
      </c>
    </row>
    <row r="896">
      <c r="A896" s="108"/>
      <c r="B896" s="16"/>
      <c r="C896" s="7" t="str">
        <f>IFERROR(VLOOKUP(B896,'Master data'!$A$1:$F$1000,2,FALSE),"")</f>
        <v/>
      </c>
      <c r="D896" s="7" t="str">
        <f>IFERROR(VLOOKUP(B896,'Master data'!$A$1:$F$1000,6,FALSE),"")</f>
        <v/>
      </c>
      <c r="F896" s="7" t="str">
        <f>IFERROR(VLOOKUP(B896,'Master data'!$A$1:$F$1000,3,FALSE),"")</f>
        <v/>
      </c>
      <c r="G896" s="29"/>
      <c r="H896" s="29"/>
      <c r="I896" s="16"/>
      <c r="J896" s="16"/>
      <c r="K896" s="16" t="b">
        <v>0</v>
      </c>
      <c r="L896" s="16" t="b">
        <v>0</v>
      </c>
    </row>
    <row r="897">
      <c r="A897" s="108"/>
      <c r="B897" s="16"/>
      <c r="C897" s="7" t="str">
        <f>IFERROR(VLOOKUP(B897,'Master data'!$A$1:$F$1000,2,FALSE),"")</f>
        <v/>
      </c>
      <c r="D897" s="7" t="str">
        <f>IFERROR(VLOOKUP(B897,'Master data'!$A$1:$F$1000,6,FALSE),"")</f>
        <v/>
      </c>
      <c r="F897" s="7" t="str">
        <f>IFERROR(VLOOKUP(B897,'Master data'!$A$1:$F$1000,3,FALSE),"")</f>
        <v/>
      </c>
      <c r="G897" s="29"/>
      <c r="H897" s="29"/>
      <c r="I897" s="16"/>
      <c r="J897" s="16"/>
      <c r="K897" s="16" t="b">
        <v>0</v>
      </c>
      <c r="L897" s="16" t="b">
        <v>0</v>
      </c>
    </row>
    <row r="898">
      <c r="A898" s="108"/>
      <c r="B898" s="16"/>
      <c r="C898" s="7" t="str">
        <f>IFERROR(VLOOKUP(B898,'Master data'!$A$1:$F$1000,2,FALSE),"")</f>
        <v/>
      </c>
      <c r="D898" s="7" t="str">
        <f>IFERROR(VLOOKUP(B898,'Master data'!$A$1:$F$1000,6,FALSE),"")</f>
        <v/>
      </c>
      <c r="F898" s="7" t="str">
        <f>IFERROR(VLOOKUP(B898,'Master data'!$A$1:$F$1000,3,FALSE),"")</f>
        <v/>
      </c>
      <c r="G898" s="29"/>
      <c r="H898" s="29"/>
      <c r="I898" s="16"/>
      <c r="J898" s="16"/>
      <c r="K898" s="16" t="b">
        <v>0</v>
      </c>
      <c r="L898" s="16" t="b">
        <v>0</v>
      </c>
    </row>
    <row r="899">
      <c r="A899" s="108"/>
      <c r="B899" s="16"/>
      <c r="C899" s="7" t="str">
        <f>IFERROR(VLOOKUP(B899,'Master data'!$A$1:$F$1000,2,FALSE),"")</f>
        <v/>
      </c>
      <c r="D899" s="7" t="str">
        <f>IFERROR(VLOOKUP(B899,'Master data'!$A$1:$F$1000,6,FALSE),"")</f>
        <v/>
      </c>
      <c r="F899" s="7" t="str">
        <f>IFERROR(VLOOKUP(B899,'Master data'!$A$1:$F$1000,3,FALSE),"")</f>
        <v/>
      </c>
      <c r="G899" s="29"/>
      <c r="H899" s="29"/>
      <c r="I899" s="16"/>
      <c r="J899" s="16"/>
      <c r="K899" s="16" t="b">
        <v>0</v>
      </c>
      <c r="L899" s="16" t="b">
        <v>0</v>
      </c>
    </row>
    <row r="900">
      <c r="A900" s="108"/>
      <c r="B900" s="16"/>
      <c r="C900" s="7" t="str">
        <f>IFERROR(VLOOKUP(B900,'Master data'!$A$1:$F$1000,2,FALSE),"")</f>
        <v/>
      </c>
      <c r="D900" s="7" t="str">
        <f>IFERROR(VLOOKUP(B900,'Master data'!$A$1:$F$1000,6,FALSE),"")</f>
        <v/>
      </c>
      <c r="F900" s="7" t="str">
        <f>IFERROR(VLOOKUP(B900,'Master data'!$A$1:$F$1000,3,FALSE),"")</f>
        <v/>
      </c>
      <c r="G900" s="29"/>
      <c r="H900" s="29"/>
      <c r="I900" s="16"/>
      <c r="J900" s="16"/>
      <c r="K900" s="16" t="b">
        <v>0</v>
      </c>
      <c r="L900" s="16" t="b">
        <v>0</v>
      </c>
    </row>
    <row r="901">
      <c r="A901" s="108"/>
      <c r="B901" s="16"/>
      <c r="C901" s="7" t="str">
        <f>IFERROR(VLOOKUP(B901,'Master data'!$A$1:$F$1000,2,FALSE),"")</f>
        <v/>
      </c>
      <c r="D901" s="7" t="str">
        <f>IFERROR(VLOOKUP(B901,'Master data'!$A$1:$F$1000,6,FALSE),"")</f>
        <v/>
      </c>
      <c r="F901" s="7" t="str">
        <f>IFERROR(VLOOKUP(B901,'Master data'!$A$1:$F$1000,3,FALSE),"")</f>
        <v/>
      </c>
      <c r="G901" s="29"/>
      <c r="H901" s="29"/>
      <c r="I901" s="16"/>
      <c r="J901" s="16"/>
      <c r="K901" s="16" t="b">
        <v>0</v>
      </c>
      <c r="L901" s="16" t="b">
        <v>0</v>
      </c>
    </row>
    <row r="902">
      <c r="A902" s="108"/>
      <c r="B902" s="16"/>
      <c r="C902" s="7" t="str">
        <f>IFERROR(VLOOKUP(B902,'Master data'!$A$1:$F$1000,2,FALSE),"")</f>
        <v/>
      </c>
      <c r="D902" s="7" t="str">
        <f>IFERROR(VLOOKUP(B902,'Master data'!$A$1:$F$1000,6,FALSE),"")</f>
        <v/>
      </c>
      <c r="F902" s="7" t="str">
        <f>IFERROR(VLOOKUP(B902,'Master data'!$A$1:$F$1000,3,FALSE),"")</f>
        <v/>
      </c>
      <c r="G902" s="29"/>
      <c r="H902" s="29"/>
      <c r="I902" s="16"/>
      <c r="J902" s="16"/>
      <c r="K902" s="16" t="b">
        <v>0</v>
      </c>
      <c r="L902" s="16" t="b">
        <v>0</v>
      </c>
    </row>
    <row r="903">
      <c r="A903" s="108"/>
      <c r="B903" s="16"/>
      <c r="C903" s="7" t="str">
        <f>IFERROR(VLOOKUP(B903,'Master data'!$A$1:$F$1000,2,FALSE),"")</f>
        <v/>
      </c>
      <c r="D903" s="7" t="str">
        <f>IFERROR(VLOOKUP(B903,'Master data'!$A$1:$F$1000,6,FALSE),"")</f>
        <v/>
      </c>
      <c r="F903" s="7" t="str">
        <f>IFERROR(VLOOKUP(B903,'Master data'!$A$1:$F$1000,3,FALSE),"")</f>
        <v/>
      </c>
      <c r="G903" s="29"/>
      <c r="H903" s="29"/>
      <c r="I903" s="16"/>
      <c r="J903" s="16"/>
      <c r="K903" s="16" t="b">
        <v>0</v>
      </c>
      <c r="L903" s="16" t="b">
        <v>0</v>
      </c>
    </row>
    <row r="904">
      <c r="A904" s="108"/>
      <c r="B904" s="16"/>
      <c r="C904" s="7" t="str">
        <f>IFERROR(VLOOKUP(B904,'Master data'!$A$1:$F$1000,2,FALSE),"")</f>
        <v/>
      </c>
      <c r="D904" s="7" t="str">
        <f>IFERROR(VLOOKUP(B904,'Master data'!$A$1:$F$1000,6,FALSE),"")</f>
        <v/>
      </c>
      <c r="F904" s="7" t="str">
        <f>IFERROR(VLOOKUP(B904,'Master data'!$A$1:$F$1000,3,FALSE),"")</f>
        <v/>
      </c>
      <c r="G904" s="29"/>
      <c r="H904" s="29"/>
      <c r="I904" s="16"/>
      <c r="J904" s="16"/>
      <c r="K904" s="16" t="b">
        <v>0</v>
      </c>
      <c r="L904" s="16" t="b">
        <v>0</v>
      </c>
    </row>
    <row r="905">
      <c r="A905" s="108"/>
      <c r="B905" s="16"/>
      <c r="C905" s="7" t="str">
        <f>IFERROR(VLOOKUP(B905,'Master data'!$A$1:$F$1000,2,FALSE),"")</f>
        <v/>
      </c>
      <c r="D905" s="7" t="str">
        <f>IFERROR(VLOOKUP(B905,'Master data'!$A$1:$F$1000,6,FALSE),"")</f>
        <v/>
      </c>
      <c r="F905" s="7" t="str">
        <f>IFERROR(VLOOKUP(B905,'Master data'!$A$1:$F$1000,3,FALSE),"")</f>
        <v/>
      </c>
      <c r="G905" s="29"/>
      <c r="H905" s="29"/>
      <c r="I905" s="16"/>
      <c r="J905" s="16"/>
      <c r="K905" s="16" t="b">
        <v>0</v>
      </c>
      <c r="L905" s="16" t="b">
        <v>0</v>
      </c>
    </row>
    <row r="906">
      <c r="A906" s="108"/>
      <c r="B906" s="16"/>
      <c r="C906" s="7" t="str">
        <f>IFERROR(VLOOKUP(B906,'Master data'!$A$1:$F$1000,2,FALSE),"")</f>
        <v/>
      </c>
      <c r="D906" s="7" t="str">
        <f>IFERROR(VLOOKUP(B906,'Master data'!$A$1:$F$1000,6,FALSE),"")</f>
        <v/>
      </c>
      <c r="F906" s="7" t="str">
        <f>IFERROR(VLOOKUP(B906,'Master data'!$A$1:$F$1000,3,FALSE),"")</f>
        <v/>
      </c>
      <c r="G906" s="29"/>
      <c r="H906" s="29"/>
      <c r="I906" s="16"/>
      <c r="J906" s="16"/>
      <c r="K906" s="16" t="b">
        <v>0</v>
      </c>
      <c r="L906" s="16" t="b">
        <v>0</v>
      </c>
    </row>
    <row r="907">
      <c r="A907" s="108"/>
      <c r="B907" s="16"/>
      <c r="C907" s="7" t="str">
        <f>IFERROR(VLOOKUP(B907,'Master data'!$A$1:$F$1000,2,FALSE),"")</f>
        <v/>
      </c>
      <c r="D907" s="7" t="str">
        <f>IFERROR(VLOOKUP(B907,'Master data'!$A$1:$F$1000,6,FALSE),"")</f>
        <v/>
      </c>
      <c r="F907" s="7" t="str">
        <f>IFERROR(VLOOKUP(B907,'Master data'!$A$1:$F$1000,3,FALSE),"")</f>
        <v/>
      </c>
      <c r="G907" s="29"/>
      <c r="H907" s="29"/>
      <c r="I907" s="16"/>
      <c r="J907" s="16"/>
      <c r="K907" s="16" t="b">
        <v>0</v>
      </c>
      <c r="L907" s="16" t="b">
        <v>0</v>
      </c>
    </row>
    <row r="908">
      <c r="A908" s="108"/>
      <c r="B908" s="16"/>
      <c r="C908" s="7" t="str">
        <f>IFERROR(VLOOKUP(B908,'Master data'!$A$1:$F$1000,2,FALSE),"")</f>
        <v/>
      </c>
      <c r="D908" s="7" t="str">
        <f>IFERROR(VLOOKUP(B908,'Master data'!$A$1:$F$1000,6,FALSE),"")</f>
        <v/>
      </c>
      <c r="F908" s="7" t="str">
        <f>IFERROR(VLOOKUP(B908,'Master data'!$A$1:$F$1000,3,FALSE),"")</f>
        <v/>
      </c>
      <c r="G908" s="29"/>
      <c r="H908" s="29"/>
      <c r="I908" s="16"/>
      <c r="J908" s="16"/>
      <c r="K908" s="16" t="b">
        <v>0</v>
      </c>
      <c r="L908" s="16" t="b">
        <v>0</v>
      </c>
    </row>
    <row r="909">
      <c r="A909" s="108"/>
      <c r="B909" s="16"/>
      <c r="C909" s="7" t="str">
        <f>IFERROR(VLOOKUP(B909,'Master data'!$A$1:$F$1000,2,FALSE),"")</f>
        <v/>
      </c>
      <c r="D909" s="7" t="str">
        <f>IFERROR(VLOOKUP(B909,'Master data'!$A$1:$F$1000,6,FALSE),"")</f>
        <v/>
      </c>
      <c r="F909" s="7" t="str">
        <f>IFERROR(VLOOKUP(B909,'Master data'!$A$1:$F$1000,3,FALSE),"")</f>
        <v/>
      </c>
      <c r="G909" s="29"/>
      <c r="H909" s="29"/>
      <c r="I909" s="16"/>
      <c r="J909" s="16"/>
      <c r="K909" s="16" t="b">
        <v>0</v>
      </c>
      <c r="L909" s="16" t="b">
        <v>0</v>
      </c>
    </row>
    <row r="910">
      <c r="A910" s="108"/>
      <c r="B910" s="16"/>
      <c r="C910" s="7" t="str">
        <f>IFERROR(VLOOKUP(B910,'Master data'!$A$1:$F$1000,2,FALSE),"")</f>
        <v/>
      </c>
      <c r="D910" s="7" t="str">
        <f>IFERROR(VLOOKUP(B910,'Master data'!$A$1:$F$1000,6,FALSE),"")</f>
        <v/>
      </c>
      <c r="F910" s="7" t="str">
        <f>IFERROR(VLOOKUP(B910,'Master data'!$A$1:$F$1000,3,FALSE),"")</f>
        <v/>
      </c>
      <c r="G910" s="29"/>
      <c r="H910" s="29"/>
      <c r="I910" s="16"/>
      <c r="J910" s="16"/>
      <c r="K910" s="16" t="b">
        <v>0</v>
      </c>
      <c r="L910" s="16" t="b">
        <v>0</v>
      </c>
    </row>
    <row r="911">
      <c r="A911" s="108"/>
      <c r="B911" s="16"/>
      <c r="C911" s="7" t="str">
        <f>IFERROR(VLOOKUP(B911,'Master data'!$A$1:$F$1000,2,FALSE),"")</f>
        <v/>
      </c>
      <c r="D911" s="7" t="str">
        <f>IFERROR(VLOOKUP(B911,'Master data'!$A$1:$F$1000,6,FALSE),"")</f>
        <v/>
      </c>
      <c r="F911" s="7" t="str">
        <f>IFERROR(VLOOKUP(B911,'Master data'!$A$1:$F$1000,3,FALSE),"")</f>
        <v/>
      </c>
      <c r="G911" s="29"/>
      <c r="H911" s="29"/>
      <c r="I911" s="16"/>
      <c r="J911" s="16"/>
      <c r="K911" s="16" t="b">
        <v>0</v>
      </c>
      <c r="L911" s="16" t="b">
        <v>0</v>
      </c>
    </row>
    <row r="912">
      <c r="A912" s="108"/>
      <c r="B912" s="16"/>
      <c r="C912" s="7" t="str">
        <f>IFERROR(VLOOKUP(B912,'Master data'!$A$1:$F$1000,2,FALSE),"")</f>
        <v/>
      </c>
      <c r="D912" s="7" t="str">
        <f>IFERROR(VLOOKUP(B912,'Master data'!$A$1:$F$1000,6,FALSE),"")</f>
        <v/>
      </c>
      <c r="F912" s="7" t="str">
        <f>IFERROR(VLOOKUP(B912,'Master data'!$A$1:$F$1000,3,FALSE),"")</f>
        <v/>
      </c>
      <c r="G912" s="29"/>
      <c r="H912" s="29"/>
      <c r="I912" s="16"/>
      <c r="J912" s="16"/>
      <c r="K912" s="16" t="b">
        <v>0</v>
      </c>
      <c r="L912" s="16" t="b">
        <v>0</v>
      </c>
    </row>
    <row r="913">
      <c r="A913" s="108"/>
      <c r="B913" s="16"/>
      <c r="C913" s="7" t="str">
        <f>IFERROR(VLOOKUP(B913,'Master data'!$A$1:$F$1000,2,FALSE),"")</f>
        <v/>
      </c>
      <c r="D913" s="7" t="str">
        <f>IFERROR(VLOOKUP(B913,'Master data'!$A$1:$F$1000,6,FALSE),"")</f>
        <v/>
      </c>
      <c r="F913" s="7" t="str">
        <f>IFERROR(VLOOKUP(B913,'Master data'!$A$1:$F$1000,3,FALSE),"")</f>
        <v/>
      </c>
      <c r="G913" s="29"/>
      <c r="H913" s="29"/>
      <c r="I913" s="16"/>
      <c r="J913" s="16"/>
      <c r="K913" s="16" t="b">
        <v>0</v>
      </c>
      <c r="L913" s="16" t="b">
        <v>0</v>
      </c>
    </row>
    <row r="914">
      <c r="A914" s="108"/>
      <c r="B914" s="16"/>
      <c r="C914" s="7" t="str">
        <f>IFERROR(VLOOKUP(B914,'Master data'!$A$1:$F$1000,2,FALSE),"")</f>
        <v/>
      </c>
      <c r="D914" s="7" t="str">
        <f>IFERROR(VLOOKUP(B914,'Master data'!$A$1:$F$1000,6,FALSE),"")</f>
        <v/>
      </c>
      <c r="F914" s="7" t="str">
        <f>IFERROR(VLOOKUP(B914,'Master data'!$A$1:$F$1000,3,FALSE),"")</f>
        <v/>
      </c>
      <c r="G914" s="29"/>
      <c r="H914" s="29"/>
      <c r="I914" s="16"/>
      <c r="J914" s="16"/>
      <c r="K914" s="16" t="b">
        <v>0</v>
      </c>
      <c r="L914" s="16" t="b">
        <v>0</v>
      </c>
    </row>
    <row r="915">
      <c r="A915" s="108"/>
      <c r="B915" s="16"/>
      <c r="C915" s="7" t="str">
        <f>IFERROR(VLOOKUP(B915,'Master data'!$A$1:$F$1000,2,FALSE),"")</f>
        <v/>
      </c>
      <c r="D915" s="7" t="str">
        <f>IFERROR(VLOOKUP(B915,'Master data'!$A$1:$F$1000,6,FALSE),"")</f>
        <v/>
      </c>
      <c r="F915" s="7" t="str">
        <f>IFERROR(VLOOKUP(B915,'Master data'!$A$1:$F$1000,3,FALSE),"")</f>
        <v/>
      </c>
      <c r="G915" s="29"/>
      <c r="H915" s="29"/>
      <c r="I915" s="16"/>
      <c r="J915" s="16"/>
      <c r="K915" s="16" t="b">
        <v>0</v>
      </c>
      <c r="L915" s="16" t="b">
        <v>0</v>
      </c>
    </row>
    <row r="916">
      <c r="A916" s="108"/>
      <c r="B916" s="16"/>
      <c r="C916" s="7" t="str">
        <f>IFERROR(VLOOKUP(B916,'Master data'!$A$1:$F$1000,2,FALSE),"")</f>
        <v/>
      </c>
      <c r="D916" s="7" t="str">
        <f>IFERROR(VLOOKUP(B916,'Master data'!$A$1:$F$1000,6,FALSE),"")</f>
        <v/>
      </c>
      <c r="F916" s="7" t="str">
        <f>IFERROR(VLOOKUP(B916,'Master data'!$A$1:$F$1000,3,FALSE),"")</f>
        <v/>
      </c>
      <c r="G916" s="29"/>
      <c r="H916" s="29"/>
      <c r="I916" s="16"/>
      <c r="J916" s="16"/>
      <c r="K916" s="16" t="b">
        <v>0</v>
      </c>
      <c r="L916" s="16" t="b">
        <v>0</v>
      </c>
    </row>
    <row r="917">
      <c r="A917" s="108"/>
      <c r="B917" s="16"/>
      <c r="C917" s="7" t="str">
        <f>IFERROR(VLOOKUP(B917,'Master data'!$A$1:$F$1000,2,FALSE),"")</f>
        <v/>
      </c>
      <c r="D917" s="7" t="str">
        <f>IFERROR(VLOOKUP(B917,'Master data'!$A$1:$F$1000,6,FALSE),"")</f>
        <v/>
      </c>
      <c r="F917" s="7" t="str">
        <f>IFERROR(VLOOKUP(B917,'Master data'!$A$1:$F$1000,3,FALSE),"")</f>
        <v/>
      </c>
      <c r="G917" s="29"/>
      <c r="H917" s="29"/>
      <c r="I917" s="16"/>
      <c r="J917" s="16"/>
      <c r="K917" s="16" t="b">
        <v>0</v>
      </c>
      <c r="L917" s="16" t="b">
        <v>0</v>
      </c>
    </row>
    <row r="918">
      <c r="A918" s="108"/>
      <c r="B918" s="16"/>
      <c r="C918" s="7" t="str">
        <f>IFERROR(VLOOKUP(B918,'Master data'!$A$1:$F$1000,2,FALSE),"")</f>
        <v/>
      </c>
      <c r="D918" s="7" t="str">
        <f>IFERROR(VLOOKUP(B918,'Master data'!$A$1:$F$1000,6,FALSE),"")</f>
        <v/>
      </c>
      <c r="F918" s="7" t="str">
        <f>IFERROR(VLOOKUP(B918,'Master data'!$A$1:$F$1000,3,FALSE),"")</f>
        <v/>
      </c>
      <c r="G918" s="29"/>
      <c r="H918" s="29"/>
      <c r="I918" s="16"/>
      <c r="J918" s="16"/>
      <c r="K918" s="16" t="b">
        <v>0</v>
      </c>
      <c r="L918" s="16" t="b">
        <v>0</v>
      </c>
    </row>
    <row r="919">
      <c r="A919" s="108"/>
      <c r="B919" s="16"/>
      <c r="C919" s="7" t="str">
        <f>IFERROR(VLOOKUP(B919,'Master data'!$A$1:$F$1000,2,FALSE),"")</f>
        <v/>
      </c>
      <c r="D919" s="7" t="str">
        <f>IFERROR(VLOOKUP(B919,'Master data'!$A$1:$F$1000,6,FALSE),"")</f>
        <v/>
      </c>
      <c r="F919" s="7" t="str">
        <f>IFERROR(VLOOKUP(B919,'Master data'!$A$1:$F$1000,3,FALSE),"")</f>
        <v/>
      </c>
      <c r="G919" s="29"/>
      <c r="H919" s="29"/>
      <c r="I919" s="16"/>
      <c r="J919" s="16"/>
      <c r="K919" s="16" t="b">
        <v>0</v>
      </c>
      <c r="L919" s="16" t="b">
        <v>0</v>
      </c>
    </row>
    <row r="920">
      <c r="A920" s="108"/>
      <c r="B920" s="16"/>
      <c r="C920" s="7" t="str">
        <f>IFERROR(VLOOKUP(B920,'Master data'!$A$1:$F$1000,2,FALSE),"")</f>
        <v/>
      </c>
      <c r="D920" s="7" t="str">
        <f>IFERROR(VLOOKUP(B920,'Master data'!$A$1:$F$1000,6,FALSE),"")</f>
        <v/>
      </c>
      <c r="F920" s="7" t="str">
        <f>IFERROR(VLOOKUP(B920,'Master data'!$A$1:$F$1000,3,FALSE),"")</f>
        <v/>
      </c>
      <c r="G920" s="29"/>
      <c r="H920" s="29"/>
      <c r="I920" s="16"/>
      <c r="J920" s="16"/>
      <c r="K920" s="16" t="b">
        <v>0</v>
      </c>
      <c r="L920" s="16" t="b">
        <v>0</v>
      </c>
    </row>
    <row r="921">
      <c r="A921" s="108"/>
      <c r="B921" s="16"/>
      <c r="C921" s="7" t="str">
        <f>IFERROR(VLOOKUP(B921,'Master data'!$A$1:$F$1000,2,FALSE),"")</f>
        <v/>
      </c>
      <c r="D921" s="7" t="str">
        <f>IFERROR(VLOOKUP(B921,'Master data'!$A$1:$F$1000,6,FALSE),"")</f>
        <v/>
      </c>
      <c r="F921" s="7" t="str">
        <f>IFERROR(VLOOKUP(B921,'Master data'!$A$1:$F$1000,3,FALSE),"")</f>
        <v/>
      </c>
      <c r="G921" s="29"/>
      <c r="H921" s="29"/>
      <c r="I921" s="16"/>
      <c r="J921" s="16"/>
      <c r="K921" s="16" t="b">
        <v>0</v>
      </c>
      <c r="L921" s="16" t="b">
        <v>0</v>
      </c>
    </row>
    <row r="922">
      <c r="A922" s="108"/>
      <c r="B922" s="16"/>
      <c r="C922" s="7" t="str">
        <f>IFERROR(VLOOKUP(B922,'Master data'!$A$1:$F$1000,2,FALSE),"")</f>
        <v/>
      </c>
      <c r="D922" s="7" t="str">
        <f>IFERROR(VLOOKUP(B922,'Master data'!$A$1:$F$1000,6,FALSE),"")</f>
        <v/>
      </c>
      <c r="F922" s="7" t="str">
        <f>IFERROR(VLOOKUP(B922,'Master data'!$A$1:$F$1000,3,FALSE),"")</f>
        <v/>
      </c>
      <c r="G922" s="29"/>
      <c r="H922" s="29"/>
      <c r="I922" s="16"/>
      <c r="J922" s="16"/>
      <c r="K922" s="16" t="b">
        <v>0</v>
      </c>
      <c r="L922" s="16" t="b">
        <v>0</v>
      </c>
    </row>
    <row r="923">
      <c r="A923" s="108"/>
      <c r="B923" s="16"/>
      <c r="C923" s="7" t="str">
        <f>IFERROR(VLOOKUP(B923,'Master data'!$A$1:$F$1000,2,FALSE),"")</f>
        <v/>
      </c>
      <c r="D923" s="7" t="str">
        <f>IFERROR(VLOOKUP(B923,'Master data'!$A$1:$F$1000,6,FALSE),"")</f>
        <v/>
      </c>
      <c r="F923" s="7" t="str">
        <f>IFERROR(VLOOKUP(B923,'Master data'!$A$1:$F$1000,3,FALSE),"")</f>
        <v/>
      </c>
      <c r="G923" s="29"/>
      <c r="H923" s="29"/>
      <c r="I923" s="16"/>
      <c r="J923" s="16"/>
      <c r="K923" s="16" t="b">
        <v>0</v>
      </c>
      <c r="L923" s="16" t="b">
        <v>0</v>
      </c>
    </row>
    <row r="924">
      <c r="A924" s="108"/>
      <c r="B924" s="16"/>
      <c r="C924" s="7" t="str">
        <f>IFERROR(VLOOKUP(B924,'Master data'!$A$1:$F$1000,2,FALSE),"")</f>
        <v/>
      </c>
      <c r="D924" s="7" t="str">
        <f>IFERROR(VLOOKUP(B924,'Master data'!$A$1:$F$1000,6,FALSE),"")</f>
        <v/>
      </c>
      <c r="F924" s="7" t="str">
        <f>IFERROR(VLOOKUP(B924,'Master data'!$A$1:$F$1000,3,FALSE),"")</f>
        <v/>
      </c>
      <c r="G924" s="29"/>
      <c r="H924" s="29"/>
      <c r="I924" s="16"/>
      <c r="J924" s="16"/>
      <c r="K924" s="16" t="b">
        <v>0</v>
      </c>
      <c r="L924" s="16" t="b">
        <v>0</v>
      </c>
    </row>
    <row r="925">
      <c r="A925" s="108"/>
      <c r="B925" s="16"/>
      <c r="C925" s="7" t="str">
        <f>IFERROR(VLOOKUP(B925,'Master data'!$A$1:$F$1000,2,FALSE),"")</f>
        <v/>
      </c>
      <c r="D925" s="7" t="str">
        <f>IFERROR(VLOOKUP(B925,'Master data'!$A$1:$F$1000,6,FALSE),"")</f>
        <v/>
      </c>
      <c r="F925" s="7" t="str">
        <f>IFERROR(VLOOKUP(B925,'Master data'!$A$1:$F$1000,3,FALSE),"")</f>
        <v/>
      </c>
      <c r="G925" s="29"/>
      <c r="H925" s="29"/>
      <c r="I925" s="16"/>
      <c r="J925" s="16"/>
      <c r="K925" s="16" t="b">
        <v>0</v>
      </c>
      <c r="L925" s="16" t="b">
        <v>0</v>
      </c>
    </row>
    <row r="926">
      <c r="A926" s="108"/>
      <c r="B926" s="16"/>
      <c r="C926" s="7" t="str">
        <f>IFERROR(VLOOKUP(B926,'Master data'!$A$1:$F$1000,2,FALSE),"")</f>
        <v/>
      </c>
      <c r="D926" s="7" t="str">
        <f>IFERROR(VLOOKUP(B926,'Master data'!$A$1:$F$1000,6,FALSE),"")</f>
        <v/>
      </c>
      <c r="F926" s="7" t="str">
        <f>IFERROR(VLOOKUP(B926,'Master data'!$A$1:$F$1000,3,FALSE),"")</f>
        <v/>
      </c>
      <c r="G926" s="29"/>
      <c r="H926" s="29"/>
      <c r="I926" s="16"/>
      <c r="J926" s="16"/>
      <c r="K926" s="16" t="b">
        <v>0</v>
      </c>
      <c r="L926" s="16" t="b">
        <v>0</v>
      </c>
    </row>
    <row r="927">
      <c r="A927" s="108"/>
      <c r="B927" s="16"/>
      <c r="C927" s="7" t="str">
        <f>IFERROR(VLOOKUP(B927,'Master data'!$A$1:$F$1000,2,FALSE),"")</f>
        <v/>
      </c>
      <c r="D927" s="7" t="str">
        <f>IFERROR(VLOOKUP(B927,'Master data'!$A$1:$F$1000,6,FALSE),"")</f>
        <v/>
      </c>
      <c r="F927" s="7" t="str">
        <f>IFERROR(VLOOKUP(B927,'Master data'!$A$1:$F$1000,3,FALSE),"")</f>
        <v/>
      </c>
      <c r="G927" s="29"/>
      <c r="H927" s="29"/>
      <c r="I927" s="16"/>
      <c r="J927" s="16"/>
      <c r="K927" s="16" t="b">
        <v>0</v>
      </c>
      <c r="L927" s="16" t="b">
        <v>0</v>
      </c>
    </row>
    <row r="928">
      <c r="A928" s="108"/>
      <c r="B928" s="16"/>
      <c r="C928" s="7" t="str">
        <f>IFERROR(VLOOKUP(B928,'Master data'!$A$1:$F$1000,2,FALSE),"")</f>
        <v/>
      </c>
      <c r="D928" s="7" t="str">
        <f>IFERROR(VLOOKUP(B928,'Master data'!$A$1:$F$1000,6,FALSE),"")</f>
        <v/>
      </c>
      <c r="F928" s="7" t="str">
        <f>IFERROR(VLOOKUP(B928,'Master data'!$A$1:$F$1000,3,FALSE),"")</f>
        <v/>
      </c>
      <c r="G928" s="29"/>
      <c r="H928" s="29"/>
      <c r="I928" s="16"/>
      <c r="J928" s="16"/>
      <c r="K928" s="16" t="b">
        <v>0</v>
      </c>
      <c r="L928" s="16" t="b">
        <v>0</v>
      </c>
    </row>
    <row r="929">
      <c r="A929" s="108"/>
      <c r="B929" s="16"/>
      <c r="C929" s="7" t="str">
        <f>IFERROR(VLOOKUP(B929,'Master data'!$A$1:$F$1000,2,FALSE),"")</f>
        <v/>
      </c>
      <c r="D929" s="7" t="str">
        <f>IFERROR(VLOOKUP(B929,'Master data'!$A$1:$F$1000,6,FALSE),"")</f>
        <v/>
      </c>
      <c r="F929" s="7" t="str">
        <f>IFERROR(VLOOKUP(B929,'Master data'!$A$1:$F$1000,3,FALSE),"")</f>
        <v/>
      </c>
      <c r="G929" s="29"/>
      <c r="H929" s="29"/>
      <c r="I929" s="16"/>
      <c r="J929" s="16"/>
      <c r="K929" s="16" t="b">
        <v>0</v>
      </c>
      <c r="L929" s="16" t="b">
        <v>0</v>
      </c>
    </row>
    <row r="930">
      <c r="A930" s="108"/>
      <c r="B930" s="16"/>
      <c r="C930" s="7" t="str">
        <f>IFERROR(VLOOKUP(B930,'Master data'!$A$1:$F$1000,2,FALSE),"")</f>
        <v/>
      </c>
      <c r="D930" s="7" t="str">
        <f>IFERROR(VLOOKUP(B930,'Master data'!$A$1:$F$1000,6,FALSE),"")</f>
        <v/>
      </c>
      <c r="F930" s="7" t="str">
        <f>IFERROR(VLOOKUP(B930,'Master data'!$A$1:$F$1000,3,FALSE),"")</f>
        <v/>
      </c>
      <c r="G930" s="29"/>
      <c r="H930" s="29"/>
      <c r="I930" s="16"/>
      <c r="J930" s="16"/>
      <c r="K930" s="16" t="b">
        <v>0</v>
      </c>
      <c r="L930" s="16" t="b">
        <v>0</v>
      </c>
    </row>
    <row r="931">
      <c r="A931" s="108"/>
      <c r="B931" s="16"/>
      <c r="C931" s="7" t="str">
        <f>IFERROR(VLOOKUP(B931,'Master data'!$A$1:$F$1000,2,FALSE),"")</f>
        <v/>
      </c>
      <c r="D931" s="7" t="str">
        <f>IFERROR(VLOOKUP(B931,'Master data'!$A$1:$F$1000,6,FALSE),"")</f>
        <v/>
      </c>
      <c r="F931" s="7" t="str">
        <f>IFERROR(VLOOKUP(B931,'Master data'!$A$1:$F$1000,3,FALSE),"")</f>
        <v/>
      </c>
      <c r="G931" s="29"/>
      <c r="H931" s="29"/>
      <c r="I931" s="16"/>
      <c r="J931" s="16"/>
      <c r="K931" s="16" t="b">
        <v>0</v>
      </c>
      <c r="L931" s="16" t="b">
        <v>0</v>
      </c>
    </row>
    <row r="932">
      <c r="A932" s="108"/>
      <c r="B932" s="16"/>
      <c r="C932" s="7" t="str">
        <f>IFERROR(VLOOKUP(B932,'Master data'!$A$1:$F$1000,2,FALSE),"")</f>
        <v/>
      </c>
      <c r="D932" s="7" t="str">
        <f>IFERROR(VLOOKUP(B932,'Master data'!$A$1:$F$1000,6,FALSE),"")</f>
        <v/>
      </c>
      <c r="F932" s="7" t="str">
        <f>IFERROR(VLOOKUP(B932,'Master data'!$A$1:$F$1000,3,FALSE),"")</f>
        <v/>
      </c>
      <c r="G932" s="29"/>
      <c r="H932" s="29"/>
      <c r="I932" s="16"/>
      <c r="J932" s="16"/>
      <c r="K932" s="16" t="b">
        <v>0</v>
      </c>
      <c r="L932" s="16" t="b">
        <v>0</v>
      </c>
    </row>
    <row r="933">
      <c r="A933" s="108"/>
      <c r="B933" s="16"/>
      <c r="C933" s="7" t="str">
        <f>IFERROR(VLOOKUP(B933,'Master data'!$A$1:$F$1000,2,FALSE),"")</f>
        <v/>
      </c>
      <c r="D933" s="7" t="str">
        <f>IFERROR(VLOOKUP(B933,'Master data'!$A$1:$F$1000,6,FALSE),"")</f>
        <v/>
      </c>
      <c r="F933" s="7" t="str">
        <f>IFERROR(VLOOKUP(B933,'Master data'!$A$1:$F$1000,3,FALSE),"")</f>
        <v/>
      </c>
      <c r="G933" s="29"/>
      <c r="H933" s="29"/>
      <c r="I933" s="16"/>
      <c r="J933" s="16"/>
      <c r="K933" s="16" t="b">
        <v>0</v>
      </c>
      <c r="L933" s="16" t="b">
        <v>0</v>
      </c>
    </row>
    <row r="934">
      <c r="A934" s="108"/>
      <c r="B934" s="16"/>
      <c r="C934" s="7" t="str">
        <f>IFERROR(VLOOKUP(B934,'Master data'!$A$1:$F$1000,2,FALSE),"")</f>
        <v/>
      </c>
      <c r="D934" s="7" t="str">
        <f>IFERROR(VLOOKUP(B934,'Master data'!$A$1:$F$1000,6,FALSE),"")</f>
        <v/>
      </c>
      <c r="F934" s="7" t="str">
        <f>IFERROR(VLOOKUP(B934,'Master data'!$A$1:$F$1000,3,FALSE),"")</f>
        <v/>
      </c>
      <c r="G934" s="29"/>
      <c r="H934" s="29"/>
      <c r="I934" s="16"/>
      <c r="J934" s="16"/>
      <c r="K934" s="16" t="b">
        <v>0</v>
      </c>
      <c r="L934" s="16" t="b">
        <v>0</v>
      </c>
    </row>
    <row r="935">
      <c r="A935" s="108"/>
      <c r="B935" s="16"/>
      <c r="C935" s="7" t="str">
        <f>IFERROR(VLOOKUP(B935,'Master data'!$A$1:$F$1000,2,FALSE),"")</f>
        <v/>
      </c>
      <c r="D935" s="7" t="str">
        <f>IFERROR(VLOOKUP(B935,'Master data'!$A$1:$F$1000,6,FALSE),"")</f>
        <v/>
      </c>
      <c r="F935" s="7" t="str">
        <f>IFERROR(VLOOKUP(B935,'Master data'!$A$1:$F$1000,3,FALSE),"")</f>
        <v/>
      </c>
      <c r="G935" s="29"/>
      <c r="H935" s="29"/>
      <c r="I935" s="16"/>
      <c r="J935" s="16"/>
      <c r="K935" s="16" t="b">
        <v>0</v>
      </c>
      <c r="L935" s="16" t="b">
        <v>0</v>
      </c>
    </row>
    <row r="936">
      <c r="A936" s="108"/>
      <c r="B936" s="16"/>
      <c r="C936" s="7" t="str">
        <f>IFERROR(VLOOKUP(B936,'Master data'!$A$1:$F$1000,2,FALSE),"")</f>
        <v/>
      </c>
      <c r="D936" s="7" t="str">
        <f>IFERROR(VLOOKUP(B936,'Master data'!$A$1:$F$1000,6,FALSE),"")</f>
        <v/>
      </c>
      <c r="F936" s="7" t="str">
        <f>IFERROR(VLOOKUP(B936,'Master data'!$A$1:$F$1000,3,FALSE),"")</f>
        <v/>
      </c>
      <c r="G936" s="29"/>
      <c r="H936" s="29"/>
      <c r="I936" s="16"/>
      <c r="J936" s="16"/>
      <c r="K936" s="16" t="b">
        <v>0</v>
      </c>
      <c r="L936" s="16" t="b">
        <v>0</v>
      </c>
    </row>
    <row r="937">
      <c r="A937" s="108"/>
      <c r="B937" s="16"/>
      <c r="C937" s="7" t="str">
        <f>IFERROR(VLOOKUP(B937,'Master data'!$A$1:$F$1000,2,FALSE),"")</f>
        <v/>
      </c>
      <c r="D937" s="7" t="str">
        <f>IFERROR(VLOOKUP(B937,'Master data'!$A$1:$F$1000,6,FALSE),"")</f>
        <v/>
      </c>
      <c r="F937" s="7" t="str">
        <f>IFERROR(VLOOKUP(B937,'Master data'!$A$1:$F$1000,3,FALSE),"")</f>
        <v/>
      </c>
      <c r="G937" s="29"/>
      <c r="H937" s="29"/>
      <c r="I937" s="16"/>
      <c r="J937" s="16"/>
      <c r="K937" s="16" t="b">
        <v>0</v>
      </c>
      <c r="L937" s="16" t="b">
        <v>0</v>
      </c>
    </row>
    <row r="938">
      <c r="A938" s="108"/>
      <c r="B938" s="16"/>
      <c r="C938" s="7" t="str">
        <f>IFERROR(VLOOKUP(B938,'Master data'!$A$1:$F$1000,2,FALSE),"")</f>
        <v/>
      </c>
      <c r="D938" s="7" t="str">
        <f>IFERROR(VLOOKUP(B938,'Master data'!$A$1:$F$1000,6,FALSE),"")</f>
        <v/>
      </c>
      <c r="F938" s="7" t="str">
        <f>IFERROR(VLOOKUP(B938,'Master data'!$A$1:$F$1000,3,FALSE),"")</f>
        <v/>
      </c>
      <c r="G938" s="29"/>
      <c r="H938" s="29"/>
      <c r="I938" s="16"/>
      <c r="J938" s="16"/>
      <c r="K938" s="16" t="b">
        <v>0</v>
      </c>
      <c r="L938" s="16" t="b">
        <v>0</v>
      </c>
    </row>
    <row r="939">
      <c r="A939" s="108"/>
      <c r="B939" s="16"/>
      <c r="C939" s="7" t="str">
        <f>IFERROR(VLOOKUP(B939,'Master data'!$A$1:$F$1000,2,FALSE),"")</f>
        <v/>
      </c>
      <c r="D939" s="7" t="str">
        <f>IFERROR(VLOOKUP(B939,'Master data'!$A$1:$F$1000,6,FALSE),"")</f>
        <v/>
      </c>
      <c r="F939" s="7" t="str">
        <f>IFERROR(VLOOKUP(B939,'Master data'!$A$1:$F$1000,3,FALSE),"")</f>
        <v/>
      </c>
      <c r="G939" s="29"/>
      <c r="H939" s="29"/>
      <c r="I939" s="16"/>
      <c r="J939" s="16"/>
      <c r="K939" s="16" t="b">
        <v>0</v>
      </c>
      <c r="L939" s="16" t="b">
        <v>0</v>
      </c>
    </row>
    <row r="940">
      <c r="A940" s="108"/>
      <c r="B940" s="16"/>
      <c r="C940" s="7" t="str">
        <f>IFERROR(VLOOKUP(B940,'Master data'!$A$1:$F$1000,2,FALSE),"")</f>
        <v/>
      </c>
      <c r="D940" s="7" t="str">
        <f>IFERROR(VLOOKUP(B940,'Master data'!$A$1:$F$1000,6,FALSE),"")</f>
        <v/>
      </c>
      <c r="F940" s="7" t="str">
        <f>IFERROR(VLOOKUP(B940,'Master data'!$A$1:$F$1000,3,FALSE),"")</f>
        <v/>
      </c>
      <c r="G940" s="29"/>
      <c r="H940" s="29"/>
      <c r="I940" s="16"/>
      <c r="J940" s="16"/>
      <c r="K940" s="16" t="b">
        <v>0</v>
      </c>
      <c r="L940" s="16" t="b">
        <v>0</v>
      </c>
    </row>
    <row r="941">
      <c r="A941" s="108"/>
      <c r="B941" s="16"/>
      <c r="C941" s="7" t="str">
        <f>IFERROR(VLOOKUP(B941,'Master data'!$A$1:$F$1000,2,FALSE),"")</f>
        <v/>
      </c>
      <c r="D941" s="7" t="str">
        <f>IFERROR(VLOOKUP(B941,'Master data'!$A$1:$F$1000,6,FALSE),"")</f>
        <v/>
      </c>
      <c r="F941" s="7" t="str">
        <f>IFERROR(VLOOKUP(B941,'Master data'!$A$1:$F$1000,3,FALSE),"")</f>
        <v/>
      </c>
      <c r="G941" s="29"/>
      <c r="H941" s="29"/>
      <c r="I941" s="16"/>
      <c r="J941" s="16"/>
      <c r="K941" s="16" t="b">
        <v>0</v>
      </c>
      <c r="L941" s="16" t="b">
        <v>0</v>
      </c>
    </row>
    <row r="942">
      <c r="A942" s="108"/>
      <c r="B942" s="16"/>
      <c r="C942" s="7" t="str">
        <f>IFERROR(VLOOKUP(B942,'Master data'!$A$1:$F$1000,2,FALSE),"")</f>
        <v/>
      </c>
      <c r="D942" s="7" t="str">
        <f>IFERROR(VLOOKUP(B942,'Master data'!$A$1:$F$1000,6,FALSE),"")</f>
        <v/>
      </c>
      <c r="F942" s="7" t="str">
        <f>IFERROR(VLOOKUP(B942,'Master data'!$A$1:$F$1000,3,FALSE),"")</f>
        <v/>
      </c>
      <c r="G942" s="29"/>
      <c r="H942" s="29"/>
      <c r="I942" s="16"/>
      <c r="J942" s="16"/>
      <c r="K942" s="16" t="b">
        <v>0</v>
      </c>
      <c r="L942" s="16" t="b">
        <v>0</v>
      </c>
    </row>
    <row r="943">
      <c r="A943" s="108"/>
      <c r="B943" s="16"/>
      <c r="C943" s="7" t="str">
        <f>IFERROR(VLOOKUP(B943,'Master data'!$A$1:$F$1000,2,FALSE),"")</f>
        <v/>
      </c>
      <c r="D943" s="7" t="str">
        <f>IFERROR(VLOOKUP(B943,'Master data'!$A$1:$F$1000,6,FALSE),"")</f>
        <v/>
      </c>
      <c r="F943" s="7" t="str">
        <f>IFERROR(VLOOKUP(B943,'Master data'!$A$1:$F$1000,3,FALSE),"")</f>
        <v/>
      </c>
      <c r="G943" s="29"/>
      <c r="H943" s="29"/>
      <c r="I943" s="16"/>
      <c r="J943" s="16"/>
      <c r="K943" s="16" t="b">
        <v>0</v>
      </c>
      <c r="L943" s="16" t="b">
        <v>0</v>
      </c>
    </row>
    <row r="944">
      <c r="A944" s="108"/>
      <c r="B944" s="16"/>
      <c r="C944" s="7" t="str">
        <f>IFERROR(VLOOKUP(B944,'Master data'!$A$1:$F$1000,2,FALSE),"")</f>
        <v/>
      </c>
      <c r="D944" s="7" t="str">
        <f>IFERROR(VLOOKUP(B944,'Master data'!$A$1:$F$1000,6,FALSE),"")</f>
        <v/>
      </c>
      <c r="F944" s="7" t="str">
        <f>IFERROR(VLOOKUP(B944,'Master data'!$A$1:$F$1000,3,FALSE),"")</f>
        <v/>
      </c>
      <c r="G944" s="29"/>
      <c r="H944" s="29"/>
      <c r="I944" s="16"/>
      <c r="J944" s="16"/>
      <c r="K944" s="16" t="b">
        <v>0</v>
      </c>
      <c r="L944" s="16" t="b">
        <v>0</v>
      </c>
    </row>
    <row r="945">
      <c r="A945" s="108"/>
      <c r="B945" s="16"/>
      <c r="C945" s="7" t="str">
        <f>IFERROR(VLOOKUP(B945,'Master data'!$A$1:$F$1000,2,FALSE),"")</f>
        <v/>
      </c>
      <c r="D945" s="7" t="str">
        <f>IFERROR(VLOOKUP(B945,'Master data'!$A$1:$F$1000,6,FALSE),"")</f>
        <v/>
      </c>
      <c r="F945" s="7" t="str">
        <f>IFERROR(VLOOKUP(B945,'Master data'!$A$1:$F$1000,3,FALSE),"")</f>
        <v/>
      </c>
      <c r="G945" s="29"/>
      <c r="H945" s="29"/>
      <c r="I945" s="16"/>
      <c r="J945" s="16"/>
      <c r="K945" s="16" t="b">
        <v>0</v>
      </c>
      <c r="L945" s="16" t="b">
        <v>0</v>
      </c>
    </row>
    <row r="946">
      <c r="A946" s="108"/>
      <c r="B946" s="16"/>
      <c r="C946" s="7" t="str">
        <f>IFERROR(VLOOKUP(B946,'Master data'!$A$1:$F$1000,2,FALSE),"")</f>
        <v/>
      </c>
      <c r="D946" s="7" t="str">
        <f>IFERROR(VLOOKUP(B946,'Master data'!$A$1:$F$1000,6,FALSE),"")</f>
        <v/>
      </c>
      <c r="F946" s="7" t="str">
        <f>IFERROR(VLOOKUP(B946,'Master data'!$A$1:$F$1000,3,FALSE),"")</f>
        <v/>
      </c>
      <c r="G946" s="29"/>
      <c r="H946" s="29"/>
      <c r="I946" s="16"/>
      <c r="J946" s="16"/>
      <c r="K946" s="16" t="b">
        <v>0</v>
      </c>
      <c r="L946" s="16" t="b">
        <v>0</v>
      </c>
    </row>
    <row r="947">
      <c r="A947" s="108"/>
      <c r="B947" s="16"/>
      <c r="C947" s="7" t="str">
        <f>IFERROR(VLOOKUP(B947,'Master data'!$A$1:$F$1000,2,FALSE),"")</f>
        <v/>
      </c>
      <c r="D947" s="7" t="str">
        <f>IFERROR(VLOOKUP(B947,'Master data'!$A$1:$F$1000,6,FALSE),"")</f>
        <v/>
      </c>
      <c r="F947" s="7" t="str">
        <f>IFERROR(VLOOKUP(B947,'Master data'!$A$1:$F$1000,3,FALSE),"")</f>
        <v/>
      </c>
      <c r="G947" s="29"/>
      <c r="H947" s="29"/>
      <c r="I947" s="16"/>
      <c r="J947" s="16"/>
      <c r="K947" s="16" t="b">
        <v>0</v>
      </c>
      <c r="L947" s="16" t="b">
        <v>0</v>
      </c>
    </row>
    <row r="948">
      <c r="A948" s="108"/>
      <c r="B948" s="16"/>
      <c r="C948" s="7" t="str">
        <f>IFERROR(VLOOKUP(B948,'Master data'!$A$1:$F$1000,2,FALSE),"")</f>
        <v/>
      </c>
      <c r="D948" s="7" t="str">
        <f>IFERROR(VLOOKUP(B948,'Master data'!$A$1:$F$1000,6,FALSE),"")</f>
        <v/>
      </c>
      <c r="F948" s="7" t="str">
        <f>IFERROR(VLOOKUP(B948,'Master data'!$A$1:$F$1000,3,FALSE),"")</f>
        <v/>
      </c>
      <c r="G948" s="29"/>
      <c r="H948" s="29"/>
      <c r="I948" s="16"/>
      <c r="J948" s="16"/>
      <c r="K948" s="16" t="b">
        <v>0</v>
      </c>
      <c r="L948" s="16" t="b">
        <v>0</v>
      </c>
    </row>
    <row r="949">
      <c r="A949" s="108"/>
      <c r="B949" s="16"/>
      <c r="C949" s="7" t="str">
        <f>IFERROR(VLOOKUP(B949,'Master data'!$A$1:$F$1000,2,FALSE),"")</f>
        <v/>
      </c>
      <c r="D949" s="7" t="str">
        <f>IFERROR(VLOOKUP(B949,'Master data'!$A$1:$F$1000,6,FALSE),"")</f>
        <v/>
      </c>
      <c r="F949" s="7" t="str">
        <f>IFERROR(VLOOKUP(B949,'Master data'!$A$1:$F$1000,3,FALSE),"")</f>
        <v/>
      </c>
      <c r="G949" s="29"/>
      <c r="H949" s="29"/>
      <c r="I949" s="16"/>
      <c r="J949" s="16"/>
      <c r="K949" s="16" t="b">
        <v>0</v>
      </c>
      <c r="L949" s="16" t="b">
        <v>0</v>
      </c>
    </row>
    <row r="950">
      <c r="A950" s="108"/>
      <c r="B950" s="16"/>
      <c r="C950" s="7" t="str">
        <f>IFERROR(VLOOKUP(B950,'Master data'!$A$1:$F$1000,2,FALSE),"")</f>
        <v/>
      </c>
      <c r="D950" s="7" t="str">
        <f>IFERROR(VLOOKUP(B950,'Master data'!$A$1:$F$1000,6,FALSE),"")</f>
        <v/>
      </c>
      <c r="F950" s="7" t="str">
        <f>IFERROR(VLOOKUP(B950,'Master data'!$A$1:$F$1000,3,FALSE),"")</f>
        <v/>
      </c>
      <c r="G950" s="29"/>
      <c r="H950" s="29"/>
      <c r="I950" s="16"/>
      <c r="J950" s="16"/>
      <c r="K950" s="16" t="b">
        <v>0</v>
      </c>
      <c r="L950" s="16" t="b">
        <v>0</v>
      </c>
    </row>
    <row r="951">
      <c r="A951" s="108"/>
      <c r="B951" s="16"/>
      <c r="C951" s="7" t="str">
        <f>IFERROR(VLOOKUP(B951,'Master data'!$A$1:$F$1000,2,FALSE),"")</f>
        <v/>
      </c>
      <c r="D951" s="7" t="str">
        <f>IFERROR(VLOOKUP(B951,'Master data'!$A$1:$F$1000,6,FALSE),"")</f>
        <v/>
      </c>
      <c r="F951" s="7" t="str">
        <f>IFERROR(VLOOKUP(B951,'Master data'!$A$1:$F$1000,3,FALSE),"")</f>
        <v/>
      </c>
      <c r="G951" s="29"/>
      <c r="H951" s="29"/>
      <c r="I951" s="16"/>
      <c r="J951" s="16"/>
      <c r="K951" s="16" t="b">
        <v>0</v>
      </c>
      <c r="L951" s="16" t="b">
        <v>0</v>
      </c>
    </row>
    <row r="952">
      <c r="A952" s="108"/>
      <c r="B952" s="16"/>
      <c r="C952" s="7" t="str">
        <f>IFERROR(VLOOKUP(B952,'Master data'!$A$1:$F$1000,2,FALSE),"")</f>
        <v/>
      </c>
      <c r="D952" s="7" t="str">
        <f>IFERROR(VLOOKUP(B952,'Master data'!$A$1:$F$1000,6,FALSE),"")</f>
        <v/>
      </c>
      <c r="F952" s="7" t="str">
        <f>IFERROR(VLOOKUP(B952,'Master data'!$A$1:$F$1000,3,FALSE),"")</f>
        <v/>
      </c>
      <c r="G952" s="29"/>
      <c r="H952" s="29"/>
      <c r="I952" s="16"/>
      <c r="J952" s="16"/>
      <c r="K952" s="16" t="b">
        <v>0</v>
      </c>
      <c r="L952" s="16" t="b">
        <v>0</v>
      </c>
    </row>
    <row r="953">
      <c r="A953" s="108"/>
      <c r="B953" s="16"/>
      <c r="C953" s="7" t="str">
        <f>IFERROR(VLOOKUP(B953,'Master data'!$A$1:$F$1000,2,FALSE),"")</f>
        <v/>
      </c>
      <c r="D953" s="7" t="str">
        <f>IFERROR(VLOOKUP(B953,'Master data'!$A$1:$F$1000,6,FALSE),"")</f>
        <v/>
      </c>
      <c r="F953" s="7" t="str">
        <f>IFERROR(VLOOKUP(B953,'Master data'!$A$1:$F$1000,3,FALSE),"")</f>
        <v/>
      </c>
      <c r="G953" s="29"/>
      <c r="H953" s="29"/>
      <c r="I953" s="16"/>
      <c r="J953" s="16"/>
      <c r="K953" s="16" t="b">
        <v>0</v>
      </c>
      <c r="L953" s="16" t="b">
        <v>0</v>
      </c>
    </row>
    <row r="954">
      <c r="A954" s="108"/>
      <c r="B954" s="16"/>
      <c r="C954" s="7" t="str">
        <f>IFERROR(VLOOKUP(B954,'Master data'!$A$1:$F$1000,2,FALSE),"")</f>
        <v/>
      </c>
      <c r="D954" s="7" t="str">
        <f>IFERROR(VLOOKUP(B954,'Master data'!$A$1:$F$1000,6,FALSE),"")</f>
        <v/>
      </c>
      <c r="F954" s="7" t="str">
        <f>IFERROR(VLOOKUP(B954,'Master data'!$A$1:$F$1000,3,FALSE),"")</f>
        <v/>
      </c>
      <c r="G954" s="29"/>
      <c r="H954" s="29"/>
      <c r="I954" s="16"/>
      <c r="J954" s="16"/>
      <c r="K954" s="16" t="b">
        <v>0</v>
      </c>
      <c r="L954" s="16" t="b">
        <v>0</v>
      </c>
    </row>
    <row r="955">
      <c r="A955" s="108"/>
      <c r="B955" s="16"/>
      <c r="C955" s="7" t="str">
        <f>IFERROR(VLOOKUP(B955,'Master data'!$A$1:$F$1000,2,FALSE),"")</f>
        <v/>
      </c>
      <c r="D955" s="7" t="str">
        <f>IFERROR(VLOOKUP(B955,'Master data'!$A$1:$F$1000,6,FALSE),"")</f>
        <v/>
      </c>
      <c r="F955" s="7" t="str">
        <f>IFERROR(VLOOKUP(B955,'Master data'!$A$1:$F$1000,3,FALSE),"")</f>
        <v/>
      </c>
      <c r="G955" s="29"/>
      <c r="H955" s="29"/>
      <c r="I955" s="16"/>
      <c r="J955" s="16"/>
      <c r="K955" s="16" t="b">
        <v>0</v>
      </c>
      <c r="L955" s="16" t="b">
        <v>0</v>
      </c>
    </row>
    <row r="956">
      <c r="A956" s="108"/>
      <c r="B956" s="16"/>
      <c r="C956" s="7" t="str">
        <f>IFERROR(VLOOKUP(B956,'Master data'!$A$1:$F$1000,2,FALSE),"")</f>
        <v/>
      </c>
      <c r="D956" s="7" t="str">
        <f>IFERROR(VLOOKUP(B956,'Master data'!$A$1:$F$1000,6,FALSE),"")</f>
        <v/>
      </c>
      <c r="F956" s="7" t="str">
        <f>IFERROR(VLOOKUP(B956,'Master data'!$A$1:$F$1000,3,FALSE),"")</f>
        <v/>
      </c>
      <c r="G956" s="29"/>
      <c r="H956" s="29"/>
      <c r="I956" s="16"/>
      <c r="J956" s="16"/>
      <c r="K956" s="16" t="b">
        <v>0</v>
      </c>
      <c r="L956" s="16" t="b">
        <v>0</v>
      </c>
    </row>
    <row r="957">
      <c r="A957" s="108"/>
      <c r="B957" s="16"/>
      <c r="C957" s="7" t="str">
        <f>IFERROR(VLOOKUP(B957,'Master data'!$A$1:$F$1000,2,FALSE),"")</f>
        <v/>
      </c>
      <c r="D957" s="7" t="str">
        <f>IFERROR(VLOOKUP(B957,'Master data'!$A$1:$F$1000,6,FALSE),"")</f>
        <v/>
      </c>
      <c r="F957" s="7" t="str">
        <f>IFERROR(VLOOKUP(B957,'Master data'!$A$1:$F$1000,3,FALSE),"")</f>
        <v/>
      </c>
      <c r="G957" s="29"/>
      <c r="H957" s="29"/>
      <c r="I957" s="16"/>
      <c r="J957" s="16"/>
      <c r="K957" s="16" t="b">
        <v>0</v>
      </c>
      <c r="L957" s="16" t="b">
        <v>0</v>
      </c>
    </row>
    <row r="958">
      <c r="A958" s="108"/>
      <c r="B958" s="16"/>
      <c r="C958" s="7" t="str">
        <f>IFERROR(VLOOKUP(B958,'Master data'!$A$1:$F$1000,2,FALSE),"")</f>
        <v/>
      </c>
      <c r="D958" s="7" t="str">
        <f>IFERROR(VLOOKUP(B958,'Master data'!$A$1:$F$1000,6,FALSE),"")</f>
        <v/>
      </c>
      <c r="F958" s="7" t="str">
        <f>IFERROR(VLOOKUP(B958,'Master data'!$A$1:$F$1000,3,FALSE),"")</f>
        <v/>
      </c>
      <c r="G958" s="29"/>
      <c r="H958" s="29"/>
      <c r="I958" s="16"/>
      <c r="J958" s="16"/>
      <c r="K958" s="16" t="b">
        <v>0</v>
      </c>
      <c r="L958" s="16" t="b">
        <v>0</v>
      </c>
    </row>
    <row r="959">
      <c r="A959" s="108"/>
      <c r="B959" s="16"/>
      <c r="C959" s="7" t="str">
        <f>IFERROR(VLOOKUP(B959,'Master data'!$A$1:$F$1000,2,FALSE),"")</f>
        <v/>
      </c>
      <c r="D959" s="7" t="str">
        <f>IFERROR(VLOOKUP(B959,'Master data'!$A$1:$F$1000,6,FALSE),"")</f>
        <v/>
      </c>
      <c r="F959" s="7" t="str">
        <f>IFERROR(VLOOKUP(B959,'Master data'!$A$1:$F$1000,3,FALSE),"")</f>
        <v/>
      </c>
      <c r="G959" s="29"/>
      <c r="H959" s="29"/>
      <c r="I959" s="16"/>
      <c r="J959" s="16"/>
      <c r="K959" s="16" t="b">
        <v>0</v>
      </c>
      <c r="L959" s="16" t="b">
        <v>0</v>
      </c>
    </row>
    <row r="960">
      <c r="A960" s="108"/>
      <c r="B960" s="16"/>
      <c r="C960" s="7" t="str">
        <f>IFERROR(VLOOKUP(B960,'Master data'!$A$1:$F$1000,2,FALSE),"")</f>
        <v/>
      </c>
      <c r="D960" s="7" t="str">
        <f>IFERROR(VLOOKUP(B960,'Master data'!$A$1:$F$1000,6,FALSE),"")</f>
        <v/>
      </c>
      <c r="F960" s="7" t="str">
        <f>IFERROR(VLOOKUP(B960,'Master data'!$A$1:$F$1000,3,FALSE),"")</f>
        <v/>
      </c>
      <c r="G960" s="29"/>
      <c r="H960" s="29"/>
      <c r="I960" s="16"/>
      <c r="J960" s="16"/>
      <c r="K960" s="16" t="b">
        <v>0</v>
      </c>
      <c r="L960" s="16" t="b">
        <v>0</v>
      </c>
    </row>
    <row r="961">
      <c r="A961" s="108"/>
      <c r="B961" s="16"/>
      <c r="C961" s="7" t="str">
        <f>IFERROR(VLOOKUP(B961,'Master data'!$A$1:$F$1000,2,FALSE),"")</f>
        <v/>
      </c>
      <c r="D961" s="7" t="str">
        <f>IFERROR(VLOOKUP(B961,'Master data'!$A$1:$F$1000,6,FALSE),"")</f>
        <v/>
      </c>
      <c r="F961" s="7" t="str">
        <f>IFERROR(VLOOKUP(B961,'Master data'!$A$1:$F$1000,3,FALSE),"")</f>
        <v/>
      </c>
      <c r="G961" s="29"/>
      <c r="H961" s="29"/>
      <c r="I961" s="16"/>
      <c r="J961" s="16"/>
      <c r="K961" s="16" t="b">
        <v>0</v>
      </c>
      <c r="L961" s="16" t="b">
        <v>0</v>
      </c>
    </row>
    <row r="962">
      <c r="A962" s="108"/>
      <c r="B962" s="16"/>
      <c r="C962" s="7" t="str">
        <f>IFERROR(VLOOKUP(B962,'Master data'!$A$1:$F$1000,2,FALSE),"")</f>
        <v/>
      </c>
      <c r="D962" s="7" t="str">
        <f>IFERROR(VLOOKUP(B962,'Master data'!$A$1:$F$1000,6,FALSE),"")</f>
        <v/>
      </c>
      <c r="F962" s="7" t="str">
        <f>IFERROR(VLOOKUP(B962,'Master data'!$A$1:$F$1000,3,FALSE),"")</f>
        <v/>
      </c>
      <c r="G962" s="29"/>
      <c r="H962" s="29"/>
      <c r="I962" s="16"/>
      <c r="J962" s="16"/>
      <c r="K962" s="16" t="b">
        <v>0</v>
      </c>
      <c r="L962" s="16" t="b">
        <v>0</v>
      </c>
    </row>
    <row r="963">
      <c r="A963" s="108"/>
      <c r="B963" s="16"/>
      <c r="C963" s="7" t="str">
        <f>IFERROR(VLOOKUP(B963,'Master data'!$A$1:$F$1000,2,FALSE),"")</f>
        <v/>
      </c>
      <c r="D963" s="7" t="str">
        <f>IFERROR(VLOOKUP(B963,'Master data'!$A$1:$F$1000,6,FALSE),"")</f>
        <v/>
      </c>
      <c r="F963" s="7" t="str">
        <f>IFERROR(VLOOKUP(B963,'Master data'!$A$1:$F$1000,3,FALSE),"")</f>
        <v/>
      </c>
      <c r="G963" s="29"/>
      <c r="H963" s="29"/>
      <c r="I963" s="16"/>
      <c r="J963" s="16"/>
      <c r="K963" s="16" t="b">
        <v>0</v>
      </c>
      <c r="L963" s="16" t="b">
        <v>0</v>
      </c>
    </row>
    <row r="964">
      <c r="A964" s="108"/>
      <c r="B964" s="16"/>
      <c r="C964" s="7" t="str">
        <f>IFERROR(VLOOKUP(B964,'Master data'!$A$1:$F$1000,2,FALSE),"")</f>
        <v/>
      </c>
      <c r="D964" s="7" t="str">
        <f>IFERROR(VLOOKUP(B964,'Master data'!$A$1:$F$1000,6,FALSE),"")</f>
        <v/>
      </c>
      <c r="F964" s="7" t="str">
        <f>IFERROR(VLOOKUP(B964,'Master data'!$A$1:$F$1000,3,FALSE),"")</f>
        <v/>
      </c>
      <c r="G964" s="29"/>
      <c r="H964" s="29"/>
      <c r="I964" s="16"/>
      <c r="J964" s="16"/>
      <c r="K964" s="16" t="b">
        <v>0</v>
      </c>
      <c r="L964" s="16" t="b">
        <v>0</v>
      </c>
    </row>
    <row r="965">
      <c r="A965" s="108"/>
      <c r="B965" s="16"/>
      <c r="C965" s="7" t="str">
        <f>IFERROR(VLOOKUP(B965,'Master data'!$A$1:$F$1000,2,FALSE),"")</f>
        <v/>
      </c>
      <c r="D965" s="7" t="str">
        <f>IFERROR(VLOOKUP(B965,'Master data'!$A$1:$F$1000,6,FALSE),"")</f>
        <v/>
      </c>
      <c r="F965" s="7" t="str">
        <f>IFERROR(VLOOKUP(B965,'Master data'!$A$1:$F$1000,3,FALSE),"")</f>
        <v/>
      </c>
      <c r="G965" s="29"/>
      <c r="H965" s="29"/>
      <c r="I965" s="16"/>
      <c r="J965" s="16"/>
      <c r="K965" s="16" t="b">
        <v>0</v>
      </c>
      <c r="L965" s="16" t="b">
        <v>0</v>
      </c>
    </row>
    <row r="966">
      <c r="A966" s="108"/>
      <c r="B966" s="16"/>
      <c r="C966" s="7" t="str">
        <f>IFERROR(VLOOKUP(B966,'Master data'!$A$1:$F$1000,2,FALSE),"")</f>
        <v/>
      </c>
      <c r="D966" s="7" t="str">
        <f>IFERROR(VLOOKUP(B966,'Master data'!$A$1:$F$1000,6,FALSE),"")</f>
        <v/>
      </c>
      <c r="F966" s="7" t="str">
        <f>IFERROR(VLOOKUP(B966,'Master data'!$A$1:$F$1000,3,FALSE),"")</f>
        <v/>
      </c>
      <c r="G966" s="29"/>
      <c r="H966" s="29"/>
      <c r="I966" s="16"/>
      <c r="J966" s="16"/>
      <c r="K966" s="16" t="b">
        <v>0</v>
      </c>
      <c r="L966" s="16" t="b">
        <v>0</v>
      </c>
    </row>
    <row r="967">
      <c r="A967" s="108"/>
      <c r="B967" s="16"/>
      <c r="C967" s="7" t="str">
        <f>IFERROR(VLOOKUP(B967,'Master data'!$A$1:$F$1000,2,FALSE),"")</f>
        <v/>
      </c>
      <c r="D967" s="7" t="str">
        <f>IFERROR(VLOOKUP(B967,'Master data'!$A$1:$F$1000,6,FALSE),"")</f>
        <v/>
      </c>
      <c r="F967" s="7" t="str">
        <f>IFERROR(VLOOKUP(B967,'Master data'!$A$1:$F$1000,3,FALSE),"")</f>
        <v/>
      </c>
      <c r="G967" s="29"/>
      <c r="H967" s="29"/>
      <c r="I967" s="16"/>
      <c r="J967" s="16"/>
      <c r="K967" s="16" t="b">
        <v>0</v>
      </c>
      <c r="L967" s="16" t="b">
        <v>0</v>
      </c>
    </row>
    <row r="968">
      <c r="A968" s="108"/>
      <c r="B968" s="16"/>
      <c r="C968" s="7" t="str">
        <f>IFERROR(VLOOKUP(B968,'Master data'!$A$1:$F$1000,2,FALSE),"")</f>
        <v/>
      </c>
      <c r="D968" s="7" t="str">
        <f>IFERROR(VLOOKUP(B968,'Master data'!$A$1:$F$1000,6,FALSE),"")</f>
        <v/>
      </c>
      <c r="F968" s="7" t="str">
        <f>IFERROR(VLOOKUP(B968,'Master data'!$A$1:$F$1000,3,FALSE),"")</f>
        <v/>
      </c>
      <c r="G968" s="29"/>
      <c r="H968" s="29"/>
      <c r="I968" s="16"/>
      <c r="J968" s="16"/>
      <c r="K968" s="16" t="b">
        <v>0</v>
      </c>
      <c r="L968" s="16" t="b">
        <v>0</v>
      </c>
    </row>
    <row r="969">
      <c r="A969" s="108"/>
      <c r="B969" s="16"/>
      <c r="C969" s="7" t="str">
        <f>IFERROR(VLOOKUP(B969,'Master data'!$A$1:$F$1000,2,FALSE),"")</f>
        <v/>
      </c>
      <c r="D969" s="7" t="str">
        <f>IFERROR(VLOOKUP(B969,'Master data'!$A$1:$F$1000,6,FALSE),"")</f>
        <v/>
      </c>
      <c r="F969" s="7" t="str">
        <f>IFERROR(VLOOKUP(B969,'Master data'!$A$1:$F$1000,3,FALSE),"")</f>
        <v/>
      </c>
      <c r="G969" s="29"/>
      <c r="H969" s="29"/>
      <c r="I969" s="16"/>
      <c r="J969" s="16"/>
      <c r="K969" s="16" t="b">
        <v>0</v>
      </c>
      <c r="L969" s="16" t="b">
        <v>0</v>
      </c>
    </row>
    <row r="970">
      <c r="A970" s="108"/>
      <c r="B970" s="16"/>
      <c r="C970" s="7" t="str">
        <f>IFERROR(VLOOKUP(B970,'Master data'!$A$1:$F$1000,2,FALSE),"")</f>
        <v/>
      </c>
      <c r="D970" s="7" t="str">
        <f>IFERROR(VLOOKUP(B970,'Master data'!$A$1:$F$1000,6,FALSE),"")</f>
        <v/>
      </c>
      <c r="F970" s="7" t="str">
        <f>IFERROR(VLOOKUP(B970,'Master data'!$A$1:$F$1000,3,FALSE),"")</f>
        <v/>
      </c>
      <c r="G970" s="29"/>
      <c r="H970" s="29"/>
      <c r="I970" s="16"/>
      <c r="J970" s="16"/>
      <c r="K970" s="16" t="b">
        <v>0</v>
      </c>
      <c r="L970" s="16" t="b">
        <v>0</v>
      </c>
    </row>
    <row r="971">
      <c r="A971" s="108"/>
      <c r="B971" s="16"/>
      <c r="C971" s="7" t="str">
        <f>IFERROR(VLOOKUP(B971,'Master data'!$A$1:$F$1000,2,FALSE),"")</f>
        <v/>
      </c>
      <c r="D971" s="7" t="str">
        <f>IFERROR(VLOOKUP(B971,'Master data'!$A$1:$F$1000,6,FALSE),"")</f>
        <v/>
      </c>
      <c r="F971" s="7" t="str">
        <f>IFERROR(VLOOKUP(B971,'Master data'!$A$1:$F$1000,3,FALSE),"")</f>
        <v/>
      </c>
      <c r="G971" s="29"/>
      <c r="H971" s="29"/>
      <c r="I971" s="16"/>
      <c r="J971" s="16"/>
      <c r="K971" s="16" t="b">
        <v>0</v>
      </c>
      <c r="L971" s="16" t="b">
        <v>0</v>
      </c>
    </row>
    <row r="972">
      <c r="A972" s="108"/>
      <c r="B972" s="16"/>
      <c r="C972" s="7" t="str">
        <f>IFERROR(VLOOKUP(B972,'Master data'!$A$1:$F$1000,2,FALSE),"")</f>
        <v/>
      </c>
      <c r="D972" s="7" t="str">
        <f>IFERROR(VLOOKUP(B972,'Master data'!$A$1:$F$1000,6,FALSE),"")</f>
        <v/>
      </c>
      <c r="F972" s="7" t="str">
        <f>IFERROR(VLOOKUP(B972,'Master data'!$A$1:$F$1000,3,FALSE),"")</f>
        <v/>
      </c>
      <c r="G972" s="29"/>
      <c r="H972" s="29"/>
      <c r="I972" s="16"/>
      <c r="J972" s="16"/>
      <c r="K972" s="16" t="b">
        <v>0</v>
      </c>
      <c r="L972" s="16" t="b">
        <v>0</v>
      </c>
    </row>
    <row r="973">
      <c r="A973" s="108"/>
      <c r="B973" s="16"/>
      <c r="C973" s="7" t="str">
        <f>IFERROR(VLOOKUP(B973,'Master data'!$A$1:$F$1000,2,FALSE),"")</f>
        <v/>
      </c>
      <c r="D973" s="7" t="str">
        <f>IFERROR(VLOOKUP(B973,'Master data'!$A$1:$F$1000,6,FALSE),"")</f>
        <v/>
      </c>
      <c r="F973" s="7" t="str">
        <f>IFERROR(VLOOKUP(B973,'Master data'!$A$1:$F$1000,3,FALSE),"")</f>
        <v/>
      </c>
      <c r="G973" s="29"/>
      <c r="H973" s="29"/>
      <c r="I973" s="16"/>
      <c r="J973" s="16"/>
      <c r="K973" s="16" t="b">
        <v>0</v>
      </c>
      <c r="L973" s="16" t="b">
        <v>0</v>
      </c>
    </row>
    <row r="974">
      <c r="A974" s="108"/>
      <c r="B974" s="16"/>
      <c r="C974" s="7" t="str">
        <f>IFERROR(VLOOKUP(B974,'Master data'!$A$1:$F$1000,2,FALSE),"")</f>
        <v/>
      </c>
      <c r="D974" s="7" t="str">
        <f>IFERROR(VLOOKUP(B974,'Master data'!$A$1:$F$1000,6,FALSE),"")</f>
        <v/>
      </c>
      <c r="F974" s="7" t="str">
        <f>IFERROR(VLOOKUP(B974,'Master data'!$A$1:$F$1000,3,FALSE),"")</f>
        <v/>
      </c>
      <c r="G974" s="29"/>
      <c r="H974" s="29"/>
      <c r="I974" s="16"/>
      <c r="J974" s="16"/>
      <c r="K974" s="16" t="b">
        <v>0</v>
      </c>
      <c r="L974" s="16" t="b">
        <v>0</v>
      </c>
    </row>
    <row r="975">
      <c r="A975" s="108"/>
      <c r="B975" s="16"/>
      <c r="C975" s="7" t="str">
        <f>IFERROR(VLOOKUP(B975,'Master data'!$A$1:$F$1000,2,FALSE),"")</f>
        <v/>
      </c>
      <c r="D975" s="7" t="str">
        <f>IFERROR(VLOOKUP(B975,'Master data'!$A$1:$F$1000,6,FALSE),"")</f>
        <v/>
      </c>
      <c r="F975" s="7" t="str">
        <f>IFERROR(VLOOKUP(B975,'Master data'!$A$1:$F$1000,3,FALSE),"")</f>
        <v/>
      </c>
      <c r="G975" s="29"/>
      <c r="H975" s="29"/>
      <c r="I975" s="16"/>
      <c r="J975" s="16"/>
      <c r="K975" s="16" t="b">
        <v>0</v>
      </c>
      <c r="L975" s="16" t="b">
        <v>0</v>
      </c>
    </row>
    <row r="976">
      <c r="A976" s="108"/>
      <c r="B976" s="16"/>
      <c r="C976" s="7" t="str">
        <f>IFERROR(VLOOKUP(B976,'Master data'!$A$1:$F$1000,2,FALSE),"")</f>
        <v/>
      </c>
      <c r="D976" s="7" t="str">
        <f>IFERROR(VLOOKUP(B976,'Master data'!$A$1:$F$1000,6,FALSE),"")</f>
        <v/>
      </c>
      <c r="F976" s="7" t="str">
        <f>IFERROR(VLOOKUP(B976,'Master data'!$A$1:$F$1000,3,FALSE),"")</f>
        <v/>
      </c>
      <c r="G976" s="29"/>
      <c r="H976" s="29"/>
      <c r="I976" s="16"/>
      <c r="J976" s="16"/>
      <c r="K976" s="16" t="b">
        <v>0</v>
      </c>
      <c r="L976" s="16" t="b">
        <v>0</v>
      </c>
    </row>
    <row r="977">
      <c r="A977" s="108"/>
      <c r="B977" s="16"/>
      <c r="C977" s="7" t="str">
        <f>IFERROR(VLOOKUP(B977,'Master data'!$A$1:$F$1000,2,FALSE),"")</f>
        <v/>
      </c>
      <c r="D977" s="7" t="str">
        <f>IFERROR(VLOOKUP(B977,'Master data'!$A$1:$F$1000,6,FALSE),"")</f>
        <v/>
      </c>
      <c r="F977" s="7" t="str">
        <f>IFERROR(VLOOKUP(B977,'Master data'!$A$1:$F$1000,3,FALSE),"")</f>
        <v/>
      </c>
      <c r="G977" s="29"/>
      <c r="H977" s="29"/>
      <c r="I977" s="16"/>
      <c r="J977" s="16"/>
      <c r="K977" s="16" t="b">
        <v>0</v>
      </c>
      <c r="L977" s="16" t="b">
        <v>0</v>
      </c>
    </row>
    <row r="978">
      <c r="A978" s="108"/>
      <c r="B978" s="16"/>
      <c r="C978" s="7" t="str">
        <f>IFERROR(VLOOKUP(B978,'Master data'!$A$1:$F$1000,2,FALSE),"")</f>
        <v/>
      </c>
      <c r="D978" s="7" t="str">
        <f>IFERROR(VLOOKUP(B978,'Master data'!$A$1:$F$1000,6,FALSE),"")</f>
        <v/>
      </c>
      <c r="F978" s="7" t="str">
        <f>IFERROR(VLOOKUP(B978,'Master data'!$A$1:$F$1000,3,FALSE),"")</f>
        <v/>
      </c>
      <c r="G978" s="29"/>
      <c r="H978" s="29"/>
      <c r="I978" s="16"/>
      <c r="J978" s="16"/>
      <c r="K978" s="16" t="b">
        <v>0</v>
      </c>
      <c r="L978" s="16" t="b">
        <v>0</v>
      </c>
    </row>
    <row r="979">
      <c r="A979" s="108"/>
      <c r="B979" s="16"/>
      <c r="C979" s="7" t="str">
        <f>IFERROR(VLOOKUP(B979,'Master data'!$A$1:$F$1000,2,FALSE),"")</f>
        <v/>
      </c>
      <c r="D979" s="7" t="str">
        <f>IFERROR(VLOOKUP(B979,'Master data'!$A$1:$F$1000,6,FALSE),"")</f>
        <v/>
      </c>
      <c r="F979" s="7" t="str">
        <f>IFERROR(VLOOKUP(B979,'Master data'!$A$1:$F$1000,3,FALSE),"")</f>
        <v/>
      </c>
      <c r="G979" s="29"/>
      <c r="H979" s="29"/>
      <c r="I979" s="16"/>
      <c r="J979" s="16"/>
      <c r="K979" s="16" t="b">
        <v>0</v>
      </c>
      <c r="L979" s="16" t="b">
        <v>0</v>
      </c>
    </row>
    <row r="980">
      <c r="A980" s="108"/>
      <c r="B980" s="16"/>
      <c r="C980" s="7" t="str">
        <f>IFERROR(VLOOKUP(B980,'Master data'!$A$1:$F$1000,2,FALSE),"")</f>
        <v/>
      </c>
      <c r="D980" s="7" t="str">
        <f>IFERROR(VLOOKUP(B980,'Master data'!$A$1:$F$1000,6,FALSE),"")</f>
        <v/>
      </c>
      <c r="F980" s="7" t="str">
        <f>IFERROR(VLOOKUP(B980,'Master data'!$A$1:$F$1000,3,FALSE),"")</f>
        <v/>
      </c>
      <c r="G980" s="29"/>
      <c r="H980" s="29"/>
      <c r="I980" s="16"/>
      <c r="J980" s="16"/>
      <c r="K980" s="16" t="b">
        <v>0</v>
      </c>
      <c r="L980" s="16" t="b">
        <v>0</v>
      </c>
    </row>
    <row r="981">
      <c r="A981" s="108"/>
      <c r="B981" s="16"/>
      <c r="C981" s="7" t="str">
        <f>IFERROR(VLOOKUP(B981,'Master data'!$A$1:$F$1000,2,FALSE),"")</f>
        <v/>
      </c>
      <c r="D981" s="7" t="str">
        <f>IFERROR(VLOOKUP(B981,'Master data'!$A$1:$F$1000,6,FALSE),"")</f>
        <v/>
      </c>
      <c r="F981" s="7" t="str">
        <f>IFERROR(VLOOKUP(B981,'Master data'!$A$1:$F$1000,3,FALSE),"")</f>
        <v/>
      </c>
      <c r="G981" s="29"/>
      <c r="H981" s="29"/>
      <c r="I981" s="16"/>
      <c r="J981" s="16"/>
      <c r="K981" s="16" t="b">
        <v>0</v>
      </c>
      <c r="L981" s="16" t="b">
        <v>0</v>
      </c>
    </row>
    <row r="982">
      <c r="A982" s="108"/>
      <c r="B982" s="16"/>
      <c r="C982" s="7" t="str">
        <f>IFERROR(VLOOKUP(B982,'Master data'!$A$1:$F$1000,2,FALSE),"")</f>
        <v/>
      </c>
      <c r="D982" s="7" t="str">
        <f>IFERROR(VLOOKUP(B982,'Master data'!$A$1:$F$1000,6,FALSE),"")</f>
        <v/>
      </c>
      <c r="F982" s="7" t="str">
        <f>IFERROR(VLOOKUP(B982,'Master data'!$A$1:$F$1000,3,FALSE),"")</f>
        <v/>
      </c>
      <c r="G982" s="29"/>
      <c r="H982" s="29"/>
      <c r="I982" s="16"/>
      <c r="J982" s="16"/>
      <c r="K982" s="16" t="b">
        <v>0</v>
      </c>
      <c r="L982" s="16" t="b">
        <v>0</v>
      </c>
    </row>
    <row r="983">
      <c r="A983" s="108"/>
      <c r="B983" s="16"/>
      <c r="C983" s="7" t="str">
        <f>IFERROR(VLOOKUP(B983,'Master data'!$A$1:$F$1000,2,FALSE),"")</f>
        <v/>
      </c>
      <c r="D983" s="7" t="str">
        <f>IFERROR(VLOOKUP(B983,'Master data'!$A$1:$F$1000,6,FALSE),"")</f>
        <v/>
      </c>
      <c r="F983" s="7" t="str">
        <f>IFERROR(VLOOKUP(B983,'Master data'!$A$1:$F$1000,3,FALSE),"")</f>
        <v/>
      </c>
      <c r="G983" s="29"/>
      <c r="H983" s="29"/>
      <c r="I983" s="16"/>
      <c r="J983" s="16"/>
      <c r="K983" s="16" t="b">
        <v>0</v>
      </c>
      <c r="L983" s="16" t="b">
        <v>0</v>
      </c>
    </row>
    <row r="984">
      <c r="A984" s="108"/>
      <c r="B984" s="16"/>
      <c r="C984" s="7" t="str">
        <f>IFERROR(VLOOKUP(B984,'Master data'!$A$1:$F$1000,2,FALSE),"")</f>
        <v/>
      </c>
      <c r="D984" s="7" t="str">
        <f>IFERROR(VLOOKUP(B984,'Master data'!$A$1:$F$1000,6,FALSE),"")</f>
        <v/>
      </c>
      <c r="F984" s="7" t="str">
        <f>IFERROR(VLOOKUP(B984,'Master data'!$A$1:$F$1000,3,FALSE),"")</f>
        <v/>
      </c>
      <c r="G984" s="29"/>
      <c r="H984" s="29"/>
      <c r="I984" s="16"/>
      <c r="J984" s="16"/>
      <c r="K984" s="16" t="b">
        <v>0</v>
      </c>
      <c r="L984" s="16" t="b">
        <v>0</v>
      </c>
    </row>
    <row r="985">
      <c r="A985" s="108"/>
      <c r="B985" s="16"/>
      <c r="C985" s="7" t="str">
        <f>IFERROR(VLOOKUP(B985,'Master data'!$A$1:$F$1000,2,FALSE),"")</f>
        <v/>
      </c>
      <c r="D985" s="7" t="str">
        <f>IFERROR(VLOOKUP(B985,'Master data'!$A$1:$F$1000,6,FALSE),"")</f>
        <v/>
      </c>
      <c r="F985" s="7" t="str">
        <f>IFERROR(VLOOKUP(B985,'Master data'!$A$1:$F$1000,3,FALSE),"")</f>
        <v/>
      </c>
      <c r="G985" s="29"/>
      <c r="H985" s="29"/>
      <c r="I985" s="16"/>
      <c r="J985" s="16"/>
      <c r="K985" s="16" t="b">
        <v>0</v>
      </c>
      <c r="L985" s="16" t="b">
        <v>0</v>
      </c>
    </row>
    <row r="986">
      <c r="A986" s="108"/>
      <c r="B986" s="16"/>
      <c r="C986" s="7" t="str">
        <f>IFERROR(VLOOKUP(B986,'Master data'!$A$1:$F$1000,2,FALSE),"")</f>
        <v/>
      </c>
      <c r="D986" s="7" t="str">
        <f>IFERROR(VLOOKUP(B986,'Master data'!$A$1:$F$1000,6,FALSE),"")</f>
        <v/>
      </c>
      <c r="F986" s="7" t="str">
        <f>IFERROR(VLOOKUP(B986,'Master data'!$A$1:$F$1000,3,FALSE),"")</f>
        <v/>
      </c>
      <c r="G986" s="29"/>
      <c r="H986" s="29"/>
      <c r="I986" s="16"/>
      <c r="J986" s="16"/>
      <c r="K986" s="16" t="b">
        <v>0</v>
      </c>
      <c r="L986" s="16" t="b">
        <v>0</v>
      </c>
    </row>
    <row r="987">
      <c r="A987" s="108"/>
      <c r="B987" s="16"/>
      <c r="C987" s="7" t="str">
        <f>IFERROR(VLOOKUP(B987,'Master data'!$A$1:$F$1000,2,FALSE),"")</f>
        <v/>
      </c>
      <c r="D987" s="7" t="str">
        <f>IFERROR(VLOOKUP(B987,'Master data'!$A$1:$F$1000,6,FALSE),"")</f>
        <v/>
      </c>
      <c r="F987" s="7" t="str">
        <f>IFERROR(VLOOKUP(B987,'Master data'!$A$1:$F$1000,3,FALSE),"")</f>
        <v/>
      </c>
      <c r="G987" s="29"/>
      <c r="H987" s="29"/>
      <c r="I987" s="16"/>
      <c r="J987" s="16"/>
      <c r="K987" s="16" t="b">
        <v>0</v>
      </c>
      <c r="L987" s="16" t="b">
        <v>0</v>
      </c>
    </row>
    <row r="988">
      <c r="A988" s="108"/>
      <c r="B988" s="16"/>
      <c r="C988" s="7" t="str">
        <f>IFERROR(VLOOKUP(B988,'Master data'!$A$1:$F$1000,2,FALSE),"")</f>
        <v/>
      </c>
      <c r="D988" s="7" t="str">
        <f>IFERROR(VLOOKUP(B988,'Master data'!$A$1:$F$1000,6,FALSE),"")</f>
        <v/>
      </c>
      <c r="F988" s="7" t="str">
        <f>IFERROR(VLOOKUP(B988,'Master data'!$A$1:$F$1000,3,FALSE),"")</f>
        <v/>
      </c>
      <c r="G988" s="29"/>
      <c r="H988" s="29"/>
      <c r="I988" s="16"/>
      <c r="J988" s="16"/>
      <c r="K988" s="16" t="b">
        <v>0</v>
      </c>
      <c r="L988" s="16" t="b">
        <v>0</v>
      </c>
    </row>
    <row r="989">
      <c r="A989" s="108"/>
      <c r="B989" s="16"/>
      <c r="C989" s="7" t="str">
        <f>IFERROR(VLOOKUP(B989,'Master data'!$A$1:$F$1000,2,FALSE),"")</f>
        <v/>
      </c>
      <c r="D989" s="7" t="str">
        <f>IFERROR(VLOOKUP(B989,'Master data'!$A$1:$F$1000,6,FALSE),"")</f>
        <v/>
      </c>
      <c r="F989" s="7" t="str">
        <f>IFERROR(VLOOKUP(B989,'Master data'!$A$1:$F$1000,3,FALSE),"")</f>
        <v/>
      </c>
      <c r="G989" s="29"/>
      <c r="H989" s="29"/>
      <c r="I989" s="16"/>
      <c r="J989" s="16"/>
      <c r="K989" s="16" t="b">
        <v>0</v>
      </c>
      <c r="L989" s="16" t="b">
        <v>0</v>
      </c>
    </row>
    <row r="990">
      <c r="A990" s="108"/>
      <c r="B990" s="16"/>
      <c r="C990" s="7" t="str">
        <f>IFERROR(VLOOKUP(B990,'Master data'!$A$1:$F$1000,2,FALSE),"")</f>
        <v/>
      </c>
      <c r="D990" s="7" t="str">
        <f>IFERROR(VLOOKUP(B990,'Master data'!$A$1:$F$1000,6,FALSE),"")</f>
        <v/>
      </c>
      <c r="F990" s="7" t="str">
        <f>IFERROR(VLOOKUP(B990,'Master data'!$A$1:$F$1000,3,FALSE),"")</f>
        <v/>
      </c>
      <c r="G990" s="29"/>
      <c r="H990" s="29"/>
      <c r="I990" s="16"/>
      <c r="J990" s="16"/>
      <c r="K990" s="16" t="b">
        <v>0</v>
      </c>
      <c r="L990" s="16" t="b">
        <v>0</v>
      </c>
    </row>
    <row r="991">
      <c r="A991" s="108"/>
      <c r="B991" s="16"/>
      <c r="C991" s="7" t="str">
        <f>IFERROR(VLOOKUP(B991,'Master data'!$A$1:$F$1000,2,FALSE),"")</f>
        <v/>
      </c>
      <c r="D991" s="7" t="str">
        <f>IFERROR(VLOOKUP(B991,'Master data'!$A$1:$F$1000,6,FALSE),"")</f>
        <v/>
      </c>
      <c r="F991" s="7" t="str">
        <f>IFERROR(VLOOKUP(B991,'Master data'!$A$1:$F$1000,3,FALSE),"")</f>
        <v/>
      </c>
      <c r="G991" s="29"/>
      <c r="H991" s="29"/>
      <c r="I991" s="16"/>
      <c r="J991" s="16"/>
      <c r="K991" s="16" t="b">
        <v>0</v>
      </c>
      <c r="L991" s="16" t="b">
        <v>0</v>
      </c>
    </row>
    <row r="992">
      <c r="A992" s="108"/>
      <c r="B992" s="16"/>
      <c r="C992" s="7" t="str">
        <f>IFERROR(VLOOKUP(B992,'Master data'!$A$1:$F$1000,2,FALSE),"")</f>
        <v/>
      </c>
      <c r="D992" s="7" t="str">
        <f>IFERROR(VLOOKUP(B992,'Master data'!$A$1:$F$1000,6,FALSE),"")</f>
        <v/>
      </c>
      <c r="F992" s="7" t="str">
        <f>IFERROR(VLOOKUP(B992,'Master data'!$A$1:$F$1000,3,FALSE),"")</f>
        <v/>
      </c>
      <c r="G992" s="29"/>
      <c r="H992" s="29"/>
      <c r="I992" s="16"/>
      <c r="J992" s="16"/>
      <c r="K992" s="16" t="b">
        <v>0</v>
      </c>
      <c r="L992" s="16" t="b">
        <v>0</v>
      </c>
    </row>
    <row r="993">
      <c r="A993" s="108"/>
      <c r="B993" s="16"/>
      <c r="C993" s="7" t="str">
        <f>IFERROR(VLOOKUP(B993,'Master data'!$A$1:$F$1000,2,FALSE),"")</f>
        <v/>
      </c>
      <c r="D993" s="7" t="str">
        <f>IFERROR(VLOOKUP(B993,'Master data'!$A$1:$F$1000,6,FALSE),"")</f>
        <v/>
      </c>
      <c r="F993" s="7" t="str">
        <f>IFERROR(VLOOKUP(B993,'Master data'!$A$1:$F$1000,3,FALSE),"")</f>
        <v/>
      </c>
      <c r="G993" s="29"/>
      <c r="H993" s="29"/>
      <c r="I993" s="16"/>
      <c r="J993" s="16"/>
      <c r="K993" s="16" t="b">
        <v>0</v>
      </c>
      <c r="L993" s="16" t="b">
        <v>0</v>
      </c>
    </row>
    <row r="994">
      <c r="A994" s="108"/>
      <c r="B994" s="16"/>
      <c r="C994" s="7" t="str">
        <f>IFERROR(VLOOKUP(B994,'Master data'!$A$1:$F$1000,2,FALSE),"")</f>
        <v/>
      </c>
      <c r="D994" s="7" t="str">
        <f>IFERROR(VLOOKUP(B994,'Master data'!$A$1:$F$1000,6,FALSE),"")</f>
        <v/>
      </c>
      <c r="F994" s="7" t="str">
        <f>IFERROR(VLOOKUP(B994,'Master data'!$A$1:$F$1000,3,FALSE),"")</f>
        <v/>
      </c>
      <c r="G994" s="29"/>
      <c r="H994" s="29"/>
      <c r="I994" s="16"/>
      <c r="J994" s="16"/>
      <c r="K994" s="16" t="b">
        <v>0</v>
      </c>
      <c r="L994" s="16" t="b">
        <v>0</v>
      </c>
    </row>
    <row r="995">
      <c r="A995" s="108"/>
      <c r="B995" s="16"/>
      <c r="C995" s="7" t="str">
        <f>IFERROR(VLOOKUP(B995,'Master data'!$A$1:$F$1000,2,FALSE),"")</f>
        <v/>
      </c>
      <c r="D995" s="7" t="str">
        <f>IFERROR(VLOOKUP(B995,'Master data'!$A$1:$F$1000,6,FALSE),"")</f>
        <v/>
      </c>
      <c r="F995" s="7" t="str">
        <f>IFERROR(VLOOKUP(B995,'Master data'!$A$1:$F$1000,3,FALSE),"")</f>
        <v/>
      </c>
      <c r="G995" s="29"/>
      <c r="H995" s="29"/>
      <c r="I995" s="16"/>
      <c r="J995" s="16"/>
      <c r="K995" s="16" t="b">
        <v>0</v>
      </c>
      <c r="L995" s="16" t="b">
        <v>0</v>
      </c>
    </row>
    <row r="996">
      <c r="A996" s="108"/>
      <c r="B996" s="16"/>
      <c r="C996" s="7" t="str">
        <f>IFERROR(VLOOKUP(B996,'Master data'!$A$1:$F$1000,2,FALSE),"")</f>
        <v/>
      </c>
      <c r="D996" s="7" t="str">
        <f>IFERROR(VLOOKUP(B996,'Master data'!$A$1:$F$1000,6,FALSE),"")</f>
        <v/>
      </c>
      <c r="F996" s="7" t="str">
        <f>IFERROR(VLOOKUP(B996,'Master data'!$A$1:$F$1000,3,FALSE),"")</f>
        <v/>
      </c>
      <c r="G996" s="29"/>
      <c r="H996" s="29"/>
      <c r="I996" s="16"/>
      <c r="J996" s="16"/>
      <c r="K996" s="16" t="b">
        <v>0</v>
      </c>
      <c r="L996" s="16" t="b">
        <v>0</v>
      </c>
    </row>
    <row r="997">
      <c r="A997" s="108"/>
      <c r="B997" s="16"/>
      <c r="C997" s="7" t="str">
        <f>IFERROR(VLOOKUP(B997,'Master data'!$A$1:$F$1000,2,FALSE),"")</f>
        <v/>
      </c>
      <c r="D997" s="7" t="str">
        <f>IFERROR(VLOOKUP(B997,'Master data'!$A$1:$F$1000,6,FALSE),"")</f>
        <v/>
      </c>
      <c r="F997" s="7" t="str">
        <f>IFERROR(VLOOKUP(B997,'Master data'!$A$1:$F$1000,3,FALSE),"")</f>
        <v/>
      </c>
      <c r="G997" s="29"/>
      <c r="H997" s="29"/>
      <c r="I997" s="16"/>
      <c r="J997" s="16"/>
      <c r="K997" s="16" t="b">
        <v>0</v>
      </c>
      <c r="L997" s="16" t="b">
        <v>0</v>
      </c>
    </row>
    <row r="998">
      <c r="A998" s="108"/>
      <c r="B998" s="16"/>
      <c r="C998" s="7" t="str">
        <f>IFERROR(VLOOKUP(B998,'Master data'!$A$1:$F$1000,2,FALSE),"")</f>
        <v/>
      </c>
      <c r="D998" s="7" t="str">
        <f>IFERROR(VLOOKUP(B998,'Master data'!$A$1:$F$1000,6,FALSE),"")</f>
        <v/>
      </c>
      <c r="F998" s="7" t="str">
        <f>IFERROR(VLOOKUP(B998,'Master data'!$A$1:$F$1000,3,FALSE),"")</f>
        <v/>
      </c>
      <c r="G998" s="29"/>
      <c r="H998" s="29"/>
      <c r="I998" s="16"/>
      <c r="J998" s="16"/>
      <c r="K998" s="16" t="b">
        <v>0</v>
      </c>
      <c r="L998" s="16" t="b">
        <v>0</v>
      </c>
    </row>
    <row r="999">
      <c r="A999" s="108"/>
      <c r="B999" s="16"/>
      <c r="C999" s="7" t="str">
        <f>IFERROR(VLOOKUP(B999,'Master data'!$A$1:$F$1000,2,FALSE),"")</f>
        <v/>
      </c>
      <c r="D999" s="7" t="str">
        <f>IFERROR(VLOOKUP(B999,'Master data'!$A$1:$F$1000,6,FALSE),"")</f>
        <v/>
      </c>
      <c r="F999" s="7" t="str">
        <f>IFERROR(VLOOKUP(B999,'Master data'!$A$1:$F$1000,3,FALSE),"")</f>
        <v/>
      </c>
      <c r="G999" s="29"/>
      <c r="H999" s="29"/>
      <c r="I999" s="16"/>
      <c r="J999" s="16"/>
      <c r="K999" s="16" t="b">
        <v>0</v>
      </c>
      <c r="L999" s="16" t="b">
        <v>0</v>
      </c>
    </row>
    <row r="1000">
      <c r="A1000" s="108"/>
      <c r="B1000" s="16"/>
      <c r="C1000" s="7" t="str">
        <f>IFERROR(VLOOKUP(B1000,'Master data'!$A$1:$F$1000,2,FALSE),"")</f>
        <v/>
      </c>
      <c r="D1000" s="7" t="str">
        <f>IFERROR(VLOOKUP(B1000,'Master data'!$A$1:$F$1000,6,FALSE),"")</f>
        <v/>
      </c>
      <c r="F1000" s="7" t="str">
        <f>IFERROR(VLOOKUP(B1000,'Master data'!$A$1:$F$1000,3,FALSE),"")</f>
        <v/>
      </c>
      <c r="G1000" s="29"/>
      <c r="H1000" s="29"/>
      <c r="I1000" s="16"/>
      <c r="J1000" s="16"/>
      <c r="K1000" s="16" t="b">
        <v>0</v>
      </c>
      <c r="L1000" s="16" t="b">
        <v>0</v>
      </c>
    </row>
    <row r="1001">
      <c r="A1001" s="108"/>
      <c r="B1001" s="16"/>
      <c r="C1001" s="7" t="str">
        <f>IFERROR(VLOOKUP(B1001,'Master data'!$A$1:$F$1000,2,FALSE),"")</f>
        <v/>
      </c>
      <c r="D1001" s="7" t="str">
        <f>IFERROR(VLOOKUP(B1001,'Master data'!$A$1:$F$1000,6,FALSE),"")</f>
        <v/>
      </c>
      <c r="F1001" s="7" t="str">
        <f>IFERROR(VLOOKUP(B1001,'Master data'!$A$1:$F$1000,3,FALSE),"")</f>
        <v/>
      </c>
      <c r="G1001" s="29"/>
      <c r="H1001" s="29"/>
      <c r="I1001" s="16"/>
      <c r="J1001" s="16"/>
      <c r="K1001" s="16" t="b">
        <v>0</v>
      </c>
      <c r="L1001" s="16" t="b">
        <v>0</v>
      </c>
    </row>
    <row r="1002">
      <c r="A1002" s="108"/>
      <c r="B1002" s="16"/>
      <c r="C1002" s="7" t="str">
        <f>IFERROR(VLOOKUP(B1002,'Master data'!$A$1:$F$1000,2,FALSE),"")</f>
        <v/>
      </c>
      <c r="D1002" s="7" t="str">
        <f>IFERROR(VLOOKUP(B1002,'Master data'!$A$1:$F$1000,6,FALSE),"")</f>
        <v/>
      </c>
      <c r="F1002" s="7" t="str">
        <f>IFERROR(VLOOKUP(B1002,'Master data'!$A$1:$F$1000,3,FALSE),"")</f>
        <v/>
      </c>
      <c r="G1002" s="29"/>
      <c r="H1002" s="29"/>
      <c r="I1002" s="16"/>
      <c r="J1002" s="16"/>
      <c r="K1002" s="16" t="b">
        <v>0</v>
      </c>
      <c r="L1002" s="16" t="b">
        <v>0</v>
      </c>
    </row>
  </sheetData>
  <mergeCells count="4">
    <mergeCell ref="A1:L1"/>
    <mergeCell ref="A2:L2"/>
    <mergeCell ref="A3:L3"/>
    <mergeCell ref="A4:L4"/>
  </mergeCells>
  <dataValidations>
    <dataValidation type="list" allowBlank="1" showErrorMessage="1" sqref="B7:B1002">
      <formula1>'Master data'!$A$2:$A$429</formula1>
    </dataValidation>
    <dataValidation type="list" allowBlank="1" showErrorMessage="1" sqref="J7:J1002">
      <formula1>"Waste,Spoil,Training,Discontinued,Test food/ Kalibrasi"</formula1>
    </dataValidation>
    <dataValidation type="list" allowBlank="1" showErrorMessage="1" sqref="I7:I1002">
      <formula1>"BAR,COOK,ASSEMBLY,MP,DINING"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29"/>
  </cols>
  <sheetData>
    <row r="1">
      <c r="A1" s="9" t="s">
        <v>10</v>
      </c>
      <c r="B1" s="109" t="s">
        <v>2</v>
      </c>
      <c r="C1" s="109" t="s">
        <v>11</v>
      </c>
      <c r="D1" s="110" t="s">
        <v>1537</v>
      </c>
      <c r="E1" s="110" t="s">
        <v>5</v>
      </c>
      <c r="F1" s="109" t="s">
        <v>4</v>
      </c>
      <c r="G1" s="109" t="s">
        <v>6</v>
      </c>
      <c r="H1" s="7" t="s">
        <v>7</v>
      </c>
      <c r="I1" s="7" t="s">
        <v>56</v>
      </c>
      <c r="J1" s="7" t="s">
        <v>57</v>
      </c>
      <c r="K1" s="7"/>
      <c r="L1" s="7" t="s">
        <v>60</v>
      </c>
    </row>
    <row r="2">
      <c r="A2" s="7" t="s">
        <v>63</v>
      </c>
      <c r="B2" s="7" t="s">
        <v>148</v>
      </c>
      <c r="C2" s="7" t="s">
        <v>149</v>
      </c>
      <c r="D2" s="110" t="s">
        <v>19</v>
      </c>
      <c r="E2" s="110">
        <v>50.0</v>
      </c>
      <c r="F2" s="16" t="s">
        <v>20</v>
      </c>
      <c r="G2" s="7" t="s">
        <v>1540</v>
      </c>
      <c r="H2" s="7" t="s">
        <v>1541</v>
      </c>
      <c r="I2" s="7" t="s">
        <v>1542</v>
      </c>
      <c r="J2" s="7" t="s">
        <v>61</v>
      </c>
      <c r="K2" s="16" t="b">
        <v>0</v>
      </c>
      <c r="L2" s="7" t="b">
        <v>1</v>
      </c>
      <c r="N2" s="7" t="s">
        <v>622</v>
      </c>
    </row>
    <row r="3">
      <c r="B3" s="7" t="s">
        <v>139</v>
      </c>
      <c r="C3" s="7" t="s">
        <v>140</v>
      </c>
      <c r="D3" s="110" t="s">
        <v>19</v>
      </c>
      <c r="E3" s="110">
        <v>40.0</v>
      </c>
      <c r="F3" s="16" t="s">
        <v>20</v>
      </c>
      <c r="G3" s="7" t="s">
        <v>1540</v>
      </c>
      <c r="I3" s="7" t="s">
        <v>1542</v>
      </c>
      <c r="J3" s="7" t="s">
        <v>61</v>
      </c>
      <c r="K3" s="16" t="b">
        <v>0</v>
      </c>
      <c r="L3" s="7" t="b">
        <v>1</v>
      </c>
      <c r="N3" s="7" t="s">
        <v>609</v>
      </c>
    </row>
    <row r="4">
      <c r="B4" s="7" t="s">
        <v>28</v>
      </c>
      <c r="C4" s="7" t="s">
        <v>29</v>
      </c>
      <c r="D4" s="110" t="s">
        <v>19</v>
      </c>
      <c r="E4" s="110">
        <v>17.0</v>
      </c>
      <c r="F4" s="16" t="s">
        <v>20</v>
      </c>
      <c r="G4" s="7" t="s">
        <v>1540</v>
      </c>
      <c r="I4" s="7" t="s">
        <v>1542</v>
      </c>
      <c r="J4" s="7" t="s">
        <v>61</v>
      </c>
      <c r="K4" s="16" t="b">
        <v>0</v>
      </c>
      <c r="L4" s="7" t="b">
        <v>1</v>
      </c>
      <c r="N4" s="7" t="s">
        <v>109</v>
      </c>
    </row>
    <row r="5">
      <c r="B5" s="7" t="s">
        <v>148</v>
      </c>
      <c r="C5" s="7" t="s">
        <v>149</v>
      </c>
      <c r="D5" s="110" t="s">
        <v>19</v>
      </c>
      <c r="E5" s="110">
        <v>119.0</v>
      </c>
      <c r="F5" s="16" t="s">
        <v>20</v>
      </c>
      <c r="G5" s="7" t="s">
        <v>1540</v>
      </c>
      <c r="I5" s="7" t="s">
        <v>1542</v>
      </c>
      <c r="J5" s="7" t="s">
        <v>61</v>
      </c>
      <c r="K5" s="16" t="b">
        <v>0</v>
      </c>
      <c r="L5" s="7" t="b">
        <v>1</v>
      </c>
      <c r="N5" s="7" t="s">
        <v>622</v>
      </c>
    </row>
    <row r="6">
      <c r="B6" s="7" t="s">
        <v>33</v>
      </c>
      <c r="C6" s="7" t="s">
        <v>34</v>
      </c>
      <c r="D6" s="110" t="s">
        <v>19</v>
      </c>
      <c r="E6" s="110" t="s">
        <v>1545</v>
      </c>
      <c r="F6" s="16" t="s">
        <v>20</v>
      </c>
      <c r="G6" s="7" t="s">
        <v>1546</v>
      </c>
      <c r="H6" s="7" t="s">
        <v>1547</v>
      </c>
      <c r="I6" s="7" t="s">
        <v>1548</v>
      </c>
      <c r="J6" s="7" t="s">
        <v>61</v>
      </c>
      <c r="K6" s="16" t="b">
        <v>0</v>
      </c>
      <c r="L6" s="7" t="b">
        <v>1</v>
      </c>
      <c r="N6" s="7" t="s">
        <v>125</v>
      </c>
    </row>
    <row r="7">
      <c r="B7" s="7" t="s">
        <v>129</v>
      </c>
      <c r="C7" s="7" t="s">
        <v>130</v>
      </c>
      <c r="D7" s="110" t="s">
        <v>19</v>
      </c>
      <c r="E7" s="110" t="s">
        <v>1549</v>
      </c>
      <c r="F7" s="16" t="s">
        <v>78</v>
      </c>
      <c r="G7" s="7" t="s">
        <v>1546</v>
      </c>
      <c r="I7" s="7" t="s">
        <v>1548</v>
      </c>
      <c r="J7" s="7" t="s">
        <v>61</v>
      </c>
      <c r="K7" s="16" t="b">
        <v>0</v>
      </c>
      <c r="L7" s="7" t="b">
        <v>1</v>
      </c>
      <c r="N7" s="7" t="s">
        <v>580</v>
      </c>
    </row>
    <row r="8">
      <c r="B8" s="7" t="s">
        <v>653</v>
      </c>
      <c r="C8" s="7" t="s">
        <v>654</v>
      </c>
      <c r="D8" s="110" t="s">
        <v>600</v>
      </c>
      <c r="E8" s="110">
        <v>881.0</v>
      </c>
      <c r="F8" s="16" t="s">
        <v>655</v>
      </c>
      <c r="G8" s="7" t="s">
        <v>1550</v>
      </c>
      <c r="H8" s="7" t="s">
        <v>1551</v>
      </c>
      <c r="I8" s="7" t="s">
        <v>1552</v>
      </c>
      <c r="J8" s="7" t="s">
        <v>61</v>
      </c>
      <c r="K8" s="16" t="b">
        <v>0</v>
      </c>
      <c r="L8" s="7" t="b">
        <v>1</v>
      </c>
      <c r="N8" s="7" t="s">
        <v>1209</v>
      </c>
    </row>
    <row r="9">
      <c r="B9" s="7" t="s">
        <v>657</v>
      </c>
      <c r="C9" s="7" t="s">
        <v>658</v>
      </c>
      <c r="D9" s="110" t="s">
        <v>600</v>
      </c>
      <c r="E9" s="110">
        <v>32.0</v>
      </c>
      <c r="F9" s="16" t="s">
        <v>655</v>
      </c>
      <c r="G9" s="7" t="s">
        <v>1550</v>
      </c>
      <c r="I9" s="7" t="s">
        <v>1552</v>
      </c>
      <c r="J9" s="7" t="s">
        <v>61</v>
      </c>
      <c r="K9" s="16" t="b">
        <v>0</v>
      </c>
      <c r="L9" s="7" t="b">
        <v>1</v>
      </c>
      <c r="N9" s="7" t="s">
        <v>1214</v>
      </c>
    </row>
    <row r="10">
      <c r="B10" s="7" t="s">
        <v>660</v>
      </c>
      <c r="C10" s="7" t="s">
        <v>661</v>
      </c>
      <c r="D10" s="110" t="s">
        <v>600</v>
      </c>
      <c r="E10" s="110">
        <v>154.0</v>
      </c>
      <c r="F10" s="16" t="s">
        <v>78</v>
      </c>
      <c r="G10" s="7" t="s">
        <v>1550</v>
      </c>
      <c r="I10" s="7" t="s">
        <v>1552</v>
      </c>
      <c r="J10" s="7" t="s">
        <v>61</v>
      </c>
      <c r="K10" s="16" t="b">
        <v>0</v>
      </c>
      <c r="L10" s="7" t="b">
        <v>1</v>
      </c>
      <c r="N10" s="7" t="s">
        <v>1218</v>
      </c>
    </row>
    <row r="11">
      <c r="B11" s="7" t="s">
        <v>211</v>
      </c>
      <c r="C11" s="7" t="s">
        <v>213</v>
      </c>
      <c r="D11" s="110" t="s">
        <v>19</v>
      </c>
      <c r="E11" s="110">
        <v>2965.0</v>
      </c>
      <c r="F11" s="16" t="s">
        <v>20</v>
      </c>
      <c r="G11" s="7" t="s">
        <v>1554</v>
      </c>
      <c r="H11" s="7" t="s">
        <v>1555</v>
      </c>
      <c r="I11" s="7" t="s">
        <v>1556</v>
      </c>
      <c r="J11" s="7" t="s">
        <v>61</v>
      </c>
      <c r="K11" s="16" t="b">
        <v>0</v>
      </c>
      <c r="L11" s="7" t="b">
        <v>1</v>
      </c>
      <c r="N11" s="7" t="s">
        <v>755</v>
      </c>
    </row>
    <row r="12">
      <c r="B12" s="7" t="s">
        <v>36</v>
      </c>
      <c r="C12" s="7" t="s">
        <v>37</v>
      </c>
      <c r="D12" s="110" t="s">
        <v>19</v>
      </c>
      <c r="E12" s="110">
        <v>45.0</v>
      </c>
      <c r="F12" s="16" t="s">
        <v>20</v>
      </c>
      <c r="G12" s="7" t="s">
        <v>1557</v>
      </c>
      <c r="H12" s="7" t="s">
        <v>1551</v>
      </c>
      <c r="I12" s="7" t="s">
        <v>1552</v>
      </c>
      <c r="J12" s="7" t="s">
        <v>1558</v>
      </c>
      <c r="K12" s="16" t="b">
        <v>0</v>
      </c>
      <c r="L12" s="7" t="b">
        <v>1</v>
      </c>
      <c r="N12" s="7" t="s">
        <v>134</v>
      </c>
    </row>
    <row r="13">
      <c r="A13" s="7" t="s">
        <v>1559</v>
      </c>
      <c r="B13" s="7" t="s">
        <v>36</v>
      </c>
      <c r="C13" s="7" t="s">
        <v>37</v>
      </c>
      <c r="D13" s="110" t="s">
        <v>19</v>
      </c>
      <c r="E13" s="110">
        <v>42.0</v>
      </c>
      <c r="F13" s="16" t="s">
        <v>20</v>
      </c>
      <c r="G13" s="7" t="s">
        <v>1557</v>
      </c>
      <c r="I13" s="7" t="s">
        <v>1552</v>
      </c>
      <c r="J13" s="7" t="s">
        <v>1558</v>
      </c>
      <c r="K13" s="16" t="b">
        <v>0</v>
      </c>
      <c r="L13" s="7" t="b">
        <v>1</v>
      </c>
      <c r="N13" s="7" t="s">
        <v>134</v>
      </c>
    </row>
    <row r="14">
      <c r="B14" s="7" t="s">
        <v>663</v>
      </c>
      <c r="C14" s="7" t="s">
        <v>1263</v>
      </c>
      <c r="D14" s="110" t="s">
        <v>600</v>
      </c>
      <c r="E14" s="110">
        <v>60.0</v>
      </c>
      <c r="F14" s="16" t="s">
        <v>78</v>
      </c>
      <c r="G14" s="7" t="s">
        <v>1560</v>
      </c>
      <c r="I14" s="7" t="s">
        <v>1552</v>
      </c>
      <c r="J14" s="7" t="s">
        <v>1561</v>
      </c>
      <c r="K14" s="16" t="b">
        <v>0</v>
      </c>
      <c r="L14" s="7" t="b">
        <v>1</v>
      </c>
      <c r="N14" s="7" t="s">
        <v>1239</v>
      </c>
    </row>
    <row r="15">
      <c r="B15" s="7" t="s">
        <v>645</v>
      </c>
      <c r="C15" s="7" t="s">
        <v>646</v>
      </c>
      <c r="D15" s="110" t="s">
        <v>600</v>
      </c>
      <c r="E15" s="110">
        <v>16.0</v>
      </c>
      <c r="F15" s="16" t="s">
        <v>20</v>
      </c>
      <c r="G15" s="7" t="s">
        <v>1560</v>
      </c>
      <c r="I15" s="7" t="s">
        <v>1552</v>
      </c>
      <c r="J15" s="7" t="s">
        <v>1561</v>
      </c>
      <c r="K15" s="16" t="b">
        <v>0</v>
      </c>
      <c r="L15" s="7" t="b">
        <v>1</v>
      </c>
      <c r="N15" s="7" t="s">
        <v>1199</v>
      </c>
    </row>
    <row r="16">
      <c r="B16" s="7" t="s">
        <v>28</v>
      </c>
      <c r="C16" s="7" t="s">
        <v>29</v>
      </c>
      <c r="D16" s="110" t="s">
        <v>19</v>
      </c>
      <c r="E16" s="110">
        <v>16.0</v>
      </c>
      <c r="F16" s="16" t="s">
        <v>20</v>
      </c>
      <c r="G16" s="7" t="s">
        <v>1540</v>
      </c>
      <c r="H16" s="7" t="s">
        <v>1541</v>
      </c>
      <c r="I16" s="7" t="s">
        <v>1542</v>
      </c>
      <c r="J16" s="7" t="s">
        <v>61</v>
      </c>
      <c r="K16" s="16" t="b">
        <v>0</v>
      </c>
      <c r="L16" s="7" t="b">
        <v>1</v>
      </c>
      <c r="N16" s="7" t="s">
        <v>109</v>
      </c>
    </row>
    <row r="17">
      <c r="B17" s="7" t="s">
        <v>65</v>
      </c>
      <c r="C17" s="7" t="s">
        <v>66</v>
      </c>
      <c r="D17" s="110" t="s">
        <v>19</v>
      </c>
      <c r="E17" s="110">
        <v>53.0</v>
      </c>
      <c r="F17" s="16" t="s">
        <v>20</v>
      </c>
      <c r="G17" s="7" t="s">
        <v>1563</v>
      </c>
      <c r="I17" s="7" t="s">
        <v>1542</v>
      </c>
      <c r="J17" s="7" t="s">
        <v>1561</v>
      </c>
      <c r="K17" s="16" t="b">
        <v>0</v>
      </c>
      <c r="L17" s="7" t="b">
        <v>1</v>
      </c>
      <c r="N17" s="7" t="s">
        <v>237</v>
      </c>
    </row>
    <row r="18">
      <c r="B18" s="7" t="s">
        <v>76</v>
      </c>
      <c r="C18" s="7" t="s">
        <v>77</v>
      </c>
      <c r="D18" s="110" t="s">
        <v>19</v>
      </c>
      <c r="E18" s="110">
        <v>540.0</v>
      </c>
      <c r="F18" s="16" t="s">
        <v>78</v>
      </c>
      <c r="G18" s="7" t="s">
        <v>1563</v>
      </c>
      <c r="H18" s="7" t="s">
        <v>1565</v>
      </c>
      <c r="I18" s="7" t="s">
        <v>1552</v>
      </c>
      <c r="J18" s="7" t="s">
        <v>1561</v>
      </c>
      <c r="K18" s="16" t="b">
        <v>0</v>
      </c>
      <c r="L18" s="7" t="b">
        <v>1</v>
      </c>
      <c r="N18" s="7" t="s">
        <v>328</v>
      </c>
    </row>
    <row r="19">
      <c r="B19" s="7" t="s">
        <v>634</v>
      </c>
      <c r="C19" s="7" t="s">
        <v>635</v>
      </c>
      <c r="D19" s="110" t="s">
        <v>600</v>
      </c>
      <c r="E19" s="110">
        <v>82.0</v>
      </c>
      <c r="F19" s="16" t="s">
        <v>20</v>
      </c>
      <c r="G19" s="7" t="s">
        <v>1550</v>
      </c>
      <c r="H19" s="7" t="s">
        <v>1541</v>
      </c>
      <c r="I19" s="7" t="s">
        <v>1542</v>
      </c>
      <c r="J19" s="7" t="s">
        <v>1561</v>
      </c>
      <c r="K19" s="16" t="b">
        <v>0</v>
      </c>
      <c r="L19" s="7" t="b">
        <v>1</v>
      </c>
      <c r="N19" s="7" t="s">
        <v>1183</v>
      </c>
    </row>
    <row r="20">
      <c r="B20" s="7" t="s">
        <v>657</v>
      </c>
      <c r="C20" s="7" t="s">
        <v>658</v>
      </c>
      <c r="D20" s="110" t="s">
        <v>600</v>
      </c>
      <c r="E20" s="110">
        <v>451.0</v>
      </c>
      <c r="F20" s="16" t="s">
        <v>655</v>
      </c>
      <c r="G20" s="7" t="s">
        <v>1563</v>
      </c>
      <c r="H20" s="7" t="s">
        <v>1565</v>
      </c>
      <c r="I20" s="7" t="s">
        <v>1552</v>
      </c>
      <c r="J20" s="7" t="s">
        <v>1561</v>
      </c>
      <c r="K20" s="16" t="b">
        <v>0</v>
      </c>
      <c r="L20" s="7" t="b">
        <v>1</v>
      </c>
      <c r="N20" s="7" t="s">
        <v>1214</v>
      </c>
    </row>
    <row r="21">
      <c r="B21" s="7" t="s">
        <v>664</v>
      </c>
      <c r="C21" s="7" t="s">
        <v>666</v>
      </c>
      <c r="D21" s="110" t="s">
        <v>600</v>
      </c>
      <c r="E21" s="110">
        <v>248.0</v>
      </c>
      <c r="F21" s="16" t="s">
        <v>78</v>
      </c>
      <c r="G21" s="7" t="s">
        <v>1563</v>
      </c>
      <c r="I21" s="7" t="s">
        <v>1552</v>
      </c>
      <c r="J21" s="7" t="s">
        <v>1561</v>
      </c>
      <c r="K21" s="16" t="b">
        <v>0</v>
      </c>
      <c r="L21" s="7" t="b">
        <v>1</v>
      </c>
      <c r="N21" s="7" t="s">
        <v>1221</v>
      </c>
    </row>
    <row r="22">
      <c r="B22" s="7" t="s">
        <v>653</v>
      </c>
      <c r="C22" s="7" t="s">
        <v>654</v>
      </c>
      <c r="D22" s="110" t="s">
        <v>600</v>
      </c>
      <c r="E22" s="110">
        <v>919.0</v>
      </c>
      <c r="F22" s="16" t="s">
        <v>655</v>
      </c>
      <c r="G22" s="7" t="s">
        <v>1563</v>
      </c>
      <c r="I22" s="7" t="s">
        <v>1552</v>
      </c>
      <c r="J22" s="7" t="s">
        <v>1561</v>
      </c>
      <c r="K22" s="16" t="b">
        <v>0</v>
      </c>
      <c r="L22" s="7" t="b">
        <v>1</v>
      </c>
      <c r="N22" s="7" t="s">
        <v>1209</v>
      </c>
    </row>
    <row r="23">
      <c r="B23" s="7" t="s">
        <v>660</v>
      </c>
      <c r="C23" s="7" t="s">
        <v>661</v>
      </c>
      <c r="D23" s="110" t="s">
        <v>600</v>
      </c>
      <c r="E23" s="110">
        <v>436.0</v>
      </c>
      <c r="F23" s="16" t="s">
        <v>78</v>
      </c>
      <c r="G23" s="7" t="s">
        <v>1568</v>
      </c>
      <c r="I23" s="7" t="s">
        <v>1552</v>
      </c>
      <c r="J23" s="7" t="s">
        <v>1561</v>
      </c>
      <c r="K23" s="16" t="b">
        <v>0</v>
      </c>
      <c r="L23" s="7" t="b">
        <v>1</v>
      </c>
      <c r="N23" s="7" t="s">
        <v>1218</v>
      </c>
    </row>
    <row r="24">
      <c r="B24" s="7" t="s">
        <v>18</v>
      </c>
      <c r="C24" s="7" t="s">
        <v>15</v>
      </c>
      <c r="D24" s="110" t="s">
        <v>19</v>
      </c>
      <c r="E24" s="110">
        <v>68.0</v>
      </c>
      <c r="F24" s="16" t="s">
        <v>20</v>
      </c>
      <c r="G24" s="7" t="s">
        <v>1550</v>
      </c>
      <c r="H24" s="7" t="s">
        <v>1569</v>
      </c>
      <c r="I24" s="7" t="s">
        <v>1548</v>
      </c>
      <c r="J24" s="7" t="s">
        <v>1561</v>
      </c>
      <c r="K24" s="16" t="b">
        <v>0</v>
      </c>
      <c r="L24" s="7" t="b">
        <v>1</v>
      </c>
      <c r="N24" s="7" t="s">
        <v>32</v>
      </c>
    </row>
    <row r="25">
      <c r="B25" s="7" t="s">
        <v>33</v>
      </c>
      <c r="C25" s="7" t="s">
        <v>34</v>
      </c>
      <c r="D25" s="110" t="s">
        <v>19</v>
      </c>
      <c r="E25" s="110" t="s">
        <v>1570</v>
      </c>
      <c r="F25" s="16" t="s">
        <v>20</v>
      </c>
      <c r="G25" s="7" t="s">
        <v>1546</v>
      </c>
      <c r="I25" s="7" t="s">
        <v>1548</v>
      </c>
      <c r="J25" s="7" t="s">
        <v>61</v>
      </c>
      <c r="K25" s="16" t="b">
        <v>0</v>
      </c>
      <c r="L25" s="7" t="b">
        <v>1</v>
      </c>
      <c r="N25" s="7" t="s">
        <v>125</v>
      </c>
    </row>
    <row r="26">
      <c r="B26" s="7" t="s">
        <v>129</v>
      </c>
      <c r="C26" s="7" t="s">
        <v>130</v>
      </c>
      <c r="D26" s="110" t="s">
        <v>19</v>
      </c>
      <c r="E26" s="110" t="s">
        <v>1571</v>
      </c>
      <c r="F26" s="16" t="s">
        <v>78</v>
      </c>
      <c r="G26" s="7" t="s">
        <v>1546</v>
      </c>
      <c r="I26" s="7" t="s">
        <v>1548</v>
      </c>
      <c r="J26" s="7" t="s">
        <v>61</v>
      </c>
      <c r="K26" s="16" t="b">
        <v>0</v>
      </c>
      <c r="L26" s="7" t="b">
        <v>1</v>
      </c>
      <c r="N26" s="7" t="s">
        <v>580</v>
      </c>
    </row>
    <row r="27">
      <c r="A27" s="7" t="s">
        <v>1572</v>
      </c>
      <c r="B27" s="7" t="s">
        <v>28</v>
      </c>
      <c r="C27" s="7" t="s">
        <v>29</v>
      </c>
      <c r="D27" s="110" t="s">
        <v>19</v>
      </c>
      <c r="E27" s="110">
        <v>12.0</v>
      </c>
      <c r="F27" s="16" t="s">
        <v>20</v>
      </c>
      <c r="G27" s="7" t="s">
        <v>1540</v>
      </c>
      <c r="H27" s="7" t="s">
        <v>1573</v>
      </c>
      <c r="I27" s="7" t="s">
        <v>1542</v>
      </c>
      <c r="J27" s="7" t="s">
        <v>1561</v>
      </c>
      <c r="K27" s="7" t="b">
        <v>0</v>
      </c>
      <c r="L27" s="7" t="b">
        <v>1</v>
      </c>
      <c r="N27" s="7" t="s">
        <v>109</v>
      </c>
    </row>
    <row r="28">
      <c r="B28" s="7" t="s">
        <v>52</v>
      </c>
      <c r="C28" s="7" t="s">
        <v>53</v>
      </c>
      <c r="D28" s="110" t="s">
        <v>19</v>
      </c>
      <c r="E28" s="110">
        <v>17.0</v>
      </c>
      <c r="F28" s="16" t="s">
        <v>20</v>
      </c>
      <c r="G28" s="7" t="s">
        <v>1540</v>
      </c>
      <c r="I28" s="7" t="s">
        <v>1542</v>
      </c>
      <c r="J28" s="7" t="s">
        <v>1561</v>
      </c>
      <c r="K28" s="16" t="b">
        <v>0</v>
      </c>
      <c r="L28" s="7" t="b">
        <v>1</v>
      </c>
      <c r="N28" s="7" t="s">
        <v>203</v>
      </c>
    </row>
    <row r="29">
      <c r="B29" s="7" t="s">
        <v>33</v>
      </c>
      <c r="C29" s="7" t="s">
        <v>34</v>
      </c>
      <c r="D29" s="110" t="s">
        <v>19</v>
      </c>
      <c r="E29" s="110" t="s">
        <v>1576</v>
      </c>
      <c r="F29" s="16" t="s">
        <v>20</v>
      </c>
      <c r="G29" s="7" t="s">
        <v>1546</v>
      </c>
      <c r="H29" s="7" t="s">
        <v>1569</v>
      </c>
      <c r="I29" s="7" t="s">
        <v>1548</v>
      </c>
      <c r="J29" s="7" t="s">
        <v>61</v>
      </c>
      <c r="K29" s="16" t="b">
        <v>0</v>
      </c>
      <c r="L29" s="7" t="b">
        <v>1</v>
      </c>
      <c r="N29" s="7" t="s">
        <v>125</v>
      </c>
    </row>
    <row r="30">
      <c r="B30" s="7" t="s">
        <v>129</v>
      </c>
      <c r="C30" s="7" t="s">
        <v>130</v>
      </c>
      <c r="D30" s="110" t="s">
        <v>19</v>
      </c>
      <c r="E30" s="110" t="s">
        <v>1579</v>
      </c>
      <c r="F30" s="16" t="s">
        <v>78</v>
      </c>
      <c r="G30" s="7" t="s">
        <v>1546</v>
      </c>
      <c r="I30" s="7" t="s">
        <v>1548</v>
      </c>
      <c r="J30" s="7" t="s">
        <v>61</v>
      </c>
      <c r="K30" s="16" t="b">
        <v>0</v>
      </c>
      <c r="L30" s="7" t="b">
        <v>1</v>
      </c>
      <c r="N30" s="7" t="s">
        <v>580</v>
      </c>
    </row>
    <row r="31">
      <c r="B31" s="7" t="s">
        <v>657</v>
      </c>
      <c r="C31" s="7" t="s">
        <v>658</v>
      </c>
      <c r="D31" s="110" t="s">
        <v>600</v>
      </c>
      <c r="E31" s="110">
        <v>863.0</v>
      </c>
      <c r="F31" s="16" t="s">
        <v>655</v>
      </c>
      <c r="G31" s="7" t="s">
        <v>1550</v>
      </c>
      <c r="H31" s="7" t="s">
        <v>1565</v>
      </c>
      <c r="I31" s="7" t="s">
        <v>1552</v>
      </c>
      <c r="J31" s="7" t="s">
        <v>1561</v>
      </c>
      <c r="K31" s="16" t="b">
        <v>0</v>
      </c>
      <c r="L31" s="7" t="b">
        <v>1</v>
      </c>
      <c r="N31" s="7" t="s">
        <v>1214</v>
      </c>
    </row>
    <row r="32">
      <c r="B32" s="7" t="s">
        <v>653</v>
      </c>
      <c r="C32" s="7" t="s">
        <v>654</v>
      </c>
      <c r="D32" s="110" t="s">
        <v>600</v>
      </c>
      <c r="E32" s="110">
        <v>400.0</v>
      </c>
      <c r="F32" s="16" t="s">
        <v>655</v>
      </c>
      <c r="G32" s="7" t="s">
        <v>1550</v>
      </c>
      <c r="I32" s="7" t="s">
        <v>1552</v>
      </c>
      <c r="J32" s="7" t="s">
        <v>1561</v>
      </c>
      <c r="K32" s="16" t="b">
        <v>0</v>
      </c>
      <c r="L32" s="7" t="b">
        <v>1</v>
      </c>
      <c r="N32" s="7" t="s">
        <v>1209</v>
      </c>
    </row>
    <row r="33">
      <c r="B33" s="7" t="s">
        <v>28</v>
      </c>
      <c r="C33" s="7" t="s">
        <v>29</v>
      </c>
      <c r="D33" s="110" t="s">
        <v>19</v>
      </c>
      <c r="E33" s="110">
        <v>20.0</v>
      </c>
      <c r="F33" s="16" t="s">
        <v>20</v>
      </c>
      <c r="G33" s="7" t="s">
        <v>1540</v>
      </c>
      <c r="H33" s="7" t="s">
        <v>1541</v>
      </c>
      <c r="I33" s="7" t="s">
        <v>1542</v>
      </c>
      <c r="J33" s="7" t="s">
        <v>1561</v>
      </c>
      <c r="K33" s="16" t="b">
        <v>0</v>
      </c>
      <c r="L33" s="7" t="b">
        <v>1</v>
      </c>
      <c r="N33" s="7" t="s">
        <v>109</v>
      </c>
    </row>
    <row r="34">
      <c r="A34" s="9"/>
      <c r="B34" s="7" t="s">
        <v>211</v>
      </c>
      <c r="C34" s="7" t="s">
        <v>213</v>
      </c>
      <c r="D34" s="110" t="s">
        <v>19</v>
      </c>
      <c r="E34" s="110">
        <v>2220.0</v>
      </c>
      <c r="F34" s="16" t="s">
        <v>20</v>
      </c>
      <c r="G34" s="7" t="s">
        <v>1554</v>
      </c>
      <c r="H34" s="7" t="s">
        <v>1555</v>
      </c>
      <c r="I34" s="7" t="s">
        <v>1556</v>
      </c>
      <c r="J34" s="7" t="s">
        <v>61</v>
      </c>
      <c r="K34" s="16" t="b">
        <v>0</v>
      </c>
      <c r="L34" s="7" t="b">
        <v>1</v>
      </c>
      <c r="N34" s="7" t="s">
        <v>755</v>
      </c>
    </row>
    <row r="35">
      <c r="A35" s="7" t="s">
        <v>1583</v>
      </c>
      <c r="B35" s="7" t="s">
        <v>298</v>
      </c>
      <c r="C35" s="7" t="s">
        <v>299</v>
      </c>
      <c r="D35" s="110" t="s">
        <v>19</v>
      </c>
      <c r="E35" s="110">
        <v>72.0</v>
      </c>
      <c r="F35" s="16" t="s">
        <v>20</v>
      </c>
      <c r="G35" s="7" t="s">
        <v>1577</v>
      </c>
      <c r="H35" s="7" t="s">
        <v>1573</v>
      </c>
      <c r="I35" s="7" t="s">
        <v>1542</v>
      </c>
      <c r="J35" s="7" t="s">
        <v>1561</v>
      </c>
      <c r="K35" s="16" t="b">
        <v>0</v>
      </c>
      <c r="L35" s="7" t="b">
        <v>1</v>
      </c>
      <c r="N35" s="7">
        <v>40.0</v>
      </c>
    </row>
    <row r="36">
      <c r="B36" s="7" t="s">
        <v>636</v>
      </c>
      <c r="C36" s="7" t="s">
        <v>638</v>
      </c>
      <c r="D36" s="110" t="s">
        <v>600</v>
      </c>
      <c r="E36" s="110">
        <v>129.0</v>
      </c>
      <c r="F36" s="16" t="s">
        <v>20</v>
      </c>
      <c r="G36" s="7" t="s">
        <v>1563</v>
      </c>
      <c r="H36" s="7" t="s">
        <v>1584</v>
      </c>
      <c r="I36" s="7" t="s">
        <v>1548</v>
      </c>
      <c r="J36" s="7" t="s">
        <v>1561</v>
      </c>
      <c r="K36" s="16" t="b">
        <v>0</v>
      </c>
      <c r="L36" s="7" t="b">
        <v>1</v>
      </c>
      <c r="N36" s="7" t="s">
        <v>1187</v>
      </c>
    </row>
    <row r="37">
      <c r="B37" s="7" t="s">
        <v>148</v>
      </c>
      <c r="C37" s="7" t="s">
        <v>149</v>
      </c>
      <c r="D37" s="110" t="s">
        <v>19</v>
      </c>
      <c r="E37" s="110">
        <v>20.0</v>
      </c>
      <c r="F37" s="16" t="s">
        <v>20</v>
      </c>
      <c r="G37" s="7" t="s">
        <v>1540</v>
      </c>
      <c r="H37" s="7" t="s">
        <v>1541</v>
      </c>
      <c r="I37" s="7" t="s">
        <v>1542</v>
      </c>
      <c r="J37" s="7" t="s">
        <v>61</v>
      </c>
      <c r="K37" s="16" t="b">
        <v>0</v>
      </c>
      <c r="L37" s="7" t="b">
        <v>1</v>
      </c>
      <c r="N37" s="7" t="s">
        <v>622</v>
      </c>
    </row>
    <row r="38">
      <c r="B38" s="7" t="s">
        <v>33</v>
      </c>
      <c r="C38" s="7" t="s">
        <v>34</v>
      </c>
      <c r="D38" s="110" t="s">
        <v>19</v>
      </c>
      <c r="E38" s="110" t="s">
        <v>1587</v>
      </c>
      <c r="F38" s="16" t="s">
        <v>20</v>
      </c>
      <c r="G38" s="7" t="s">
        <v>1546</v>
      </c>
      <c r="H38" s="7" t="s">
        <v>1569</v>
      </c>
      <c r="I38" s="7" t="s">
        <v>1548</v>
      </c>
      <c r="J38" s="7" t="s">
        <v>61</v>
      </c>
      <c r="K38" s="16" t="b">
        <v>0</v>
      </c>
      <c r="L38" s="7" t="b">
        <v>1</v>
      </c>
      <c r="N38" s="7" t="s">
        <v>125</v>
      </c>
    </row>
    <row r="39">
      <c r="B39" s="7" t="s">
        <v>129</v>
      </c>
      <c r="C39" s="7" t="s">
        <v>130</v>
      </c>
      <c r="D39" s="110" t="s">
        <v>19</v>
      </c>
      <c r="E39" s="110" t="s">
        <v>1588</v>
      </c>
      <c r="F39" s="16" t="s">
        <v>78</v>
      </c>
      <c r="G39" s="7" t="s">
        <v>1546</v>
      </c>
      <c r="I39" s="7" t="s">
        <v>1548</v>
      </c>
      <c r="J39" s="7" t="s">
        <v>61</v>
      </c>
      <c r="K39" s="16" t="b">
        <v>0</v>
      </c>
      <c r="L39" s="7" t="b">
        <v>1</v>
      </c>
      <c r="N39" s="7" t="s">
        <v>580</v>
      </c>
    </row>
    <row r="40">
      <c r="B40" s="7" t="s">
        <v>657</v>
      </c>
      <c r="C40" s="7" t="s">
        <v>658</v>
      </c>
      <c r="D40" s="110" t="s">
        <v>600</v>
      </c>
      <c r="E40" s="110">
        <v>480.0</v>
      </c>
      <c r="F40" s="16" t="s">
        <v>655</v>
      </c>
      <c r="G40" s="7" t="s">
        <v>1563</v>
      </c>
      <c r="H40" s="7" t="s">
        <v>1551</v>
      </c>
      <c r="I40" s="7" t="s">
        <v>1552</v>
      </c>
      <c r="J40" s="7" t="s">
        <v>1561</v>
      </c>
      <c r="K40" s="16" t="b">
        <v>0</v>
      </c>
      <c r="L40" s="7" t="b">
        <v>1</v>
      </c>
      <c r="N40" s="7" t="s">
        <v>1214</v>
      </c>
    </row>
    <row r="41">
      <c r="A41" s="7" t="s">
        <v>1589</v>
      </c>
      <c r="B41" s="7" t="s">
        <v>137</v>
      </c>
      <c r="C41" s="7" t="s">
        <v>138</v>
      </c>
      <c r="D41" s="110" t="s">
        <v>19</v>
      </c>
      <c r="E41" s="110">
        <v>59.0</v>
      </c>
      <c r="F41" s="16" t="s">
        <v>20</v>
      </c>
      <c r="G41" s="7" t="s">
        <v>1577</v>
      </c>
      <c r="H41" s="7" t="s">
        <v>1541</v>
      </c>
      <c r="I41" s="7" t="s">
        <v>1542</v>
      </c>
      <c r="J41" s="7" t="s">
        <v>1561</v>
      </c>
      <c r="K41" s="16" t="b">
        <v>0</v>
      </c>
      <c r="L41" s="7" t="b">
        <v>1</v>
      </c>
      <c r="N41" s="7" t="s">
        <v>603</v>
      </c>
    </row>
    <row r="42">
      <c r="B42" s="7" t="s">
        <v>211</v>
      </c>
      <c r="C42" s="7" t="s">
        <v>213</v>
      </c>
      <c r="D42" s="110" t="s">
        <v>19</v>
      </c>
      <c r="E42" s="111">
        <v>3585.0</v>
      </c>
      <c r="F42" s="16" t="s">
        <v>20</v>
      </c>
      <c r="G42" s="7" t="s">
        <v>1554</v>
      </c>
      <c r="H42" s="7" t="s">
        <v>1547</v>
      </c>
      <c r="I42" s="7" t="s">
        <v>1556</v>
      </c>
      <c r="J42" s="7" t="s">
        <v>61</v>
      </c>
      <c r="K42" s="16" t="b">
        <v>0</v>
      </c>
      <c r="L42" s="7" t="b">
        <v>1</v>
      </c>
      <c r="N42" s="7" t="s">
        <v>755</v>
      </c>
    </row>
    <row r="43">
      <c r="B43" s="7" t="s">
        <v>28</v>
      </c>
      <c r="C43" s="7" t="s">
        <v>29</v>
      </c>
      <c r="D43" s="110" t="s">
        <v>19</v>
      </c>
      <c r="E43" s="110">
        <v>8.0</v>
      </c>
      <c r="F43" s="16" t="s">
        <v>20</v>
      </c>
      <c r="G43" s="7" t="s">
        <v>1540</v>
      </c>
      <c r="H43" s="7" t="s">
        <v>1541</v>
      </c>
      <c r="I43" s="7" t="s">
        <v>1542</v>
      </c>
      <c r="J43" s="7" t="s">
        <v>61</v>
      </c>
      <c r="K43" s="16" t="b">
        <v>0</v>
      </c>
      <c r="L43" s="7" t="b">
        <v>1</v>
      </c>
      <c r="N43" s="7" t="s">
        <v>109</v>
      </c>
    </row>
    <row r="44">
      <c r="B44" s="7" t="s">
        <v>1272</v>
      </c>
      <c r="C44" s="7"/>
      <c r="D44" s="110" t="e">
        <v>#N/A</v>
      </c>
      <c r="E44" s="110">
        <v>120.0</v>
      </c>
      <c r="F44" s="7" t="s">
        <v>20</v>
      </c>
      <c r="G44" s="7" t="s">
        <v>1591</v>
      </c>
      <c r="H44" s="7" t="s">
        <v>1592</v>
      </c>
      <c r="I44" s="7" t="s">
        <v>1542</v>
      </c>
      <c r="J44" s="7" t="s">
        <v>817</v>
      </c>
      <c r="K44" s="16" t="b">
        <v>0</v>
      </c>
      <c r="L44" s="16" t="b">
        <v>0</v>
      </c>
      <c r="M44" s="7" t="s">
        <v>1593</v>
      </c>
      <c r="N44" s="7"/>
    </row>
    <row r="45">
      <c r="B45" s="7" t="s">
        <v>65</v>
      </c>
      <c r="C45" s="7" t="s">
        <v>66</v>
      </c>
      <c r="D45" s="110" t="s">
        <v>19</v>
      </c>
      <c r="E45" s="110">
        <v>20.0</v>
      </c>
      <c r="F45" s="7" t="s">
        <v>20</v>
      </c>
      <c r="I45" s="7" t="s">
        <v>1542</v>
      </c>
      <c r="J45" s="7" t="s">
        <v>817</v>
      </c>
      <c r="K45" s="16" t="b">
        <v>0</v>
      </c>
      <c r="L45" s="16" t="b">
        <v>0</v>
      </c>
      <c r="M45" s="7" t="s">
        <v>1593</v>
      </c>
      <c r="N45" s="7" t="s">
        <v>237</v>
      </c>
    </row>
    <row r="46">
      <c r="B46" s="7" t="s">
        <v>651</v>
      </c>
      <c r="C46" s="7" t="s">
        <v>652</v>
      </c>
      <c r="D46" s="110" t="s">
        <v>600</v>
      </c>
      <c r="E46" s="110">
        <v>160.0</v>
      </c>
      <c r="F46" s="16" t="s">
        <v>20</v>
      </c>
      <c r="I46" s="7" t="s">
        <v>1542</v>
      </c>
      <c r="J46" s="7" t="s">
        <v>817</v>
      </c>
      <c r="K46" s="16" t="b">
        <v>0</v>
      </c>
      <c r="L46" s="16" t="b">
        <v>0</v>
      </c>
      <c r="M46" s="7" t="s">
        <v>1593</v>
      </c>
      <c r="N46" s="7" t="s">
        <v>1205</v>
      </c>
    </row>
    <row r="47">
      <c r="B47" s="7" t="s">
        <v>76</v>
      </c>
      <c r="C47" s="7" t="s">
        <v>77</v>
      </c>
      <c r="D47" s="110" t="s">
        <v>19</v>
      </c>
      <c r="E47" s="110">
        <v>291.0</v>
      </c>
      <c r="F47" s="16" t="s">
        <v>78</v>
      </c>
      <c r="G47" s="7" t="s">
        <v>1563</v>
      </c>
      <c r="H47" s="7" t="s">
        <v>1565</v>
      </c>
      <c r="I47" s="7" t="s">
        <v>1552</v>
      </c>
      <c r="J47" s="7" t="s">
        <v>1561</v>
      </c>
      <c r="K47" s="16" t="b">
        <v>0</v>
      </c>
      <c r="L47" s="7" t="b">
        <v>1</v>
      </c>
      <c r="N47" s="7" t="s">
        <v>328</v>
      </c>
    </row>
    <row r="48">
      <c r="B48" s="7" t="s">
        <v>148</v>
      </c>
      <c r="C48" s="7" t="s">
        <v>149</v>
      </c>
      <c r="D48" s="110" t="s">
        <v>19</v>
      </c>
      <c r="E48" s="110">
        <v>21.0</v>
      </c>
      <c r="F48" s="16" t="s">
        <v>20</v>
      </c>
      <c r="G48" s="7" t="s">
        <v>1540</v>
      </c>
      <c r="H48" s="7" t="s">
        <v>1573</v>
      </c>
      <c r="I48" s="7" t="s">
        <v>1542</v>
      </c>
      <c r="J48" s="7" t="s">
        <v>61</v>
      </c>
      <c r="K48" s="16" t="b">
        <v>0</v>
      </c>
      <c r="L48" s="7" t="b">
        <v>1</v>
      </c>
      <c r="N48" s="7" t="s">
        <v>622</v>
      </c>
    </row>
    <row r="49">
      <c r="B49" s="7" t="s">
        <v>33</v>
      </c>
      <c r="C49" s="7" t="s">
        <v>34</v>
      </c>
      <c r="D49" s="110" t="s">
        <v>19</v>
      </c>
      <c r="E49" s="110" t="s">
        <v>1596</v>
      </c>
      <c r="F49" s="16" t="s">
        <v>20</v>
      </c>
      <c r="G49" s="7" t="s">
        <v>1546</v>
      </c>
      <c r="H49" s="7" t="s">
        <v>1569</v>
      </c>
      <c r="I49" s="7" t="s">
        <v>1548</v>
      </c>
      <c r="J49" s="7" t="s">
        <v>1561</v>
      </c>
      <c r="K49" s="16" t="b">
        <v>0</v>
      </c>
      <c r="L49" s="7" t="b">
        <v>1</v>
      </c>
      <c r="N49" s="7" t="s">
        <v>125</v>
      </c>
    </row>
    <row r="50">
      <c r="B50" s="7" t="s">
        <v>129</v>
      </c>
      <c r="C50" s="7" t="s">
        <v>130</v>
      </c>
      <c r="D50" s="110" t="s">
        <v>19</v>
      </c>
      <c r="E50" s="110" t="s">
        <v>1598</v>
      </c>
      <c r="F50" s="16" t="s">
        <v>78</v>
      </c>
      <c r="G50" s="7" t="s">
        <v>1546</v>
      </c>
      <c r="I50" s="7" t="s">
        <v>1548</v>
      </c>
      <c r="J50" s="7" t="s">
        <v>1561</v>
      </c>
      <c r="K50" s="16" t="b">
        <v>0</v>
      </c>
      <c r="L50" s="7" t="b">
        <v>1</v>
      </c>
      <c r="N50" s="7" t="s">
        <v>580</v>
      </c>
    </row>
    <row r="51">
      <c r="B51" s="7" t="s">
        <v>653</v>
      </c>
      <c r="C51" s="7" t="s">
        <v>654</v>
      </c>
      <c r="D51" s="110" t="s">
        <v>600</v>
      </c>
      <c r="E51" s="110">
        <v>1393.0</v>
      </c>
      <c r="F51" s="16" t="s">
        <v>655</v>
      </c>
      <c r="G51" s="7" t="s">
        <v>1550</v>
      </c>
      <c r="H51" s="7" t="s">
        <v>1565</v>
      </c>
      <c r="I51" s="7" t="s">
        <v>1552</v>
      </c>
      <c r="J51" s="7" t="s">
        <v>1561</v>
      </c>
      <c r="K51" s="16" t="b">
        <v>0</v>
      </c>
      <c r="L51" s="7" t="b">
        <v>1</v>
      </c>
      <c r="N51" s="7" t="s">
        <v>1209</v>
      </c>
    </row>
    <row r="52">
      <c r="B52" s="7" t="s">
        <v>657</v>
      </c>
      <c r="C52" s="7" t="s">
        <v>658</v>
      </c>
      <c r="D52" s="110" t="s">
        <v>600</v>
      </c>
      <c r="E52" s="110">
        <v>1673.0</v>
      </c>
      <c r="F52" s="16" t="s">
        <v>655</v>
      </c>
      <c r="G52" s="7" t="s">
        <v>1550</v>
      </c>
      <c r="H52" s="7" t="s">
        <v>1565</v>
      </c>
      <c r="I52" s="7" t="s">
        <v>1552</v>
      </c>
      <c r="J52" s="7" t="s">
        <v>1561</v>
      </c>
      <c r="K52" s="16" t="b">
        <v>0</v>
      </c>
      <c r="L52" s="7" t="b">
        <v>1</v>
      </c>
      <c r="N52" s="7" t="s">
        <v>1214</v>
      </c>
    </row>
    <row r="53">
      <c r="A53" s="7" t="s">
        <v>1600</v>
      </c>
      <c r="B53" s="7" t="s">
        <v>648</v>
      </c>
      <c r="C53" s="7" t="s">
        <v>649</v>
      </c>
      <c r="D53" s="110" t="s">
        <v>600</v>
      </c>
      <c r="E53" s="110">
        <v>86.0</v>
      </c>
      <c r="F53" s="16" t="s">
        <v>20</v>
      </c>
      <c r="G53" s="7" t="s">
        <v>1563</v>
      </c>
      <c r="H53" s="7" t="s">
        <v>1601</v>
      </c>
      <c r="I53" s="7" t="s">
        <v>1552</v>
      </c>
      <c r="J53" s="7" t="s">
        <v>1561</v>
      </c>
      <c r="K53" s="16" t="b">
        <v>0</v>
      </c>
      <c r="L53" s="7" t="b">
        <v>1</v>
      </c>
      <c r="N53" s="7" t="s">
        <v>119</v>
      </c>
    </row>
    <row r="54">
      <c r="B54" s="7" t="s">
        <v>28</v>
      </c>
      <c r="C54" s="7" t="s">
        <v>29</v>
      </c>
      <c r="D54" s="110" t="s">
        <v>19</v>
      </c>
      <c r="E54" s="110">
        <v>24.0</v>
      </c>
      <c r="F54" s="16" t="s">
        <v>20</v>
      </c>
      <c r="G54" s="7" t="s">
        <v>1540</v>
      </c>
      <c r="H54" s="7" t="s">
        <v>1573</v>
      </c>
      <c r="I54" s="7" t="s">
        <v>1542</v>
      </c>
      <c r="J54" s="7" t="s">
        <v>61</v>
      </c>
      <c r="K54" s="16" t="b">
        <v>0</v>
      </c>
      <c r="L54" s="7" t="b">
        <v>1</v>
      </c>
      <c r="N54" s="7" t="s">
        <v>109</v>
      </c>
    </row>
    <row r="55">
      <c r="B55" s="7" t="s">
        <v>298</v>
      </c>
      <c r="C55" s="7" t="s">
        <v>299</v>
      </c>
      <c r="D55" s="110" t="s">
        <v>19</v>
      </c>
      <c r="E55" s="110">
        <v>43.0</v>
      </c>
      <c r="F55" s="16" t="s">
        <v>20</v>
      </c>
      <c r="G55" s="7" t="s">
        <v>1540</v>
      </c>
      <c r="H55" s="7" t="s">
        <v>1541</v>
      </c>
      <c r="I55" s="7" t="s">
        <v>1542</v>
      </c>
      <c r="J55" s="7" t="s">
        <v>61</v>
      </c>
      <c r="K55" s="16" t="b">
        <v>0</v>
      </c>
      <c r="L55" s="7" t="b">
        <v>1</v>
      </c>
      <c r="N55" s="7">
        <v>40.0</v>
      </c>
    </row>
    <row r="56">
      <c r="B56" s="7" t="s">
        <v>148</v>
      </c>
      <c r="C56" s="7" t="s">
        <v>149</v>
      </c>
      <c r="D56" s="110" t="s">
        <v>19</v>
      </c>
      <c r="E56" s="110">
        <v>200.0</v>
      </c>
      <c r="F56" s="16" t="s">
        <v>20</v>
      </c>
      <c r="G56" s="7" t="s">
        <v>1540</v>
      </c>
      <c r="H56" s="7" t="s">
        <v>1541</v>
      </c>
      <c r="I56" s="7" t="s">
        <v>1542</v>
      </c>
      <c r="J56" s="7" t="s">
        <v>61</v>
      </c>
      <c r="K56" s="16" t="b">
        <v>0</v>
      </c>
      <c r="L56" s="7" t="b">
        <v>1</v>
      </c>
      <c r="N56" s="7" t="s">
        <v>622</v>
      </c>
    </row>
    <row r="57">
      <c r="B57" s="7" t="s">
        <v>298</v>
      </c>
      <c r="C57" s="7" t="s">
        <v>299</v>
      </c>
      <c r="D57" s="110" t="s">
        <v>19</v>
      </c>
      <c r="E57" s="110">
        <v>22.0</v>
      </c>
      <c r="F57" s="16" t="s">
        <v>20</v>
      </c>
      <c r="G57" s="7" t="s">
        <v>1606</v>
      </c>
      <c r="H57" s="7" t="s">
        <v>1541</v>
      </c>
      <c r="I57" s="7" t="s">
        <v>1542</v>
      </c>
      <c r="J57" s="7" t="s">
        <v>1561</v>
      </c>
      <c r="K57" s="16" t="b">
        <v>0</v>
      </c>
      <c r="L57" s="7" t="b">
        <v>1</v>
      </c>
      <c r="N57" s="7">
        <v>40.0</v>
      </c>
    </row>
    <row r="58">
      <c r="B58" s="7" t="s">
        <v>894</v>
      </c>
      <c r="C58" s="7" t="s">
        <v>895</v>
      </c>
      <c r="D58" s="110" t="s">
        <v>19</v>
      </c>
      <c r="E58" s="110">
        <v>8.0</v>
      </c>
      <c r="F58" s="16" t="s">
        <v>20</v>
      </c>
      <c r="G58" s="7" t="s">
        <v>1540</v>
      </c>
      <c r="H58" s="7" t="s">
        <v>1541</v>
      </c>
      <c r="I58" s="7" t="s">
        <v>1542</v>
      </c>
      <c r="J58" s="7" t="s">
        <v>61</v>
      </c>
      <c r="K58" s="16" t="b">
        <v>0</v>
      </c>
      <c r="L58" s="7" t="b">
        <v>1</v>
      </c>
      <c r="N58" s="7">
        <v>0.0</v>
      </c>
    </row>
    <row r="59">
      <c r="B59" s="7" t="s">
        <v>653</v>
      </c>
      <c r="C59" s="7" t="s">
        <v>654</v>
      </c>
      <c r="D59" s="110" t="s">
        <v>600</v>
      </c>
      <c r="E59" s="110">
        <v>387.0</v>
      </c>
      <c r="F59" s="16" t="s">
        <v>655</v>
      </c>
      <c r="G59" s="7" t="s">
        <v>1550</v>
      </c>
      <c r="H59" s="7" t="s">
        <v>1565</v>
      </c>
      <c r="I59" s="7" t="s">
        <v>1552</v>
      </c>
      <c r="J59" s="7" t="s">
        <v>1561</v>
      </c>
      <c r="K59" s="16" t="b">
        <v>0</v>
      </c>
      <c r="L59" s="7" t="b">
        <v>1</v>
      </c>
      <c r="N59" s="7" t="s">
        <v>1209</v>
      </c>
    </row>
    <row r="60">
      <c r="B60" s="7" t="s">
        <v>657</v>
      </c>
      <c r="C60" s="7" t="s">
        <v>658</v>
      </c>
      <c r="D60" s="110" t="s">
        <v>600</v>
      </c>
      <c r="E60" s="110">
        <v>668.0</v>
      </c>
      <c r="F60" s="16" t="s">
        <v>655</v>
      </c>
      <c r="G60" s="7" t="s">
        <v>1550</v>
      </c>
      <c r="H60" s="7" t="s">
        <v>1565</v>
      </c>
      <c r="I60" s="7" t="s">
        <v>1552</v>
      </c>
      <c r="J60" s="7" t="s">
        <v>1561</v>
      </c>
      <c r="K60" s="16" t="b">
        <v>0</v>
      </c>
      <c r="L60" s="7" t="b">
        <v>1</v>
      </c>
      <c r="N60" s="7" t="s">
        <v>1214</v>
      </c>
    </row>
    <row r="61">
      <c r="B61" s="7" t="s">
        <v>660</v>
      </c>
      <c r="C61" s="7" t="s">
        <v>661</v>
      </c>
      <c r="D61" s="110" t="s">
        <v>600</v>
      </c>
      <c r="E61" s="110">
        <v>409.0</v>
      </c>
      <c r="F61" s="16" t="s">
        <v>78</v>
      </c>
      <c r="G61" s="7" t="s">
        <v>1550</v>
      </c>
      <c r="H61" s="7" t="s">
        <v>1565</v>
      </c>
      <c r="I61" s="7" t="s">
        <v>1552</v>
      </c>
      <c r="J61" s="7" t="s">
        <v>1561</v>
      </c>
      <c r="K61" s="16" t="b">
        <v>0</v>
      </c>
      <c r="L61" s="7" t="b">
        <v>1</v>
      </c>
      <c r="N61" s="7" t="s">
        <v>1218</v>
      </c>
    </row>
    <row r="62">
      <c r="B62" s="7" t="s">
        <v>502</v>
      </c>
      <c r="C62" s="7" t="s">
        <v>503</v>
      </c>
      <c r="D62" s="110" t="s">
        <v>316</v>
      </c>
      <c r="E62" s="110">
        <v>1.0</v>
      </c>
      <c r="F62" s="16" t="s">
        <v>863</v>
      </c>
      <c r="G62" s="7" t="s">
        <v>1550</v>
      </c>
      <c r="H62" s="7" t="s">
        <v>1551</v>
      </c>
      <c r="I62" s="7" t="s">
        <v>1548</v>
      </c>
      <c r="J62" s="7" t="s">
        <v>1561</v>
      </c>
      <c r="K62" s="16" t="b">
        <v>0</v>
      </c>
      <c r="L62" s="7" t="b">
        <v>1</v>
      </c>
      <c r="N62" s="7" t="s">
        <v>1241</v>
      </c>
    </row>
    <row r="63">
      <c r="B63" s="7" t="s">
        <v>1280</v>
      </c>
      <c r="C63" s="7"/>
      <c r="D63" s="110" t="s">
        <v>600</v>
      </c>
      <c r="E63" s="110">
        <v>59.0</v>
      </c>
      <c r="F63" s="7" t="s">
        <v>20</v>
      </c>
      <c r="G63" s="7" t="s">
        <v>1563</v>
      </c>
      <c r="H63" s="7" t="s">
        <v>1541</v>
      </c>
      <c r="I63" s="7" t="s">
        <v>1542</v>
      </c>
      <c r="J63" s="7" t="s">
        <v>1561</v>
      </c>
      <c r="K63" s="16" t="b">
        <v>0</v>
      </c>
      <c r="L63" s="7" t="b">
        <v>1</v>
      </c>
      <c r="N63" s="7"/>
    </row>
    <row r="64">
      <c r="A64" s="7" t="s">
        <v>1610</v>
      </c>
      <c r="B64" s="7" t="s">
        <v>148</v>
      </c>
      <c r="C64" s="7" t="s">
        <v>149</v>
      </c>
      <c r="D64" s="110" t="s">
        <v>19</v>
      </c>
      <c r="E64" s="110">
        <v>100.0</v>
      </c>
      <c r="F64" s="16" t="s">
        <v>20</v>
      </c>
      <c r="G64" s="7" t="s">
        <v>1540</v>
      </c>
      <c r="H64" s="7" t="s">
        <v>1573</v>
      </c>
      <c r="I64" s="7" t="s">
        <v>1542</v>
      </c>
      <c r="J64" s="7" t="s">
        <v>61</v>
      </c>
      <c r="K64" s="16" t="b">
        <v>0</v>
      </c>
      <c r="L64" s="7" t="b">
        <v>1</v>
      </c>
      <c r="N64" s="7" t="s">
        <v>622</v>
      </c>
    </row>
    <row r="65">
      <c r="B65" s="7" t="s">
        <v>28</v>
      </c>
      <c r="C65" s="7" t="s">
        <v>29</v>
      </c>
      <c r="D65" s="110" t="s">
        <v>19</v>
      </c>
      <c r="E65" s="110">
        <v>12.0</v>
      </c>
      <c r="F65" s="16" t="s">
        <v>20</v>
      </c>
      <c r="G65" s="7" t="s">
        <v>1540</v>
      </c>
      <c r="H65" s="7" t="s">
        <v>1573</v>
      </c>
      <c r="I65" s="7" t="s">
        <v>1542</v>
      </c>
      <c r="J65" s="7" t="s">
        <v>61</v>
      </c>
      <c r="K65" s="16" t="b">
        <v>0</v>
      </c>
      <c r="L65" s="7" t="b">
        <v>1</v>
      </c>
      <c r="N65" s="7" t="s">
        <v>109</v>
      </c>
    </row>
    <row r="66">
      <c r="B66" s="7" t="s">
        <v>211</v>
      </c>
      <c r="C66" s="7" t="s">
        <v>213</v>
      </c>
      <c r="D66" s="110" t="s">
        <v>19</v>
      </c>
      <c r="E66" s="110">
        <v>3600.0</v>
      </c>
      <c r="F66" s="16" t="s">
        <v>20</v>
      </c>
      <c r="G66" s="7" t="s">
        <v>1554</v>
      </c>
      <c r="H66" s="7" t="s">
        <v>1547</v>
      </c>
      <c r="I66" s="7" t="s">
        <v>1556</v>
      </c>
      <c r="J66" s="7" t="s">
        <v>61</v>
      </c>
      <c r="K66" s="16" t="b">
        <v>0</v>
      </c>
      <c r="L66" s="7" t="b">
        <v>1</v>
      </c>
      <c r="N66" s="7" t="s">
        <v>755</v>
      </c>
    </row>
    <row r="67">
      <c r="B67" s="7" t="s">
        <v>502</v>
      </c>
      <c r="C67" s="7" t="s">
        <v>503</v>
      </c>
      <c r="D67" s="110" t="s">
        <v>316</v>
      </c>
      <c r="E67" s="110">
        <v>3.0</v>
      </c>
      <c r="F67" s="16" t="s">
        <v>863</v>
      </c>
      <c r="G67" s="7" t="s">
        <v>1563</v>
      </c>
      <c r="H67" s="7" t="s">
        <v>1551</v>
      </c>
      <c r="I67" s="7" t="s">
        <v>1548</v>
      </c>
      <c r="J67" s="7" t="s">
        <v>1561</v>
      </c>
      <c r="K67" s="16" t="b">
        <v>0</v>
      </c>
      <c r="L67" s="7" t="b">
        <v>1</v>
      </c>
      <c r="N67" s="7" t="s">
        <v>1241</v>
      </c>
    </row>
    <row r="68">
      <c r="B68" s="7" t="s">
        <v>664</v>
      </c>
      <c r="C68" s="7" t="s">
        <v>666</v>
      </c>
      <c r="D68" s="110" t="s">
        <v>600</v>
      </c>
      <c r="E68" s="110">
        <v>1243.0</v>
      </c>
      <c r="F68" s="16" t="s">
        <v>78</v>
      </c>
      <c r="G68" s="7" t="s">
        <v>1550</v>
      </c>
      <c r="H68" s="7" t="s">
        <v>1565</v>
      </c>
      <c r="I68" s="7" t="s">
        <v>1552</v>
      </c>
      <c r="J68" s="7" t="s">
        <v>1561</v>
      </c>
      <c r="K68" s="16" t="b">
        <v>0</v>
      </c>
      <c r="L68" s="7" t="b">
        <v>1</v>
      </c>
      <c r="N68" s="7" t="s">
        <v>1221</v>
      </c>
    </row>
    <row r="69">
      <c r="B69" s="7" t="s">
        <v>657</v>
      </c>
      <c r="C69" s="7" t="s">
        <v>658</v>
      </c>
      <c r="D69" s="110" t="s">
        <v>600</v>
      </c>
      <c r="E69" s="110">
        <v>731.0</v>
      </c>
      <c r="F69" s="16" t="s">
        <v>655</v>
      </c>
      <c r="G69" s="7" t="s">
        <v>1550</v>
      </c>
      <c r="H69" s="7" t="s">
        <v>1565</v>
      </c>
      <c r="I69" s="7" t="s">
        <v>1552</v>
      </c>
      <c r="J69" s="7" t="s">
        <v>1561</v>
      </c>
      <c r="K69" s="16" t="b">
        <v>0</v>
      </c>
      <c r="L69" s="7" t="b">
        <v>1</v>
      </c>
      <c r="N69" s="7" t="s">
        <v>1214</v>
      </c>
    </row>
    <row r="70">
      <c r="B70" s="7" t="s">
        <v>653</v>
      </c>
      <c r="C70" s="7" t="s">
        <v>654</v>
      </c>
      <c r="D70" s="110" t="s">
        <v>600</v>
      </c>
      <c r="E70" s="110">
        <v>995.0</v>
      </c>
      <c r="F70" s="16" t="s">
        <v>655</v>
      </c>
      <c r="G70" s="7" t="s">
        <v>1550</v>
      </c>
      <c r="H70" s="7" t="s">
        <v>1565</v>
      </c>
      <c r="I70" s="7" t="s">
        <v>1552</v>
      </c>
      <c r="J70" s="7" t="s">
        <v>1561</v>
      </c>
      <c r="K70" s="16" t="b">
        <v>0</v>
      </c>
      <c r="L70" s="7" t="b">
        <v>1</v>
      </c>
      <c r="N70" s="7" t="s">
        <v>1209</v>
      </c>
    </row>
    <row r="71">
      <c r="B71" s="7" t="s">
        <v>28</v>
      </c>
      <c r="C71" s="7" t="s">
        <v>29</v>
      </c>
      <c r="D71" s="110" t="s">
        <v>19</v>
      </c>
      <c r="E71" s="110">
        <v>9.0</v>
      </c>
      <c r="F71" s="16" t="s">
        <v>20</v>
      </c>
      <c r="G71" s="7" t="s">
        <v>1540</v>
      </c>
      <c r="H71" s="7" t="s">
        <v>1541</v>
      </c>
      <c r="I71" s="7" t="s">
        <v>1542</v>
      </c>
      <c r="J71" s="7" t="s">
        <v>61</v>
      </c>
      <c r="K71" s="16" t="b">
        <v>0</v>
      </c>
      <c r="L71" s="7" t="b">
        <v>1</v>
      </c>
      <c r="N71" s="7" t="s">
        <v>109</v>
      </c>
    </row>
    <row r="72">
      <c r="B72" s="7" t="s">
        <v>211</v>
      </c>
      <c r="C72" s="7" t="s">
        <v>213</v>
      </c>
      <c r="D72" s="110" t="s">
        <v>19</v>
      </c>
      <c r="E72" s="110">
        <v>4675.0</v>
      </c>
      <c r="F72" s="16" t="s">
        <v>20</v>
      </c>
      <c r="G72" s="7" t="s">
        <v>1554</v>
      </c>
      <c r="H72" s="7" t="s">
        <v>1547</v>
      </c>
      <c r="I72" s="7" t="s">
        <v>1556</v>
      </c>
      <c r="J72" s="7" t="s">
        <v>61</v>
      </c>
      <c r="K72" s="16" t="b">
        <v>0</v>
      </c>
      <c r="L72" s="7" t="b">
        <v>1</v>
      </c>
      <c r="N72" s="7" t="s">
        <v>755</v>
      </c>
    </row>
    <row r="73">
      <c r="B73" s="7" t="s">
        <v>33</v>
      </c>
      <c r="C73" s="7" t="s">
        <v>34</v>
      </c>
      <c r="D73" s="110" t="s">
        <v>19</v>
      </c>
      <c r="E73" s="110" t="s">
        <v>1615</v>
      </c>
      <c r="F73" s="16" t="s">
        <v>20</v>
      </c>
      <c r="G73" s="7" t="s">
        <v>1616</v>
      </c>
      <c r="H73" s="7" t="s">
        <v>1547</v>
      </c>
      <c r="I73" s="7" t="s">
        <v>1548</v>
      </c>
      <c r="J73" s="7" t="s">
        <v>1561</v>
      </c>
      <c r="K73" s="16" t="b">
        <v>0</v>
      </c>
      <c r="L73" s="7" t="b">
        <v>1</v>
      </c>
      <c r="N73" s="7" t="s">
        <v>125</v>
      </c>
    </row>
    <row r="74">
      <c r="B74" s="7" t="s">
        <v>129</v>
      </c>
      <c r="C74" s="7" t="s">
        <v>130</v>
      </c>
      <c r="D74" s="110" t="s">
        <v>19</v>
      </c>
      <c r="E74" s="110" t="s">
        <v>1618</v>
      </c>
      <c r="F74" s="7" t="s">
        <v>78</v>
      </c>
      <c r="G74" s="7" t="s">
        <v>1619</v>
      </c>
      <c r="H74" s="7" t="s">
        <v>1620</v>
      </c>
      <c r="I74" s="7" t="s">
        <v>1548</v>
      </c>
      <c r="J74" s="7" t="s">
        <v>1561</v>
      </c>
      <c r="K74" s="16" t="b">
        <v>0</v>
      </c>
      <c r="L74" s="7" t="b">
        <v>1</v>
      </c>
      <c r="N74" s="7" t="s">
        <v>580</v>
      </c>
    </row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2025-12-11T04:37:21Z</dcterms:created>
  <dc:creator>Finance</dc:creator>
</cp:coreProperties>
</file>